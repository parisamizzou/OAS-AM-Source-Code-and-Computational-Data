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100-10-10/"/>
    </mc:Choice>
  </mc:AlternateContent>
  <xr:revisionPtr revIDLastSave="0" documentId="13_ncr:1_{9BD239C4-AAF0-644E-93AF-237901A503AC}" xr6:coauthVersionLast="47" xr6:coauthVersionMax="47" xr10:uidLastSave="{00000000-0000-0000-0000-000000000000}"/>
  <bookViews>
    <workbookView xWindow="0" yWindow="760" windowWidth="34560" windowHeight="20520" xr2:uid="{41E620E7-D6DF-9342-B452-EA60AB3B07C5}"/>
  </bookViews>
  <sheets>
    <sheet name="Summary" sheetId="68" r:id="rId1"/>
    <sheet name="results40" sheetId="58" r:id="rId2"/>
    <sheet name="results271" sheetId="69" r:id="rId3"/>
    <sheet name="results421" sheetId="70" r:id="rId4"/>
    <sheet name="results465" sheetId="71" r:id="rId5"/>
    <sheet name="results611" sheetId="76" r:id="rId6"/>
    <sheet name="results614" sheetId="77" r:id="rId7"/>
    <sheet name="results688" sheetId="72" r:id="rId8"/>
    <sheet name="results735" sheetId="73" r:id="rId9"/>
    <sheet name="results850" sheetId="74" r:id="rId10"/>
    <sheet name="results901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L14" i="72" l="1"/>
  <c r="L14" i="77"/>
  <c r="L14" i="76"/>
  <c r="L14" i="71"/>
  <c r="L14" i="70"/>
  <c r="L14" i="69"/>
  <c r="L14" i="58"/>
  <c r="D14" i="75"/>
  <c r="D14" i="74"/>
  <c r="F14" i="74" s="1"/>
  <c r="D14" i="73"/>
  <c r="D14" i="72"/>
  <c r="D14" i="77"/>
  <c r="D14" i="76"/>
  <c r="D14" i="71"/>
  <c r="D14" i="70"/>
  <c r="D14" i="69"/>
  <c r="D14" i="58"/>
  <c r="H14" i="74"/>
  <c r="E14" i="74"/>
  <c r="G14" i="74"/>
  <c r="J14" i="74"/>
  <c r="K14" i="74"/>
  <c r="I14" i="74"/>
  <c r="F14" i="58"/>
  <c r="E14" i="58"/>
  <c r="H14" i="58"/>
  <c r="G14" i="58"/>
  <c r="K14" i="58"/>
  <c r="J14" i="58"/>
  <c r="I14" i="58"/>
  <c r="P14" i="77"/>
  <c r="O14" i="77"/>
  <c r="N14" i="77"/>
  <c r="M14" i="77"/>
  <c r="S14" i="77"/>
  <c r="R14" i="77"/>
  <c r="Q14" i="77"/>
  <c r="L15" i="77"/>
  <c r="M14" i="70"/>
  <c r="R14" i="70"/>
  <c r="Q14" i="70"/>
  <c r="L15" i="70"/>
  <c r="O14" i="70"/>
  <c r="S14" i="70"/>
  <c r="P14" i="70"/>
  <c r="N14" i="70"/>
  <c r="J14" i="76"/>
  <c r="I14" i="76"/>
  <c r="H14" i="76"/>
  <c r="G14" i="76"/>
  <c r="F14" i="76"/>
  <c r="E14" i="76"/>
  <c r="K14" i="76"/>
  <c r="E14" i="70"/>
  <c r="G14" i="70"/>
  <c r="J14" i="70"/>
  <c r="K14" i="70"/>
  <c r="I14" i="70"/>
  <c r="H14" i="70"/>
  <c r="F14" i="70"/>
  <c r="K14" i="75"/>
  <c r="I14" i="75"/>
  <c r="J14" i="75"/>
  <c r="G14" i="75"/>
  <c r="F14" i="75"/>
  <c r="E14" i="75"/>
  <c r="H14" i="75"/>
  <c r="K14" i="72"/>
  <c r="J14" i="72"/>
  <c r="I14" i="72"/>
  <c r="F14" i="72"/>
  <c r="E14" i="72"/>
  <c r="G14" i="72"/>
  <c r="H14" i="72"/>
  <c r="K14" i="71"/>
  <c r="J14" i="71"/>
  <c r="G14" i="71"/>
  <c r="H14" i="71"/>
  <c r="I14" i="71"/>
  <c r="E14" i="71"/>
  <c r="F14" i="71"/>
  <c r="L15" i="76"/>
  <c r="P14" i="76"/>
  <c r="O14" i="76"/>
  <c r="N14" i="76"/>
  <c r="M14" i="76"/>
  <c r="S14" i="76"/>
  <c r="R14" i="76"/>
  <c r="Q14" i="76"/>
  <c r="F14" i="73"/>
  <c r="H14" i="73"/>
  <c r="K14" i="73"/>
  <c r="I14" i="73"/>
  <c r="G14" i="73"/>
  <c r="J14" i="73"/>
  <c r="E14" i="73"/>
  <c r="R14" i="72"/>
  <c r="Q14" i="72"/>
  <c r="L15" i="72"/>
  <c r="P14" i="72"/>
  <c r="S14" i="72"/>
  <c r="O14" i="72"/>
  <c r="N14" i="72"/>
  <c r="M14" i="72"/>
  <c r="R14" i="69"/>
  <c r="N14" i="69"/>
  <c r="Q14" i="69"/>
  <c r="O14" i="69"/>
  <c r="L15" i="69"/>
  <c r="P14" i="69"/>
  <c r="M14" i="69"/>
  <c r="S14" i="69"/>
  <c r="K14" i="69"/>
  <c r="E14" i="69"/>
  <c r="G14" i="69"/>
  <c r="J14" i="69"/>
  <c r="I14" i="69"/>
  <c r="H14" i="69"/>
  <c r="F14" i="69"/>
  <c r="E14" i="77"/>
  <c r="K14" i="77"/>
  <c r="J14" i="77"/>
  <c r="I14" i="77"/>
  <c r="H14" i="77"/>
  <c r="G14" i="77"/>
  <c r="F14" i="77"/>
  <c r="S14" i="58"/>
  <c r="J2" i="58" s="1"/>
  <c r="Q14" i="58"/>
  <c r="L15" i="58"/>
  <c r="P14" i="58"/>
  <c r="O14" i="58"/>
  <c r="N14" i="58"/>
  <c r="R14" i="58"/>
  <c r="M14" i="58"/>
  <c r="O14" i="71"/>
  <c r="M14" i="71"/>
  <c r="N14" i="71"/>
  <c r="S14" i="71"/>
  <c r="Q14" i="71"/>
  <c r="R14" i="71"/>
  <c r="L15" i="71"/>
  <c r="P14" i="71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P9" i="68" a="1"/>
  <c r="I10" i="68" a="1"/>
  <c r="L5" i="68" a="1"/>
  <c r="I9" i="68" a="1"/>
  <c r="E11" i="68" a="1"/>
  <c r="N3" i="68" a="1"/>
  <c r="M8" i="68" a="1"/>
  <c r="H5" i="68" a="1"/>
  <c r="Q8" i="68" a="1"/>
  <c r="D6" i="68" a="1"/>
  <c r="D3" i="68" a="1"/>
  <c r="E10" i="68" a="1"/>
  <c r="Q9" i="68" a="1"/>
  <c r="C6" i="68" a="1"/>
  <c r="L8" i="68" a="1"/>
  <c r="O3" i="68" a="1"/>
  <c r="G4" i="68" a="1"/>
  <c r="N9" i="68" a="1"/>
  <c r="M9" i="68" a="1"/>
  <c r="Q4" i="68" a="1"/>
  <c r="E5" i="68" a="1"/>
  <c r="L3" i="68" a="1"/>
  <c r="M7" i="68" a="1"/>
  <c r="L6" i="68" a="1"/>
  <c r="H4" i="68" a="1"/>
  <c r="N8" i="68" a="1"/>
  <c r="P8" i="68" a="1"/>
  <c r="N6" i="68" a="1"/>
  <c r="Q7" i="68" a="1"/>
  <c r="P6" i="68" a="1"/>
  <c r="M6" i="68" a="1"/>
  <c r="H11" i="68" a="1"/>
  <c r="D8" i="68" a="1"/>
  <c r="C5" i="68" a="1"/>
  <c r="F11" i="68" a="1"/>
  <c r="E7" i="68" a="1"/>
  <c r="I6" i="68" a="1"/>
  <c r="L4" i="68" a="1"/>
  <c r="D9" i="68" a="1"/>
  <c r="D12" i="68" a="1"/>
  <c r="E6" i="68" a="1"/>
  <c r="H3" i="68" a="1"/>
  <c r="P4" i="68" a="1"/>
  <c r="Q6" i="68" a="1"/>
  <c r="H12" i="68" a="1"/>
  <c r="K9" i="68" a="1"/>
  <c r="M5" i="68" a="1"/>
  <c r="E8" i="68" a="1"/>
  <c r="M4" i="68" a="1"/>
  <c r="G5" i="68" a="1"/>
  <c r="G3" i="68" a="1"/>
  <c r="D5" i="68" a="1"/>
  <c r="C11" i="68" a="1"/>
  <c r="C4" i="68" a="1"/>
  <c r="E12" i="68" a="1"/>
  <c r="L9" i="68" a="1"/>
  <c r="C9" i="68" a="1"/>
  <c r="G10" i="68" a="1"/>
  <c r="F4" i="68" a="1"/>
  <c r="N4" i="68" a="1"/>
  <c r="I4" i="68" a="1"/>
  <c r="H9" i="68" a="1"/>
  <c r="F5" i="68" a="1"/>
  <c r="D4" i="68" a="1"/>
  <c r="P7" i="68" a="1"/>
  <c r="G6" i="68" a="1"/>
  <c r="F6" i="68" a="1"/>
  <c r="D11" i="68" a="1"/>
  <c r="P3" i="68" a="1"/>
  <c r="K5" i="68" a="1"/>
  <c r="L7" i="68" a="1"/>
  <c r="I11" i="68" a="1"/>
  <c r="H7" i="68" a="1"/>
  <c r="O9" i="68" a="1"/>
  <c r="O7" i="68" a="1"/>
  <c r="K3" i="68" a="1"/>
  <c r="Q3" i="68" a="1"/>
  <c r="O8" i="68" a="1"/>
  <c r="F9" i="68" a="1"/>
  <c r="M3" i="68" a="1"/>
  <c r="P5" i="68" a="1"/>
  <c r="E3" i="68" a="1"/>
  <c r="K6" i="68" a="1"/>
  <c r="C10" i="68" a="1"/>
  <c r="I8" i="68" a="1"/>
  <c r="C8" i="68" a="1"/>
  <c r="G8" i="68" a="1"/>
  <c r="E4" i="68" a="1"/>
  <c r="I12" i="68" a="1"/>
  <c r="C3" i="68" a="1"/>
  <c r="O6" i="68" a="1"/>
  <c r="O4" i="68" a="1"/>
  <c r="G11" i="68" a="1"/>
  <c r="I3" i="68" a="1"/>
  <c r="O5" i="68" a="1"/>
  <c r="F10" i="68" a="1"/>
  <c r="F12" i="68" a="1"/>
  <c r="G12" i="68" a="1"/>
  <c r="G9" i="68" a="1"/>
  <c r="H10" i="68" a="1"/>
  <c r="Q5" i="68" a="1"/>
  <c r="C7" i="68" a="1"/>
  <c r="H8" i="68" a="1"/>
  <c r="K7" i="68" a="1"/>
  <c r="F7" i="68" a="1"/>
  <c r="I7" i="68" a="1"/>
  <c r="D10" i="68" a="1"/>
  <c r="I5" i="68" a="1"/>
  <c r="H6" i="68" a="1"/>
  <c r="K8" i="68" a="1"/>
  <c r="N7" i="68" a="1"/>
  <c r="G7" i="68" a="1"/>
  <c r="C12" i="68" a="1"/>
  <c r="E9" i="68" a="1"/>
  <c r="D7" i="68" a="1"/>
  <c r="F3" i="68" a="1"/>
  <c r="N5" i="68" a="1"/>
  <c r="F8" i="68" a="1"/>
  <c r="K4" i="68" a="1"/>
  <c r="T14" i="75" l="1"/>
  <c r="T14" i="74"/>
  <c r="Z14" i="74" s="1"/>
  <c r="Z15" i="74" s="1"/>
  <c r="T14" i="73"/>
  <c r="U14" i="73" s="1"/>
  <c r="T14" i="72"/>
  <c r="AA14" i="72" s="1"/>
  <c r="T14" i="77"/>
  <c r="T15" i="77" s="1"/>
  <c r="T14" i="76"/>
  <c r="W14" i="76" s="1"/>
  <c r="T14" i="71"/>
  <c r="T14" i="70"/>
  <c r="V14" i="70" s="1"/>
  <c r="V15" i="70" s="1"/>
  <c r="T14" i="69"/>
  <c r="V14" i="69" s="1"/>
  <c r="V15" i="69" s="1"/>
  <c r="W14" i="69"/>
  <c r="W15" i="69" s="1"/>
  <c r="T14" i="58"/>
  <c r="W14" i="58" s="1"/>
  <c r="W15" i="58" s="1"/>
  <c r="U14" i="70"/>
  <c r="U15" i="70" s="1"/>
  <c r="Y14" i="70"/>
  <c r="Y15" i="70" s="1"/>
  <c r="T15" i="69"/>
  <c r="Z14" i="70"/>
  <c r="Z2" i="70" s="1"/>
  <c r="L14" i="75"/>
  <c r="P14" i="75" s="1"/>
  <c r="P2" i="75" s="1"/>
  <c r="X14" i="69"/>
  <c r="X2" i="69" s="1"/>
  <c r="Z14" i="69"/>
  <c r="Z15" i="69" s="1"/>
  <c r="U14" i="69"/>
  <c r="U15" i="69" s="1"/>
  <c r="X14" i="72"/>
  <c r="X2" i="72" s="1"/>
  <c r="U14" i="72"/>
  <c r="U15" i="72" s="1"/>
  <c r="Z14" i="77"/>
  <c r="Z2" i="77" s="1"/>
  <c r="Z14" i="75"/>
  <c r="Z15" i="75" s="1"/>
  <c r="U14" i="75"/>
  <c r="U15" i="75" s="1"/>
  <c r="T15" i="75"/>
  <c r="Y14" i="74"/>
  <c r="Y15" i="74" s="1"/>
  <c r="T15" i="72"/>
  <c r="X14" i="74"/>
  <c r="X15" i="74" s="1"/>
  <c r="Z14" i="72"/>
  <c r="Z15" i="72" s="1"/>
  <c r="X14" i="73"/>
  <c r="X15" i="73" s="1"/>
  <c r="X14" i="77"/>
  <c r="X2" i="77" s="1"/>
  <c r="Y14" i="77"/>
  <c r="Y15" i="77" s="1"/>
  <c r="V14" i="77"/>
  <c r="V15" i="77" s="1"/>
  <c r="AA14" i="77"/>
  <c r="V14" i="72"/>
  <c r="V15" i="72" s="1"/>
  <c r="U14" i="77"/>
  <c r="U15" i="77" s="1"/>
  <c r="T15" i="71"/>
  <c r="Y14" i="71"/>
  <c r="Y15" i="71" s="1"/>
  <c r="L14" i="74"/>
  <c r="X14" i="71"/>
  <c r="X2" i="71" s="1"/>
  <c r="U14" i="71"/>
  <c r="U15" i="71" s="1"/>
  <c r="AA14" i="71"/>
  <c r="V14" i="71"/>
  <c r="V15" i="71" s="1"/>
  <c r="Z14" i="76"/>
  <c r="Z15" i="76" s="1"/>
  <c r="Y14" i="76"/>
  <c r="Y15" i="76" s="1"/>
  <c r="Y14" i="75"/>
  <c r="Y15" i="75" s="1"/>
  <c r="Z14" i="73"/>
  <c r="Z15" i="73" s="1"/>
  <c r="W14" i="73"/>
  <c r="W15" i="73" s="1"/>
  <c r="U14" i="74"/>
  <c r="U15" i="74" s="1"/>
  <c r="T15" i="73"/>
  <c r="W14" i="74"/>
  <c r="W15" i="74" s="1"/>
  <c r="Z14" i="58"/>
  <c r="AA14" i="73"/>
  <c r="T15" i="74"/>
  <c r="V14" i="58"/>
  <c r="V14" i="76"/>
  <c r="V15" i="76" s="1"/>
  <c r="AA14" i="58"/>
  <c r="X14" i="58"/>
  <c r="X15" i="58" s="1"/>
  <c r="U14" i="76"/>
  <c r="U15" i="76" s="1"/>
  <c r="V14" i="73"/>
  <c r="V15" i="73" s="1"/>
  <c r="X14" i="76"/>
  <c r="X15" i="76" s="1"/>
  <c r="Y14" i="58"/>
  <c r="Y15" i="58" s="1"/>
  <c r="U14" i="58"/>
  <c r="U15" i="58" s="1"/>
  <c r="X14" i="75"/>
  <c r="X15" i="75" s="1"/>
  <c r="AA14" i="75"/>
  <c r="V14" i="75"/>
  <c r="V15" i="75" s="1"/>
  <c r="W14" i="71"/>
  <c r="W15" i="71" s="1"/>
  <c r="L14" i="73"/>
  <c r="K9" i="68"/>
  <c r="K8" i="68"/>
  <c r="K7" i="68"/>
  <c r="K6" i="68"/>
  <c r="K5" i="68"/>
  <c r="K4" i="68"/>
  <c r="K3" i="68"/>
  <c r="C12" i="68"/>
  <c r="C11" i="68"/>
  <c r="C10" i="68"/>
  <c r="C9" i="68"/>
  <c r="C8" i="68"/>
  <c r="C7" i="68"/>
  <c r="C6" i="68"/>
  <c r="C5" i="68"/>
  <c r="C4" i="68"/>
  <c r="J2" i="72"/>
  <c r="J2" i="76"/>
  <c r="C3" i="68"/>
  <c r="J2" i="77"/>
  <c r="G3" i="68"/>
  <c r="D11" i="68"/>
  <c r="H4" i="68"/>
  <c r="Q4" i="68"/>
  <c r="P7" i="68"/>
  <c r="F6" i="68"/>
  <c r="E12" i="68"/>
  <c r="P8" i="68"/>
  <c r="D3" i="68"/>
  <c r="G11" i="68"/>
  <c r="Q8" i="68"/>
  <c r="E3" i="68"/>
  <c r="I6" i="68"/>
  <c r="M5" i="68"/>
  <c r="L8" i="68"/>
  <c r="D5" i="68"/>
  <c r="F4" i="68"/>
  <c r="I12" i="68"/>
  <c r="G9" i="68"/>
  <c r="F7" i="68"/>
  <c r="F8" i="68"/>
  <c r="M7" i="68"/>
  <c r="F9" i="68"/>
  <c r="G7" i="68"/>
  <c r="E8" i="68"/>
  <c r="D4" i="68"/>
  <c r="N9" i="68"/>
  <c r="L7" i="68"/>
  <c r="H12" i="68"/>
  <c r="O5" i="68"/>
  <c r="M8" i="68"/>
  <c r="Q6" i="68"/>
  <c r="G8" i="68"/>
  <c r="O9" i="68"/>
  <c r="D10" i="68"/>
  <c r="N7" i="68"/>
  <c r="D9" i="68"/>
  <c r="E5" i="68"/>
  <c r="H7" i="68"/>
  <c r="N8" i="68"/>
  <c r="P6" i="68"/>
  <c r="H8" i="68"/>
  <c r="L4" i="68"/>
  <c r="I10" i="68"/>
  <c r="O7" i="68"/>
  <c r="E9" i="68"/>
  <c r="G5" i="68"/>
  <c r="I7" i="68"/>
  <c r="N5" i="68"/>
  <c r="O8" i="68"/>
  <c r="H11" i="68"/>
  <c r="L3" i="68"/>
  <c r="O4" i="68"/>
  <c r="P9" i="68"/>
  <c r="P3" i="68"/>
  <c r="I4" i="68"/>
  <c r="L9" i="68"/>
  <c r="Q7" i="68"/>
  <c r="F12" i="68"/>
  <c r="D7" i="68"/>
  <c r="M9" i="68"/>
  <c r="E7" i="68"/>
  <c r="O6" i="68"/>
  <c r="I8" i="68"/>
  <c r="H9" i="68"/>
  <c r="H5" i="68"/>
  <c r="H3" i="68"/>
  <c r="M6" i="68"/>
  <c r="Q3" i="68"/>
  <c r="Q9" i="68"/>
  <c r="H10" i="68"/>
  <c r="E6" i="68"/>
  <c r="I9" i="68"/>
  <c r="P5" i="68"/>
  <c r="I3" i="68"/>
  <c r="I11" i="68"/>
  <c r="O3" i="68"/>
  <c r="F10" i="68"/>
  <c r="D8" i="68"/>
  <c r="I5" i="68"/>
  <c r="Q5" i="68"/>
  <c r="E11" i="68"/>
  <c r="G4" i="68"/>
  <c r="M4" i="68"/>
  <c r="E10" i="68"/>
  <c r="G6" i="68"/>
  <c r="D12" i="68"/>
  <c r="L6" i="68"/>
  <c r="M3" i="68"/>
  <c r="N4" i="68"/>
  <c r="D6" i="68"/>
  <c r="N6" i="68"/>
  <c r="N3" i="68"/>
  <c r="E4" i="68"/>
  <c r="P4" i="68"/>
  <c r="G10" i="68"/>
  <c r="H6" i="68"/>
  <c r="G12" i="68"/>
  <c r="F5" i="68"/>
  <c r="L5" i="68"/>
  <c r="F3" i="68"/>
  <c r="F11" i="68"/>
  <c r="R15" i="69"/>
  <c r="R2" i="69"/>
  <c r="Q15" i="76"/>
  <c r="H2" i="76"/>
  <c r="H2" i="77"/>
  <c r="Q15" i="77"/>
  <c r="R15" i="77"/>
  <c r="R2" i="77"/>
  <c r="N15" i="70"/>
  <c r="M15" i="77"/>
  <c r="N15" i="76"/>
  <c r="O15" i="72"/>
  <c r="M15" i="76"/>
  <c r="P2" i="70"/>
  <c r="P15" i="70"/>
  <c r="N15" i="77"/>
  <c r="R2" i="71"/>
  <c r="R15" i="71"/>
  <c r="J2" i="69"/>
  <c r="P15" i="72"/>
  <c r="P2" i="72"/>
  <c r="O15" i="76"/>
  <c r="J2" i="70"/>
  <c r="O15" i="77"/>
  <c r="Q15" i="71"/>
  <c r="H2" i="71"/>
  <c r="M15" i="69"/>
  <c r="P2" i="76"/>
  <c r="P15" i="76"/>
  <c r="O15" i="70"/>
  <c r="P15" i="77"/>
  <c r="P2" i="77"/>
  <c r="M15" i="58"/>
  <c r="P15" i="69"/>
  <c r="P2" i="69"/>
  <c r="Q15" i="72"/>
  <c r="H2" i="72"/>
  <c r="Q15" i="58"/>
  <c r="H2" i="58"/>
  <c r="M15" i="72"/>
  <c r="R2" i="76"/>
  <c r="R15" i="76"/>
  <c r="N15" i="72"/>
  <c r="P15" i="71"/>
  <c r="P2" i="71"/>
  <c r="J2" i="71"/>
  <c r="N15" i="71"/>
  <c r="R15" i="58"/>
  <c r="R2" i="58"/>
  <c r="R15" i="72"/>
  <c r="R2" i="72"/>
  <c r="Q15" i="70"/>
  <c r="H2" i="70"/>
  <c r="P15" i="58"/>
  <c r="P2" i="58"/>
  <c r="R2" i="70"/>
  <c r="R15" i="70"/>
  <c r="N15" i="69"/>
  <c r="M15" i="71"/>
  <c r="N15" i="58"/>
  <c r="O15" i="69"/>
  <c r="O15" i="71"/>
  <c r="O15" i="58"/>
  <c r="H2" i="69"/>
  <c r="Q15" i="69"/>
  <c r="M15" i="70"/>
  <c r="G14" i="26"/>
  <c r="E14" i="26"/>
  <c r="D14" i="26"/>
  <c r="K14" i="26"/>
  <c r="P14" i="25"/>
  <c r="N14" i="25"/>
  <c r="M14" i="25"/>
  <c r="T14" i="25"/>
  <c r="D14" i="25"/>
  <c r="T10" i="68" a="1"/>
  <c r="S6" i="68" a="1"/>
  <c r="Y8" i="68" a="1"/>
  <c r="V7" i="68" a="1"/>
  <c r="W6" i="68" a="1"/>
  <c r="V3" i="68" a="1"/>
  <c r="S12" i="68" a="1"/>
  <c r="K10" i="68" a="1"/>
  <c r="X3" i="68" a="1"/>
  <c r="X6" i="68" a="1"/>
  <c r="S5" i="68" a="1"/>
  <c r="W12" i="68" a="1"/>
  <c r="K12" i="68" a="1"/>
  <c r="T9" i="68" a="1"/>
  <c r="Y7" i="68" a="1"/>
  <c r="S11" i="68" a="1"/>
  <c r="T12" i="68" a="1"/>
  <c r="U8" i="68" a="1"/>
  <c r="X11" i="68" a="1"/>
  <c r="U5" i="68" a="1"/>
  <c r="U10" i="68" a="1"/>
  <c r="I4" i="23" a="1"/>
  <c r="U6" i="68" a="1"/>
  <c r="O12" i="68" a="1"/>
  <c r="W10" i="68" a="1"/>
  <c r="Y11" i="68" a="1"/>
  <c r="W7" i="68" a="1"/>
  <c r="S8" i="68" a="1"/>
  <c r="Y9" i="68" a="1"/>
  <c r="V11" i="68" a="1"/>
  <c r="W3" i="68" a="1"/>
  <c r="S7" i="68" a="1"/>
  <c r="S9" i="68" a="1"/>
  <c r="T3" i="68" a="1"/>
  <c r="W11" i="68" a="1"/>
  <c r="W4" i="68" a="1"/>
  <c r="W8" i="68" a="1"/>
  <c r="S10" i="68" a="1"/>
  <c r="Y5" i="68" a="1"/>
  <c r="K11" i="68" a="1"/>
  <c r="T11" i="68" a="1"/>
  <c r="X12" i="68" a="1"/>
  <c r="Y3" i="68" a="1"/>
  <c r="Y12" i="68" a="1"/>
  <c r="X8" i="68" a="1"/>
  <c r="T4" i="68" a="1"/>
  <c r="Y10" i="68" a="1"/>
  <c r="X5" i="68" a="1"/>
  <c r="S4" i="68" a="1"/>
  <c r="T6" i="68" a="1"/>
  <c r="W9" i="68" a="1"/>
  <c r="T8" i="68" a="1"/>
  <c r="V10" i="68" a="1"/>
  <c r="S3" i="68" a="1"/>
  <c r="X7" i="68" a="1"/>
  <c r="U7" i="68" a="1"/>
  <c r="T7" i="68" a="1"/>
  <c r="V4" i="68" a="1"/>
  <c r="V6" i="68" a="1"/>
  <c r="T5" i="68" a="1"/>
  <c r="U12" i="68" a="1"/>
  <c r="Y4" i="68" a="1"/>
  <c r="U3" i="68" a="1"/>
  <c r="U4" i="68" a="1"/>
  <c r="H4" i="23" a="1"/>
  <c r="U9" i="68" a="1"/>
  <c r="C16" i="68" l="1"/>
  <c r="S12" i="68"/>
  <c r="W14" i="75"/>
  <c r="V14" i="74"/>
  <c r="S11" i="68"/>
  <c r="AA14" i="74"/>
  <c r="S10" i="68"/>
  <c r="Y14" i="73"/>
  <c r="Y14" i="72"/>
  <c r="S9" i="68"/>
  <c r="W14" i="72"/>
  <c r="S8" i="68"/>
  <c r="W14" i="77"/>
  <c r="T15" i="76"/>
  <c r="S7" i="68"/>
  <c r="AA14" i="76"/>
  <c r="S6" i="68"/>
  <c r="Z14" i="71"/>
  <c r="T15" i="70"/>
  <c r="S5" i="68"/>
  <c r="AA14" i="70"/>
  <c r="W14" i="70"/>
  <c r="X14" i="70"/>
  <c r="U5" i="68"/>
  <c r="S4" i="68"/>
  <c r="AA14" i="69"/>
  <c r="Y14" i="69"/>
  <c r="V4" i="68"/>
  <c r="S3" i="68"/>
  <c r="Z15" i="70"/>
  <c r="T15" i="58"/>
  <c r="T5" i="68"/>
  <c r="O14" i="75"/>
  <c r="X5" i="68"/>
  <c r="Y5" i="68"/>
  <c r="X15" i="69"/>
  <c r="K12" i="68"/>
  <c r="N14" i="75"/>
  <c r="M14" i="75"/>
  <c r="S14" i="75"/>
  <c r="J2" i="75" s="1"/>
  <c r="R14" i="75"/>
  <c r="Z2" i="75" s="1"/>
  <c r="Q14" i="75"/>
  <c r="L15" i="75"/>
  <c r="P15" i="75"/>
  <c r="Z2" i="69"/>
  <c r="W4" i="68"/>
  <c r="X15" i="77"/>
  <c r="X15" i="72"/>
  <c r="U4" i="68"/>
  <c r="T4" i="68"/>
  <c r="Y4" i="68"/>
  <c r="Z2" i="76"/>
  <c r="O12" i="68"/>
  <c r="Z15" i="77"/>
  <c r="X15" i="71"/>
  <c r="X2" i="76"/>
  <c r="T9" i="68"/>
  <c r="W9" i="68"/>
  <c r="T12" i="68"/>
  <c r="Y12" i="68"/>
  <c r="Y8" i="68"/>
  <c r="X2" i="58"/>
  <c r="Z2" i="72"/>
  <c r="X8" i="68"/>
  <c r="T10" i="68"/>
  <c r="Y11" i="68"/>
  <c r="W8" i="68"/>
  <c r="W10" i="68"/>
  <c r="Y9" i="68"/>
  <c r="W11" i="68"/>
  <c r="V3" i="68"/>
  <c r="U8" i="68"/>
  <c r="X11" i="68"/>
  <c r="U15" i="73"/>
  <c r="U6" i="68"/>
  <c r="V7" i="68"/>
  <c r="T6" i="68"/>
  <c r="W6" i="68"/>
  <c r="K11" i="68"/>
  <c r="X6" i="68"/>
  <c r="X12" i="68"/>
  <c r="T8" i="68"/>
  <c r="X7" i="68"/>
  <c r="U9" i="68"/>
  <c r="Y7" i="68"/>
  <c r="X2" i="75"/>
  <c r="S14" i="74"/>
  <c r="J2" i="74" s="1"/>
  <c r="Q14" i="74"/>
  <c r="O14" i="74"/>
  <c r="P14" i="74"/>
  <c r="R14" i="74"/>
  <c r="N14" i="74"/>
  <c r="L15" i="74"/>
  <c r="M14" i="74"/>
  <c r="W15" i="76"/>
  <c r="W3" i="68"/>
  <c r="U7" i="68"/>
  <c r="Y3" i="68"/>
  <c r="V11" i="68"/>
  <c r="W7" i="68"/>
  <c r="T11" i="68"/>
  <c r="U3" i="68"/>
  <c r="U10" i="68"/>
  <c r="V10" i="68"/>
  <c r="T7" i="68"/>
  <c r="Y10" i="68"/>
  <c r="Z2" i="58"/>
  <c r="Z15" i="58"/>
  <c r="V15" i="58"/>
  <c r="U12" i="68"/>
  <c r="W12" i="68"/>
  <c r="T3" i="68"/>
  <c r="X3" i="68"/>
  <c r="K10" i="68"/>
  <c r="V6" i="68"/>
  <c r="M14" i="73"/>
  <c r="L15" i="73"/>
  <c r="P14" i="73"/>
  <c r="O14" i="73"/>
  <c r="S14" i="73"/>
  <c r="J2" i="73" s="1"/>
  <c r="R14" i="73"/>
  <c r="Q14" i="73"/>
  <c r="N14" i="73"/>
  <c r="E13" i="68"/>
  <c r="I13" i="68"/>
  <c r="C13" i="68"/>
  <c r="J13" i="68" s="1"/>
  <c r="H13" i="68"/>
  <c r="G13" i="68"/>
  <c r="F13" i="68"/>
  <c r="D13" i="68"/>
  <c r="H4" i="23"/>
  <c r="I4" i="23"/>
  <c r="W5" i="68" a="1"/>
  <c r="D4" i="23" a="1"/>
  <c r="F10" i="23" a="1"/>
  <c r="G8" i="23" a="1"/>
  <c r="N10" i="68" a="1"/>
  <c r="F5" i="23" a="1"/>
  <c r="N11" i="68" a="1"/>
  <c r="G6" i="23" a="1"/>
  <c r="E4" i="23" a="1"/>
  <c r="M10" i="68" a="1"/>
  <c r="F13" i="23" a="1"/>
  <c r="D12" i="23" a="1"/>
  <c r="F7" i="23" a="1"/>
  <c r="F6" i="23" a="1"/>
  <c r="D13" i="23" a="1"/>
  <c r="E8" i="23" a="1"/>
  <c r="D6" i="23" a="1"/>
  <c r="L11" i="68" a="1"/>
  <c r="Y6" i="68" a="1"/>
  <c r="G13" i="23" a="1"/>
  <c r="F12" i="23" a="1"/>
  <c r="E10" i="23" a="1"/>
  <c r="V12" i="68" a="1"/>
  <c r="N12" i="68" a="1"/>
  <c r="X9" i="68" a="1"/>
  <c r="V5" i="68" a="1"/>
  <c r="P12" i="68" a="1"/>
  <c r="X4" i="68" a="1"/>
  <c r="G10" i="23" a="1"/>
  <c r="V8" i="68" a="1"/>
  <c r="L12" i="68" a="1"/>
  <c r="P10" i="68" a="1"/>
  <c r="U11" i="68" a="1"/>
  <c r="D5" i="23" a="1"/>
  <c r="E6" i="23" a="1"/>
  <c r="F11" i="23" a="1"/>
  <c r="D7" i="23" a="1"/>
  <c r="M12" i="68" a="1"/>
  <c r="G9" i="23" a="1"/>
  <c r="P11" i="68" a="1"/>
  <c r="E13" i="23" a="1"/>
  <c r="F4" i="23" a="1"/>
  <c r="G7" i="23" a="1"/>
  <c r="M11" i="68" a="1"/>
  <c r="E5" i="23" a="1"/>
  <c r="L10" i="68" a="1"/>
  <c r="F8" i="23" a="1"/>
  <c r="G12" i="23" a="1"/>
  <c r="O11" i="68" a="1"/>
  <c r="E11" i="23" a="1"/>
  <c r="O10" i="68" a="1"/>
  <c r="G4" i="23" a="1"/>
  <c r="E9" i="23" a="1"/>
  <c r="E7" i="23" a="1"/>
  <c r="D9" i="23" a="1"/>
  <c r="F9" i="23" a="1"/>
  <c r="V9" i="68" a="1"/>
  <c r="Q12" i="68" a="1"/>
  <c r="G11" i="23" a="1"/>
  <c r="G5" i="23" a="1"/>
  <c r="D11" i="23" a="1"/>
  <c r="E12" i="23" a="1"/>
  <c r="X10" i="68" a="1"/>
  <c r="D8" i="23" a="1"/>
  <c r="Q10" i="68" a="1"/>
  <c r="Q11" i="68" a="1"/>
  <c r="D10" i="23" a="1"/>
  <c r="K16" i="68" l="1"/>
  <c r="S16" i="68"/>
  <c r="V12" i="68"/>
  <c r="W15" i="75"/>
  <c r="U11" i="68"/>
  <c r="U13" i="68" s="1"/>
  <c r="U14" i="68" s="1"/>
  <c r="V15" i="74"/>
  <c r="X10" i="68"/>
  <c r="Y15" i="73"/>
  <c r="X9" i="68"/>
  <c r="Y15" i="72"/>
  <c r="V9" i="68"/>
  <c r="W15" i="72"/>
  <c r="V8" i="68"/>
  <c r="W15" i="77"/>
  <c r="Y6" i="68"/>
  <c r="Y13" i="68" s="1"/>
  <c r="Y14" i="68" s="1"/>
  <c r="Z15" i="71"/>
  <c r="Z2" i="71"/>
  <c r="W5" i="68"/>
  <c r="W13" i="68" s="1"/>
  <c r="W14" i="68" s="1"/>
  <c r="V5" i="68"/>
  <c r="S13" i="68"/>
  <c r="Z13" i="68" s="1"/>
  <c r="X15" i="70"/>
  <c r="X2" i="70"/>
  <c r="W15" i="70"/>
  <c r="T13" i="68"/>
  <c r="T14" i="68" s="1"/>
  <c r="X4" i="68"/>
  <c r="Y15" i="69"/>
  <c r="N12" i="68"/>
  <c r="O15" i="75"/>
  <c r="Q12" i="68"/>
  <c r="L12" i="68"/>
  <c r="P12" i="68"/>
  <c r="M12" i="68"/>
  <c r="R15" i="75"/>
  <c r="R2" i="75"/>
  <c r="M15" i="75"/>
  <c r="H2" i="75"/>
  <c r="Q15" i="75"/>
  <c r="N15" i="75"/>
  <c r="O11" i="68"/>
  <c r="N11" i="68"/>
  <c r="Q11" i="68"/>
  <c r="P11" i="68"/>
  <c r="L11" i="68"/>
  <c r="M11" i="68"/>
  <c r="K13" i="68"/>
  <c r="R13" i="68" s="1"/>
  <c r="X2" i="74"/>
  <c r="P15" i="74"/>
  <c r="P2" i="74"/>
  <c r="O15" i="74"/>
  <c r="Z2" i="74"/>
  <c r="R15" i="74"/>
  <c r="R2" i="74"/>
  <c r="H2" i="74"/>
  <c r="Q15" i="74"/>
  <c r="M15" i="74"/>
  <c r="N15" i="74"/>
  <c r="N10" i="68"/>
  <c r="P10" i="68"/>
  <c r="L10" i="68"/>
  <c r="M10" i="68"/>
  <c r="Q10" i="68"/>
  <c r="O10" i="68"/>
  <c r="O15" i="73"/>
  <c r="H2" i="73"/>
  <c r="Q15" i="73"/>
  <c r="M15" i="73"/>
  <c r="N15" i="73"/>
  <c r="R15" i="73"/>
  <c r="R2" i="73"/>
  <c r="Z2" i="73"/>
  <c r="X2" i="73"/>
  <c r="P15" i="73"/>
  <c r="P2" i="73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X13" i="68" l="1"/>
  <c r="X14" i="68" s="1"/>
  <c r="V13" i="68"/>
  <c r="V14" i="68" s="1"/>
  <c r="S14" i="68"/>
  <c r="N13" i="68"/>
  <c r="N14" i="68" s="1"/>
  <c r="O13" i="68"/>
  <c r="O14" i="68" s="1"/>
  <c r="P13" i="68"/>
  <c r="P14" i="68" s="1"/>
  <c r="Q13" i="68"/>
  <c r="Q14" i="68" s="1"/>
  <c r="L13" i="68"/>
  <c r="L14" i="68" s="1"/>
  <c r="M13" i="68"/>
  <c r="M14" i="68" s="1"/>
  <c r="K14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<sst xmlns="http://schemas.openxmlformats.org/spreadsheetml/2006/main" count="677" uniqueCount="22">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</sst>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tabSelected="1" zoomScale="85" zoomScaleNormal="85" workbookViewId="0">
      <selection activeCell="C18" sqref="C18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40</v>
      </c>
      <c r="C3" s="5" cm="1">
        <f t="array" aca="1" ref="C3" ca="1">INDIRECT("'results" &amp; $B3 &amp; "'!D$14")</f>
        <v>739067.25292185415</v>
      </c>
      <c r="D3" s="33" cm="1">
        <f t="array" aca="1" ref="D3" ca="1">INDIRECT("'results" &amp; $B3 &amp; "'!E$14")</f>
        <v>39.843149625005033</v>
      </c>
      <c r="E3" s="5" cm="1">
        <f t="array" aca="1" ref="E3" ca="1">INDIRECT("'results" &amp; $B3 &amp; "'!F$14")</f>
        <v>10</v>
      </c>
      <c r="F3" s="5" cm="1">
        <f t="array" aca="1" ref="F3" ca="1">INDIRECT("'results" &amp; $B3 &amp; "'!G$14")</f>
        <v>91</v>
      </c>
      <c r="G3" s="5" cm="1">
        <f t="array" aca="1" ref="G3" ca="1">INDIRECT("'results" &amp; $B3 &amp; "'!H$14")</f>
        <v>137.38336356042828</v>
      </c>
      <c r="H3" s="33" cm="1">
        <f t="array" aca="1" ref="H3" ca="1">INDIRECT("'results" &amp; $B3 &amp; "'!I$14")</f>
        <v>37.198292668746042</v>
      </c>
      <c r="I3" s="5" cm="1">
        <f t="array" aca="1" ref="I3" ca="1">INDIRECT("'results" &amp; $B3 &amp; "'!J$14")</f>
        <v>4571.4641433558527</v>
      </c>
      <c r="J3" s="5"/>
      <c r="K3" s="5" cm="1">
        <f t="array" aca="1" ref="K3" ca="1">INDIRECT("'results" &amp; $B3 &amp; "'!L$14")</f>
        <v>1010716.477365164</v>
      </c>
      <c r="L3" s="5" cm="1">
        <f t="array" aca="1" ref="L3" ca="1">INDIRECT("'results" &amp; $B3 &amp; "'!M$14")</f>
        <v>79.10665104099462</v>
      </c>
      <c r="M3" s="5" cm="1">
        <f t="array" aca="1" ref="M3" ca="1">INDIRECT("'results" &amp; $B3 &amp; "'!N$14")</f>
        <v>17</v>
      </c>
      <c r="N3" s="5" cm="1">
        <f t="array" aca="1" ref="N3" ca="1">INDIRECT("'results" &amp; $B3 &amp; "'!O$14")</f>
        <v>81</v>
      </c>
      <c r="O3" s="5" cm="1">
        <f t="array" aca="1" ref="O3" ca="1">INDIRECT("'results" &amp; $B3 &amp; "'!P$14")</f>
        <v>129.92134888818089</v>
      </c>
      <c r="P3" s="5" cm="1">
        <f t="array" aca="1" ref="P3" ca="1">INDIRECT("'results" &amp; $B3 &amp; "'!Q$14")</f>
        <v>18.739596595493083</v>
      </c>
      <c r="Q3" s="5" cm="1">
        <f t="array" aca="1" ref="Q3" ca="1">INDIRECT("'results" &amp; $B3 &amp; "'!R$14")</f>
        <v>4217.3785815689889</v>
      </c>
      <c r="R3" s="5"/>
      <c r="S3" s="5" cm="1">
        <f t="array" aca="1" ref="S3" ca="1">INDIRECT("'results" &amp; $B3 &amp; "'!T$14")</f>
        <v>929135.06652031851</v>
      </c>
      <c r="T3" s="5" cm="1">
        <f t="array" aca="1" ref="T3" ca="1">INDIRECT("'results" &amp; $B3 &amp; "'!U$14")</f>
        <v>80.74581508400297</v>
      </c>
      <c r="U3" s="5" cm="1">
        <f t="array" aca="1" ref="U3" ca="1">INDIRECT("'results" &amp; $B3 &amp; "'!V$14")</f>
        <v>14</v>
      </c>
      <c r="V3" s="5" cm="1">
        <f t="array" aca="1" ref="V3" ca="1">INDIRECT("'results" &amp; $B3 &amp; "'!W$14")</f>
        <v>91</v>
      </c>
      <c r="W3" s="5" cm="1">
        <f t="array" aca="1" ref="W3" ca="1">INDIRECT("'results" &amp; $B3 &amp; "'!X$14")</f>
        <v>809.26298542150403</v>
      </c>
      <c r="X3" s="5" cm="1">
        <f t="array" aca="1" ref="X3" ca="1">INDIRECT("'results" &amp; $B3 &amp; "'!Y$14")</f>
        <v>52.274005983228506</v>
      </c>
      <c r="Y3" s="5" cm="1">
        <f t="array" aca="1" ref="Y3" ca="1">INDIRECT("'results" &amp; $B3 &amp; "'!Z$14")</f>
        <v>6140.5310629597207</v>
      </c>
      <c r="Z3" s="5"/>
    </row>
    <row r="4" spans="2:26" x14ac:dyDescent="0.2">
      <c r="B4" s="4">
        <v>271</v>
      </c>
      <c r="C4" s="5" cm="1">
        <f t="array" aca="1" ref="C4" ca="1">INDIRECT("'results" &amp; $B4 &amp; "'!D$14")</f>
        <v>740663.43549539137</v>
      </c>
      <c r="D4" s="33" cm="1">
        <f t="array" aca="1" ref="D4" ca="1">INDIRECT("'results" &amp; $B4 &amp; "'!E$14")</f>
        <v>27.116276541004481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93</v>
      </c>
      <c r="G4" s="5" cm="1">
        <f t="array" aca="1" ref="G4" ca="1">INDIRECT("'results" &amp; $B4 &amp; "'!H$14")</f>
        <v>98.337603137140093</v>
      </c>
      <c r="H4" s="33" cm="1">
        <f t="array" aca="1" ref="H4" ca="1">INDIRECT("'results" &amp; $B4 &amp; "'!I$14")</f>
        <v>34.879473572703382</v>
      </c>
      <c r="I4" s="5" cm="1">
        <f t="array" aca="1" ref="I4" ca="1">INDIRECT("'results" &amp; $B4 &amp; "'!J$14")</f>
        <v>4657.7430877147863</v>
      </c>
      <c r="J4" s="5"/>
      <c r="K4" s="5" cm="1">
        <f t="array" aca="1" ref="K4" ca="1">INDIRECT("'results" &amp; $B4 &amp; "'!L$14")</f>
        <v>1002753.6971793399</v>
      </c>
      <c r="L4" s="5" cm="1">
        <f t="array" aca="1" ref="L4" ca="1">INDIRECT("'results" &amp; $B4 &amp; "'!M$14")</f>
        <v>76.67939212499914</v>
      </c>
      <c r="M4" s="5" cm="1">
        <f t="array" aca="1" ref="M4" ca="1">INDIRECT("'results" &amp; $B4 &amp; "'!N$14")</f>
        <v>18</v>
      </c>
      <c r="N4" s="5" cm="1">
        <f t="array" aca="1" ref="N4" ca="1">INDIRECT("'results" &amp; $B4 &amp; "'!O$14")</f>
        <v>86</v>
      </c>
      <c r="O4" s="5" cm="1">
        <f t="array" aca="1" ref="O4" ca="1">INDIRECT("'results" &amp; $B4 &amp; "'!P$14")</f>
        <v>166.81686618421284</v>
      </c>
      <c r="P4" s="5" cm="1">
        <f t="array" aca="1" ref="P4" ca="1">INDIRECT("'results" &amp; $B4 &amp; "'!Q$14")</f>
        <v>18.590379749552657</v>
      </c>
      <c r="Q4" s="5" cm="1">
        <f t="array" aca="1" ref="Q4" ca="1">INDIRECT("'results" &amp; $B4 &amp; "'!R$14")</f>
        <v>4670.6844260149719</v>
      </c>
      <c r="R4" s="5"/>
      <c r="S4" s="5" cm="1">
        <f t="array" aca="1" ref="S4" ca="1">INDIRECT("'results" &amp; $B4 &amp; "'!T$14")</f>
        <v>898573.93174245767</v>
      </c>
      <c r="T4" s="5" cm="1">
        <f t="array" aca="1" ref="T4" ca="1">INDIRECT("'results" &amp; $B4 &amp; "'!U$14")</f>
        <v>42.378558791999239</v>
      </c>
      <c r="U4" s="5" cm="1">
        <f t="array" aca="1" ref="U4" ca="1">INDIRECT("'results" &amp; $B4 &amp; "'!V$14")</f>
        <v>13</v>
      </c>
      <c r="V4" s="5" cm="1">
        <f t="array" aca="1" ref="V4" ca="1">INDIRECT("'results" &amp; $B4 &amp; "'!W$14")</f>
        <v>92</v>
      </c>
      <c r="W4" s="5" cm="1">
        <f t="array" aca="1" ref="W4" ca="1">INDIRECT("'results" &amp; $B4 &amp; "'!X$14")</f>
        <v>735.53876184517651</v>
      </c>
      <c r="X4" s="5" cm="1">
        <f t="array" aca="1" ref="X4" ca="1">INDIRECT("'results" &amp; $B4 &amp; "'!Y$14")</f>
        <v>52.082375707394824</v>
      </c>
      <c r="Y4" s="5" cm="1">
        <f t="array" aca="1" ref="Y4" ca="1">INDIRECT("'results" &amp; $B4 &amp; "'!Z$14")</f>
        <v>5912.3296765540172</v>
      </c>
      <c r="Z4" s="5"/>
    </row>
    <row r="5" spans="2:26" x14ac:dyDescent="0.2">
      <c r="B5" s="4">
        <v>421</v>
      </c>
      <c r="C5" s="5" cm="1">
        <f t="array" aca="1" ref="C5" ca="1">INDIRECT("'results" &amp; $B5 &amp; "'!D$14")</f>
        <v>798867.16996305576</v>
      </c>
      <c r="D5" s="33" cm="1">
        <f t="array" aca="1" ref="D5" ca="1">INDIRECT("'results" &amp; $B5 &amp; "'!E$14")</f>
        <v>37.924960832999197</v>
      </c>
      <c r="E5" s="5" cm="1">
        <f t="array" aca="1" ref="E5" ca="1">INDIRECT("'results" &amp; $B5 &amp; "'!F$14")</f>
        <v>11</v>
      </c>
      <c r="F5" s="5" cm="1">
        <f t="array" aca="1" ref="F5" ca="1">INDIRECT("'results" &amp; $B5 &amp; "'!G$14")</f>
        <v>94</v>
      </c>
      <c r="G5" s="5" cm="1">
        <f t="array" aca="1" ref="G5" ca="1">INDIRECT("'results" &amp; $B5 &amp; "'!H$14")</f>
        <v>298.07303780777653</v>
      </c>
      <c r="H5" s="33" cm="1">
        <f t="array" aca="1" ref="H5" ca="1">INDIRECT("'results" &amp; $B5 &amp; "'!I$14")</f>
        <v>31.488398187715234</v>
      </c>
      <c r="I5" s="5" cm="1">
        <f t="array" aca="1" ref="I5" ca="1">INDIRECT("'results" &amp; $B5 &amp; "'!J$14")</f>
        <v>5179.9651584173735</v>
      </c>
      <c r="J5" s="5"/>
      <c r="K5" s="5" cm="1">
        <f t="array" aca="1" ref="K5" ca="1">INDIRECT("'results" &amp; $B5 &amp; "'!L$14")</f>
        <v>1025869.35542308</v>
      </c>
      <c r="L5" s="5" cm="1">
        <f t="array" aca="1" ref="L5" ca="1">INDIRECT("'results" &amp; $B5 &amp; "'!M$14")</f>
        <v>103.4978354999985</v>
      </c>
      <c r="M5" s="5" cm="1">
        <f t="array" aca="1" ref="M5" ca="1">INDIRECT("'results" &amp; $B5 &amp; "'!N$14")</f>
        <v>23</v>
      </c>
      <c r="N5" s="5" cm="1">
        <f t="array" aca="1" ref="N5" ca="1">INDIRECT("'results" &amp; $B5 &amp; "'!O$14")</f>
        <v>89</v>
      </c>
      <c r="O5" s="5" cm="1">
        <f t="array" aca="1" ref="O5" ca="1">INDIRECT("'results" &amp; $B5 &amp; "'!P$14")</f>
        <v>170.58322346431103</v>
      </c>
      <c r="P5" s="5" cm="1">
        <f t="array" aca="1" ref="P5" ca="1">INDIRECT("'results" &amp; $B5 &amp; "'!Q$14")</f>
        <v>13.715610272310641</v>
      </c>
      <c r="Q5" s="5" cm="1">
        <f t="array" aca="1" ref="Q5" ca="1">INDIRECT("'results" &amp; $B5 &amp; "'!R$14")</f>
        <v>4285.4380334499883</v>
      </c>
      <c r="R5" s="5"/>
      <c r="S5" s="5" cm="1">
        <f t="array" aca="1" ref="S5" ca="1">INDIRECT("'results" &amp; $B5 &amp; "'!T$14")</f>
        <v>986941.04737381067</v>
      </c>
      <c r="T5" s="5" cm="1">
        <f t="array" aca="1" ref="T5" ca="1">INDIRECT("'results" &amp; $B5 &amp; "'!U$14")</f>
        <v>70.226107957998465</v>
      </c>
      <c r="U5" s="5" cm="1">
        <f t="array" aca="1" ref="U5" ca="1">INDIRECT("'results" &amp; $B5 &amp; "'!V$14")</f>
        <v>13</v>
      </c>
      <c r="V5" s="5" cm="1">
        <f t="array" aca="1" ref="V5" ca="1">INDIRECT("'results" &amp; $B5 &amp; "'!W$14")</f>
        <v>91</v>
      </c>
      <c r="W5" s="5" cm="1">
        <f t="array" aca="1" ref="W5" ca="1">INDIRECT("'results" &amp; $B5 &amp; "'!X$14")</f>
        <v>1017.7393065845803</v>
      </c>
      <c r="X5" s="5" cm="1">
        <f t="array" aca="1" ref="X5" ca="1">INDIRECT("'results" &amp; $B5 &amp; "'!Y$14")</f>
        <v>46.918026439247804</v>
      </c>
      <c r="Y5" s="5" cm="1">
        <f t="array" aca="1" ref="Y5" ca="1">INDIRECT("'results" &amp; $B5 &amp; "'!Z$14")</f>
        <v>6306.1268093022618</v>
      </c>
      <c r="Z5" s="5"/>
    </row>
    <row r="6" spans="2:26" x14ac:dyDescent="0.2">
      <c r="B6" s="4">
        <v>465</v>
      </c>
      <c r="C6" s="5" cm="1">
        <f t="array" aca="1" ref="C6" ca="1">INDIRECT("'results" &amp; $B6 &amp; "'!D$14")</f>
        <v>793937.47554643243</v>
      </c>
      <c r="D6" s="33" cm="1">
        <f t="array" aca="1" ref="D6" ca="1">INDIRECT("'results" &amp; $B6 &amp; "'!E$14")</f>
        <v>41.40769137499592</v>
      </c>
      <c r="E6" s="5" cm="1">
        <f t="array" aca="1" ref="E6" ca="1">INDIRECT("'results" &amp; $B6 &amp; "'!F$14")</f>
        <v>10</v>
      </c>
      <c r="F6" s="5" cm="1">
        <f t="array" aca="1" ref="F6" ca="1">INDIRECT("'results" &amp; $B6 &amp; "'!G$14")</f>
        <v>92</v>
      </c>
      <c r="G6" s="5" cm="1">
        <f t="array" aca="1" ref="G6" ca="1">INDIRECT("'results" &amp; $B6 &amp; "'!H$14")</f>
        <v>270.49609701845702</v>
      </c>
      <c r="H6" s="33" cm="1">
        <f t="array" aca="1" ref="H6" ca="1">INDIRECT("'results" &amp; $B6 &amp; "'!I$14")</f>
        <v>35.650306312003949</v>
      </c>
      <c r="I6" s="5" cm="1">
        <f t="array" aca="1" ref="I6" ca="1">INDIRECT("'results" &amp; $B6 &amp; "'!J$14")</f>
        <v>5018.9642985121291</v>
      </c>
      <c r="J6" s="5"/>
      <c r="K6" s="5" cm="1">
        <f t="array" aca="1" ref="K6" ca="1">INDIRECT("'results" &amp; $B6 &amp; "'!L$14")</f>
        <v>1020836.606776237</v>
      </c>
      <c r="L6" s="5" cm="1">
        <f t="array" aca="1" ref="L6" ca="1">INDIRECT("'results" &amp; $B6 &amp; "'!M$14")</f>
        <v>60.892708667000988</v>
      </c>
      <c r="M6" s="5" cm="1">
        <f t="array" aca="1" ref="M6" ca="1">INDIRECT("'results" &amp; $B6 &amp; "'!N$14")</f>
        <v>18</v>
      </c>
      <c r="N6" s="5" cm="1">
        <f t="array" aca="1" ref="N6" ca="1">INDIRECT("'results" &amp; $B6 &amp; "'!O$14")</f>
        <v>83</v>
      </c>
      <c r="O6" s="5" cm="1">
        <f t="array" aca="1" ref="O6" ca="1">INDIRECT("'results" &amp; $B6 &amp; "'!P$14")</f>
        <v>227.0226690973</v>
      </c>
      <c r="P6" s="5" cm="1">
        <f t="array" aca="1" ref="P6" ca="1">INDIRECT("'results" &amp; $B6 &amp; "'!Q$14")</f>
        <v>17.27138490040555</v>
      </c>
      <c r="Q6" s="5" cm="1">
        <f t="array" aca="1" ref="Q6" ca="1">INDIRECT("'results" &amp; $B6 &amp; "'!R$14")</f>
        <v>4261.4244539569154</v>
      </c>
      <c r="R6" s="5"/>
      <c r="S6" s="5" cm="1">
        <f t="array" aca="1" ref="S6" ca="1">INDIRECT("'results" &amp; $B6 &amp; "'!T$14")</f>
        <v>1007359.790738964</v>
      </c>
      <c r="T6" s="5" cm="1">
        <f t="array" aca="1" ref="T6" ca="1">INDIRECT("'results" &amp; $B6 &amp; "'!U$14")</f>
        <v>115.50450700000511</v>
      </c>
      <c r="U6" s="5" cm="1">
        <f t="array" aca="1" ref="U6" ca="1">INDIRECT("'results" &amp; $B6 &amp; "'!V$14")</f>
        <v>13</v>
      </c>
      <c r="V6" s="5" cm="1">
        <f t="array" aca="1" ref="V6" ca="1">INDIRECT("'results" &amp; $B6 &amp; "'!W$14")</f>
        <v>91</v>
      </c>
      <c r="W6" s="5" cm="1">
        <f t="array" aca="1" ref="W6" ca="1">INDIRECT("'results" &amp; $B6 &amp; "'!X$14")</f>
        <v>1110.9576959908063</v>
      </c>
      <c r="X6" s="5" cm="1">
        <f t="array" aca="1" ref="X6" ca="1">INDIRECT("'results" &amp; $B6 &amp; "'!Y$14")</f>
        <v>48.92341472123978</v>
      </c>
      <c r="Y6" s="5" cm="1">
        <f t="array" aca="1" ref="Y6" ca="1">INDIRECT("'results" &amp; $B6 &amp; "'!Z$14")</f>
        <v>6478.9226762851085</v>
      </c>
      <c r="Z6" s="5"/>
    </row>
    <row r="7" spans="2:26" x14ac:dyDescent="0.2">
      <c r="B7" s="4">
        <v>611</v>
      </c>
      <c r="C7" s="5" cm="1">
        <f t="array" aca="1" ref="C7" ca="1">INDIRECT("'results" &amp; $B7 &amp; "'!D$14")</f>
        <v>723993.23422906909</v>
      </c>
      <c r="D7" s="33" cm="1">
        <f t="array" aca="1" ref="D7" ca="1">INDIRECT("'results" &amp; $B7 &amp; "'!E$14")</f>
        <v>60.413374916002788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91</v>
      </c>
      <c r="G7" s="5" cm="1">
        <f t="array" aca="1" ref="G7" ca="1">INDIRECT("'results" &amp; $B7 &amp; "'!H$14")</f>
        <v>25.888873661327015</v>
      </c>
      <c r="H7" s="33" cm="1">
        <f t="array" aca="1" ref="H7" ca="1">INDIRECT("'results" &amp; $B7 &amp; "'!I$14")</f>
        <v>34.169993236297167</v>
      </c>
      <c r="I7" s="5" cm="1">
        <f t="array" aca="1" ref="I7" ca="1">INDIRECT("'results" &amp; $B7 &amp; "'!J$14")</f>
        <v>4290.4703113699143</v>
      </c>
      <c r="J7" s="5"/>
      <c r="K7" s="5" cm="1">
        <f t="array" aca="1" ref="K7" ca="1">INDIRECT("'results" &amp; $B7 &amp; "'!L$14")</f>
        <v>1030805.876982309</v>
      </c>
      <c r="L7" s="5" cm="1">
        <f t="array" aca="1" ref="L7" ca="1">INDIRECT("'results" &amp; $B7 &amp; "'!M$14")</f>
        <v>202.9895356670022</v>
      </c>
      <c r="M7" s="5" cm="1">
        <f t="array" aca="1" ref="M7" ca="1">INDIRECT("'results" &amp; $B7 &amp; "'!N$14")</f>
        <v>20</v>
      </c>
      <c r="N7" s="5" cm="1">
        <f t="array" aca="1" ref="N7" ca="1">INDIRECT("'results" &amp; $B7 &amp; "'!O$14")</f>
        <v>83</v>
      </c>
      <c r="O7" s="5" cm="1">
        <f t="array" aca="1" ref="O7" ca="1">INDIRECT("'results" &amp; $B7 &amp; "'!P$14")</f>
        <v>139.88787456356604</v>
      </c>
      <c r="P7" s="5" cm="1">
        <f t="array" aca="1" ref="P7" ca="1">INDIRECT("'results" &amp; $B7 &amp; "'!Q$14")</f>
        <v>15.094609709252669</v>
      </c>
      <c r="Q7" s="5" cm="1">
        <f t="array" aca="1" ref="Q7" ca="1">INDIRECT("'results" &amp; $B7 &amp; "'!R$14")</f>
        <v>3930.8963826397871</v>
      </c>
      <c r="R7" s="5"/>
      <c r="S7" s="5" cm="1">
        <f t="array" aca="1" ref="S7" ca="1">INDIRECT("'results" &amp; $B7 &amp; "'!T$14")</f>
        <v>871251.17138439126</v>
      </c>
      <c r="T7" s="5" cm="1">
        <f t="array" aca="1" ref="T7" ca="1">INDIRECT("'results" &amp; $B7 &amp; "'!U$14")</f>
        <v>49.597860957997909</v>
      </c>
      <c r="U7" s="5" cm="1">
        <f t="array" aca="1" ref="U7" ca="1">INDIRECT("'results" &amp; $B7 &amp; "'!V$14")</f>
        <v>12</v>
      </c>
      <c r="V7" s="5" cm="1">
        <f t="array" aca="1" ref="V7" ca="1">INDIRECT("'results" &amp; $B7 &amp; "'!W$14")</f>
        <v>91</v>
      </c>
      <c r="W7" s="5" cm="1">
        <f t="array" aca="1" ref="W7" ca="1">INDIRECT("'results" &amp; $B7 &amp; "'!X$14")</f>
        <v>582.72247036086128</v>
      </c>
      <c r="X7" s="5" cm="1">
        <f t="array" aca="1" ref="X7" ca="1">INDIRECT("'results" &amp; $B7 &amp; "'!Y$14")</f>
        <v>52.232073174163084</v>
      </c>
      <c r="Y7" s="5" cm="1">
        <f t="array" aca="1" ref="Y7" ca="1">INDIRECT("'results" &amp; $B7 &amp; "'!Z$14")</f>
        <v>5633.3561513501236</v>
      </c>
      <c r="Z7" s="5"/>
    </row>
    <row r="8" spans="2:26" x14ac:dyDescent="0.2">
      <c r="B8" s="4">
        <v>614</v>
      </c>
      <c r="C8" s="5" cm="1">
        <f t="array" aca="1" ref="C8" ca="1">INDIRECT("'results" &amp; $B8 &amp; "'!D$14")</f>
        <v>752440.24874209531</v>
      </c>
      <c r="D8" s="33" cm="1">
        <f t="array" aca="1" ref="D8" ca="1">INDIRECT("'results" &amp; $B8 &amp; "'!E$14")</f>
        <v>59.439970708001063</v>
      </c>
      <c r="E8" s="5" cm="1">
        <f t="array" aca="1" ref="E8" ca="1">INDIRECT("'results" &amp; $B8 &amp; "'!F$14")</f>
        <v>10</v>
      </c>
      <c r="F8" s="5" cm="1">
        <f t="array" aca="1" ref="F8" ca="1">INDIRECT("'results" &amp; $B8 &amp; "'!G$14")</f>
        <v>93</v>
      </c>
      <c r="G8" s="5" cm="1">
        <f t="array" aca="1" ref="G8" ca="1">INDIRECT("'results" &amp; $B8 &amp; "'!H$14")</f>
        <v>246.97152520034223</v>
      </c>
      <c r="H8" s="33" cm="1">
        <f t="array" aca="1" ref="H8" ca="1">INDIRECT("'results" &amp; $B8 &amp; "'!I$14")</f>
        <v>36.271765561737119</v>
      </c>
      <c r="I8" s="5" cm="1">
        <f t="array" aca="1" ref="I8" ca="1">INDIRECT("'results" &amp; $B8 &amp; "'!J$14")</f>
        <v>4836.4749169519664</v>
      </c>
      <c r="J8" s="5"/>
      <c r="K8" s="5" cm="1">
        <f t="array" aca="1" ref="K8" ca="1">INDIRECT("'results" &amp; $B8 &amp; "'!L$14")</f>
        <v>1001237.630593575</v>
      </c>
      <c r="L8" s="5" cm="1">
        <f t="array" aca="1" ref="L8" ca="1">INDIRECT("'results" &amp; $B8 &amp; "'!M$14")</f>
        <v>83.295740707995719</v>
      </c>
      <c r="M8" s="5" cm="1">
        <f t="array" aca="1" ref="M8" ca="1">INDIRECT("'results" &amp; $B8 &amp; "'!N$14")</f>
        <v>22</v>
      </c>
      <c r="N8" s="5" cm="1">
        <f t="array" aca="1" ref="N8" ca="1">INDIRECT("'results" &amp; $B8 &amp; "'!O$14")</f>
        <v>89</v>
      </c>
      <c r="O8" s="5" cm="1">
        <f t="array" aca="1" ref="O8" ca="1">INDIRECT("'results" &amp; $B8 &amp; "'!P$14")</f>
        <v>133.69725970937708</v>
      </c>
      <c r="P8" s="5" cm="1">
        <f t="array" aca="1" ref="P8" ca="1">INDIRECT("'results" &amp; $B8 &amp; "'!Q$14")</f>
        <v>14.898804616206478</v>
      </c>
      <c r="Q8" s="5" cm="1">
        <f t="array" aca="1" ref="Q8" ca="1">INDIRECT("'results" &amp; $B8 &amp; "'!R$14")</f>
        <v>4341.9322103460745</v>
      </c>
      <c r="R8" s="5"/>
      <c r="S8" s="5" cm="1">
        <f t="array" aca="1" ref="S8" ca="1">INDIRECT("'results" &amp; $B8 &amp; "'!T$14")</f>
        <v>979211.03305357194</v>
      </c>
      <c r="T8" s="5" cm="1">
        <f t="array" aca="1" ref="T8" ca="1">INDIRECT("'results" &amp; $B8 &amp; "'!U$14")</f>
        <v>58.639159457998183</v>
      </c>
      <c r="U8" s="5" cm="1">
        <f t="array" aca="1" ref="U8" ca="1">INDIRECT("'results" &amp; $B8 &amp; "'!V$14")</f>
        <v>16</v>
      </c>
      <c r="V8" s="5" cm="1">
        <f t="array" aca="1" ref="V8" ca="1">INDIRECT("'results" &amp; $B8 &amp; "'!W$14")</f>
        <v>92</v>
      </c>
      <c r="W8" s="5" cm="1">
        <f t="array" aca="1" ref="W8" ca="1">INDIRECT("'results" &amp; $B8 &amp; "'!X$14")</f>
        <v>1017.6230259775988</v>
      </c>
      <c r="X8" s="5" cm="1">
        <f t="array" aca="1" ref="X8" ca="1">INDIRECT("'results" &amp; $B8 &amp; "'!Y$14")</f>
        <v>45.257511549914994</v>
      </c>
      <c r="Y8" s="5" cm="1">
        <f t="array" aca="1" ref="Y8" ca="1">INDIRECT("'results" &amp; $B8 &amp; "'!Z$14")</f>
        <v>6080.1910593721877</v>
      </c>
      <c r="Z8" s="5"/>
    </row>
    <row r="9" spans="2:26" x14ac:dyDescent="0.2">
      <c r="B9" s="4">
        <v>688</v>
      </c>
      <c r="C9" s="5" cm="1">
        <f t="array" aca="1" ref="C9" ca="1">INDIRECT("'results" &amp; $B9 &amp; "'!D$14")</f>
        <v>758448.80097959144</v>
      </c>
      <c r="D9" s="33" cm="1">
        <f t="array" aca="1" ref="D9" ca="1">INDIRECT("'results" &amp; $B9 &amp; "'!E$14")</f>
        <v>30.733704665995901</v>
      </c>
      <c r="E9" s="5" cm="1">
        <f t="array" aca="1" ref="E9" ca="1">INDIRECT("'results" &amp; $B9 &amp; "'!F$14")</f>
        <v>10</v>
      </c>
      <c r="F9" s="5" cm="1">
        <f t="array" aca="1" ref="F9" ca="1">INDIRECT("'results" &amp; $B9 &amp; "'!G$14")</f>
        <v>94</v>
      </c>
      <c r="G9" s="5" cm="1">
        <f t="array" aca="1" ref="G9" ca="1">INDIRECT("'results" &amp; $B9 &amp; "'!H$14")</f>
        <v>268.61618908302569</v>
      </c>
      <c r="H9" s="33" cm="1">
        <f t="array" aca="1" ref="H9" ca="1">INDIRECT("'results" &amp; $B9 &amp; "'!I$14")</f>
        <v>33.090114430611834</v>
      </c>
      <c r="I9" s="5" cm="1">
        <f t="array" aca="1" ref="I9" ca="1">INDIRECT("'results" &amp; $B9 &amp; "'!J$14")</f>
        <v>4894.6721339634514</v>
      </c>
      <c r="J9" s="5"/>
      <c r="K9" s="5" cm="1">
        <f t="array" aca="1" ref="K9" ca="1">INDIRECT("'results" &amp; $B9 &amp; "'!L$14")</f>
        <v>1032714.394401752</v>
      </c>
      <c r="L9" s="5" cm="1">
        <f t="array" aca="1" ref="L9" ca="1">INDIRECT("'results" &amp; $B9 &amp; "'!M$14")</f>
        <v>97.592324833996827</v>
      </c>
      <c r="M9" s="5" cm="1">
        <f t="array" aca="1" ref="M9" ca="1">INDIRECT("'results" &amp; $B9 &amp; "'!N$14")</f>
        <v>26</v>
      </c>
      <c r="N9" s="5" cm="1">
        <f t="array" aca="1" ref="N9" ca="1">INDIRECT("'results" &amp; $B9 &amp; "'!O$14")</f>
        <v>90</v>
      </c>
      <c r="O9" s="5" cm="1">
        <f t="array" aca="1" ref="O9" ca="1">INDIRECT("'results" &amp; $B9 &amp; "'!P$14")</f>
        <v>145.98835043140971</v>
      </c>
      <c r="P9" s="5" cm="1">
        <f t="array" aca="1" ref="P9" ca="1">INDIRECT("'results" &amp; $B9 &amp; "'!Q$14")</f>
        <v>12.402879876517577</v>
      </c>
      <c r="Q9" s="5" cm="1">
        <f t="array" aca="1" ref="Q9" ca="1">INDIRECT("'results" &amp; $B9 &amp; "'!R$14")</f>
        <v>3919.8819059986108</v>
      </c>
      <c r="R9" s="5"/>
      <c r="S9" s="5" cm="1">
        <f t="array" aca="1" ref="S9" ca="1">INDIRECT("'results" &amp; $B9 &amp; "'!T$14")</f>
        <v>904036.60032906884</v>
      </c>
      <c r="T9" s="5" cm="1">
        <f t="array" aca="1" ref="T9" ca="1">INDIRECT("'results" &amp; $B9 &amp; "'!U$14")</f>
        <v>48.965692582998599</v>
      </c>
      <c r="U9" s="5" cm="1">
        <f t="array" aca="1" ref="U9" ca="1">INDIRECT("'results" &amp; $B9 &amp; "'!V$14")</f>
        <v>14</v>
      </c>
      <c r="V9" s="5" cm="1">
        <f t="array" aca="1" ref="V9" ca="1">INDIRECT("'results" &amp; $B9 &amp; "'!W$14")</f>
        <v>92</v>
      </c>
      <c r="W9" s="5" cm="1">
        <f t="array" aca="1" ref="W9" ca="1">INDIRECT("'results" &amp; $B9 &amp; "'!X$14")</f>
        <v>652.815813420827</v>
      </c>
      <c r="X9" s="5" cm="1">
        <f t="array" aca="1" ref="X9" ca="1">INDIRECT("'results" &amp; $B9 &amp; "'!Y$14")</f>
        <v>49.158490795109053</v>
      </c>
      <c r="Y9" s="5" cm="1">
        <f t="array" aca="1" ref="Y9" ca="1">INDIRECT("'results" &amp; $B9 &amp; "'!Z$14")</f>
        <v>5811.4638780433706</v>
      </c>
      <c r="Z9" s="5"/>
    </row>
    <row r="10" spans="2:26" x14ac:dyDescent="0.2">
      <c r="B10" s="4">
        <v>735</v>
      </c>
      <c r="C10" s="5" cm="1">
        <f t="array" aca="1" ref="C10" ca="1">INDIRECT("'results" &amp; $B10 &amp; "'!D$14")</f>
        <v>773230.47337762569</v>
      </c>
      <c r="D10" s="33" cm="1">
        <f t="array" aca="1" ref="D10" ca="1">INDIRECT("'results" &amp; $B10 &amp; "'!E$14")</f>
        <v>87.157661083001585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93</v>
      </c>
      <c r="G10" s="5" cm="1">
        <f t="array" aca="1" ref="G10" ca="1">INDIRECT("'results" &amp; $B10 &amp; "'!H$14")</f>
        <v>349.79997079148717</v>
      </c>
      <c r="H10" s="33" cm="1">
        <f t="array" aca="1" ref="H10" ca="1">INDIRECT("'results" &amp; $B10 &amp; "'!I$14")</f>
        <v>32.196256926269839</v>
      </c>
      <c r="I10" s="5" cm="1">
        <f t="array" aca="1" ref="I10" ca="1">INDIRECT("'results" &amp; $B10 &amp; "'!J$14")</f>
        <v>4739.7442596294895</v>
      </c>
      <c r="J10" s="5"/>
      <c r="K10" s="5" cm="1">
        <f t="array" aca="1" ref="K10" ca="1">INDIRECT("'results" &amp; $B10 &amp; "'!L$14")</f>
        <v>1103517.2685165</v>
      </c>
      <c r="L10" s="5" cm="1">
        <f t="array" aca="1" ref="L10" ca="1">INDIRECT("'results" &amp; $B10 &amp; "'!M$14")</f>
        <v>104.3407983750003</v>
      </c>
      <c r="M10" s="5" cm="1">
        <f t="array" aca="1" ref="M10" ca="1">INDIRECT("'results" &amp; $B10 &amp; "'!N$14")</f>
        <v>22</v>
      </c>
      <c r="N10" s="5" cm="1">
        <f t="array" aca="1" ref="N10" ca="1">INDIRECT("'results" &amp; $B10 &amp; "'!O$14")</f>
        <v>84</v>
      </c>
      <c r="O10" s="5" cm="1">
        <f t="array" aca="1" ref="O10" ca="1">INDIRECT("'results" &amp; $B10 &amp; "'!P$14")</f>
        <v>222.02055075396962</v>
      </c>
      <c r="P10" s="5" cm="1">
        <f t="array" aca="1" ref="P10" ca="1">INDIRECT("'results" &amp; $B10 &amp; "'!Q$14")</f>
        <v>13.42494984120516</v>
      </c>
      <c r="Q10" s="5" cm="1">
        <f t="array" aca="1" ref="Q10" ca="1">INDIRECT("'results" &amp; $B10 &amp; "'!R$14")</f>
        <v>4255.4013939794795</v>
      </c>
      <c r="R10" s="5"/>
      <c r="S10" s="5" cm="1">
        <f t="array" aca="1" ref="S10" ca="1">INDIRECT("'results" &amp; $B10 &amp; "'!T$14")</f>
        <v>997428.90618165489</v>
      </c>
      <c r="T10" s="5" cm="1">
        <f t="array" aca="1" ref="T10" ca="1">INDIRECT("'results" &amp; $B10 &amp; "'!U$14")</f>
        <v>113.5258953340017</v>
      </c>
      <c r="U10" s="5" cm="1">
        <f t="array" aca="1" ref="U10" ca="1">INDIRECT("'results" &amp; $B10 &amp; "'!V$14")</f>
        <v>12</v>
      </c>
      <c r="V10" s="5" cm="1">
        <f t="array" aca="1" ref="V10" ca="1">INDIRECT("'results" &amp; $B10 &amp; "'!W$14")</f>
        <v>83</v>
      </c>
      <c r="W10" s="5" cm="1">
        <f t="array" aca="1" ref="W10" ca="1">INDIRECT("'results" &amp; $B10 &amp; "'!X$14")</f>
        <v>530.33924751478207</v>
      </c>
      <c r="X10" s="5" cm="1">
        <f t="array" aca="1" ref="X10" ca="1">INDIRECT("'results" &amp; $B10 &amp; "'!Y$14")</f>
        <v>48.027583870612176</v>
      </c>
      <c r="Y10" s="5" cm="1">
        <f t="array" aca="1" ref="Y10" ca="1">INDIRECT("'results" &amp; $B10 &amp; "'!Z$14")</f>
        <v>5560.6974657793889</v>
      </c>
      <c r="Z10" s="5"/>
    </row>
    <row r="11" spans="2:26" x14ac:dyDescent="0.2">
      <c r="B11" s="4">
        <v>850</v>
      </c>
      <c r="C11" s="5" cm="1">
        <f t="array" aca="1" ref="C11" ca="1">INDIRECT("'results" &amp; $B11 &amp; "'!D$14")</f>
        <v>798392.95091634884</v>
      </c>
      <c r="D11" s="33" cm="1">
        <f t="array" aca="1" ref="D11" ca="1">INDIRECT("'results" &amp; $B11 &amp; "'!E$14")</f>
        <v>60.209614542000047</v>
      </c>
      <c r="E11" s="5" cm="1">
        <f t="array" aca="1" ref="E11" ca="1">INDIRECT("'results" &amp; $B11 &amp; "'!F$14")</f>
        <v>12</v>
      </c>
      <c r="F11" s="5" cm="1">
        <f t="array" aca="1" ref="F11" ca="1">INDIRECT("'results" &amp; $B11 &amp; "'!G$14")</f>
        <v>96</v>
      </c>
      <c r="G11" s="5" cm="1">
        <f t="array" aca="1" ref="G11" ca="1">INDIRECT("'results" &amp; $B11 &amp; "'!H$14")</f>
        <v>486.88541839850768</v>
      </c>
      <c r="H11" s="33" cm="1">
        <f t="array" aca="1" ref="H11" ca="1">INDIRECT("'results" &amp; $B11 &amp; "'!I$14")</f>
        <v>29.067515996943925</v>
      </c>
      <c r="I11" s="5" cm="1">
        <f t="array" aca="1" ref="I11" ca="1">INDIRECT("'results" &amp; $B11 &amp; "'!J$14")</f>
        <v>5041.342187591923</v>
      </c>
      <c r="J11" s="5"/>
      <c r="K11" s="5" cm="1">
        <f t="array" aca="1" ref="K11" ca="1">INDIRECT("'results" &amp; $B11 &amp; "'!L$14")</f>
        <v>1033587.123119463</v>
      </c>
      <c r="L11" s="5" cm="1">
        <f t="array" aca="1" ref="L11" ca="1">INDIRECT("'results" &amp; $B11 &amp; "'!M$14")</f>
        <v>84.295202000001154</v>
      </c>
      <c r="M11" s="5" cm="1">
        <f t="array" aca="1" ref="M11" ca="1">INDIRECT("'results" &amp; $B11 &amp; "'!N$14")</f>
        <v>22</v>
      </c>
      <c r="N11" s="5" cm="1">
        <f t="array" aca="1" ref="N11" ca="1">INDIRECT("'results" &amp; $B11 &amp; "'!O$14")</f>
        <v>88</v>
      </c>
      <c r="O11" s="5" cm="1">
        <f t="array" aca="1" ref="O11" ca="1">INDIRECT("'results" &amp; $B11 &amp; "'!P$14")</f>
        <v>216.81802754852944</v>
      </c>
      <c r="P11" s="5" cm="1">
        <f t="array" aca="1" ref="P11" ca="1">INDIRECT("'results" &amp; $B11 &amp; "'!Q$14")</f>
        <v>14.631746736602445</v>
      </c>
      <c r="Q11" s="5" cm="1">
        <f t="array" aca="1" ref="Q11" ca="1">INDIRECT("'results" &amp; $B11 &amp; "'!R$14")</f>
        <v>4324.4867513751715</v>
      </c>
      <c r="R11" s="5"/>
      <c r="S11" s="5" cm="1">
        <f t="array" aca="1" ref="S11" ca="1">INDIRECT("'results" &amp; $B11 &amp; "'!T$14")</f>
        <v>927279.35954778397</v>
      </c>
      <c r="T11" s="5" cm="1">
        <f t="array" aca="1" ref="T11" ca="1">INDIRECT("'results" &amp; $B11 &amp; "'!U$14")</f>
        <v>112.7098744999967</v>
      </c>
      <c r="U11" s="5" cm="1">
        <f t="array" aca="1" ref="U11" ca="1">INDIRECT("'results" &amp; $B11 &amp; "'!V$14")</f>
        <v>16</v>
      </c>
      <c r="V11" s="5" cm="1">
        <f t="array" aca="1" ref="V11" ca="1">INDIRECT("'results" &amp; $B11 &amp; "'!W$14")</f>
        <v>96</v>
      </c>
      <c r="W11" s="5" cm="1">
        <f t="array" aca="1" ref="W11" ca="1">INDIRECT("'results" &amp; $B11 &amp; "'!X$14")</f>
        <v>980.08667565545022</v>
      </c>
      <c r="X11" s="5" cm="1">
        <f t="array" aca="1" ref="X11" ca="1">INDIRECT("'results" &amp; $B11 &amp; "'!Y$14")</f>
        <v>44.280429456942301</v>
      </c>
      <c r="Y11" s="5" cm="1">
        <f t="array" aca="1" ref="Y11" ca="1">INDIRECT("'results" &amp; $B11 &amp; "'!Z$14")</f>
        <v>5985.4619968084635</v>
      </c>
      <c r="Z11" s="5"/>
    </row>
    <row r="12" spans="2:26" x14ac:dyDescent="0.2">
      <c r="B12" s="4">
        <v>901</v>
      </c>
      <c r="C12" s="5" cm="1">
        <f t="array" aca="1" ref="C12" ca="1">INDIRECT("'results" &amp; $B12 &amp; "'!D$14")</f>
        <v>705814.86326138757</v>
      </c>
      <c r="D12" s="33" cm="1">
        <f t="array" aca="1" ref="D12" ca="1">INDIRECT("'results" &amp; $B12 &amp; "'!E$14")</f>
        <v>32.418178291001823</v>
      </c>
      <c r="E12" s="5" cm="1">
        <f t="array" aca="1" ref="E12" ca="1">INDIRECT("'results" &amp; $B12 &amp; "'!F$14")</f>
        <v>10</v>
      </c>
      <c r="F12" s="5" cm="1">
        <f t="array" aca="1" ref="F12" ca="1">INDIRECT("'results" &amp; $B12 &amp; "'!G$14")</f>
        <v>93</v>
      </c>
      <c r="G12" s="5" cm="1">
        <f t="array" aca="1" ref="G12" ca="1">INDIRECT("'results" &amp; $B12 &amp; "'!H$14")</f>
        <v>70.955693018952559</v>
      </c>
      <c r="H12" s="33" cm="1">
        <f t="array" aca="1" ref="H12" ca="1">INDIRECT("'results" &amp; $B12 &amp; "'!I$14")</f>
        <v>31.784547907512881</v>
      </c>
      <c r="I12" s="5" cm="1">
        <f t="array" aca="1" ref="I12" ca="1">INDIRECT("'results" &amp; $B12 &amp; "'!J$14")</f>
        <v>4446.1967916303929</v>
      </c>
      <c r="J12" s="5"/>
      <c r="K12" s="5" cm="1">
        <f t="array" aca="1" ref="K12" ca="1">INDIRECT("'results" &amp; $B12 &amp; "'!L$14")</f>
        <v>947861.58995701442</v>
      </c>
      <c r="L12" s="5" cm="1">
        <f t="array" aca="1" ref="L12" ca="1">INDIRECT("'results" &amp; $B12 &amp; "'!M$14")</f>
        <v>106.69869458299949</v>
      </c>
      <c r="M12" s="5" cm="1">
        <f t="array" aca="1" ref="M12" ca="1">INDIRECT("'results" &amp; $B12 &amp; "'!N$14")</f>
        <v>20</v>
      </c>
      <c r="N12" s="5" cm="1">
        <f t="array" aca="1" ref="N12" ca="1">INDIRECT("'results" &amp; $B12 &amp; "'!O$14")</f>
        <v>89</v>
      </c>
      <c r="O12" s="5" cm="1">
        <f t="array" aca="1" ref="O12" ca="1">INDIRECT("'results" &amp; $B12 &amp; "'!P$14")</f>
        <v>142.4757274136978</v>
      </c>
      <c r="P12" s="5" cm="1">
        <f t="array" aca="1" ref="P12" ca="1">INDIRECT("'results" &amp; $B12 &amp; "'!Q$14")</f>
        <v>14.375580389961678</v>
      </c>
      <c r="Q12" s="5" cm="1">
        <f t="array" aca="1" ref="Q12" ca="1">INDIRECT("'results" &amp; $B12 &amp; "'!R$14")</f>
        <v>4109.9578679342576</v>
      </c>
      <c r="R12" s="5"/>
      <c r="S12" s="5" cm="1">
        <f t="array" aca="1" ref="S12" ca="1">INDIRECT("'results" &amp; $B12 &amp; "'!T$14")</f>
        <v>925145.16056295764</v>
      </c>
      <c r="T12" s="5" cm="1">
        <f t="array" aca="1" ref="T12" ca="1">INDIRECT("'results" &amp; $B12 &amp; "'!U$14")</f>
        <v>38.520248082997568</v>
      </c>
      <c r="U12" s="5" cm="1">
        <f t="array" aca="1" ref="U12" ca="1">INDIRECT("'results" &amp; $B12 &amp; "'!V$14")</f>
        <v>12</v>
      </c>
      <c r="V12" s="5" cm="1">
        <f t="array" aca="1" ref="V12" ca="1">INDIRECT("'results" &amp; $B12 &amp; "'!W$14")</f>
        <v>89</v>
      </c>
      <c r="W12" s="5" cm="1">
        <f t="array" aca="1" ref="W12" ca="1">INDIRECT("'results" &amp; $B12 &amp; "'!X$14")</f>
        <v>533.11522933305639</v>
      </c>
      <c r="X12" s="5" cm="1">
        <f t="array" aca="1" ref="X12" ca="1">INDIRECT("'results" &amp; $B12 &amp; "'!Y$14")</f>
        <v>50.345609318093665</v>
      </c>
      <c r="Y12" s="5" cm="1">
        <f t="array" aca="1" ref="Y12" ca="1">INDIRECT("'results" &amp; $B12 &amp; "'!Z$14")</f>
        <v>6030.7427819766699</v>
      </c>
      <c r="Z12" s="5"/>
    </row>
    <row r="13" spans="2:26" x14ac:dyDescent="0.2">
      <c r="B13" s="8" t="s">
        <v>3</v>
      </c>
      <c r="C13" s="9">
        <f ca="1">AVERAGE(C3:C12)</f>
        <v>758485.59054328513</v>
      </c>
      <c r="D13" s="10">
        <f t="shared" ref="D13:I13" ca="1" si="0">AVERAGE(D3:D12)</f>
        <v>47.666458258000787</v>
      </c>
      <c r="E13" s="9">
        <f t="shared" ca="1" si="0"/>
        <v>10.4</v>
      </c>
      <c r="F13" s="9">
        <f t="shared" ca="1" si="0"/>
        <v>93</v>
      </c>
      <c r="G13" s="9">
        <f t="shared" ca="1" si="0"/>
        <v>225.34077716774442</v>
      </c>
      <c r="H13" s="10">
        <f t="shared" ca="1" si="0"/>
        <v>33.579666480054144</v>
      </c>
      <c r="I13" s="9">
        <f t="shared" ca="1" si="0"/>
        <v>4767.7037289137279</v>
      </c>
      <c r="J13" s="32" t="e">
        <f ca="1">(C13-$D$15)/$D$15</f>
        <v>#DIV/0!</v>
      </c>
      <c r="K13" s="16">
        <f ca="1">AVERAGE(K3:K12)</f>
        <v>1020990.0020314433</v>
      </c>
      <c r="L13" s="41">
        <f t="shared" ref="L13:Q13" ca="1" si="1">AVERAGE(L3:L12)</f>
        <v>99.938888349998891</v>
      </c>
      <c r="M13" s="16">
        <f t="shared" ca="1" si="1"/>
        <v>20.8</v>
      </c>
      <c r="N13" s="16">
        <f ca="1">AVERAGE(N3:N12)</f>
        <v>86.2</v>
      </c>
      <c r="O13" s="16">
        <f t="shared" ca="1" si="1"/>
        <v>169.52318980545544</v>
      </c>
      <c r="P13" s="41">
        <f t="shared" ca="1" si="1"/>
        <v>15.314554268750792</v>
      </c>
      <c r="Q13" s="16">
        <f t="shared" ca="1" si="1"/>
        <v>4231.7482007264252</v>
      </c>
      <c r="R13" s="42" t="e">
        <f ca="1">(K13-$D$15)/$D$15</f>
        <v>#DIV/0!</v>
      </c>
      <c r="S13" s="38">
        <f ca="1">AVERAGE(S3:S12)</f>
        <v>942636.20674349775</v>
      </c>
      <c r="T13" s="43">
        <f t="shared" ref="T13:Y13" ca="1" si="2">AVERAGE(T3:T12)</f>
        <v>73.081371974999641</v>
      </c>
      <c r="U13" s="38">
        <f t="shared" ca="1" si="2"/>
        <v>13.5</v>
      </c>
      <c r="V13" s="38">
        <f t="shared" ca="1" si="2"/>
        <v>90.8</v>
      </c>
      <c r="W13" s="38">
        <f t="shared" ca="1" si="2"/>
        <v>797.02012121046425</v>
      </c>
      <c r="X13" s="43">
        <f t="shared" ca="1" si="2"/>
        <v>48.949952101594626</v>
      </c>
      <c r="Y13" s="38">
        <f t="shared" ca="1" si="2"/>
        <v>5993.9823558431308</v>
      </c>
      <c r="Z13" s="44" t="e">
        <f ca="1">(S13-$D$15)/$D$15</f>
        <v>#DIV/0!</v>
      </c>
    </row>
    <row r="14" spans="2:26" x14ac:dyDescent="0.2">
      <c r="K14" s="45">
        <f ca="1">(K13-C13)/C13</f>
        <v>0.34609017595196834</v>
      </c>
      <c r="L14" s="45">
        <f t="shared" ref="L14:Q14" ca="1" si="3">(L13-D13)/D13</f>
        <v>1.0966292022173518</v>
      </c>
      <c r="M14" s="45">
        <f t="shared" ca="1" si="3"/>
        <v>1</v>
      </c>
      <c r="N14" s="45">
        <f t="shared" ca="1" si="3"/>
        <v>-7.3118279569892447E-2</v>
      </c>
      <c r="O14" s="45">
        <f t="shared" ca="1" si="3"/>
        <v>-0.24770300370774961</v>
      </c>
      <c r="P14" s="45">
        <f t="shared" ca="1" si="3"/>
        <v>-0.54393369934607827</v>
      </c>
      <c r="Q14" s="45">
        <f t="shared" ca="1" si="3"/>
        <v>-0.11241376533885729</v>
      </c>
      <c r="S14" s="45">
        <f ca="1">(S13-C13)/C13</f>
        <v>0.24278723089295595</v>
      </c>
      <c r="T14" s="45">
        <f t="shared" ref="T14:Y14" ca="1" si="4">(T13-D13)/D13</f>
        <v>0.53318233923396174</v>
      </c>
      <c r="U14" s="45">
        <f t="shared" ca="1" si="4"/>
        <v>0.29807692307692302</v>
      </c>
      <c r="V14" s="45">
        <f ca="1">(V13-F13)/F13</f>
        <v>-2.3655913978494654E-2</v>
      </c>
      <c r="W14" s="45">
        <f t="shared" ca="1" si="4"/>
        <v>2.5369547013550937</v>
      </c>
      <c r="X14" s="45">
        <f t="shared" ca="1" si="4"/>
        <v>0.45772597624429112</v>
      </c>
      <c r="Y14" s="45">
        <f t="shared" ca="1" si="4"/>
        <v>0.25720529140530252</v>
      </c>
    </row>
    <row r="16" spans="2:26" x14ac:dyDescent="0.2">
      <c r="B16" s="1" t="s">
        <v>21</v>
      </c>
      <c r="C16">
        <f ca="1">_xlfn.STDEV.S(C3:C12)</f>
        <v>32305.30366237228</v>
      </c>
      <c r="J16" s="1" t="s">
        <v>21</v>
      </c>
      <c r="K16">
        <f ca="1">_xlfn.STDEV.S(K3:K12)</f>
        <v>38590.601221893783</v>
      </c>
      <c r="R16" s="1" t="s">
        <v>21</v>
      </c>
      <c r="S16">
        <f ca="1">_xlfn.STDEV.S(S3:S12)</f>
        <v>46836.958657160605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-0.86359631828892847</v>
      </c>
      <c r="J2" s="28" t="e">
        <f>(S14-J14)/J14</f>
        <v>#DIV/0!</v>
      </c>
      <c r="K2" s="28"/>
      <c r="L2" s="1" t="s">
        <v>19</v>
      </c>
      <c r="P2" s="1">
        <f>(P14-H14)/H14</f>
        <v>-5.4315271360823932E-2</v>
      </c>
      <c r="R2" s="1">
        <f>(R14-J14)/J14</f>
        <v>-7.74556139309307E-2</v>
      </c>
      <c r="T2" s="1" t="s">
        <v>20</v>
      </c>
      <c r="X2" s="1">
        <f>(X14-P14)/P14</f>
        <v>5.2288684065157804</v>
      </c>
      <c r="Z2" s="1">
        <f>(Z14-R14)/R14</f>
        <v>0.45600660320024256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12</v>
      </c>
      <c r="D4" s="23">
        <v>854514.44633854984</v>
      </c>
      <c r="E4" s="33">
        <v>32.07091541599948</v>
      </c>
      <c r="F4" s="5">
        <v>10</v>
      </c>
      <c r="G4" s="23">
        <v>88</v>
      </c>
      <c r="H4" s="33">
        <v>341.39520430840736</v>
      </c>
      <c r="I4" s="23">
        <v>35.042016423526007</v>
      </c>
      <c r="J4" s="5">
        <v>5196.9505998920686</v>
      </c>
      <c r="K4" s="31"/>
      <c r="L4" s="23">
        <v>1019074.362728284</v>
      </c>
      <c r="M4" s="33">
        <v>85.032508000003872</v>
      </c>
      <c r="N4" s="5">
        <v>17</v>
      </c>
      <c r="O4" s="5">
        <v>80</v>
      </c>
      <c r="P4" s="33">
        <v>75.142648812581712</v>
      </c>
      <c r="Q4" s="5">
        <v>18.227134242914715</v>
      </c>
      <c r="R4" s="5">
        <v>4140.0972088229801</v>
      </c>
      <c r="S4" s="31"/>
      <c r="T4" s="23">
        <v>984742.70801850874</v>
      </c>
      <c r="U4" s="33">
        <v>89.30273154200404</v>
      </c>
      <c r="V4" s="5">
        <v>12</v>
      </c>
      <c r="W4" s="5">
        <v>88</v>
      </c>
      <c r="X4" s="33">
        <v>975.61980594128829</v>
      </c>
      <c r="Y4" s="5">
        <v>55.511283296564869</v>
      </c>
      <c r="Z4" s="5">
        <v>6429.4390138849712</v>
      </c>
      <c r="AA4" s="35"/>
    </row>
    <row r="5" spans="2:27" x14ac:dyDescent="0.2">
      <c r="B5" s="4">
        <v>2</v>
      </c>
      <c r="C5" s="4">
        <v>63</v>
      </c>
      <c r="D5" s="23">
        <v>739067.25292185415</v>
      </c>
      <c r="E5" s="33">
        <v>39.843149625005033</v>
      </c>
      <c r="F5" s="5">
        <v>10</v>
      </c>
      <c r="G5" s="23">
        <v>91</v>
      </c>
      <c r="H5" s="33">
        <v>137.38336356042828</v>
      </c>
      <c r="I5" s="23">
        <v>37.198292668746042</v>
      </c>
      <c r="J5" s="5">
        <v>4571.4641433558527</v>
      </c>
      <c r="K5" s="31"/>
      <c r="L5" s="23">
        <v>1010716.477365164</v>
      </c>
      <c r="M5" s="33">
        <v>79.10665104099462</v>
      </c>
      <c r="N5" s="5">
        <v>17</v>
      </c>
      <c r="O5" s="5">
        <v>81</v>
      </c>
      <c r="P5" s="33">
        <v>129.92134888818089</v>
      </c>
      <c r="Q5" s="5">
        <v>18.739596595493083</v>
      </c>
      <c r="R5" s="5">
        <v>4217.3785815689889</v>
      </c>
      <c r="S5" s="31"/>
      <c r="T5" s="23">
        <v>929135.06652031851</v>
      </c>
      <c r="U5" s="33">
        <v>80.74581508400297</v>
      </c>
      <c r="V5" s="5">
        <v>14</v>
      </c>
      <c r="W5" s="5">
        <v>91</v>
      </c>
      <c r="X5" s="33">
        <v>809.26298542150403</v>
      </c>
      <c r="Y5" s="5">
        <v>52.274005983228506</v>
      </c>
      <c r="Z5" s="5">
        <v>6140.5310629597207</v>
      </c>
      <c r="AA5" s="35"/>
    </row>
    <row r="6" spans="2:27" x14ac:dyDescent="0.2">
      <c r="B6" s="4">
        <v>3</v>
      </c>
      <c r="C6" s="4">
        <v>208</v>
      </c>
      <c r="D6" s="23">
        <v>805287.61524976697</v>
      </c>
      <c r="E6" s="33">
        <v>37.265869916001982</v>
      </c>
      <c r="F6" s="5">
        <v>10</v>
      </c>
      <c r="G6" s="23">
        <v>91</v>
      </c>
      <c r="H6" s="33">
        <v>400.57403703831579</v>
      </c>
      <c r="I6" s="23">
        <v>37.56513228299432</v>
      </c>
      <c r="J6" s="5">
        <v>5111.0867892099877</v>
      </c>
      <c r="K6" s="31"/>
      <c r="L6" s="23">
        <v>1055241.591883675</v>
      </c>
      <c r="M6" s="33">
        <v>82.633586040996306</v>
      </c>
      <c r="N6" s="5">
        <v>23</v>
      </c>
      <c r="O6" s="5">
        <v>88</v>
      </c>
      <c r="P6" s="33">
        <v>213.94354849862449</v>
      </c>
      <c r="Q6" s="5">
        <v>15.507341267428457</v>
      </c>
      <c r="R6" s="5">
        <v>4573.6474459036408</v>
      </c>
      <c r="S6" s="31"/>
      <c r="T6" s="23">
        <v>940359.83531588106</v>
      </c>
      <c r="U6" s="33">
        <v>36.814485292001343</v>
      </c>
      <c r="V6" s="5">
        <v>11</v>
      </c>
      <c r="W6" s="5">
        <v>87</v>
      </c>
      <c r="X6" s="33">
        <v>776.35948143906046</v>
      </c>
      <c r="Y6" s="5">
        <v>59.246882189395571</v>
      </c>
      <c r="Z6" s="5">
        <v>6121.5383305751275</v>
      </c>
      <c r="AA6" s="35"/>
    </row>
    <row r="7" spans="2:27" x14ac:dyDescent="0.2">
      <c r="B7" s="4">
        <v>4</v>
      </c>
      <c r="C7" s="4">
        <v>405</v>
      </c>
      <c r="D7" s="23">
        <v>837096.96669928229</v>
      </c>
      <c r="E7" s="33">
        <v>30.897245499996639</v>
      </c>
      <c r="F7" s="5">
        <v>12</v>
      </c>
      <c r="G7" s="23">
        <v>89</v>
      </c>
      <c r="H7" s="33">
        <v>262.15053396514952</v>
      </c>
      <c r="I7" s="23">
        <v>28.878777296740775</v>
      </c>
      <c r="J7" s="5">
        <v>4767.0626451166763</v>
      </c>
      <c r="K7" s="31"/>
      <c r="L7" s="23">
        <v>1054076.86114919</v>
      </c>
      <c r="M7" s="33">
        <v>77.111115291001624</v>
      </c>
      <c r="N7" s="5">
        <v>25</v>
      </c>
      <c r="O7" s="5">
        <v>89</v>
      </c>
      <c r="P7" s="33">
        <v>259.54638408604382</v>
      </c>
      <c r="Q7" s="5">
        <v>14.654041971921677</v>
      </c>
      <c r="R7" s="5">
        <v>4373.5557796571347</v>
      </c>
      <c r="S7" s="31"/>
      <c r="T7" s="23">
        <v>1102446.7859240819</v>
      </c>
      <c r="U7" s="33">
        <v>56.771492666994163</v>
      </c>
      <c r="V7" s="5">
        <v>16</v>
      </c>
      <c r="W7" s="5">
        <v>89</v>
      </c>
      <c r="X7" s="33">
        <v>1448.9776887670746</v>
      </c>
      <c r="Y7" s="5">
        <v>46.791401905382394</v>
      </c>
      <c r="Z7" s="5">
        <v>6883.3697450575828</v>
      </c>
      <c r="AA7" s="35"/>
    </row>
    <row r="8" spans="2:27" x14ac:dyDescent="0.2">
      <c r="B8" s="4">
        <v>5</v>
      </c>
      <c r="C8" s="4">
        <v>443</v>
      </c>
      <c r="D8" s="23">
        <v>828015.11194859492</v>
      </c>
      <c r="E8" s="33">
        <v>33.863252000002831</v>
      </c>
      <c r="F8" s="5">
        <v>13</v>
      </c>
      <c r="G8" s="23">
        <v>91</v>
      </c>
      <c r="H8" s="33">
        <v>277.53388028880642</v>
      </c>
      <c r="I8" s="23">
        <v>28.543803729921688</v>
      </c>
      <c r="J8" s="5">
        <v>4793.5366141326149</v>
      </c>
      <c r="K8" s="31"/>
      <c r="L8" s="23">
        <v>1058805.4342072699</v>
      </c>
      <c r="M8" s="33">
        <v>78.886571250004636</v>
      </c>
      <c r="N8" s="5">
        <v>19</v>
      </c>
      <c r="O8" s="5">
        <v>81</v>
      </c>
      <c r="P8" s="33">
        <v>182.79657988227021</v>
      </c>
      <c r="Q8" s="5">
        <v>16.922539558628088</v>
      </c>
      <c r="R8" s="5">
        <v>4331.3525354911098</v>
      </c>
      <c r="S8" s="31"/>
      <c r="T8" s="23">
        <v>953387.78314964357</v>
      </c>
      <c r="U8" s="33">
        <v>61.365268084002309</v>
      </c>
      <c r="V8" s="5">
        <v>15</v>
      </c>
      <c r="W8" s="5">
        <v>89</v>
      </c>
      <c r="X8" s="33">
        <v>723.08271775825096</v>
      </c>
      <c r="Y8" s="5">
        <v>48.10065256759281</v>
      </c>
      <c r="Z8" s="5">
        <v>5859.7308837297269</v>
      </c>
      <c r="AA8" s="35"/>
    </row>
    <row r="9" spans="2:27" x14ac:dyDescent="0.2">
      <c r="B9" s="4">
        <v>6</v>
      </c>
      <c r="C9" s="4">
        <v>519</v>
      </c>
      <c r="D9" s="23">
        <v>860706.46397982864</v>
      </c>
      <c r="E9" s="33">
        <v>40.770604041994368</v>
      </c>
      <c r="F9" s="5">
        <v>11</v>
      </c>
      <c r="G9" s="23">
        <v>90</v>
      </c>
      <c r="H9" s="33">
        <v>420.18752597194145</v>
      </c>
      <c r="I9" s="23">
        <v>33.717965103396018</v>
      </c>
      <c r="J9" s="5">
        <v>5334.8621992298049</v>
      </c>
      <c r="K9" s="31"/>
      <c r="L9" s="23">
        <v>1012922.488707792</v>
      </c>
      <c r="M9" s="33">
        <v>112.93133924999709</v>
      </c>
      <c r="N9" s="5">
        <v>19</v>
      </c>
      <c r="O9" s="5">
        <v>84</v>
      </c>
      <c r="P9" s="33">
        <v>233.31639755302785</v>
      </c>
      <c r="Q9" s="5">
        <v>17.43711777823005</v>
      </c>
      <c r="R9" s="5">
        <v>4258.0613725275562</v>
      </c>
      <c r="S9" s="31"/>
      <c r="T9" s="23">
        <v>1009793.186709484</v>
      </c>
      <c r="U9" s="33">
        <v>46.824243374998332</v>
      </c>
      <c r="V9" s="5">
        <v>15</v>
      </c>
      <c r="W9" s="5">
        <v>89</v>
      </c>
      <c r="X9" s="33">
        <v>1048.8131663196864</v>
      </c>
      <c r="Y9" s="5">
        <v>47.654854278134955</v>
      </c>
      <c r="Z9" s="5">
        <v>6259.6802825398127</v>
      </c>
      <c r="AA9" s="35"/>
    </row>
    <row r="10" spans="2:27" x14ac:dyDescent="0.2">
      <c r="B10" s="4">
        <v>7</v>
      </c>
      <c r="C10" s="4">
        <v>618</v>
      </c>
      <c r="D10" s="23">
        <v>766669.97701959882</v>
      </c>
      <c r="E10" s="33">
        <v>36.274548166999011</v>
      </c>
      <c r="F10" s="5">
        <v>10</v>
      </c>
      <c r="G10" s="23">
        <v>91</v>
      </c>
      <c r="H10" s="33">
        <v>230.87820300745474</v>
      </c>
      <c r="I10" s="23">
        <v>37.393909781040669</v>
      </c>
      <c r="J10" s="5">
        <v>4835.5896716568786</v>
      </c>
      <c r="K10" s="31"/>
      <c r="L10" s="23">
        <v>1041951.570340198</v>
      </c>
      <c r="M10" s="33">
        <v>71.54752633300086</v>
      </c>
      <c r="N10" s="5">
        <v>20</v>
      </c>
      <c r="O10" s="5">
        <v>84</v>
      </c>
      <c r="P10" s="33">
        <v>282.33901748414928</v>
      </c>
      <c r="Q10" s="5">
        <v>16.908026469652548</v>
      </c>
      <c r="R10" s="5">
        <v>4368.6680715871553</v>
      </c>
      <c r="S10" s="31"/>
      <c r="T10" s="23">
        <v>946454.08587212872</v>
      </c>
      <c r="U10" s="33">
        <v>45.468206041994563</v>
      </c>
      <c r="V10" s="5">
        <v>14</v>
      </c>
      <c r="W10" s="5">
        <v>88</v>
      </c>
      <c r="X10" s="33">
        <v>679.67911248847042</v>
      </c>
      <c r="Y10" s="5">
        <v>49.346326037436505</v>
      </c>
      <c r="Z10" s="5">
        <v>5792.3558519627804</v>
      </c>
      <c r="AA10" s="35"/>
    </row>
    <row r="11" spans="2:27" x14ac:dyDescent="0.2">
      <c r="B11" s="4">
        <v>8</v>
      </c>
      <c r="C11" s="4">
        <v>642</v>
      </c>
      <c r="D11" s="23">
        <v>806990.412746927</v>
      </c>
      <c r="E11" s="33">
        <v>31.139722416002769</v>
      </c>
      <c r="F11" s="5">
        <v>10</v>
      </c>
      <c r="G11" s="23">
        <v>91</v>
      </c>
      <c r="H11" s="33">
        <v>346.56621160699876</v>
      </c>
      <c r="I11" s="23">
        <v>36.47752427650147</v>
      </c>
      <c r="J11" s="5">
        <v>5166.0916812901796</v>
      </c>
      <c r="K11" s="31"/>
      <c r="L11" s="23">
        <v>1047352.62870986</v>
      </c>
      <c r="M11" s="33">
        <v>101.8970456660027</v>
      </c>
      <c r="N11" s="5">
        <v>24</v>
      </c>
      <c r="O11" s="5">
        <v>88</v>
      </c>
      <c r="P11" s="33">
        <v>204.44573787591037</v>
      </c>
      <c r="Q11" s="5">
        <v>14.518168547650617</v>
      </c>
      <c r="R11" s="5">
        <v>4270.2755350498419</v>
      </c>
      <c r="S11" s="31"/>
      <c r="T11" s="23">
        <v>1010722.378736596</v>
      </c>
      <c r="U11" s="33">
        <v>45.070317833000438</v>
      </c>
      <c r="V11" s="5">
        <v>13</v>
      </c>
      <c r="W11" s="5">
        <v>89</v>
      </c>
      <c r="X11" s="33">
        <v>1114.2763832060023</v>
      </c>
      <c r="Y11" s="5">
        <v>53.289033501657897</v>
      </c>
      <c r="Z11" s="5">
        <v>6669.7667183587873</v>
      </c>
      <c r="AA11" s="35"/>
    </row>
    <row r="12" spans="2:27" x14ac:dyDescent="0.2">
      <c r="B12" s="4">
        <v>9</v>
      </c>
      <c r="C12" s="4">
        <v>774</v>
      </c>
      <c r="D12" s="23">
        <v>805382.66760241112</v>
      </c>
      <c r="E12" s="33">
        <v>60.061822791001759</v>
      </c>
      <c r="F12" s="5">
        <v>10</v>
      </c>
      <c r="G12" s="23">
        <v>90</v>
      </c>
      <c r="H12" s="33">
        <v>291.50966024683663</v>
      </c>
      <c r="I12" s="23">
        <v>36.770064578362557</v>
      </c>
      <c r="J12" s="5">
        <v>5030.311300305968</v>
      </c>
      <c r="K12" s="31"/>
      <c r="L12" s="23">
        <v>1018500.988851277</v>
      </c>
      <c r="M12" s="33">
        <v>123.03071354100391</v>
      </c>
      <c r="N12" s="5">
        <v>24</v>
      </c>
      <c r="O12" s="5">
        <v>88</v>
      </c>
      <c r="P12" s="33">
        <v>122.43817290269111</v>
      </c>
      <c r="Q12" s="5">
        <v>14.839510842271123</v>
      </c>
      <c r="R12" s="5">
        <v>4060.1519017038609</v>
      </c>
      <c r="S12" s="31"/>
      <c r="T12" s="23">
        <v>993149.8940236636</v>
      </c>
      <c r="U12" s="33">
        <v>83.588639291003346</v>
      </c>
      <c r="V12" s="5">
        <v>15</v>
      </c>
      <c r="W12" s="5">
        <v>90</v>
      </c>
      <c r="X12" s="33">
        <v>979.58399854961669</v>
      </c>
      <c r="Y12" s="5">
        <v>48.833001871896307</v>
      </c>
      <c r="Z12" s="5">
        <v>6324.0812677570166</v>
      </c>
      <c r="AA12" s="35"/>
    </row>
    <row r="13" spans="2:27" x14ac:dyDescent="0.2">
      <c r="B13" s="4">
        <v>10</v>
      </c>
      <c r="C13" s="4">
        <v>853</v>
      </c>
      <c r="D13" s="23">
        <v>792464.12469047436</v>
      </c>
      <c r="E13" s="33">
        <v>35.082356624996457</v>
      </c>
      <c r="F13" s="5">
        <v>11</v>
      </c>
      <c r="G13" s="23">
        <v>91</v>
      </c>
      <c r="H13" s="33">
        <v>204.9424256542448</v>
      </c>
      <c r="I13" s="23">
        <v>33.83980291625501</v>
      </c>
      <c r="J13" s="5">
        <v>4907.6174988898683</v>
      </c>
      <c r="K13" s="31"/>
      <c r="L13" s="23">
        <v>1162275.210136639</v>
      </c>
      <c r="M13" s="33">
        <v>69.135113666998222</v>
      </c>
      <c r="N13" s="5">
        <v>25</v>
      </c>
      <c r="O13" s="5">
        <v>85</v>
      </c>
      <c r="P13" s="33">
        <v>413.99877404780108</v>
      </c>
      <c r="Q13" s="5">
        <v>13.642510373256965</v>
      </c>
      <c r="R13" s="5">
        <v>4726.9299589843404</v>
      </c>
      <c r="S13" s="31"/>
      <c r="T13" s="23">
        <v>998318.79552498716</v>
      </c>
      <c r="U13" s="33">
        <v>43.508277665998321</v>
      </c>
      <c r="V13" s="5">
        <v>15</v>
      </c>
      <c r="W13" s="5">
        <v>90</v>
      </c>
      <c r="X13" s="33">
        <v>980.63527535192554</v>
      </c>
      <c r="Y13" s="5">
        <v>47.603364895901912</v>
      </c>
      <c r="Z13" s="5">
        <v>6290.4149356344005</v>
      </c>
      <c r="AA13" s="35"/>
    </row>
    <row r="14" spans="2:27" x14ac:dyDescent="0.2">
      <c r="B14" s="46" t="s">
        <v>3</v>
      </c>
      <c r="C14" s="47"/>
      <c r="D14" s="9">
        <f>MIN(D4:D13)</f>
        <v>739067.25292185415</v>
      </c>
      <c r="E14" s="22">
        <f>INDEX(E4:E13, MATCH($D$14, D4:D13, 0))</f>
        <v>39.843149625005033</v>
      </c>
      <c r="F14" s="9">
        <f>INDEX(F4:F13, MATCH($D$14, D4:D13, 0))</f>
        <v>10</v>
      </c>
      <c r="G14" s="9">
        <f>INDEX(G4:G13, MATCH($D$14, D4:D13, 0))</f>
        <v>91</v>
      </c>
      <c r="H14" s="22">
        <f>INDEX(H4:H13, MATCH($D$14, D4:D13, 0))</f>
        <v>137.38336356042828</v>
      </c>
      <c r="I14" s="22">
        <f>INDEX(I4:I13, MATCH($D$14, D4:D13, 0))</f>
        <v>37.198292668746042</v>
      </c>
      <c r="J14" s="22">
        <f>INDEX(J4:J13, MATCH($D$14, D4:D13, 0))</f>
        <v>4571.4641433558527</v>
      </c>
      <c r="K14" s="32" t="e">
        <f>(D14-$D$15)/$D$15</f>
        <v>#DIV/0!</v>
      </c>
      <c r="L14" s="16">
        <f>MIN(L4:L13)</f>
        <v>1010716.477365164</v>
      </c>
      <c r="M14" s="21">
        <f>INDEX(M4:M13, MATCH($L$14, L4:L13, 0))</f>
        <v>79.10665104099462</v>
      </c>
      <c r="N14" s="16">
        <f>INDEX(N4:N13, MATCH($L$14, L4:L13, 0))</f>
        <v>17</v>
      </c>
      <c r="O14" s="16">
        <f>INDEX(O4:O13, MATCH($L$14, L4:L13, 0))</f>
        <v>81</v>
      </c>
      <c r="P14" s="21">
        <f>INDEX(P4:P13, MATCH($L$14, L4:L13, 0))</f>
        <v>129.92134888818089</v>
      </c>
      <c r="Q14" s="21">
        <f>INDEX(Q4:Q13, MATCH($L$14, L4:L13, 0))</f>
        <v>18.739596595493083</v>
      </c>
      <c r="R14" s="21">
        <f>INDEX(R4:R13, MATCH($L$14, L4:L13, 0))</f>
        <v>4217.3785815689889</v>
      </c>
      <c r="S14" s="36" t="e">
        <f>(L14-$D$15)/$D$15</f>
        <v>#DIV/0!</v>
      </c>
      <c r="T14" s="38">
        <f>MIN(T4:T13)</f>
        <v>929135.06652031851</v>
      </c>
      <c r="U14" s="39">
        <f>INDEX(U4:U13, MATCH($T$14, T4:T13, 0))</f>
        <v>80.74581508400297</v>
      </c>
      <c r="V14" s="38">
        <f>INDEX(V4:V13, MATCH($T$14, T4:T13, 0))</f>
        <v>14</v>
      </c>
      <c r="W14" s="38">
        <f>INDEX(W4:W13, MATCH($T$14, T4:T13, 0))</f>
        <v>91</v>
      </c>
      <c r="X14" s="39">
        <f>INDEX(X4:X13, MATCH($T$14, T4:T13, 0))</f>
        <v>809.26298542150403</v>
      </c>
      <c r="Y14" s="39">
        <f>INDEX(Y4:Y13, MATCH($T$14, T4:T13, 0))</f>
        <v>52.274005983228506</v>
      </c>
      <c r="Z14" s="39">
        <f>INDEX(Z4:Z13, MATCH($T$14, T4:T13, 0))</f>
        <v>6140.5310629597207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0.36755684055728671</v>
      </c>
      <c r="M15" s="45">
        <f t="shared" ref="M15:R15" si="0">(M14-E14)/E14</f>
        <v>0.98545174730233509</v>
      </c>
      <c r="N15" s="45">
        <f t="shared" si="0"/>
        <v>0.7</v>
      </c>
      <c r="O15" s="45">
        <f t="shared" si="0"/>
        <v>-0.10989010989010989</v>
      </c>
      <c r="P15" s="45">
        <f t="shared" si="0"/>
        <v>-5.4315271360823932E-2</v>
      </c>
      <c r="Q15" s="45">
        <f t="shared" si="0"/>
        <v>-0.49622428205587865</v>
      </c>
      <c r="R15" s="45">
        <f t="shared" si="0"/>
        <v>-7.74556139309307E-2</v>
      </c>
      <c r="S15"/>
      <c r="T15" s="45">
        <f>(T14-D14)/D14</f>
        <v>0.2571725547939564</v>
      </c>
      <c r="U15" s="45">
        <f t="shared" ref="U15:Z15" si="1">(U14-E14)/E14</f>
        <v>1.0265921706482755</v>
      </c>
      <c r="V15" s="45">
        <f t="shared" si="1"/>
        <v>0.4</v>
      </c>
      <c r="W15" s="45">
        <f>(W14-G14)/G14</f>
        <v>0</v>
      </c>
      <c r="X15" s="45">
        <f t="shared" si="1"/>
        <v>4.8905457287450131</v>
      </c>
      <c r="Y15" s="45">
        <f t="shared" si="1"/>
        <v>0.405279711322586</v>
      </c>
      <c r="Z15" s="45">
        <f t="shared" si="1"/>
        <v>0.34323071786187875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109" priority="7"/>
    <cfRule type="duplicateValues" dxfId="108" priority="8"/>
  </conditionalFormatting>
  <conditionalFormatting sqref="C14">
    <cfRule type="duplicateValues" dxfId="107" priority="1"/>
    <cfRule type="duplicateValues" dxfId="106" priority="2"/>
  </conditionalFormatting>
  <conditionalFormatting sqref="C15">
    <cfRule type="duplicateValues" dxfId="105" priority="3"/>
    <cfRule type="duplicateValues" dxfId="10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B67B-09F5-4448-AC43-BAE103BFA1BD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-0.81095349940930739</v>
      </c>
      <c r="J2" s="28" t="e">
        <f>(S14-J14)/J14</f>
        <v>#DIV/0!</v>
      </c>
      <c r="K2" s="28"/>
      <c r="L2" s="1" t="s">
        <v>19</v>
      </c>
      <c r="P2" s="1">
        <f>(P14-H14)/H14</f>
        <v>0.69636904767317376</v>
      </c>
      <c r="R2" s="1">
        <f>(R14-J14)/J14</f>
        <v>2.7784568741714352E-3</v>
      </c>
      <c r="T2" s="1" t="s">
        <v>20</v>
      </c>
      <c r="X2" s="1">
        <f>(X14-P14)/P14</f>
        <v>3.4092589596601965</v>
      </c>
      <c r="Z2" s="1">
        <f>(Z14-R14)/R14</f>
        <v>0.26583796662075432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82</v>
      </c>
      <c r="D4" s="23">
        <v>851495.98004876589</v>
      </c>
      <c r="E4" s="33">
        <v>33.289772625001213</v>
      </c>
      <c r="F4" s="5">
        <v>10</v>
      </c>
      <c r="G4" s="23">
        <v>93</v>
      </c>
      <c r="H4" s="33">
        <v>596.95718959056887</v>
      </c>
      <c r="I4" s="23">
        <v>36.45809339665162</v>
      </c>
      <c r="J4" s="5">
        <v>5654.5775398684536</v>
      </c>
      <c r="K4" s="31"/>
      <c r="L4" s="23">
        <v>1042481.387253769</v>
      </c>
      <c r="M4" s="33">
        <v>68.668595625000307</v>
      </c>
      <c r="N4" s="5">
        <v>24</v>
      </c>
      <c r="O4" s="5">
        <v>91</v>
      </c>
      <c r="P4" s="33">
        <v>166.59123415309631</v>
      </c>
      <c r="Q4" s="5">
        <v>14.6403079189314</v>
      </c>
      <c r="R4" s="5">
        <v>4675.3603580887511</v>
      </c>
      <c r="S4" s="31"/>
      <c r="T4" s="23">
        <v>929577.16188522056</v>
      </c>
      <c r="U4" s="33">
        <v>52.73119924999628</v>
      </c>
      <c r="V4" s="5">
        <v>15</v>
      </c>
      <c r="W4" s="5">
        <v>93</v>
      </c>
      <c r="X4" s="33">
        <v>903.053061256712</v>
      </c>
      <c r="Y4" s="5">
        <v>49.295350849354854</v>
      </c>
      <c r="Z4" s="5">
        <v>5977.1852202768605</v>
      </c>
      <c r="AA4" s="35"/>
    </row>
    <row r="5" spans="2:27" x14ac:dyDescent="0.2">
      <c r="B5" s="4">
        <v>2</v>
      </c>
      <c r="C5" s="4">
        <v>191</v>
      </c>
      <c r="D5" s="23">
        <v>847074.89869515318</v>
      </c>
      <c r="E5" s="33">
        <v>30.827479917003071</v>
      </c>
      <c r="F5" s="5">
        <v>10</v>
      </c>
      <c r="G5" s="23">
        <v>93</v>
      </c>
      <c r="H5" s="33">
        <v>422.82774316541884</v>
      </c>
      <c r="I5" s="23">
        <v>36.784954336840642</v>
      </c>
      <c r="J5" s="5">
        <v>5704.9683529924014</v>
      </c>
      <c r="K5" s="31"/>
      <c r="L5" s="23">
        <v>1030656.9087375459</v>
      </c>
      <c r="M5" s="33">
        <v>80.153812250006013</v>
      </c>
      <c r="N5" s="5">
        <v>17</v>
      </c>
      <c r="O5" s="5">
        <v>83</v>
      </c>
      <c r="P5" s="33">
        <v>214.58613893642823</v>
      </c>
      <c r="Q5" s="5">
        <v>19.538336515764321</v>
      </c>
      <c r="R5" s="5">
        <v>4722.67068396795</v>
      </c>
      <c r="S5" s="31"/>
      <c r="T5" s="23">
        <v>1161594.5152400371</v>
      </c>
      <c r="U5" s="33">
        <v>45.019296166996362</v>
      </c>
      <c r="V5" s="5">
        <v>17</v>
      </c>
      <c r="W5" s="5">
        <v>90</v>
      </c>
      <c r="X5" s="33">
        <v>1591.614624074494</v>
      </c>
      <c r="Y5" s="5">
        <v>38.733221354471297</v>
      </c>
      <c r="Z5" s="5">
        <v>6962.7636369258034</v>
      </c>
      <c r="AA5" s="35"/>
    </row>
    <row r="6" spans="2:27" x14ac:dyDescent="0.2">
      <c r="B6" s="4">
        <v>3</v>
      </c>
      <c r="C6" s="4">
        <v>280</v>
      </c>
      <c r="D6" s="23">
        <v>741622.73915637506</v>
      </c>
      <c r="E6" s="33">
        <v>29.916468959003399</v>
      </c>
      <c r="F6" s="5">
        <v>10</v>
      </c>
      <c r="G6" s="23">
        <v>93</v>
      </c>
      <c r="H6" s="33">
        <v>145.87401078851121</v>
      </c>
      <c r="I6" s="23">
        <v>36.207955379888126</v>
      </c>
      <c r="J6" s="5">
        <v>4796.8828684593118</v>
      </c>
      <c r="K6" s="31"/>
      <c r="L6" s="23">
        <v>1083891.301182799</v>
      </c>
      <c r="M6" s="33">
        <v>58.774112500002957</v>
      </c>
      <c r="N6" s="5">
        <v>24</v>
      </c>
      <c r="O6" s="5">
        <v>90</v>
      </c>
      <c r="P6" s="33">
        <v>473.3441846522968</v>
      </c>
      <c r="Q6" s="5">
        <v>15.198128755017327</v>
      </c>
      <c r="R6" s="5">
        <v>4809.4914226187593</v>
      </c>
      <c r="S6" s="31"/>
      <c r="T6" s="23">
        <v>909585.92935892916</v>
      </c>
      <c r="U6" s="33">
        <v>43.799754207997474</v>
      </c>
      <c r="V6" s="5">
        <v>14</v>
      </c>
      <c r="W6" s="5">
        <v>93</v>
      </c>
      <c r="X6" s="33">
        <v>792.70957908770606</v>
      </c>
      <c r="Y6" s="5">
        <v>51.696742309829517</v>
      </c>
      <c r="Z6" s="5">
        <v>6009.7324117836233</v>
      </c>
      <c r="AA6" s="35"/>
    </row>
    <row r="7" spans="2:27" x14ac:dyDescent="0.2">
      <c r="B7" s="4">
        <v>4</v>
      </c>
      <c r="C7" s="4">
        <v>373</v>
      </c>
      <c r="D7" s="23">
        <v>808689.71817581216</v>
      </c>
      <c r="E7" s="33">
        <v>44.871432375002769</v>
      </c>
      <c r="F7" s="5">
        <v>11</v>
      </c>
      <c r="G7" s="23">
        <v>93</v>
      </c>
      <c r="H7" s="33">
        <v>392.00710261210901</v>
      </c>
      <c r="I7" s="23">
        <v>33.710833296826074</v>
      </c>
      <c r="J7" s="5">
        <v>5152.7897678308782</v>
      </c>
      <c r="K7" s="31"/>
      <c r="L7" s="23">
        <v>1052899.6061210369</v>
      </c>
      <c r="M7" s="33">
        <v>123.8691952500012</v>
      </c>
      <c r="N7" s="5">
        <v>24</v>
      </c>
      <c r="O7" s="5">
        <v>93</v>
      </c>
      <c r="P7" s="33">
        <v>369.92078224295466</v>
      </c>
      <c r="Q7" s="5">
        <v>15.661438409937473</v>
      </c>
      <c r="R7" s="5">
        <v>4982.9984032580987</v>
      </c>
      <c r="S7" s="31"/>
      <c r="T7" s="23">
        <v>898573.93174245767</v>
      </c>
      <c r="U7" s="33">
        <v>42.378558791999239</v>
      </c>
      <c r="V7" s="5">
        <v>13</v>
      </c>
      <c r="W7" s="5">
        <v>92</v>
      </c>
      <c r="X7" s="33">
        <v>735.53876184517651</v>
      </c>
      <c r="Y7" s="5">
        <v>52.082375707394824</v>
      </c>
      <c r="Z7" s="5">
        <v>5912.3296765540172</v>
      </c>
      <c r="AA7" s="35"/>
    </row>
    <row r="8" spans="2:27" x14ac:dyDescent="0.2">
      <c r="B8" s="4">
        <v>5</v>
      </c>
      <c r="C8" s="4">
        <v>385</v>
      </c>
      <c r="D8" s="23">
        <v>771715.07029360195</v>
      </c>
      <c r="E8" s="33">
        <v>41.53739183399739</v>
      </c>
      <c r="F8" s="5">
        <v>11</v>
      </c>
      <c r="G8" s="23">
        <v>93</v>
      </c>
      <c r="H8" s="33">
        <v>159.83014025537594</v>
      </c>
      <c r="I8" s="23">
        <v>32.855835001026549</v>
      </c>
      <c r="J8" s="5">
        <v>4885.3034001570586</v>
      </c>
      <c r="K8" s="31"/>
      <c r="L8" s="23">
        <v>1014696.536433798</v>
      </c>
      <c r="M8" s="33">
        <v>72.923811124994245</v>
      </c>
      <c r="N8" s="5">
        <v>24</v>
      </c>
      <c r="O8" s="5">
        <v>93</v>
      </c>
      <c r="P8" s="33">
        <v>231.89872691705767</v>
      </c>
      <c r="Q8" s="5">
        <v>15.558883061188155</v>
      </c>
      <c r="R8" s="5">
        <v>4695.480883450814</v>
      </c>
      <c r="S8" s="31"/>
      <c r="T8" s="23">
        <v>1012479.784313846</v>
      </c>
      <c r="U8" s="33">
        <v>78.719996250001714</v>
      </c>
      <c r="V8" s="5">
        <v>15</v>
      </c>
      <c r="W8" s="5">
        <v>93</v>
      </c>
      <c r="X8" s="33">
        <v>1184.9188836693343</v>
      </c>
      <c r="Y8" s="5">
        <v>50.537533569006122</v>
      </c>
      <c r="Z8" s="5">
        <v>6638.5971992409695</v>
      </c>
      <c r="AA8" s="35"/>
    </row>
    <row r="9" spans="2:27" x14ac:dyDescent="0.2">
      <c r="B9" s="4">
        <v>6</v>
      </c>
      <c r="C9" s="4">
        <v>503</v>
      </c>
      <c r="D9" s="23">
        <v>790130.65436992294</v>
      </c>
      <c r="E9" s="33">
        <v>34.80465533300594</v>
      </c>
      <c r="F9" s="5">
        <v>11</v>
      </c>
      <c r="G9" s="23">
        <v>93</v>
      </c>
      <c r="H9" s="33">
        <v>312.10332939122713</v>
      </c>
      <c r="I9" s="23">
        <v>33.707381912876166</v>
      </c>
      <c r="J9" s="5">
        <v>4995.1787201797488</v>
      </c>
      <c r="K9" s="31"/>
      <c r="L9" s="23">
        <v>1002753.6971793399</v>
      </c>
      <c r="M9" s="33">
        <v>76.67939212499914</v>
      </c>
      <c r="N9" s="5">
        <v>18</v>
      </c>
      <c r="O9" s="5">
        <v>86</v>
      </c>
      <c r="P9" s="33">
        <v>166.81686618421284</v>
      </c>
      <c r="Q9" s="5">
        <v>18.590379749552657</v>
      </c>
      <c r="R9" s="5">
        <v>4670.6844260149719</v>
      </c>
      <c r="S9" s="31"/>
      <c r="T9" s="23">
        <v>988155.56134679657</v>
      </c>
      <c r="U9" s="33">
        <v>99.17318791699654</v>
      </c>
      <c r="V9" s="5">
        <v>14</v>
      </c>
      <c r="W9" s="5">
        <v>92</v>
      </c>
      <c r="X9" s="33">
        <v>1076.7067988686426</v>
      </c>
      <c r="Y9" s="5">
        <v>49.227004362235085</v>
      </c>
      <c r="Z9" s="5">
        <v>6392.5768979192953</v>
      </c>
      <c r="AA9" s="35"/>
    </row>
    <row r="10" spans="2:27" x14ac:dyDescent="0.2">
      <c r="B10" s="4">
        <v>7</v>
      </c>
      <c r="C10" s="4">
        <v>594</v>
      </c>
      <c r="D10" s="23">
        <v>829147.81613113312</v>
      </c>
      <c r="E10" s="33">
        <v>36.683567583000688</v>
      </c>
      <c r="F10" s="5">
        <v>13</v>
      </c>
      <c r="G10" s="23">
        <v>93</v>
      </c>
      <c r="H10" s="33">
        <v>259.40072327210527</v>
      </c>
      <c r="I10" s="23">
        <v>27.729237174872789</v>
      </c>
      <c r="J10" s="5">
        <v>5042.9337272507</v>
      </c>
      <c r="K10" s="31"/>
      <c r="L10" s="23">
        <v>1055587.134646218</v>
      </c>
      <c r="M10" s="33">
        <v>76.570099208998727</v>
      </c>
      <c r="N10" s="5">
        <v>23</v>
      </c>
      <c r="O10" s="5">
        <v>91</v>
      </c>
      <c r="P10" s="33">
        <v>244.56299777853434</v>
      </c>
      <c r="Q10" s="5">
        <v>15.401856017846134</v>
      </c>
      <c r="R10" s="5">
        <v>4952.1734028040764</v>
      </c>
      <c r="S10" s="31"/>
      <c r="T10" s="23">
        <v>899558.11931834859</v>
      </c>
      <c r="U10" s="33">
        <v>115.9734683749994</v>
      </c>
      <c r="V10" s="5">
        <v>13</v>
      </c>
      <c r="W10" s="5">
        <v>91</v>
      </c>
      <c r="X10" s="33">
        <v>528.20028970141573</v>
      </c>
      <c r="Y10" s="5">
        <v>48.665186581914845</v>
      </c>
      <c r="Z10" s="5">
        <v>5796.0538435205881</v>
      </c>
      <c r="AA10" s="35"/>
    </row>
    <row r="11" spans="2:27" x14ac:dyDescent="0.2">
      <c r="B11" s="4">
        <v>8</v>
      </c>
      <c r="C11" s="4">
        <v>596</v>
      </c>
      <c r="D11" s="23">
        <v>805126.40386371198</v>
      </c>
      <c r="E11" s="33">
        <v>34.797211249999243</v>
      </c>
      <c r="F11" s="5">
        <v>10</v>
      </c>
      <c r="G11" s="23">
        <v>89</v>
      </c>
      <c r="H11" s="33">
        <v>164.75029735414199</v>
      </c>
      <c r="I11" s="23">
        <v>36.494597473086976</v>
      </c>
      <c r="J11" s="5">
        <v>4808.6769749708383</v>
      </c>
      <c r="K11" s="31"/>
      <c r="L11" s="23">
        <v>1028182.199573911</v>
      </c>
      <c r="M11" s="33">
        <v>68.129652458002965</v>
      </c>
      <c r="N11" s="5">
        <v>20</v>
      </c>
      <c r="O11" s="5">
        <v>86</v>
      </c>
      <c r="P11" s="33">
        <v>191.54733267872626</v>
      </c>
      <c r="Q11" s="5">
        <v>17.310102636172747</v>
      </c>
      <c r="R11" s="5">
        <v>4479.7563813043516</v>
      </c>
      <c r="S11" s="31"/>
      <c r="T11" s="23">
        <v>1010550.422692831</v>
      </c>
      <c r="U11" s="33">
        <v>53.0034174159955</v>
      </c>
      <c r="V11" s="5">
        <v>14</v>
      </c>
      <c r="W11" s="5">
        <v>90</v>
      </c>
      <c r="X11" s="33">
        <v>947.26869181626989</v>
      </c>
      <c r="Y11" s="5">
        <v>47.261666947170099</v>
      </c>
      <c r="Z11" s="5">
        <v>6398.4432853531544</v>
      </c>
      <c r="AA11" s="35"/>
    </row>
    <row r="12" spans="2:27" x14ac:dyDescent="0.2">
      <c r="B12" s="4">
        <v>9</v>
      </c>
      <c r="C12" s="4">
        <v>775</v>
      </c>
      <c r="D12" s="23">
        <v>740663.43549539137</v>
      </c>
      <c r="E12" s="33">
        <v>27.116276541004481</v>
      </c>
      <c r="F12" s="5">
        <v>11</v>
      </c>
      <c r="G12" s="23">
        <v>93</v>
      </c>
      <c r="H12" s="33">
        <v>98.337603137140093</v>
      </c>
      <c r="I12" s="23">
        <v>34.879473572703382</v>
      </c>
      <c r="J12" s="5">
        <v>4657.7430877147863</v>
      </c>
      <c r="K12" s="31"/>
      <c r="L12" s="23">
        <v>1041386.55044938</v>
      </c>
      <c r="M12" s="33">
        <v>55.140965541002522</v>
      </c>
      <c r="N12" s="5">
        <v>23</v>
      </c>
      <c r="O12" s="5">
        <v>91</v>
      </c>
      <c r="P12" s="33">
        <v>356.98161859877212</v>
      </c>
      <c r="Q12" s="5">
        <v>15.960364742277362</v>
      </c>
      <c r="R12" s="5">
        <v>4687.0891786557495</v>
      </c>
      <c r="S12" s="31"/>
      <c r="T12" s="23">
        <v>1026813.731630915</v>
      </c>
      <c r="U12" s="33">
        <v>53.786523250004393</v>
      </c>
      <c r="V12" s="5">
        <v>13</v>
      </c>
      <c r="W12" s="5">
        <v>91</v>
      </c>
      <c r="X12" s="33">
        <v>1216.6617095435556</v>
      </c>
      <c r="Y12" s="5">
        <v>47.625988481087838</v>
      </c>
      <c r="Z12" s="5">
        <v>6647.4185005317522</v>
      </c>
      <c r="AA12" s="35"/>
    </row>
    <row r="13" spans="2:27" x14ac:dyDescent="0.2">
      <c r="B13" s="4">
        <v>10</v>
      </c>
      <c r="C13" s="4">
        <v>972</v>
      </c>
      <c r="D13" s="23">
        <v>832638.75801587303</v>
      </c>
      <c r="E13" s="33">
        <v>32.544815000001108</v>
      </c>
      <c r="F13" s="5">
        <v>10</v>
      </c>
      <c r="G13" s="23">
        <v>93</v>
      </c>
      <c r="H13" s="33">
        <v>493.86961132109496</v>
      </c>
      <c r="I13" s="23">
        <v>38.244123995313757</v>
      </c>
      <c r="J13" s="5">
        <v>5574.4368507123281</v>
      </c>
      <c r="K13" s="31"/>
      <c r="L13" s="23">
        <v>1082238.960446551</v>
      </c>
      <c r="M13" s="33">
        <v>116.7427929999976</v>
      </c>
      <c r="N13" s="5">
        <v>22</v>
      </c>
      <c r="O13" s="5">
        <v>89</v>
      </c>
      <c r="P13" s="33">
        <v>406.7619744546779</v>
      </c>
      <c r="Q13" s="5">
        <v>15.672414089590776</v>
      </c>
      <c r="R13" s="5">
        <v>5031.7873818216995</v>
      </c>
      <c r="S13" s="31"/>
      <c r="T13" s="23">
        <v>1028552.2910665229</v>
      </c>
      <c r="U13" s="33">
        <v>113.4541748329939</v>
      </c>
      <c r="V13" s="5">
        <v>14</v>
      </c>
      <c r="W13" s="5">
        <v>91</v>
      </c>
      <c r="X13" s="33">
        <v>1207.7700121111377</v>
      </c>
      <c r="Y13" s="5">
        <v>49.813071751624925</v>
      </c>
      <c r="Z13" s="5">
        <v>6607.3209414145576</v>
      </c>
      <c r="AA13" s="35"/>
    </row>
    <row r="14" spans="2:27" x14ac:dyDescent="0.2">
      <c r="B14" s="46" t="s">
        <v>3</v>
      </c>
      <c r="C14" s="47"/>
      <c r="D14" s="9">
        <f>MIN(D4:D13)</f>
        <v>740663.43549539137</v>
      </c>
      <c r="E14" s="22">
        <f>INDEX(E4:E13, MATCH($D$14, D4:D13, 0))</f>
        <v>27.116276541004481</v>
      </c>
      <c r="F14" s="9">
        <f>INDEX(F4:F13, MATCH($D$14, D4:D13, 0))</f>
        <v>11</v>
      </c>
      <c r="G14" s="9">
        <f>INDEX(G4:G13, MATCH($D$14, D4:D13, 0))</f>
        <v>93</v>
      </c>
      <c r="H14" s="22">
        <f>INDEX(H4:H13, MATCH($D$14, D4:D13, 0))</f>
        <v>98.337603137140093</v>
      </c>
      <c r="I14" s="22">
        <f>INDEX(I4:I13, MATCH($D$14, D4:D13, 0))</f>
        <v>34.879473572703382</v>
      </c>
      <c r="J14" s="22">
        <f>INDEX(J4:J13, MATCH($D$14, D4:D13, 0))</f>
        <v>4657.7430877147863</v>
      </c>
      <c r="K14" s="32" t="e">
        <f>(D14-$D$15)/$D$15</f>
        <v>#DIV/0!</v>
      </c>
      <c r="L14" s="16">
        <f>MIN(L4:L13)</f>
        <v>1002753.6971793399</v>
      </c>
      <c r="M14" s="21">
        <f>INDEX(M4:M13, MATCH($L$14, L4:L13, 0))</f>
        <v>76.67939212499914</v>
      </c>
      <c r="N14" s="16">
        <f>INDEX(N4:N13, MATCH($L$14, L4:L13, 0))</f>
        <v>18</v>
      </c>
      <c r="O14" s="16">
        <f>INDEX(O4:O13, MATCH($L$14, L4:L13, 0))</f>
        <v>86</v>
      </c>
      <c r="P14" s="21">
        <f>INDEX(P4:P13, MATCH($L$14, L4:L13, 0))</f>
        <v>166.81686618421284</v>
      </c>
      <c r="Q14" s="21">
        <f>INDEX(Q4:Q13, MATCH($L$14, L4:L13, 0))</f>
        <v>18.590379749552657</v>
      </c>
      <c r="R14" s="21">
        <f>INDEX(R4:R13, MATCH($L$14, L4:L13, 0))</f>
        <v>4670.6844260149719</v>
      </c>
      <c r="S14" s="36" t="e">
        <f>(L14-$D$15)/$D$15</f>
        <v>#DIV/0!</v>
      </c>
      <c r="T14" s="38">
        <f>MIN(T4:T13)</f>
        <v>898573.93174245767</v>
      </c>
      <c r="U14" s="39">
        <f>INDEX(U4:U13, MATCH($T$14, T4:T13, 0))</f>
        <v>42.378558791999239</v>
      </c>
      <c r="V14" s="38">
        <f>INDEX(V4:V13, MATCH($T$14, T4:T13, 0))</f>
        <v>13</v>
      </c>
      <c r="W14" s="38">
        <f>INDEX(W4:W13, MATCH($T$14, T4:T13, 0))</f>
        <v>92</v>
      </c>
      <c r="X14" s="39">
        <f>INDEX(X4:X13, MATCH($T$14, T4:T13, 0))</f>
        <v>735.53876184517651</v>
      </c>
      <c r="Y14" s="39">
        <f>INDEX(Y4:Y13, MATCH($T$14, T4:T13, 0))</f>
        <v>52.082375707394824</v>
      </c>
      <c r="Z14" s="39">
        <f>INDEX(Z4:Z13, MATCH($T$14, T4:T13, 0))</f>
        <v>5912.3296765540172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0.35385878271235299</v>
      </c>
      <c r="M15" s="45">
        <f t="shared" ref="M15:R15" si="0">(M14-E14)/E14</f>
        <v>1.8277994587142778</v>
      </c>
      <c r="N15" s="45">
        <f t="shared" si="0"/>
        <v>0.63636363636363635</v>
      </c>
      <c r="O15" s="45">
        <f t="shared" si="0"/>
        <v>-7.5268817204301078E-2</v>
      </c>
      <c r="P15" s="45">
        <f t="shared" si="0"/>
        <v>0.69636904767317376</v>
      </c>
      <c r="Q15" s="45">
        <f t="shared" si="0"/>
        <v>-0.4670108850466867</v>
      </c>
      <c r="R15" s="45">
        <f t="shared" si="0"/>
        <v>2.7784568741714352E-3</v>
      </c>
      <c r="S15"/>
      <c r="T15" s="45">
        <f>(T14-D14)/D14</f>
        <v>0.21320142007745821</v>
      </c>
      <c r="U15" s="45">
        <f t="shared" ref="U15:Z15" si="1">(U14-E14)/E14</f>
        <v>0.56284579587892747</v>
      </c>
      <c r="V15" s="45">
        <f t="shared" si="1"/>
        <v>0.18181818181818182</v>
      </c>
      <c r="W15" s="45">
        <f>(W14-G14)/G14</f>
        <v>-1.0752688172043012E-2</v>
      </c>
      <c r="X15" s="45">
        <f t="shared" si="1"/>
        <v>6.4797304223431764</v>
      </c>
      <c r="Y15" s="45">
        <f t="shared" si="1"/>
        <v>0.49320991324119079</v>
      </c>
      <c r="Z15" s="45">
        <f t="shared" si="1"/>
        <v>0.269355042820699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3:C1048576">
    <cfRule type="duplicateValues" dxfId="103" priority="7"/>
    <cfRule type="duplicateValues" dxfId="102" priority="8"/>
  </conditionalFormatting>
  <conditionalFormatting sqref="C14">
    <cfRule type="duplicateValues" dxfId="101" priority="3"/>
    <cfRule type="duplicateValues" dxfId="100" priority="4"/>
  </conditionalFormatting>
  <conditionalFormatting sqref="C15">
    <cfRule type="duplicateValues" dxfId="99" priority="5"/>
    <cfRule type="duplicateValues" dxfId="98" priority="6"/>
  </conditionalFormatting>
  <conditionalFormatting sqref="C17:C32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9170-AFAC-8D4D-94FC-16619F72A24F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-0.95398573996097003</v>
      </c>
      <c r="J2" s="28" t="e">
        <f>(S14-J14)/J14</f>
        <v>#DIV/0!</v>
      </c>
      <c r="K2" s="28"/>
      <c r="L2" s="1" t="s">
        <v>19</v>
      </c>
      <c r="P2" s="1">
        <f>(P14-H14)/H14</f>
        <v>-0.42771333925774946</v>
      </c>
      <c r="R2" s="1">
        <f>(R14-J14)/J14</f>
        <v>-0.17268979570524537</v>
      </c>
      <c r="T2" s="1" t="s">
        <v>20</v>
      </c>
      <c r="X2" s="1">
        <f>(X14-P14)/P14</f>
        <v>4.9662332902127915</v>
      </c>
      <c r="Z2" s="1">
        <f>(Z14-R14)/R14</f>
        <v>0.47152444162762042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103</v>
      </c>
      <c r="D4" s="23">
        <v>798867.16996305576</v>
      </c>
      <c r="E4" s="33">
        <v>37.924960832999197</v>
      </c>
      <c r="F4" s="5">
        <v>11</v>
      </c>
      <c r="G4" s="23">
        <v>94</v>
      </c>
      <c r="H4" s="33">
        <v>298.07303780777653</v>
      </c>
      <c r="I4" s="23">
        <v>31.488398187715234</v>
      </c>
      <c r="J4" s="5">
        <v>5179.9651584173735</v>
      </c>
      <c r="K4" s="31"/>
      <c r="L4" s="23">
        <v>1025869.35542308</v>
      </c>
      <c r="M4" s="33">
        <v>103.4978354999985</v>
      </c>
      <c r="N4" s="5">
        <v>23</v>
      </c>
      <c r="O4" s="5">
        <v>89</v>
      </c>
      <c r="P4" s="33">
        <v>170.58322346431103</v>
      </c>
      <c r="Q4" s="5">
        <v>13.715610272310641</v>
      </c>
      <c r="R4" s="5">
        <v>4285.4380334499883</v>
      </c>
      <c r="S4" s="31"/>
      <c r="T4" s="23">
        <v>990744.09989098448</v>
      </c>
      <c r="U4" s="33">
        <v>93.861874333000742</v>
      </c>
      <c r="V4" s="5">
        <v>15</v>
      </c>
      <c r="W4" s="5">
        <v>94</v>
      </c>
      <c r="X4" s="33">
        <v>1183.101625472922</v>
      </c>
      <c r="Y4" s="5">
        <v>44.114534703582017</v>
      </c>
      <c r="Z4" s="5">
        <v>6352.8278564909269</v>
      </c>
      <c r="AA4" s="35"/>
    </row>
    <row r="5" spans="2:27" x14ac:dyDescent="0.2">
      <c r="B5" s="4">
        <v>2</v>
      </c>
      <c r="C5" s="4">
        <v>172</v>
      </c>
      <c r="D5" s="23">
        <v>801304.19570764934</v>
      </c>
      <c r="E5" s="33">
        <v>26.829429583005549</v>
      </c>
      <c r="F5" s="5">
        <v>10</v>
      </c>
      <c r="G5" s="23">
        <v>93</v>
      </c>
      <c r="H5" s="33">
        <v>407.83537171811037</v>
      </c>
      <c r="I5" s="23">
        <v>33.586018383565531</v>
      </c>
      <c r="J5" s="5">
        <v>5169.98435142787</v>
      </c>
      <c r="K5" s="31"/>
      <c r="L5" s="23">
        <v>1032728.730249956</v>
      </c>
      <c r="M5" s="33">
        <v>60.613778582999657</v>
      </c>
      <c r="N5" s="5">
        <v>21</v>
      </c>
      <c r="O5" s="5">
        <v>87</v>
      </c>
      <c r="P5" s="33">
        <v>233.01217491925837</v>
      </c>
      <c r="Q5" s="5">
        <v>14.666051272202161</v>
      </c>
      <c r="R5" s="5">
        <v>4367.3030842330782</v>
      </c>
      <c r="S5" s="31"/>
      <c r="T5" s="23">
        <v>986941.04737381067</v>
      </c>
      <c r="U5" s="33">
        <v>70.226107957998465</v>
      </c>
      <c r="V5" s="5">
        <v>13</v>
      </c>
      <c r="W5" s="5">
        <v>91</v>
      </c>
      <c r="X5" s="33">
        <v>1017.7393065845803</v>
      </c>
      <c r="Y5" s="5">
        <v>46.918026439247804</v>
      </c>
      <c r="Z5" s="5">
        <v>6306.1268093022618</v>
      </c>
      <c r="AA5" s="35"/>
    </row>
    <row r="6" spans="2:27" x14ac:dyDescent="0.2">
      <c r="B6" s="4">
        <v>3</v>
      </c>
      <c r="C6" s="4">
        <v>423</v>
      </c>
      <c r="D6" s="23">
        <v>946019.69131278328</v>
      </c>
      <c r="E6" s="33">
        <v>37.474110875002218</v>
      </c>
      <c r="F6" s="5">
        <v>11</v>
      </c>
      <c r="G6" s="23">
        <v>90</v>
      </c>
      <c r="H6" s="33">
        <v>751.12338060457046</v>
      </c>
      <c r="I6" s="23">
        <v>28.747281046990995</v>
      </c>
      <c r="J6" s="5">
        <v>5726.906620567258</v>
      </c>
      <c r="K6" s="31"/>
      <c r="L6" s="23">
        <v>1049318.4584935049</v>
      </c>
      <c r="M6" s="33">
        <v>212.24055370899441</v>
      </c>
      <c r="N6" s="5">
        <v>26</v>
      </c>
      <c r="O6" s="5">
        <v>93</v>
      </c>
      <c r="P6" s="33">
        <v>288.26810214909676</v>
      </c>
      <c r="Q6" s="5">
        <v>12.819810361358375</v>
      </c>
      <c r="R6" s="5">
        <v>4427.1089615922065</v>
      </c>
      <c r="S6" s="31"/>
      <c r="T6" s="23">
        <v>1242003.1496809991</v>
      </c>
      <c r="U6" s="33">
        <v>41.795645915997738</v>
      </c>
      <c r="V6" s="5">
        <v>18</v>
      </c>
      <c r="W6" s="5">
        <v>90</v>
      </c>
      <c r="X6" s="33">
        <v>1968.272208646812</v>
      </c>
      <c r="Y6" s="5">
        <v>35.292363251451668</v>
      </c>
      <c r="Z6" s="5">
        <v>7288.2399338123359</v>
      </c>
      <c r="AA6" s="35"/>
    </row>
    <row r="7" spans="2:27" x14ac:dyDescent="0.2">
      <c r="B7" s="4">
        <v>4</v>
      </c>
      <c r="C7" s="4">
        <v>467</v>
      </c>
      <c r="D7" s="23">
        <v>815773.38342153933</v>
      </c>
      <c r="E7" s="33">
        <v>47.41089795899461</v>
      </c>
      <c r="F7" s="5">
        <v>11</v>
      </c>
      <c r="G7" s="23">
        <v>94</v>
      </c>
      <c r="H7" s="33">
        <v>314.10761583424238</v>
      </c>
      <c r="I7" s="23">
        <v>30.815322189067285</v>
      </c>
      <c r="J7" s="5">
        <v>5302.9973993370877</v>
      </c>
      <c r="K7" s="31"/>
      <c r="L7" s="23">
        <v>1118212.2334682781</v>
      </c>
      <c r="M7" s="33">
        <v>127.5676576249971</v>
      </c>
      <c r="N7" s="5">
        <v>27</v>
      </c>
      <c r="O7" s="5">
        <v>91</v>
      </c>
      <c r="P7" s="33">
        <v>374.49837978218994</v>
      </c>
      <c r="Q7" s="5">
        <v>12.332412483650907</v>
      </c>
      <c r="R7" s="5">
        <v>4616.4408625220103</v>
      </c>
      <c r="S7" s="31"/>
      <c r="T7" s="23">
        <v>1019550.810330129</v>
      </c>
      <c r="U7" s="33">
        <v>87.95144162500219</v>
      </c>
      <c r="V7" s="5">
        <v>11</v>
      </c>
      <c r="W7" s="5">
        <v>88</v>
      </c>
      <c r="X7" s="33">
        <v>1132.2812965548919</v>
      </c>
      <c r="Y7" s="5">
        <v>50.966544804024764</v>
      </c>
      <c r="Z7" s="5">
        <v>6553.1501419864326</v>
      </c>
      <c r="AA7" s="35"/>
    </row>
    <row r="8" spans="2:27" x14ac:dyDescent="0.2">
      <c r="B8" s="4">
        <v>5</v>
      </c>
      <c r="C8" s="4">
        <v>699</v>
      </c>
      <c r="D8" s="23">
        <v>918301.36483232374</v>
      </c>
      <c r="E8" s="33">
        <v>31.729528333999038</v>
      </c>
      <c r="F8" s="5">
        <v>12</v>
      </c>
      <c r="G8" s="23">
        <v>92</v>
      </c>
      <c r="H8" s="33">
        <v>651.35240932047691</v>
      </c>
      <c r="I8" s="23">
        <v>27.239962397457926</v>
      </c>
      <c r="J8" s="5">
        <v>5643.7754982966262</v>
      </c>
      <c r="K8" s="31"/>
      <c r="L8" s="23">
        <v>1152025.6840015179</v>
      </c>
      <c r="M8" s="33">
        <v>115.2680962500017</v>
      </c>
      <c r="N8" s="5">
        <v>22</v>
      </c>
      <c r="O8" s="5">
        <v>84</v>
      </c>
      <c r="P8" s="33">
        <v>455.25870756561807</v>
      </c>
      <c r="Q8" s="5">
        <v>13.563027572200433</v>
      </c>
      <c r="R8" s="5">
        <v>4825.235157232426</v>
      </c>
      <c r="S8" s="31"/>
      <c r="T8" s="23">
        <v>1017696.568944962</v>
      </c>
      <c r="U8" s="33">
        <v>97.354991416999837</v>
      </c>
      <c r="V8" s="5">
        <v>15</v>
      </c>
      <c r="W8" s="5">
        <v>94</v>
      </c>
      <c r="X8" s="33">
        <v>1210.7772395027866</v>
      </c>
      <c r="Y8" s="5">
        <v>43.749380469835984</v>
      </c>
      <c r="Z8" s="5">
        <v>6621.2699002243462</v>
      </c>
      <c r="AA8" s="35"/>
    </row>
    <row r="9" spans="2:27" x14ac:dyDescent="0.2">
      <c r="B9" s="4">
        <v>6</v>
      </c>
      <c r="C9" s="4">
        <v>754</v>
      </c>
      <c r="D9" s="23">
        <v>940820.58275835449</v>
      </c>
      <c r="E9" s="33">
        <v>30.8257069579995</v>
      </c>
      <c r="F9" s="5">
        <v>10</v>
      </c>
      <c r="G9" s="23">
        <v>90</v>
      </c>
      <c r="H9" s="33">
        <v>624.85580435827092</v>
      </c>
      <c r="I9" s="23">
        <v>32.524530410474789</v>
      </c>
      <c r="J9" s="5">
        <v>5961.8034149569694</v>
      </c>
      <c r="K9" s="31"/>
      <c r="L9" s="23">
        <v>1119441.025360479</v>
      </c>
      <c r="M9" s="33">
        <v>85.695360417004849</v>
      </c>
      <c r="N9" s="5">
        <v>26</v>
      </c>
      <c r="O9" s="5">
        <v>90</v>
      </c>
      <c r="P9" s="33">
        <v>413.76507419834661</v>
      </c>
      <c r="Q9" s="5">
        <v>13.122846739472653</v>
      </c>
      <c r="R9" s="5">
        <v>4665.446050966385</v>
      </c>
      <c r="S9" s="31"/>
      <c r="T9" s="23">
        <v>1104396.1299698511</v>
      </c>
      <c r="U9" s="33">
        <v>89.518565457998193</v>
      </c>
      <c r="V9" s="5">
        <v>13</v>
      </c>
      <c r="W9" s="5">
        <v>84</v>
      </c>
      <c r="X9" s="33">
        <v>1177.2016719171884</v>
      </c>
      <c r="Y9" s="5">
        <v>40.719184358231864</v>
      </c>
      <c r="Z9" s="5">
        <v>6397.3272230874791</v>
      </c>
      <c r="AA9" s="35"/>
    </row>
    <row r="10" spans="2:27" x14ac:dyDescent="0.2">
      <c r="B10" s="4">
        <v>7</v>
      </c>
      <c r="C10" s="4">
        <v>819</v>
      </c>
      <c r="D10" s="23">
        <v>881514.75798635592</v>
      </c>
      <c r="E10" s="33">
        <v>29.820294832999931</v>
      </c>
      <c r="F10" s="5">
        <v>11</v>
      </c>
      <c r="G10" s="23">
        <v>94</v>
      </c>
      <c r="H10" s="33">
        <v>605.9668960080005</v>
      </c>
      <c r="I10" s="23">
        <v>31.279225545847179</v>
      </c>
      <c r="J10" s="5">
        <v>5785.5071950703477</v>
      </c>
      <c r="K10" s="31"/>
      <c r="L10" s="23">
        <v>1032764.008720443</v>
      </c>
      <c r="M10" s="33">
        <v>159.6648550839964</v>
      </c>
      <c r="N10" s="5">
        <v>19</v>
      </c>
      <c r="O10" s="5">
        <v>84</v>
      </c>
      <c r="P10" s="33">
        <v>213.15785300732119</v>
      </c>
      <c r="Q10" s="5">
        <v>15.424124239579768</v>
      </c>
      <c r="R10" s="5">
        <v>4334.183103739053</v>
      </c>
      <c r="S10" s="31"/>
      <c r="T10" s="23">
        <v>1045545.508708314</v>
      </c>
      <c r="U10" s="33">
        <v>85.966000166998128</v>
      </c>
      <c r="V10" s="5">
        <v>12</v>
      </c>
      <c r="W10" s="5">
        <v>83</v>
      </c>
      <c r="X10" s="33">
        <v>826.46412421476521</v>
      </c>
      <c r="Y10" s="5">
        <v>42.132502929711642</v>
      </c>
      <c r="Z10" s="5">
        <v>5922.113727519004</v>
      </c>
      <c r="AA10" s="35"/>
    </row>
    <row r="11" spans="2:27" x14ac:dyDescent="0.2">
      <c r="B11" s="4">
        <v>8</v>
      </c>
      <c r="C11" s="4">
        <v>823</v>
      </c>
      <c r="D11" s="23">
        <v>936167.87087313971</v>
      </c>
      <c r="E11" s="33">
        <v>30.31146954200085</v>
      </c>
      <c r="F11" s="5">
        <v>10</v>
      </c>
      <c r="G11" s="23">
        <v>90</v>
      </c>
      <c r="H11" s="33">
        <v>635.00584814727256</v>
      </c>
      <c r="I11" s="23">
        <v>31.737402685364508</v>
      </c>
      <c r="J11" s="5">
        <v>5907.8743581934823</v>
      </c>
      <c r="K11" s="31"/>
      <c r="L11" s="23">
        <v>1071411.2862386729</v>
      </c>
      <c r="M11" s="33">
        <v>115.9628836249976</v>
      </c>
      <c r="N11" s="5">
        <v>22</v>
      </c>
      <c r="O11" s="5">
        <v>87</v>
      </c>
      <c r="P11" s="33">
        <v>318.77524653414429</v>
      </c>
      <c r="Q11" s="5">
        <v>14.270903185060643</v>
      </c>
      <c r="R11" s="5">
        <v>4577.7254796877733</v>
      </c>
      <c r="S11" s="31"/>
      <c r="T11" s="23">
        <v>1152188.8279209579</v>
      </c>
      <c r="U11" s="33">
        <v>60.914209125003246</v>
      </c>
      <c r="V11" s="5">
        <v>14</v>
      </c>
      <c r="W11" s="5">
        <v>89</v>
      </c>
      <c r="X11" s="33">
        <v>1589.9417210507104</v>
      </c>
      <c r="Y11" s="5">
        <v>43.435605580222806</v>
      </c>
      <c r="Z11" s="5">
        <v>7099.6575540483991</v>
      </c>
      <c r="AA11" s="35"/>
    </row>
    <row r="12" spans="2:27" x14ac:dyDescent="0.2">
      <c r="B12" s="4">
        <v>9</v>
      </c>
      <c r="C12" s="4">
        <v>843</v>
      </c>
      <c r="D12" s="23">
        <v>907319.03372254735</v>
      </c>
      <c r="E12" s="33">
        <v>30.368499958000029</v>
      </c>
      <c r="F12" s="5">
        <v>12</v>
      </c>
      <c r="G12" s="23">
        <v>94</v>
      </c>
      <c r="H12" s="33">
        <v>643.63156829146965</v>
      </c>
      <c r="I12" s="23">
        <v>29.100274855854675</v>
      </c>
      <c r="J12" s="5">
        <v>5824.7633340247075</v>
      </c>
      <c r="K12" s="31"/>
      <c r="L12" s="23">
        <v>1176724.305030019</v>
      </c>
      <c r="M12" s="33">
        <v>107.0191649999979</v>
      </c>
      <c r="N12" s="5">
        <v>27</v>
      </c>
      <c r="O12" s="5">
        <v>91</v>
      </c>
      <c r="P12" s="33">
        <v>611.65735442862058</v>
      </c>
      <c r="Q12" s="5">
        <v>12.379239176600473</v>
      </c>
      <c r="R12" s="5">
        <v>5088.125590214092</v>
      </c>
      <c r="S12" s="31"/>
      <c r="T12" s="23">
        <v>1204409.949599023</v>
      </c>
      <c r="U12" s="33">
        <v>40.448495833996283</v>
      </c>
      <c r="V12" s="5">
        <v>18</v>
      </c>
      <c r="W12" s="5">
        <v>89</v>
      </c>
      <c r="X12" s="33">
        <v>1594.8349372487833</v>
      </c>
      <c r="Y12" s="5">
        <v>34.600823794624553</v>
      </c>
      <c r="Z12" s="5">
        <v>6878.9664415089856</v>
      </c>
      <c r="AA12" s="35"/>
    </row>
    <row r="13" spans="2:27" x14ac:dyDescent="0.2">
      <c r="B13" s="4">
        <v>10</v>
      </c>
      <c r="C13" s="4">
        <v>908</v>
      </c>
      <c r="D13" s="23">
        <v>817316.80851891625</v>
      </c>
      <c r="E13" s="33">
        <v>40.353170709000551</v>
      </c>
      <c r="F13" s="5">
        <v>11</v>
      </c>
      <c r="G13" s="23">
        <v>94</v>
      </c>
      <c r="H13" s="33">
        <v>434.12350904950893</v>
      </c>
      <c r="I13" s="23">
        <v>31.27275856846121</v>
      </c>
      <c r="J13" s="5">
        <v>5206.73709266894</v>
      </c>
      <c r="K13" s="31"/>
      <c r="L13" s="23">
        <v>1092688.5143688449</v>
      </c>
      <c r="M13" s="33">
        <v>80.085664666999946</v>
      </c>
      <c r="N13" s="5">
        <v>26</v>
      </c>
      <c r="O13" s="5">
        <v>91</v>
      </c>
      <c r="P13" s="33">
        <v>315.77867614943472</v>
      </c>
      <c r="Q13" s="5">
        <v>12.436489446108279</v>
      </c>
      <c r="R13" s="5">
        <v>4567.1158096505224</v>
      </c>
      <c r="S13" s="31"/>
      <c r="T13" s="23">
        <v>1053811.5827851561</v>
      </c>
      <c r="U13" s="33">
        <v>49.716931916002068</v>
      </c>
      <c r="V13" s="5">
        <v>14</v>
      </c>
      <c r="W13" s="5">
        <v>93</v>
      </c>
      <c r="X13" s="33">
        <v>1437.7647120001304</v>
      </c>
      <c r="Y13" s="5">
        <v>48.376914912318561</v>
      </c>
      <c r="Z13" s="5">
        <v>6927.2518187219739</v>
      </c>
      <c r="AA13" s="35"/>
    </row>
    <row r="14" spans="2:27" x14ac:dyDescent="0.2">
      <c r="B14" s="46" t="s">
        <v>3</v>
      </c>
      <c r="C14" s="47"/>
      <c r="D14" s="9">
        <f>MIN(D4:D13)</f>
        <v>798867.16996305576</v>
      </c>
      <c r="E14" s="22">
        <f>INDEX(E4:E13, MATCH($D$14, D4:D13, 0))</f>
        <v>37.924960832999197</v>
      </c>
      <c r="F14" s="9">
        <f>INDEX(F4:F13, MATCH($D$14, D4:D13, 0))</f>
        <v>11</v>
      </c>
      <c r="G14" s="9">
        <f>INDEX(G4:G13, MATCH($D$14, D4:D13, 0))</f>
        <v>94</v>
      </c>
      <c r="H14" s="22">
        <f>INDEX(H4:H13, MATCH($D$14, D4:D13, 0))</f>
        <v>298.07303780777653</v>
      </c>
      <c r="I14" s="22">
        <f>INDEX(I4:I13, MATCH($D$14, D4:D13, 0))</f>
        <v>31.488398187715234</v>
      </c>
      <c r="J14" s="22">
        <f>INDEX(J4:J13, MATCH($D$14, D4:D13, 0))</f>
        <v>5179.9651584173735</v>
      </c>
      <c r="K14" s="32" t="e">
        <f>(D14-$D$15)/$D$15</f>
        <v>#DIV/0!</v>
      </c>
      <c r="L14" s="16">
        <f>MIN(L4:L13)</f>
        <v>1025869.35542308</v>
      </c>
      <c r="M14" s="21">
        <f>INDEX(M4:M13, MATCH($L$14, L4:L13, 0))</f>
        <v>103.4978354999985</v>
      </c>
      <c r="N14" s="16">
        <f>INDEX(N4:N13, MATCH($L$14, L4:L13, 0))</f>
        <v>23</v>
      </c>
      <c r="O14" s="16">
        <f>INDEX(O4:O13, MATCH($L$14, L4:L13, 0))</f>
        <v>89</v>
      </c>
      <c r="P14" s="21">
        <f>INDEX(P4:P13, MATCH($L$14, L4:L13, 0))</f>
        <v>170.58322346431103</v>
      </c>
      <c r="Q14" s="21">
        <f>INDEX(Q4:Q13, MATCH($L$14, L4:L13, 0))</f>
        <v>13.715610272310641</v>
      </c>
      <c r="R14" s="21">
        <f>INDEX(R4:R13, MATCH($L$14, L4:L13, 0))</f>
        <v>4285.4380334499883</v>
      </c>
      <c r="S14" s="36" t="e">
        <f>(L14-$D$15)/$D$15</f>
        <v>#DIV/0!</v>
      </c>
      <c r="T14" s="38">
        <f>MIN(T4:T13)</f>
        <v>986941.04737381067</v>
      </c>
      <c r="U14" s="39">
        <f>INDEX(U4:U13, MATCH($T$14, T4:T13, 0))</f>
        <v>70.226107957998465</v>
      </c>
      <c r="V14" s="38">
        <f>INDEX(V4:V13, MATCH($T$14, T4:T13, 0))</f>
        <v>13</v>
      </c>
      <c r="W14" s="38">
        <f>INDEX(W4:W13, MATCH($T$14, T4:T13, 0))</f>
        <v>91</v>
      </c>
      <c r="X14" s="39">
        <f>INDEX(X4:X13, MATCH($T$14, T4:T13, 0))</f>
        <v>1017.7393065845803</v>
      </c>
      <c r="Y14" s="39">
        <f>INDEX(Y4:Y13, MATCH($T$14, T4:T13, 0))</f>
        <v>46.918026439247804</v>
      </c>
      <c r="Z14" s="39">
        <f>INDEX(Z4:Z13, MATCH($T$14, T4:T13, 0))</f>
        <v>6306.1268093022618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0.28415510612424111</v>
      </c>
      <c r="M15" s="45">
        <f t="shared" ref="M15:R15" si="0">(M14-E14)/E14</f>
        <v>1.7290162791662833</v>
      </c>
      <c r="N15" s="45">
        <f t="shared" si="0"/>
        <v>1.0909090909090908</v>
      </c>
      <c r="O15" s="45">
        <f t="shared" si="0"/>
        <v>-5.3191489361702128E-2</v>
      </c>
      <c r="P15" s="45">
        <f t="shared" si="0"/>
        <v>-0.42771333925774946</v>
      </c>
      <c r="Q15" s="45">
        <f t="shared" si="0"/>
        <v>-0.5644233729976903</v>
      </c>
      <c r="R15" s="45">
        <f t="shared" si="0"/>
        <v>-0.17268979570524537</v>
      </c>
      <c r="S15"/>
      <c r="T15" s="45">
        <f>(T14-D14)/D14</f>
        <v>0.23542571842006291</v>
      </c>
      <c r="U15" s="45">
        <f t="shared" ref="U15:Z15" si="1">(U14-E14)/E14</f>
        <v>0.85171207604500554</v>
      </c>
      <c r="V15" s="45">
        <f t="shared" si="1"/>
        <v>0.18181818181818182</v>
      </c>
      <c r="W15" s="45">
        <f>(W14-G14)/G14</f>
        <v>-3.1914893617021274E-2</v>
      </c>
      <c r="X15" s="45">
        <f t="shared" si="1"/>
        <v>2.4143957268651288</v>
      </c>
      <c r="Y15" s="45">
        <f t="shared" si="1"/>
        <v>0.49000994460087294</v>
      </c>
      <c r="Z15" s="45">
        <f t="shared" si="1"/>
        <v>0.2174071864276714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3:C1048576">
    <cfRule type="duplicateValues" dxfId="97" priority="7"/>
    <cfRule type="duplicateValues" dxfId="96" priority="8"/>
  </conditionalFormatting>
  <conditionalFormatting sqref="C14">
    <cfRule type="duplicateValues" dxfId="95" priority="3"/>
    <cfRule type="duplicateValues" dxfId="94" priority="4"/>
  </conditionalFormatting>
  <conditionalFormatting sqref="C15">
    <cfRule type="duplicateValues" dxfId="93" priority="5"/>
    <cfRule type="duplicateValues" dxfId="92" priority="6"/>
  </conditionalFormatting>
  <conditionalFormatting sqref="C17:C32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B478-052A-8A4D-987B-E2A129E3D689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-0.93614922695454983</v>
      </c>
      <c r="J2" s="28" t="e">
        <f>(S14-J14)/J14</f>
        <v>#DIV/0!</v>
      </c>
      <c r="K2" s="28"/>
      <c r="L2" s="1" t="s">
        <v>19</v>
      </c>
      <c r="P2" s="1">
        <f>(P14-H14)/H14</f>
        <v>-0.16071739444798963</v>
      </c>
      <c r="R2" s="1">
        <f>(R14-J14)/J14</f>
        <v>-0.15093549176665516</v>
      </c>
      <c r="T2" s="1" t="s">
        <v>20</v>
      </c>
      <c r="X2" s="1">
        <f>(X14-P14)/P14</f>
        <v>3.8935980728631963</v>
      </c>
      <c r="Z2" s="1">
        <f>(Z14-R14)/R14</f>
        <v>0.5203654895886165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96</v>
      </c>
      <c r="D4" s="23">
        <v>903590.3760720198</v>
      </c>
      <c r="E4" s="33">
        <v>35.721843499995877</v>
      </c>
      <c r="F4" s="5">
        <v>10</v>
      </c>
      <c r="G4" s="23">
        <v>89</v>
      </c>
      <c r="H4" s="33">
        <v>496.88957906627832</v>
      </c>
      <c r="I4" s="23">
        <v>33.969940499629679</v>
      </c>
      <c r="J4" s="5">
        <v>5549.332216790036</v>
      </c>
      <c r="K4" s="31"/>
      <c r="L4" s="23">
        <v>1030785.554690478</v>
      </c>
      <c r="M4" s="33">
        <v>111.0055696660056</v>
      </c>
      <c r="N4" s="5">
        <v>23</v>
      </c>
      <c r="O4" s="5">
        <v>89</v>
      </c>
      <c r="P4" s="33">
        <v>187.45421611899087</v>
      </c>
      <c r="Q4" s="5">
        <v>15.126533788904871</v>
      </c>
      <c r="R4" s="5">
        <v>4369.0107281600549</v>
      </c>
      <c r="S4" s="31"/>
      <c r="T4" s="23">
        <v>1115490.6071061699</v>
      </c>
      <c r="U4" s="33">
        <v>41.819767249995493</v>
      </c>
      <c r="V4" s="5">
        <v>14</v>
      </c>
      <c r="W4" s="5">
        <v>80</v>
      </c>
      <c r="X4" s="33">
        <v>714.09185271028184</v>
      </c>
      <c r="Y4" s="5">
        <v>34.858269641645002</v>
      </c>
      <c r="Z4" s="5">
        <v>5854.7016219148818</v>
      </c>
      <c r="AA4" s="35"/>
    </row>
    <row r="5" spans="2:27" x14ac:dyDescent="0.2">
      <c r="B5" s="4">
        <v>2</v>
      </c>
      <c r="C5" s="4">
        <v>174</v>
      </c>
      <c r="D5" s="23">
        <v>817296.17994325934</v>
      </c>
      <c r="E5" s="33">
        <v>67.482740792002005</v>
      </c>
      <c r="F5" s="5">
        <v>11</v>
      </c>
      <c r="G5" s="23">
        <v>92</v>
      </c>
      <c r="H5" s="33">
        <v>279.92143873415222</v>
      </c>
      <c r="I5" s="23">
        <v>32.212225631029078</v>
      </c>
      <c r="J5" s="5">
        <v>5053.0133418543992</v>
      </c>
      <c r="K5" s="31"/>
      <c r="L5" s="23">
        <v>1067773.9945717971</v>
      </c>
      <c r="M5" s="33">
        <v>60.526672874999349</v>
      </c>
      <c r="N5" s="5">
        <v>24</v>
      </c>
      <c r="O5" s="5">
        <v>88</v>
      </c>
      <c r="P5" s="33">
        <v>268.20680591518874</v>
      </c>
      <c r="Q5" s="5">
        <v>14.642323266530065</v>
      </c>
      <c r="R5" s="5">
        <v>4348.6289126209949</v>
      </c>
      <c r="S5" s="31"/>
      <c r="T5" s="23">
        <v>1052602.576986498</v>
      </c>
      <c r="U5" s="33">
        <v>76.153579999998328</v>
      </c>
      <c r="V5" s="5">
        <v>13</v>
      </c>
      <c r="W5" s="5">
        <v>83</v>
      </c>
      <c r="X5" s="33">
        <v>819.44908308788558</v>
      </c>
      <c r="Y5" s="5">
        <v>42.280193392699928</v>
      </c>
      <c r="Z5" s="5">
        <v>5861.6012871161793</v>
      </c>
      <c r="AA5" s="35"/>
    </row>
    <row r="6" spans="2:27" x14ac:dyDescent="0.2">
      <c r="B6" s="4">
        <v>3</v>
      </c>
      <c r="C6" s="4">
        <v>188</v>
      </c>
      <c r="D6" s="23">
        <v>793937.47554643243</v>
      </c>
      <c r="E6" s="33">
        <v>41.40769137499592</v>
      </c>
      <c r="F6" s="5">
        <v>10</v>
      </c>
      <c r="G6" s="23">
        <v>92</v>
      </c>
      <c r="H6" s="33">
        <v>270.49609701845702</v>
      </c>
      <c r="I6" s="23">
        <v>35.650306312003949</v>
      </c>
      <c r="J6" s="5">
        <v>5018.9642985121291</v>
      </c>
      <c r="K6" s="31"/>
      <c r="L6" s="23">
        <v>1020836.606776237</v>
      </c>
      <c r="M6" s="33">
        <v>60.892708667000988</v>
      </c>
      <c r="N6" s="5">
        <v>18</v>
      </c>
      <c r="O6" s="5">
        <v>83</v>
      </c>
      <c r="P6" s="33">
        <v>227.0226690973</v>
      </c>
      <c r="Q6" s="5">
        <v>17.27138490040555</v>
      </c>
      <c r="R6" s="5">
        <v>4261.4244539569154</v>
      </c>
      <c r="S6" s="31"/>
      <c r="T6" s="23">
        <v>1108021.315340854</v>
      </c>
      <c r="U6" s="33">
        <v>59.145120832996326</v>
      </c>
      <c r="V6" s="5">
        <v>15</v>
      </c>
      <c r="W6" s="5">
        <v>89</v>
      </c>
      <c r="X6" s="33">
        <v>1268.0506281326489</v>
      </c>
      <c r="Y6" s="5">
        <v>41.197363728392467</v>
      </c>
      <c r="Z6" s="5">
        <v>6678.0768571625013</v>
      </c>
      <c r="AA6" s="35"/>
    </row>
    <row r="7" spans="2:27" x14ac:dyDescent="0.2">
      <c r="B7" s="4">
        <v>4</v>
      </c>
      <c r="C7" s="4">
        <v>448</v>
      </c>
      <c r="D7" s="23">
        <v>853899.16603758512</v>
      </c>
      <c r="E7" s="33">
        <v>43.13020300000062</v>
      </c>
      <c r="F7" s="5">
        <v>12</v>
      </c>
      <c r="G7" s="23">
        <v>90</v>
      </c>
      <c r="H7" s="33">
        <v>344.78352757285637</v>
      </c>
      <c r="I7" s="23">
        <v>29.442863931158286</v>
      </c>
      <c r="J7" s="5">
        <v>4858.4735973083934</v>
      </c>
      <c r="K7" s="31"/>
      <c r="L7" s="23">
        <v>1069245.1859560569</v>
      </c>
      <c r="M7" s="33">
        <v>84.669698999998218</v>
      </c>
      <c r="N7" s="5">
        <v>19</v>
      </c>
      <c r="O7" s="5">
        <v>81</v>
      </c>
      <c r="P7" s="33">
        <v>152.86875966088033</v>
      </c>
      <c r="Q7" s="5">
        <v>16.062262152783489</v>
      </c>
      <c r="R7" s="5">
        <v>4228.497883443205</v>
      </c>
      <c r="S7" s="31"/>
      <c r="T7" s="23">
        <v>1039731.407983207</v>
      </c>
      <c r="U7" s="33">
        <v>36.997257291004637</v>
      </c>
      <c r="V7" s="5">
        <v>12</v>
      </c>
      <c r="W7" s="5">
        <v>90</v>
      </c>
      <c r="X7" s="33">
        <v>1352.2144307325616</v>
      </c>
      <c r="Y7" s="5">
        <v>52.679905426060053</v>
      </c>
      <c r="Z7" s="5">
        <v>6709.2273354316767</v>
      </c>
      <c r="AA7" s="35"/>
    </row>
    <row r="8" spans="2:27" x14ac:dyDescent="0.2">
      <c r="B8" s="4">
        <v>5</v>
      </c>
      <c r="C8" s="4">
        <v>641</v>
      </c>
      <c r="D8" s="23">
        <v>970225.10287091287</v>
      </c>
      <c r="E8" s="33">
        <v>33.34836579200055</v>
      </c>
      <c r="F8" s="5">
        <v>12</v>
      </c>
      <c r="G8" s="23">
        <v>90</v>
      </c>
      <c r="H8" s="33">
        <v>824.06302170562651</v>
      </c>
      <c r="I8" s="23">
        <v>28.26040365498945</v>
      </c>
      <c r="J8" s="5">
        <v>5719.5119068450331</v>
      </c>
      <c r="K8" s="31"/>
      <c r="L8" s="23">
        <v>1054295.540508124</v>
      </c>
      <c r="M8" s="33">
        <v>99.802733124997758</v>
      </c>
      <c r="N8" s="5">
        <v>20</v>
      </c>
      <c r="O8" s="5">
        <v>85</v>
      </c>
      <c r="P8" s="33">
        <v>249.52175869955758</v>
      </c>
      <c r="Q8" s="5">
        <v>16.31431543144371</v>
      </c>
      <c r="R8" s="5">
        <v>4484.5105914893065</v>
      </c>
      <c r="S8" s="31"/>
      <c r="T8" s="23">
        <v>1106118.7332731809</v>
      </c>
      <c r="U8" s="33">
        <v>41.486205624998547</v>
      </c>
      <c r="V8" s="5">
        <v>15</v>
      </c>
      <c r="W8" s="5">
        <v>89</v>
      </c>
      <c r="X8" s="33">
        <v>1365.4122640750868</v>
      </c>
      <c r="Y8" s="5">
        <v>42.426727471000468</v>
      </c>
      <c r="Z8" s="5">
        <v>6650.2055190689143</v>
      </c>
      <c r="AA8" s="35"/>
    </row>
    <row r="9" spans="2:27" x14ac:dyDescent="0.2">
      <c r="B9" s="4">
        <v>6</v>
      </c>
      <c r="C9" s="4">
        <v>653</v>
      </c>
      <c r="D9" s="23">
        <v>808102.08590622852</v>
      </c>
      <c r="E9" s="33">
        <v>38.214580083003973</v>
      </c>
      <c r="F9" s="5">
        <v>11</v>
      </c>
      <c r="G9" s="23">
        <v>90</v>
      </c>
      <c r="H9" s="33">
        <v>205.98677572385242</v>
      </c>
      <c r="I9" s="23">
        <v>30.91347435723284</v>
      </c>
      <c r="J9" s="5">
        <v>4668.4708510111768</v>
      </c>
      <c r="K9" s="31"/>
      <c r="L9" s="23">
        <v>1036589.1380542431</v>
      </c>
      <c r="M9" s="33">
        <v>134.14883262500371</v>
      </c>
      <c r="N9" s="5">
        <v>19</v>
      </c>
      <c r="O9" s="5">
        <v>85</v>
      </c>
      <c r="P9" s="33">
        <v>282.19298900280359</v>
      </c>
      <c r="Q9" s="5">
        <v>17.147333142835606</v>
      </c>
      <c r="R9" s="5">
        <v>4495.8973197800324</v>
      </c>
      <c r="S9" s="31"/>
      <c r="T9" s="23">
        <v>1091870.245308131</v>
      </c>
      <c r="U9" s="33">
        <v>69.959684624998772</v>
      </c>
      <c r="V9" s="5">
        <v>15</v>
      </c>
      <c r="W9" s="5">
        <v>91</v>
      </c>
      <c r="X9" s="33">
        <v>1304.404693961927</v>
      </c>
      <c r="Y9" s="5">
        <v>44.619404018903495</v>
      </c>
      <c r="Z9" s="5">
        <v>6801.4392111233155</v>
      </c>
      <c r="AA9" s="35"/>
    </row>
    <row r="10" spans="2:27" x14ac:dyDescent="0.2">
      <c r="B10" s="4">
        <v>7</v>
      </c>
      <c r="C10" s="4">
        <v>787</v>
      </c>
      <c r="D10" s="23">
        <v>853443.95414559415</v>
      </c>
      <c r="E10" s="33">
        <v>37.770629250000638</v>
      </c>
      <c r="F10" s="5">
        <v>11</v>
      </c>
      <c r="G10" s="23">
        <v>92</v>
      </c>
      <c r="H10" s="33">
        <v>366.05654825778925</v>
      </c>
      <c r="I10" s="23">
        <v>31.982096161797543</v>
      </c>
      <c r="J10" s="5">
        <v>5355.4663075931385</v>
      </c>
      <c r="K10" s="31"/>
      <c r="L10" s="23">
        <v>1054529.0227075999</v>
      </c>
      <c r="M10" s="33">
        <v>61.704253124997187</v>
      </c>
      <c r="N10" s="5">
        <v>22</v>
      </c>
      <c r="O10" s="5">
        <v>88</v>
      </c>
      <c r="P10" s="33">
        <v>214.38853528961548</v>
      </c>
      <c r="Q10" s="5">
        <v>15.447375061455983</v>
      </c>
      <c r="R10" s="5">
        <v>4633.553053489597</v>
      </c>
      <c r="S10" s="31"/>
      <c r="T10" s="23">
        <v>1081896.3036608479</v>
      </c>
      <c r="U10" s="33">
        <v>40.091323207998357</v>
      </c>
      <c r="V10" s="5">
        <v>12</v>
      </c>
      <c r="W10" s="5">
        <v>85</v>
      </c>
      <c r="X10" s="33">
        <v>1093.6728188866723</v>
      </c>
      <c r="Y10" s="5">
        <v>47.011767184512159</v>
      </c>
      <c r="Z10" s="5">
        <v>6575.8283228068149</v>
      </c>
      <c r="AA10" s="35"/>
    </row>
    <row r="11" spans="2:27" x14ac:dyDescent="0.2">
      <c r="B11" s="4">
        <v>8</v>
      </c>
      <c r="C11" s="4">
        <v>858</v>
      </c>
      <c r="D11" s="23">
        <v>898474.54339677165</v>
      </c>
      <c r="E11" s="33">
        <v>50.956063666002592</v>
      </c>
      <c r="F11" s="5">
        <v>10</v>
      </c>
      <c r="G11" s="23">
        <v>90</v>
      </c>
      <c r="H11" s="33">
        <v>503.37786350269374</v>
      </c>
      <c r="I11" s="23">
        <v>33.375203704452375</v>
      </c>
      <c r="J11" s="5">
        <v>5604.7894561713747</v>
      </c>
      <c r="K11" s="31"/>
      <c r="L11" s="23">
        <v>1091687.646533709</v>
      </c>
      <c r="M11" s="33">
        <v>67.93294241699914</v>
      </c>
      <c r="N11" s="5">
        <v>23</v>
      </c>
      <c r="O11" s="5">
        <v>89</v>
      </c>
      <c r="P11" s="33">
        <v>434.82955718528979</v>
      </c>
      <c r="Q11" s="5">
        <v>15.12141819170763</v>
      </c>
      <c r="R11" s="5">
        <v>4825.6285254333225</v>
      </c>
      <c r="S11" s="31"/>
      <c r="T11" s="23">
        <v>1007359.790738964</v>
      </c>
      <c r="U11" s="33">
        <v>115.50450700000511</v>
      </c>
      <c r="V11" s="5">
        <v>13</v>
      </c>
      <c r="W11" s="5">
        <v>91</v>
      </c>
      <c r="X11" s="33">
        <v>1110.9576959908063</v>
      </c>
      <c r="Y11" s="5">
        <v>48.92341472123978</v>
      </c>
      <c r="Z11" s="5">
        <v>6478.9226762851085</v>
      </c>
      <c r="AA11" s="35"/>
    </row>
    <row r="12" spans="2:27" x14ac:dyDescent="0.2">
      <c r="B12" s="4">
        <v>9</v>
      </c>
      <c r="C12" s="4">
        <v>885</v>
      </c>
      <c r="D12" s="23">
        <v>798860.48014957295</v>
      </c>
      <c r="E12" s="33">
        <v>52.207580750000488</v>
      </c>
      <c r="F12" s="5">
        <v>11</v>
      </c>
      <c r="G12" s="23">
        <v>92</v>
      </c>
      <c r="H12" s="33">
        <v>174.65480109217441</v>
      </c>
      <c r="I12" s="23">
        <v>31.724607404350103</v>
      </c>
      <c r="J12" s="5">
        <v>4928.2808389865568</v>
      </c>
      <c r="K12" s="31"/>
      <c r="L12" s="23">
        <v>1069948.2718407339</v>
      </c>
      <c r="M12" s="33">
        <v>103.7248385420025</v>
      </c>
      <c r="N12" s="5">
        <v>24</v>
      </c>
      <c r="O12" s="5">
        <v>89</v>
      </c>
      <c r="P12" s="33">
        <v>327.25898957841554</v>
      </c>
      <c r="Q12" s="5">
        <v>14.444816890841944</v>
      </c>
      <c r="R12" s="5">
        <v>4440.8135942632371</v>
      </c>
      <c r="S12" s="31"/>
      <c r="T12" s="23">
        <v>1095507.267248902</v>
      </c>
      <c r="U12" s="33">
        <v>90.917650874995161</v>
      </c>
      <c r="V12" s="5">
        <v>15</v>
      </c>
      <c r="W12" s="5">
        <v>89</v>
      </c>
      <c r="X12" s="33">
        <v>1249.9487522277511</v>
      </c>
      <c r="Y12" s="5">
        <v>42.196119556506673</v>
      </c>
      <c r="Z12" s="5">
        <v>6593.4448215408893</v>
      </c>
      <c r="AA12" s="35"/>
    </row>
    <row r="13" spans="2:27" x14ac:dyDescent="0.2">
      <c r="B13" s="4">
        <v>10</v>
      </c>
      <c r="C13" s="4">
        <v>951</v>
      </c>
      <c r="D13" s="23">
        <v>921402.75079266913</v>
      </c>
      <c r="E13" s="33">
        <v>30.551676167000551</v>
      </c>
      <c r="F13" s="5">
        <v>13</v>
      </c>
      <c r="G13" s="23">
        <v>91</v>
      </c>
      <c r="H13" s="33">
        <v>497.92899133360373</v>
      </c>
      <c r="I13" s="23">
        <v>27.32806986793857</v>
      </c>
      <c r="J13" s="5">
        <v>5392.1910745265459</v>
      </c>
      <c r="K13" s="31"/>
      <c r="L13" s="23">
        <v>1113667.776643347</v>
      </c>
      <c r="M13" s="33">
        <v>62.750725957994291</v>
      </c>
      <c r="N13" s="5">
        <v>25</v>
      </c>
      <c r="O13" s="5">
        <v>87</v>
      </c>
      <c r="P13" s="33">
        <v>229.38416160683917</v>
      </c>
      <c r="Q13" s="5">
        <v>14.020929635345533</v>
      </c>
      <c r="R13" s="5">
        <v>4452.7001137978023</v>
      </c>
      <c r="S13" s="31"/>
      <c r="T13" s="23">
        <v>1127068.9219911459</v>
      </c>
      <c r="U13" s="33">
        <v>59.125121791999852</v>
      </c>
      <c r="V13" s="5">
        <v>14</v>
      </c>
      <c r="W13" s="5">
        <v>89</v>
      </c>
      <c r="X13" s="33">
        <v>1476.1939431325548</v>
      </c>
      <c r="Y13" s="5">
        <v>44.963395244320488</v>
      </c>
      <c r="Z13" s="5">
        <v>6986.8762675059616</v>
      </c>
      <c r="AA13" s="35"/>
    </row>
    <row r="14" spans="2:27" x14ac:dyDescent="0.2">
      <c r="B14" s="46" t="s">
        <v>3</v>
      </c>
      <c r="C14" s="47"/>
      <c r="D14" s="9">
        <f>MIN(D4:D13)</f>
        <v>793937.47554643243</v>
      </c>
      <c r="E14" s="22">
        <f>INDEX(E4:E13, MATCH($D$14, D4:D13, 0))</f>
        <v>41.40769137499592</v>
      </c>
      <c r="F14" s="9">
        <f>INDEX(F4:F13, MATCH($D$14, D4:D13, 0))</f>
        <v>10</v>
      </c>
      <c r="G14" s="9">
        <f>INDEX(G4:G13, MATCH($D$14, D4:D13, 0))</f>
        <v>92</v>
      </c>
      <c r="H14" s="22">
        <f>INDEX(H4:H13, MATCH($D$14, D4:D13, 0))</f>
        <v>270.49609701845702</v>
      </c>
      <c r="I14" s="22">
        <f>INDEX(I4:I13, MATCH($D$14, D4:D13, 0))</f>
        <v>35.650306312003949</v>
      </c>
      <c r="J14" s="22">
        <f>INDEX(J4:J13, MATCH($D$14, D4:D13, 0))</f>
        <v>5018.9642985121291</v>
      </c>
      <c r="K14" s="32" t="e">
        <f>(D14-$D$15)/$D$15</f>
        <v>#DIV/0!</v>
      </c>
      <c r="L14" s="16">
        <f>MIN(L4:L13)</f>
        <v>1020836.606776237</v>
      </c>
      <c r="M14" s="21">
        <f>INDEX(M4:M13, MATCH($L$14, L4:L13, 0))</f>
        <v>60.892708667000988</v>
      </c>
      <c r="N14" s="16">
        <f>INDEX(N4:N13, MATCH($L$14, L4:L13, 0))</f>
        <v>18</v>
      </c>
      <c r="O14" s="16">
        <f>INDEX(O4:O13, MATCH($L$14, L4:L13, 0))</f>
        <v>83</v>
      </c>
      <c r="P14" s="21">
        <f>INDEX(P4:P13, MATCH($L$14, L4:L13, 0))</f>
        <v>227.0226690973</v>
      </c>
      <c r="Q14" s="21">
        <f>INDEX(Q4:Q13, MATCH($L$14, L4:L13, 0))</f>
        <v>17.27138490040555</v>
      </c>
      <c r="R14" s="21">
        <f>INDEX(R4:R13, MATCH($L$14, L4:L13, 0))</f>
        <v>4261.4244539569154</v>
      </c>
      <c r="S14" s="36" t="e">
        <f>(L14-$D$15)/$D$15</f>
        <v>#DIV/0!</v>
      </c>
      <c r="T14" s="38">
        <f>MIN(T4:T13)</f>
        <v>1007359.790738964</v>
      </c>
      <c r="U14" s="39">
        <f>INDEX(U4:U13, MATCH($T$14, T4:T13, 0))</f>
        <v>115.50450700000511</v>
      </c>
      <c r="V14" s="38">
        <f>INDEX(V4:V13, MATCH($T$14, T4:T13, 0))</f>
        <v>13</v>
      </c>
      <c r="W14" s="38">
        <f>INDEX(W4:W13, MATCH($T$14, T4:T13, 0))</f>
        <v>91</v>
      </c>
      <c r="X14" s="39">
        <f>INDEX(X4:X13, MATCH($T$14, T4:T13, 0))</f>
        <v>1110.9576959908063</v>
      </c>
      <c r="Y14" s="39">
        <f>INDEX(Y4:Y13, MATCH($T$14, T4:T13, 0))</f>
        <v>48.92341472123978</v>
      </c>
      <c r="Z14" s="39">
        <f>INDEX(Z4:Z13, MATCH($T$14, T4:T13, 0))</f>
        <v>6478.9226762851085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0.2857896726359212</v>
      </c>
      <c r="M15" s="45">
        <f t="shared" ref="M15:R15" si="0">(M14-E14)/E14</f>
        <v>0.47056516905386125</v>
      </c>
      <c r="N15" s="45">
        <f t="shared" si="0"/>
        <v>0.8</v>
      </c>
      <c r="O15" s="45">
        <f t="shared" si="0"/>
        <v>-9.7826086956521743E-2</v>
      </c>
      <c r="P15" s="45">
        <f t="shared" si="0"/>
        <v>-0.16071739444798963</v>
      </c>
      <c r="Q15" s="45">
        <f t="shared" si="0"/>
        <v>-0.51553333793965084</v>
      </c>
      <c r="R15" s="45">
        <f t="shared" si="0"/>
        <v>-0.15093549176665516</v>
      </c>
      <c r="S15"/>
      <c r="T15" s="45">
        <f>(T14-D14)/D14</f>
        <v>0.26881501600065211</v>
      </c>
      <c r="U15" s="45">
        <f t="shared" ref="U15:Z15" si="1">(U14-E14)/E14</f>
        <v>1.7894457083823956</v>
      </c>
      <c r="V15" s="45">
        <f t="shared" si="1"/>
        <v>0.3</v>
      </c>
      <c r="W15" s="45">
        <f>(W14-G14)/G14</f>
        <v>-1.0869565217391304E-2</v>
      </c>
      <c r="X15" s="45">
        <f t="shared" si="1"/>
        <v>3.10711174111692</v>
      </c>
      <c r="Y15" s="45">
        <f t="shared" si="1"/>
        <v>0.37231400743299065</v>
      </c>
      <c r="Z15" s="45">
        <f t="shared" si="1"/>
        <v>0.29088837675250723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3:C1048576">
    <cfRule type="duplicateValues" dxfId="91" priority="7"/>
    <cfRule type="duplicateValues" dxfId="90" priority="8"/>
  </conditionalFormatting>
  <conditionalFormatting sqref="C14">
    <cfRule type="duplicateValues" dxfId="89" priority="3"/>
    <cfRule type="duplicateValues" dxfId="88" priority="4"/>
  </conditionalFormatting>
  <conditionalFormatting sqref="C15">
    <cfRule type="duplicateValues" dxfId="87" priority="5"/>
    <cfRule type="duplicateValues" dxfId="86" priority="6"/>
  </conditionalFormatting>
  <conditionalFormatting sqref="C17:C32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76DD-0141-8147-BA69-A7AA8DC0E617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-0.41694606313440724</v>
      </c>
      <c r="J2" s="28" t="e">
        <f>(S14-J14)/J14</f>
        <v>#DIV/0!</v>
      </c>
      <c r="K2" s="28"/>
      <c r="L2" s="1" t="s">
        <v>19</v>
      </c>
      <c r="P2" s="1">
        <f>(P14-H14)/H14</f>
        <v>4.4033974746661748</v>
      </c>
      <c r="R2" s="1">
        <f>(R14-J14)/J14</f>
        <v>-8.3807578804878838E-2</v>
      </c>
      <c r="T2" s="1" t="s">
        <v>20</v>
      </c>
      <c r="X2" s="1">
        <f>(X14-P14)/P14</f>
        <v>3.1656396037103849</v>
      </c>
      <c r="Z2" s="1">
        <f>(Z14-R14)/R14</f>
        <v>0.43309708600536867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744590.43139660417</v>
      </c>
      <c r="E4" s="33">
        <v>66.981178750000254</v>
      </c>
      <c r="F4" s="5">
        <v>10</v>
      </c>
      <c r="G4" s="23">
        <v>91</v>
      </c>
      <c r="H4" s="33">
        <v>99.986101059381653</v>
      </c>
      <c r="I4" s="23">
        <v>33.388176523699762</v>
      </c>
      <c r="J4" s="5">
        <v>4421.7367502611323</v>
      </c>
      <c r="K4" s="31"/>
      <c r="L4" s="23">
        <v>1122228.5453935179</v>
      </c>
      <c r="M4" s="33">
        <v>126.62643362500241</v>
      </c>
      <c r="N4" s="5">
        <v>24</v>
      </c>
      <c r="O4" s="5">
        <v>86</v>
      </c>
      <c r="P4" s="33">
        <v>335.2696248870605</v>
      </c>
      <c r="Q4" s="5">
        <v>13.111279412748642</v>
      </c>
      <c r="R4" s="5">
        <v>4477.8734324124262</v>
      </c>
      <c r="S4" s="31"/>
      <c r="T4" s="23">
        <v>966387.19060163107</v>
      </c>
      <c r="U4" s="33">
        <v>46.473262874998909</v>
      </c>
      <c r="V4" s="5">
        <v>15</v>
      </c>
      <c r="W4" s="5">
        <v>89</v>
      </c>
      <c r="X4" s="33">
        <v>681.18572942233811</v>
      </c>
      <c r="Y4" s="5">
        <v>42.549448008204223</v>
      </c>
      <c r="Z4" s="5">
        <v>5676.6192024018055</v>
      </c>
      <c r="AA4" s="35"/>
    </row>
    <row r="5" spans="2:27" x14ac:dyDescent="0.2">
      <c r="B5" s="4">
        <v>2</v>
      </c>
      <c r="C5" s="4">
        <v>286</v>
      </c>
      <c r="D5" s="23">
        <v>816125.23077327048</v>
      </c>
      <c r="E5" s="33">
        <v>47.346898415999021</v>
      </c>
      <c r="F5" s="5">
        <v>11</v>
      </c>
      <c r="G5" s="23">
        <v>90</v>
      </c>
      <c r="H5" s="33">
        <v>251.64898351297805</v>
      </c>
      <c r="I5" s="23">
        <v>30.447741321447044</v>
      </c>
      <c r="J5" s="5">
        <v>4719.5129788349959</v>
      </c>
      <c r="K5" s="31"/>
      <c r="L5" s="23">
        <v>1105067.1646883611</v>
      </c>
      <c r="M5" s="33">
        <v>58.80501587499748</v>
      </c>
      <c r="N5" s="5">
        <v>17</v>
      </c>
      <c r="O5" s="5">
        <v>76</v>
      </c>
      <c r="P5" s="33">
        <v>87.546945419491848</v>
      </c>
      <c r="Q5" s="5">
        <v>15.577314109192725</v>
      </c>
      <c r="R5" s="5">
        <v>4189.795652579829</v>
      </c>
      <c r="S5" s="31"/>
      <c r="T5" s="23">
        <v>871251.17138439126</v>
      </c>
      <c r="U5" s="33">
        <v>49.597860957997909</v>
      </c>
      <c r="V5" s="5">
        <v>12</v>
      </c>
      <c r="W5" s="5">
        <v>91</v>
      </c>
      <c r="X5" s="33">
        <v>582.72247036086128</v>
      </c>
      <c r="Y5" s="5">
        <v>52.232073174163084</v>
      </c>
      <c r="Z5" s="5">
        <v>5633.3561513501236</v>
      </c>
      <c r="AA5" s="35"/>
    </row>
    <row r="6" spans="2:27" x14ac:dyDescent="0.2">
      <c r="B6" s="4">
        <v>3</v>
      </c>
      <c r="C6" s="4">
        <v>361</v>
      </c>
      <c r="D6" s="23">
        <v>785308.32530174521</v>
      </c>
      <c r="E6" s="33">
        <v>53.70336391699675</v>
      </c>
      <c r="F6" s="5">
        <v>11</v>
      </c>
      <c r="G6" s="23">
        <v>90</v>
      </c>
      <c r="H6" s="33">
        <v>125.73814449346303</v>
      </c>
      <c r="I6" s="23">
        <v>30.337425257849123</v>
      </c>
      <c r="J6" s="5">
        <v>4551.6507463729122</v>
      </c>
      <c r="K6" s="31"/>
      <c r="L6" s="23">
        <v>1104372.8786998929</v>
      </c>
      <c r="M6" s="33">
        <v>63.307802999996063</v>
      </c>
      <c r="N6" s="5">
        <v>20</v>
      </c>
      <c r="O6" s="5">
        <v>80</v>
      </c>
      <c r="P6" s="33">
        <v>193.05214105322466</v>
      </c>
      <c r="Q6" s="5">
        <v>14.159427267838913</v>
      </c>
      <c r="R6" s="5">
        <v>4205.3677942171025</v>
      </c>
      <c r="S6" s="31"/>
      <c r="T6" s="23">
        <v>916117.9822588868</v>
      </c>
      <c r="U6" s="33">
        <v>44.526529125003442</v>
      </c>
      <c r="V6" s="5">
        <v>12</v>
      </c>
      <c r="W6" s="5">
        <v>91</v>
      </c>
      <c r="X6" s="33">
        <v>715.77599246728289</v>
      </c>
      <c r="Y6" s="5">
        <v>51.438657477437971</v>
      </c>
      <c r="Z6" s="5">
        <v>5987.8038174859812</v>
      </c>
      <c r="AA6" s="35"/>
    </row>
    <row r="7" spans="2:27" x14ac:dyDescent="0.2">
      <c r="B7" s="4">
        <v>4</v>
      </c>
      <c r="C7" s="4">
        <v>440</v>
      </c>
      <c r="D7" s="23">
        <v>765940.28515642544</v>
      </c>
      <c r="E7" s="33">
        <v>41.880611959000817</v>
      </c>
      <c r="F7" s="5">
        <v>10</v>
      </c>
      <c r="G7" s="23">
        <v>90</v>
      </c>
      <c r="H7" s="33">
        <v>138.31564886254506</v>
      </c>
      <c r="I7" s="23">
        <v>33.614170126634136</v>
      </c>
      <c r="J7" s="5">
        <v>4477.6553145009257</v>
      </c>
      <c r="K7" s="31"/>
      <c r="L7" s="23">
        <v>1060135.928223341</v>
      </c>
      <c r="M7" s="33">
        <v>53.899332374996447</v>
      </c>
      <c r="N7" s="5">
        <v>24</v>
      </c>
      <c r="O7" s="5">
        <v>86</v>
      </c>
      <c r="P7" s="33">
        <v>111.05213893407135</v>
      </c>
      <c r="Q7" s="5">
        <v>13.365096244931266</v>
      </c>
      <c r="R7" s="5">
        <v>3941.515108223432</v>
      </c>
      <c r="S7" s="31"/>
      <c r="T7" s="23">
        <v>1026833.9473276261</v>
      </c>
      <c r="U7" s="33">
        <v>54.100668209001007</v>
      </c>
      <c r="V7" s="5">
        <v>15</v>
      </c>
      <c r="W7" s="5">
        <v>90</v>
      </c>
      <c r="X7" s="33">
        <v>1046.6436328518835</v>
      </c>
      <c r="Y7" s="5">
        <v>41.054012430959915</v>
      </c>
      <c r="Z7" s="5">
        <v>6100.4156197099182</v>
      </c>
      <c r="AA7" s="35"/>
    </row>
    <row r="8" spans="2:27" x14ac:dyDescent="0.2">
      <c r="B8" s="4">
        <v>5</v>
      </c>
      <c r="C8" s="4">
        <v>474</v>
      </c>
      <c r="D8" s="23">
        <v>849898.38318156917</v>
      </c>
      <c r="E8" s="33">
        <v>49.786513541999739</v>
      </c>
      <c r="F8" s="5">
        <v>13</v>
      </c>
      <c r="G8" s="23">
        <v>91</v>
      </c>
      <c r="H8" s="33">
        <v>224.31410366818326</v>
      </c>
      <c r="I8" s="23">
        <v>25.436799131997439</v>
      </c>
      <c r="J8" s="5">
        <v>4864.6170046939287</v>
      </c>
      <c r="K8" s="31"/>
      <c r="L8" s="23">
        <v>1046776.694114255</v>
      </c>
      <c r="M8" s="33">
        <v>105.5003541249971</v>
      </c>
      <c r="N8" s="5">
        <v>19</v>
      </c>
      <c r="O8" s="5">
        <v>79</v>
      </c>
      <c r="P8" s="33">
        <v>40.760665636667738</v>
      </c>
      <c r="Q8" s="5">
        <v>15.02889704797013</v>
      </c>
      <c r="R8" s="5">
        <v>3667.74530649485</v>
      </c>
      <c r="S8" s="31"/>
      <c r="T8" s="23">
        <v>929992.37291600415</v>
      </c>
      <c r="U8" s="33">
        <v>48.469963707997522</v>
      </c>
      <c r="V8" s="5">
        <v>14</v>
      </c>
      <c r="W8" s="5">
        <v>89</v>
      </c>
      <c r="X8" s="33">
        <v>545.787208816869</v>
      </c>
      <c r="Y8" s="5">
        <v>45.034133900555382</v>
      </c>
      <c r="Z8" s="5">
        <v>5547.599137502265</v>
      </c>
      <c r="AA8" s="35"/>
    </row>
    <row r="9" spans="2:27" x14ac:dyDescent="0.2">
      <c r="B9" s="4">
        <v>6</v>
      </c>
      <c r="C9" s="4">
        <v>479</v>
      </c>
      <c r="D9" s="23">
        <v>926977.24778274214</v>
      </c>
      <c r="E9" s="33">
        <v>42.188861707996693</v>
      </c>
      <c r="F9" s="5">
        <v>11</v>
      </c>
      <c r="G9" s="23">
        <v>91</v>
      </c>
      <c r="H9" s="33">
        <v>600.11615341898266</v>
      </c>
      <c r="I9" s="23">
        <v>29.489884442648421</v>
      </c>
      <c r="J9" s="5">
        <v>5767.1895250068101</v>
      </c>
      <c r="K9" s="31"/>
      <c r="L9" s="23">
        <v>1062661.286193735</v>
      </c>
      <c r="M9" s="33">
        <v>59.185772374999942</v>
      </c>
      <c r="N9" s="5">
        <v>25</v>
      </c>
      <c r="O9" s="5">
        <v>87</v>
      </c>
      <c r="P9" s="33">
        <v>38.507175948177817</v>
      </c>
      <c r="Q9" s="5">
        <v>13.132839696823066</v>
      </c>
      <c r="R9" s="5">
        <v>4072.1172597582718</v>
      </c>
      <c r="S9" s="31"/>
      <c r="T9" s="23">
        <v>949998.32165967533</v>
      </c>
      <c r="U9" s="33">
        <v>46.718216166002087</v>
      </c>
      <c r="V9" s="5">
        <v>13</v>
      </c>
      <c r="W9" s="5">
        <v>91</v>
      </c>
      <c r="X9" s="33">
        <v>782.01430843625292</v>
      </c>
      <c r="Y9" s="5">
        <v>48.218179006068489</v>
      </c>
      <c r="Z9" s="5">
        <v>6143.7068674729571</v>
      </c>
      <c r="AA9" s="35"/>
    </row>
    <row r="10" spans="2:27" x14ac:dyDescent="0.2">
      <c r="B10" s="4">
        <v>7</v>
      </c>
      <c r="C10" s="4">
        <v>587</v>
      </c>
      <c r="D10" s="23">
        <v>741007.74850304227</v>
      </c>
      <c r="E10" s="33">
        <v>52.547209874996042</v>
      </c>
      <c r="F10" s="5">
        <v>10</v>
      </c>
      <c r="G10" s="23">
        <v>90</v>
      </c>
      <c r="H10" s="33">
        <v>99.314783315956305</v>
      </c>
      <c r="I10" s="23">
        <v>33.627283069349531</v>
      </c>
      <c r="J10" s="5">
        <v>4281.4525490309225</v>
      </c>
      <c r="K10" s="31"/>
      <c r="L10" s="23">
        <v>1065381.806528456</v>
      </c>
      <c r="M10" s="33">
        <v>171.26807425000149</v>
      </c>
      <c r="N10" s="5">
        <v>21</v>
      </c>
      <c r="O10" s="5">
        <v>82</v>
      </c>
      <c r="P10" s="33">
        <v>77.479987458836817</v>
      </c>
      <c r="Q10" s="5">
        <v>14.660929873479187</v>
      </c>
      <c r="R10" s="5">
        <v>4016.8802290291051</v>
      </c>
      <c r="S10" s="31"/>
      <c r="T10" s="23">
        <v>913050.01166224107</v>
      </c>
      <c r="U10" s="33">
        <v>146.1410807919965</v>
      </c>
      <c r="V10" s="5">
        <v>12</v>
      </c>
      <c r="W10" s="5">
        <v>91</v>
      </c>
      <c r="X10" s="33">
        <v>765.43128340076362</v>
      </c>
      <c r="Y10" s="5">
        <v>53.192388902721632</v>
      </c>
      <c r="Z10" s="5">
        <v>5961.4538833756569</v>
      </c>
      <c r="AA10" s="35"/>
    </row>
    <row r="11" spans="2:27" x14ac:dyDescent="0.2">
      <c r="B11" s="4">
        <v>8</v>
      </c>
      <c r="C11" s="4">
        <v>919</v>
      </c>
      <c r="D11" s="23">
        <v>893857.90034584329</v>
      </c>
      <c r="E11" s="33">
        <v>59.133497208997142</v>
      </c>
      <c r="F11" s="5">
        <v>12</v>
      </c>
      <c r="G11" s="23">
        <v>90</v>
      </c>
      <c r="H11" s="33">
        <v>264.55140665080745</v>
      </c>
      <c r="I11" s="23">
        <v>27.321172958584132</v>
      </c>
      <c r="J11" s="5">
        <v>5309.3046136404928</v>
      </c>
      <c r="K11" s="31"/>
      <c r="L11" s="23">
        <v>1067998.589378769</v>
      </c>
      <c r="M11" s="33">
        <v>96.716356124998129</v>
      </c>
      <c r="N11" s="5">
        <v>16</v>
      </c>
      <c r="O11" s="5">
        <v>76</v>
      </c>
      <c r="P11" s="33">
        <v>50.104224698748517</v>
      </c>
      <c r="Q11" s="5">
        <v>17.222394682698827</v>
      </c>
      <c r="R11" s="5">
        <v>4033.3616616867466</v>
      </c>
      <c r="S11" s="31"/>
      <c r="T11" s="23">
        <v>965571.56415546429</v>
      </c>
      <c r="U11" s="33">
        <v>64.828916624996054</v>
      </c>
      <c r="V11" s="5">
        <v>13</v>
      </c>
      <c r="W11" s="5">
        <v>91</v>
      </c>
      <c r="X11" s="33">
        <v>953.44340913773169</v>
      </c>
      <c r="Y11" s="5">
        <v>49.1334708281004</v>
      </c>
      <c r="Z11" s="5">
        <v>6229.5557147194531</v>
      </c>
      <c r="AA11" s="35"/>
    </row>
    <row r="12" spans="2:27" x14ac:dyDescent="0.2">
      <c r="B12" s="4">
        <v>9</v>
      </c>
      <c r="C12" s="4">
        <v>981</v>
      </c>
      <c r="D12" s="23">
        <v>723993.23422906909</v>
      </c>
      <c r="E12" s="33">
        <v>60.413374916002788</v>
      </c>
      <c r="F12" s="5">
        <v>10</v>
      </c>
      <c r="G12" s="23">
        <v>91</v>
      </c>
      <c r="H12" s="33">
        <v>25.888873661327015</v>
      </c>
      <c r="I12" s="23">
        <v>34.169993236297167</v>
      </c>
      <c r="J12" s="5">
        <v>4290.4703113699143</v>
      </c>
      <c r="K12" s="31"/>
      <c r="L12" s="23">
        <v>1067696.975921385</v>
      </c>
      <c r="M12" s="33">
        <v>80.003342333999171</v>
      </c>
      <c r="N12" s="5">
        <v>18</v>
      </c>
      <c r="O12" s="5">
        <v>78</v>
      </c>
      <c r="P12" s="33">
        <v>29.313353542853129</v>
      </c>
      <c r="Q12" s="5">
        <v>15.896678008548154</v>
      </c>
      <c r="R12" s="5">
        <v>4010.0121859244045</v>
      </c>
      <c r="S12" s="31"/>
      <c r="T12" s="23">
        <v>979263.34351166862</v>
      </c>
      <c r="U12" s="33">
        <v>65.353331499994965</v>
      </c>
      <c r="V12" s="5">
        <v>15</v>
      </c>
      <c r="W12" s="5">
        <v>91</v>
      </c>
      <c r="X12" s="33">
        <v>854.3617388396874</v>
      </c>
      <c r="Y12" s="5">
        <v>44.171908978798655</v>
      </c>
      <c r="Z12" s="5">
        <v>5969.5430560741124</v>
      </c>
      <c r="AA12" s="35"/>
    </row>
    <row r="13" spans="2:27" x14ac:dyDescent="0.2">
      <c r="B13" s="4">
        <v>10</v>
      </c>
      <c r="C13" s="4">
        <v>987</v>
      </c>
      <c r="D13" s="23">
        <v>747611.1492160348</v>
      </c>
      <c r="E13" s="33">
        <v>34.348088750004543</v>
      </c>
      <c r="F13" s="5">
        <v>11</v>
      </c>
      <c r="G13" s="23">
        <v>91</v>
      </c>
      <c r="H13" s="33">
        <v>26.879642820081894</v>
      </c>
      <c r="I13" s="23">
        <v>31.808182748228628</v>
      </c>
      <c r="J13" s="5">
        <v>4388.8653812883131</v>
      </c>
      <c r="K13" s="31"/>
      <c r="L13" s="23">
        <v>1030805.876982309</v>
      </c>
      <c r="M13" s="33">
        <v>202.9895356670022</v>
      </c>
      <c r="N13" s="5">
        <v>20</v>
      </c>
      <c r="O13" s="5">
        <v>83</v>
      </c>
      <c r="P13" s="33">
        <v>139.88787456356604</v>
      </c>
      <c r="Q13" s="5">
        <v>15.094609709252669</v>
      </c>
      <c r="R13" s="5">
        <v>3930.8963826397871</v>
      </c>
      <c r="S13" s="31"/>
      <c r="T13" s="23">
        <v>1050595.968390293</v>
      </c>
      <c r="U13" s="33">
        <v>49.41079250000621</v>
      </c>
      <c r="V13" s="5">
        <v>14</v>
      </c>
      <c r="W13" s="5">
        <v>89</v>
      </c>
      <c r="X13" s="33">
        <v>1098.9652236815025</v>
      </c>
      <c r="Y13" s="5">
        <v>46.06307357761834</v>
      </c>
      <c r="Z13" s="5">
        <v>6455.4515904011323</v>
      </c>
      <c r="AA13" s="35"/>
    </row>
    <row r="14" spans="2:27" x14ac:dyDescent="0.2">
      <c r="B14" s="46" t="s">
        <v>3</v>
      </c>
      <c r="C14" s="47"/>
      <c r="D14" s="9">
        <f>MIN(D4:D13)</f>
        <v>723993.23422906909</v>
      </c>
      <c r="E14" s="22">
        <f>INDEX(E4:E13, MATCH($D$14, D4:D13, 0))</f>
        <v>60.413374916002788</v>
      </c>
      <c r="F14" s="9">
        <f>INDEX(F4:F13, MATCH($D$14, D4:D13, 0))</f>
        <v>10</v>
      </c>
      <c r="G14" s="9">
        <f>INDEX(G4:G13, MATCH($D$14, D4:D13, 0))</f>
        <v>91</v>
      </c>
      <c r="H14" s="22">
        <f>INDEX(H4:H13, MATCH($D$14, D4:D13, 0))</f>
        <v>25.888873661327015</v>
      </c>
      <c r="I14" s="22">
        <f>INDEX(I4:I13, MATCH($D$14, D4:D13, 0))</f>
        <v>34.169993236297167</v>
      </c>
      <c r="J14" s="22">
        <f>INDEX(J4:J13, MATCH($D$14, D4:D13, 0))</f>
        <v>4290.4703113699143</v>
      </c>
      <c r="K14" s="32" t="e">
        <f>(D14-$D$15)/$D$15</f>
        <v>#DIV/0!</v>
      </c>
      <c r="L14" s="16">
        <f>MIN(L4:L13)</f>
        <v>1030805.876982309</v>
      </c>
      <c r="M14" s="21">
        <f>INDEX(M4:M13, MATCH($L$14, L4:L13, 0))</f>
        <v>202.9895356670022</v>
      </c>
      <c r="N14" s="16">
        <f>INDEX(N4:N13, MATCH($L$14, L4:L13, 0))</f>
        <v>20</v>
      </c>
      <c r="O14" s="16">
        <f>INDEX(O4:O13, MATCH($L$14, L4:L13, 0))</f>
        <v>83</v>
      </c>
      <c r="P14" s="21">
        <f>INDEX(P4:P13, MATCH($L$14, L4:L13, 0))</f>
        <v>139.88787456356604</v>
      </c>
      <c r="Q14" s="21">
        <f>INDEX(Q4:Q13, MATCH($L$14, L4:L13, 0))</f>
        <v>15.094609709252669</v>
      </c>
      <c r="R14" s="21">
        <f>INDEX(R4:R13, MATCH($L$14, L4:L13, 0))</f>
        <v>3930.8963826397871</v>
      </c>
      <c r="S14" s="36" t="e">
        <f>(L14-$D$15)/$D$15</f>
        <v>#DIV/0!</v>
      </c>
      <c r="T14" s="38">
        <f>MIN(T4:T13)</f>
        <v>871251.17138439126</v>
      </c>
      <c r="U14" s="39">
        <f>INDEX(U4:U13, MATCH($T$14, T4:T13, 0))</f>
        <v>49.597860957997909</v>
      </c>
      <c r="V14" s="38">
        <f>INDEX(V4:V13, MATCH($T$14, T4:T13, 0))</f>
        <v>12</v>
      </c>
      <c r="W14" s="38">
        <f>INDEX(W4:W13, MATCH($T$14, T4:T13, 0))</f>
        <v>91</v>
      </c>
      <c r="X14" s="39">
        <f>INDEX(X4:X13, MATCH($T$14, T4:T13, 0))</f>
        <v>582.72247036086128</v>
      </c>
      <c r="Y14" s="39">
        <f>INDEX(Y4:Y13, MATCH($T$14, T4:T13, 0))</f>
        <v>52.232073174163084</v>
      </c>
      <c r="Z14" s="39">
        <f>INDEX(Z4:Z13, MATCH($T$14, T4:T13, 0))</f>
        <v>5633.3561513501236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0.42377832864687442</v>
      </c>
      <c r="M15" s="45">
        <f t="shared" ref="M15:R15" si="0">(M14-E14)/E14</f>
        <v>2.3600098645247622</v>
      </c>
      <c r="N15" s="45">
        <f t="shared" si="0"/>
        <v>1</v>
      </c>
      <c r="O15" s="45">
        <f t="shared" si="0"/>
        <v>-8.7912087912087919E-2</v>
      </c>
      <c r="P15" s="45">
        <f t="shared" si="0"/>
        <v>4.4033974746661748</v>
      </c>
      <c r="Q15" s="45">
        <f t="shared" si="0"/>
        <v>-0.55824955524959308</v>
      </c>
      <c r="R15" s="45">
        <f t="shared" si="0"/>
        <v>-8.3807578804878838E-2</v>
      </c>
      <c r="S15"/>
      <c r="T15" s="45">
        <f>(T14-D14)/D14</f>
        <v>0.20339684156320478</v>
      </c>
      <c r="U15" s="45">
        <f t="shared" ref="U15:Z15" si="1">(U14-E14)/E14</f>
        <v>-0.17902515747617961</v>
      </c>
      <c r="V15" s="45">
        <f t="shared" si="1"/>
        <v>0.2</v>
      </c>
      <c r="W15" s="45">
        <f>(W14-G14)/G14</f>
        <v>0</v>
      </c>
      <c r="X15" s="45">
        <f t="shared" si="1"/>
        <v>21.508606515058101</v>
      </c>
      <c r="Y15" s="45">
        <f t="shared" si="1"/>
        <v>0.52859477650347975</v>
      </c>
      <c r="Z15" s="45">
        <f t="shared" si="1"/>
        <v>0.31299268903493149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3:C1048576">
    <cfRule type="duplicateValues" dxfId="85" priority="7"/>
    <cfRule type="duplicateValues" dxfId="84" priority="8"/>
  </conditionalFormatting>
  <conditionalFormatting sqref="C14">
    <cfRule type="duplicateValues" dxfId="83" priority="3"/>
    <cfRule type="duplicateValues" dxfId="82" priority="4"/>
  </conditionalFormatting>
  <conditionalFormatting sqref="C15">
    <cfRule type="duplicateValues" dxfId="81" priority="5"/>
    <cfRule type="duplicateValues" dxfId="80" priority="6"/>
  </conditionalFormatting>
  <conditionalFormatting sqref="C17:C32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B3D5-A5D4-2D40-BFF2-CE42D71E8A60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-0.93967399843313659</v>
      </c>
      <c r="J2" s="28" t="e">
        <f>(S14-J14)/J14</f>
        <v>#DIV/0!</v>
      </c>
      <c r="K2" s="28"/>
      <c r="L2" s="1" t="s">
        <v>19</v>
      </c>
      <c r="P2" s="1">
        <f>(P14-H14)/H14</f>
        <v>-0.45865313986734929</v>
      </c>
      <c r="R2" s="1">
        <f>(R14-J14)/J14</f>
        <v>-0.10225271816721457</v>
      </c>
      <c r="T2" s="1" t="s">
        <v>20</v>
      </c>
      <c r="X2" s="1">
        <f>(X14-P14)/P14</f>
        <v>6.6113977817469509</v>
      </c>
      <c r="Z2" s="1">
        <f>(Z14-R14)/R14</f>
        <v>0.40034223585622608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52</v>
      </c>
      <c r="D4" s="23">
        <v>835108.58226165338</v>
      </c>
      <c r="E4" s="33">
        <v>35.605209207999003</v>
      </c>
      <c r="F4" s="5">
        <v>10</v>
      </c>
      <c r="G4" s="23">
        <v>93</v>
      </c>
      <c r="H4" s="33">
        <v>442.92870379321766</v>
      </c>
      <c r="I4" s="23">
        <v>36.516837789837624</v>
      </c>
      <c r="J4" s="5">
        <v>5567.0702537138477</v>
      </c>
      <c r="K4" s="31"/>
      <c r="L4" s="23">
        <v>1068829.592002593</v>
      </c>
      <c r="M4" s="33">
        <v>58.018969290998939</v>
      </c>
      <c r="N4" s="5">
        <v>22</v>
      </c>
      <c r="O4" s="5">
        <v>88</v>
      </c>
      <c r="P4" s="33">
        <v>245.29617991584431</v>
      </c>
      <c r="Q4" s="5">
        <v>14.713960484705579</v>
      </c>
      <c r="R4" s="5">
        <v>4805.4632737589618</v>
      </c>
      <c r="S4" s="31"/>
      <c r="T4" s="23">
        <v>992372.35651588684</v>
      </c>
      <c r="U4" s="33">
        <v>100.0594180830012</v>
      </c>
      <c r="V4" s="5">
        <v>15</v>
      </c>
      <c r="W4" s="5">
        <v>89</v>
      </c>
      <c r="X4" s="33">
        <v>867.70190202073445</v>
      </c>
      <c r="Y4" s="5">
        <v>44.600780306502344</v>
      </c>
      <c r="Z4" s="5">
        <v>5986.6913206404688</v>
      </c>
      <c r="AA4" s="35"/>
    </row>
    <row r="5" spans="2:27" x14ac:dyDescent="0.2">
      <c r="B5" s="4">
        <v>2</v>
      </c>
      <c r="C5" s="4">
        <v>63</v>
      </c>
      <c r="D5" s="23">
        <v>847500.58504980046</v>
      </c>
      <c r="E5" s="33">
        <v>40.313286249998782</v>
      </c>
      <c r="F5" s="5">
        <v>11</v>
      </c>
      <c r="G5" s="23">
        <v>93</v>
      </c>
      <c r="H5" s="33">
        <v>420.26360164126095</v>
      </c>
      <c r="I5" s="23">
        <v>33.41016041277436</v>
      </c>
      <c r="J5" s="5">
        <v>5546.8989184561278</v>
      </c>
      <c r="K5" s="31"/>
      <c r="L5" s="23">
        <v>1060713.623557315</v>
      </c>
      <c r="M5" s="33">
        <v>60.308789833994517</v>
      </c>
      <c r="N5" s="5">
        <v>21</v>
      </c>
      <c r="O5" s="5">
        <v>87</v>
      </c>
      <c r="P5" s="33">
        <v>264.22763813778533</v>
      </c>
      <c r="Q5" s="5">
        <v>15.017165817907927</v>
      </c>
      <c r="R5" s="5">
        <v>4754.1053802534143</v>
      </c>
      <c r="S5" s="31"/>
      <c r="T5" s="23">
        <v>1033634.562077465</v>
      </c>
      <c r="U5" s="33">
        <v>55.347406207998567</v>
      </c>
      <c r="V5" s="5">
        <v>16</v>
      </c>
      <c r="W5" s="5">
        <v>90</v>
      </c>
      <c r="X5" s="33">
        <v>1033.7153133957067</v>
      </c>
      <c r="Y5" s="5">
        <v>44.12319073687398</v>
      </c>
      <c r="Z5" s="5">
        <v>6281.3159960262274</v>
      </c>
      <c r="AA5" s="35"/>
    </row>
    <row r="6" spans="2:27" x14ac:dyDescent="0.2">
      <c r="B6" s="4">
        <v>3</v>
      </c>
      <c r="C6" s="4">
        <v>107</v>
      </c>
      <c r="D6" s="23">
        <v>777422.47653124412</v>
      </c>
      <c r="E6" s="33">
        <v>33.494046957996026</v>
      </c>
      <c r="F6" s="5">
        <v>11</v>
      </c>
      <c r="G6" s="23">
        <v>93</v>
      </c>
      <c r="H6" s="33">
        <v>195.51517298166976</v>
      </c>
      <c r="I6" s="23">
        <v>31.11382898345887</v>
      </c>
      <c r="J6" s="5">
        <v>4882.0155720881976</v>
      </c>
      <c r="K6" s="31"/>
      <c r="L6" s="23">
        <v>1190932.605853586</v>
      </c>
      <c r="M6" s="33">
        <v>60.814019249999554</v>
      </c>
      <c r="N6" s="5">
        <v>24</v>
      </c>
      <c r="O6" s="5">
        <v>89</v>
      </c>
      <c r="P6" s="33">
        <v>721.73795686049914</v>
      </c>
      <c r="Q6" s="5">
        <v>13.612287578936366</v>
      </c>
      <c r="R6" s="5">
        <v>5549.7447683345636</v>
      </c>
      <c r="S6" s="31"/>
      <c r="T6" s="23">
        <v>1122516.0935562269</v>
      </c>
      <c r="U6" s="33">
        <v>62.698406708994298</v>
      </c>
      <c r="V6" s="5">
        <v>15</v>
      </c>
      <c r="W6" s="5">
        <v>89</v>
      </c>
      <c r="X6" s="33">
        <v>1542.2712334886662</v>
      </c>
      <c r="Y6" s="5">
        <v>45.636653090301294</v>
      </c>
      <c r="Z6" s="5">
        <v>7011.7976650629516</v>
      </c>
      <c r="AA6" s="35"/>
    </row>
    <row r="7" spans="2:27" x14ac:dyDescent="0.2">
      <c r="B7" s="4">
        <v>4</v>
      </c>
      <c r="C7" s="4">
        <v>185</v>
      </c>
      <c r="D7" s="23">
        <v>753742.61379670154</v>
      </c>
      <c r="E7" s="33">
        <v>41.515431958003319</v>
      </c>
      <c r="F7" s="5">
        <v>10</v>
      </c>
      <c r="G7" s="23">
        <v>93</v>
      </c>
      <c r="H7" s="33">
        <v>186.55461836902035</v>
      </c>
      <c r="I7" s="23">
        <v>34.266178061414919</v>
      </c>
      <c r="J7" s="5">
        <v>4891.8844047414395</v>
      </c>
      <c r="K7" s="31"/>
      <c r="L7" s="23">
        <v>1034635.295006755</v>
      </c>
      <c r="M7" s="33">
        <v>101.2937366250044</v>
      </c>
      <c r="N7" s="5">
        <v>23</v>
      </c>
      <c r="O7" s="5">
        <v>90</v>
      </c>
      <c r="P7" s="33">
        <v>241.98297073698615</v>
      </c>
      <c r="Q7" s="5">
        <v>14.787618441737953</v>
      </c>
      <c r="R7" s="5">
        <v>4591.74679654383</v>
      </c>
      <c r="S7" s="31"/>
      <c r="T7" s="23">
        <v>979211.03305357194</v>
      </c>
      <c r="U7" s="33">
        <v>58.639159457998183</v>
      </c>
      <c r="V7" s="5">
        <v>16</v>
      </c>
      <c r="W7" s="5">
        <v>92</v>
      </c>
      <c r="X7" s="33">
        <v>1017.6230259775988</v>
      </c>
      <c r="Y7" s="5">
        <v>45.257511549914994</v>
      </c>
      <c r="Z7" s="5">
        <v>6080.1910593721877</v>
      </c>
      <c r="AA7" s="35"/>
    </row>
    <row r="8" spans="2:27" x14ac:dyDescent="0.2">
      <c r="B8" s="4">
        <v>5</v>
      </c>
      <c r="C8" s="4">
        <v>217</v>
      </c>
      <c r="D8" s="23">
        <v>851259.25855758763</v>
      </c>
      <c r="E8" s="33">
        <v>56.047313957998988</v>
      </c>
      <c r="F8" s="5">
        <v>11</v>
      </c>
      <c r="G8" s="23">
        <v>93</v>
      </c>
      <c r="H8" s="33">
        <v>416.40610091417221</v>
      </c>
      <c r="I8" s="23">
        <v>32.424513495396695</v>
      </c>
      <c r="J8" s="5">
        <v>5544.5918780198772</v>
      </c>
      <c r="K8" s="31"/>
      <c r="L8" s="23">
        <v>1001237.630593575</v>
      </c>
      <c r="M8" s="33">
        <v>83.295740707995719</v>
      </c>
      <c r="N8" s="5">
        <v>22</v>
      </c>
      <c r="O8" s="5">
        <v>89</v>
      </c>
      <c r="P8" s="33">
        <v>133.69725970937708</v>
      </c>
      <c r="Q8" s="5">
        <v>14.898804616206478</v>
      </c>
      <c r="R8" s="5">
        <v>4341.9322103460745</v>
      </c>
      <c r="S8" s="31"/>
      <c r="T8" s="23">
        <v>1047361.528458261</v>
      </c>
      <c r="U8" s="33">
        <v>82.317757166994852</v>
      </c>
      <c r="V8" s="5">
        <v>17</v>
      </c>
      <c r="W8" s="5">
        <v>92</v>
      </c>
      <c r="X8" s="33">
        <v>1175.5829934909061</v>
      </c>
      <c r="Y8" s="5">
        <v>44.184702499715115</v>
      </c>
      <c r="Z8" s="5">
        <v>6491.3694789687279</v>
      </c>
      <c r="AA8" s="35"/>
    </row>
    <row r="9" spans="2:27" x14ac:dyDescent="0.2">
      <c r="B9" s="4">
        <v>6</v>
      </c>
      <c r="C9" s="4">
        <v>561</v>
      </c>
      <c r="D9" s="23">
        <v>752440.24874209531</v>
      </c>
      <c r="E9" s="33">
        <v>59.439970708001063</v>
      </c>
      <c r="F9" s="5">
        <v>10</v>
      </c>
      <c r="G9" s="23">
        <v>93</v>
      </c>
      <c r="H9" s="33">
        <v>246.97152520034223</v>
      </c>
      <c r="I9" s="23">
        <v>36.271765561737119</v>
      </c>
      <c r="J9" s="5">
        <v>4836.4749169519664</v>
      </c>
      <c r="K9" s="31"/>
      <c r="L9" s="23">
        <v>1073765.857219361</v>
      </c>
      <c r="M9" s="33">
        <v>71.294110333998105</v>
      </c>
      <c r="N9" s="5">
        <v>21</v>
      </c>
      <c r="O9" s="5">
        <v>87</v>
      </c>
      <c r="P9" s="33">
        <v>285.347112441013</v>
      </c>
      <c r="Q9" s="5">
        <v>15.229764344693134</v>
      </c>
      <c r="R9" s="5">
        <v>4915.8350833946924</v>
      </c>
      <c r="S9" s="31"/>
      <c r="T9" s="23">
        <v>1098149.644663923</v>
      </c>
      <c r="U9" s="33">
        <v>40.597084500004712</v>
      </c>
      <c r="V9" s="5">
        <v>17</v>
      </c>
      <c r="W9" s="5">
        <v>89</v>
      </c>
      <c r="X9" s="33">
        <v>1072.4556896433526</v>
      </c>
      <c r="Y9" s="5">
        <v>36.099251896480752</v>
      </c>
      <c r="Z9" s="5">
        <v>6375.4630022734809</v>
      </c>
      <c r="AA9" s="35"/>
    </row>
    <row r="10" spans="2:27" x14ac:dyDescent="0.2">
      <c r="B10" s="4">
        <v>7</v>
      </c>
      <c r="C10" s="4">
        <v>574</v>
      </c>
      <c r="D10" s="23">
        <v>888304.12164128944</v>
      </c>
      <c r="E10" s="33">
        <v>56.834431166003917</v>
      </c>
      <c r="F10" s="5">
        <v>12</v>
      </c>
      <c r="G10" s="23">
        <v>93</v>
      </c>
      <c r="H10" s="33">
        <v>475.60624852681246</v>
      </c>
      <c r="I10" s="23">
        <v>28.890557336671947</v>
      </c>
      <c r="J10" s="5">
        <v>5597.0255633152283</v>
      </c>
      <c r="K10" s="31"/>
      <c r="L10" s="23">
        <v>1172497.176156309</v>
      </c>
      <c r="M10" s="33">
        <v>88.314958041999489</v>
      </c>
      <c r="N10" s="5">
        <v>24</v>
      </c>
      <c r="O10" s="5">
        <v>89</v>
      </c>
      <c r="P10" s="33">
        <v>588.65796444998193</v>
      </c>
      <c r="Q10" s="5">
        <v>13.455353684663509</v>
      </c>
      <c r="R10" s="5">
        <v>5370.2688182292532</v>
      </c>
      <c r="S10" s="31"/>
      <c r="T10" s="23">
        <v>1318585.3688797241</v>
      </c>
      <c r="U10" s="33">
        <v>40.762636124993151</v>
      </c>
      <c r="V10" s="5">
        <v>19</v>
      </c>
      <c r="W10" s="5">
        <v>90</v>
      </c>
      <c r="X10" s="33">
        <v>2247.0706268076501</v>
      </c>
      <c r="Y10" s="5">
        <v>38.43392078485423</v>
      </c>
      <c r="Z10" s="5">
        <v>7800.6878478195167</v>
      </c>
      <c r="AA10" s="35"/>
    </row>
    <row r="11" spans="2:27" x14ac:dyDescent="0.2">
      <c r="B11" s="4">
        <v>8</v>
      </c>
      <c r="C11" s="4">
        <v>805</v>
      </c>
      <c r="D11" s="23">
        <v>798316.48713258177</v>
      </c>
      <c r="E11" s="33">
        <v>33.865642541997659</v>
      </c>
      <c r="F11" s="5">
        <v>10</v>
      </c>
      <c r="G11" s="23">
        <v>93</v>
      </c>
      <c r="H11" s="33">
        <v>365.31577745040244</v>
      </c>
      <c r="I11" s="23">
        <v>35.770846677934365</v>
      </c>
      <c r="J11" s="5">
        <v>5237.7886852110332</v>
      </c>
      <c r="K11" s="31"/>
      <c r="L11" s="23">
        <v>1117163.06485895</v>
      </c>
      <c r="M11" s="33">
        <v>69.4159876670019</v>
      </c>
      <c r="N11" s="5">
        <v>24</v>
      </c>
      <c r="O11" s="5">
        <v>89</v>
      </c>
      <c r="P11" s="33">
        <v>395.44371670587623</v>
      </c>
      <c r="Q11" s="5">
        <v>13.557047240092418</v>
      </c>
      <c r="R11" s="5">
        <v>4943.1630514767749</v>
      </c>
      <c r="S11" s="31"/>
      <c r="T11" s="23">
        <v>1029346.677820891</v>
      </c>
      <c r="U11" s="33">
        <v>99.646398874996521</v>
      </c>
      <c r="V11" s="5">
        <v>16</v>
      </c>
      <c r="W11" s="5">
        <v>90</v>
      </c>
      <c r="X11" s="33">
        <v>976.57863169312918</v>
      </c>
      <c r="Y11" s="5">
        <v>42.436096189235506</v>
      </c>
      <c r="Z11" s="5">
        <v>6218.6627045943296</v>
      </c>
      <c r="AA11" s="35"/>
    </row>
    <row r="12" spans="2:27" x14ac:dyDescent="0.2">
      <c r="B12" s="4">
        <v>9</v>
      </c>
      <c r="C12" s="4">
        <v>970</v>
      </c>
      <c r="D12" s="23">
        <v>851082.55783354875</v>
      </c>
      <c r="E12" s="33">
        <v>31.311019834000039</v>
      </c>
      <c r="F12" s="5">
        <v>11</v>
      </c>
      <c r="G12" s="23">
        <v>93</v>
      </c>
      <c r="H12" s="33">
        <v>476.33597644813295</v>
      </c>
      <c r="I12" s="23">
        <v>32.827204200001205</v>
      </c>
      <c r="J12" s="5">
        <v>5446.5733535832333</v>
      </c>
      <c r="K12" s="31"/>
      <c r="L12" s="23">
        <v>1079056.772484811</v>
      </c>
      <c r="M12" s="33">
        <v>59.171186999999918</v>
      </c>
      <c r="N12" s="5">
        <v>23</v>
      </c>
      <c r="O12" s="5">
        <v>88</v>
      </c>
      <c r="P12" s="33">
        <v>350.70408048380017</v>
      </c>
      <c r="Q12" s="5">
        <v>14.036972547608626</v>
      </c>
      <c r="R12" s="5">
        <v>4683.0190898995634</v>
      </c>
      <c r="S12" s="31"/>
      <c r="T12" s="23">
        <v>1011612.809298133</v>
      </c>
      <c r="U12" s="33">
        <v>91.045106375000614</v>
      </c>
      <c r="V12" s="5">
        <v>16</v>
      </c>
      <c r="W12" s="5">
        <v>90</v>
      </c>
      <c r="X12" s="33">
        <v>940.64094395967368</v>
      </c>
      <c r="Y12" s="5">
        <v>44.519250710103158</v>
      </c>
      <c r="Z12" s="5">
        <v>6154.6653406336218</v>
      </c>
      <c r="AA12" s="35"/>
    </row>
    <row r="13" spans="2:27" x14ac:dyDescent="0.2">
      <c r="B13" s="4">
        <v>10</v>
      </c>
      <c r="C13" s="4">
        <v>993</v>
      </c>
      <c r="D13" s="23">
        <v>775967.832807914</v>
      </c>
      <c r="E13" s="33">
        <v>38.135496208000397</v>
      </c>
      <c r="F13" s="5">
        <v>10</v>
      </c>
      <c r="G13" s="23">
        <v>93</v>
      </c>
      <c r="H13" s="33">
        <v>291.62753010876719</v>
      </c>
      <c r="I13" s="23">
        <v>35.51039137827722</v>
      </c>
      <c r="J13" s="5">
        <v>5029.2443057472974</v>
      </c>
      <c r="K13" s="31"/>
      <c r="L13" s="23">
        <v>1037188.208431399</v>
      </c>
      <c r="M13" s="33">
        <v>130.53642450000191</v>
      </c>
      <c r="N13" s="5">
        <v>24</v>
      </c>
      <c r="O13" s="5">
        <v>90</v>
      </c>
      <c r="P13" s="33">
        <v>210.0788627460079</v>
      </c>
      <c r="Q13" s="5">
        <v>13.980318485508969</v>
      </c>
      <c r="R13" s="5">
        <v>4450.5323276219187</v>
      </c>
      <c r="S13" s="31"/>
      <c r="T13" s="23">
        <v>1046109.069079075</v>
      </c>
      <c r="U13" s="33">
        <v>69.859247249994951</v>
      </c>
      <c r="V13" s="5">
        <v>15</v>
      </c>
      <c r="W13" s="5">
        <v>90</v>
      </c>
      <c r="X13" s="33">
        <v>1128.635420899898</v>
      </c>
      <c r="Y13" s="5">
        <v>44.569519315719987</v>
      </c>
      <c r="Z13" s="5">
        <v>6536.8050463149593</v>
      </c>
      <c r="AA13" s="35"/>
    </row>
    <row r="14" spans="2:27" x14ac:dyDescent="0.2">
      <c r="B14" s="46" t="s">
        <v>3</v>
      </c>
      <c r="C14" s="47"/>
      <c r="D14" s="9">
        <f>MIN(D4:D13)</f>
        <v>752440.24874209531</v>
      </c>
      <c r="E14" s="22">
        <f>INDEX(E4:E13, MATCH($D$14, D4:D13, 0))</f>
        <v>59.439970708001063</v>
      </c>
      <c r="F14" s="9">
        <f>INDEX(F4:F13, MATCH($D$14, D4:D13, 0))</f>
        <v>10</v>
      </c>
      <c r="G14" s="9">
        <f>INDEX(G4:G13, MATCH($D$14, D4:D13, 0))</f>
        <v>93</v>
      </c>
      <c r="H14" s="22">
        <f>INDEX(H4:H13, MATCH($D$14, D4:D13, 0))</f>
        <v>246.97152520034223</v>
      </c>
      <c r="I14" s="22">
        <f>INDEX(I4:I13, MATCH($D$14, D4:D13, 0))</f>
        <v>36.271765561737119</v>
      </c>
      <c r="J14" s="22">
        <f>INDEX(J4:J13, MATCH($D$14, D4:D13, 0))</f>
        <v>4836.4749169519664</v>
      </c>
      <c r="K14" s="32" t="e">
        <f>(D14-$D$15)/$D$15</f>
        <v>#DIV/0!</v>
      </c>
      <c r="L14" s="16">
        <f>MIN(L4:L13)</f>
        <v>1001237.630593575</v>
      </c>
      <c r="M14" s="21">
        <f>INDEX(M4:M13, MATCH($L$14, L4:L13, 0))</f>
        <v>83.295740707995719</v>
      </c>
      <c r="N14" s="16">
        <f>INDEX(N4:N13, MATCH($L$14, L4:L13, 0))</f>
        <v>22</v>
      </c>
      <c r="O14" s="16">
        <f>INDEX(O4:O13, MATCH($L$14, L4:L13, 0))</f>
        <v>89</v>
      </c>
      <c r="P14" s="21">
        <f>INDEX(P4:P13, MATCH($L$14, L4:L13, 0))</f>
        <v>133.69725970937708</v>
      </c>
      <c r="Q14" s="21">
        <f>INDEX(Q4:Q13, MATCH($L$14, L4:L13, 0))</f>
        <v>14.898804616206478</v>
      </c>
      <c r="R14" s="21">
        <f>INDEX(R4:R13, MATCH($L$14, L4:L13, 0))</f>
        <v>4341.9322103460745</v>
      </c>
      <c r="S14" s="36" t="e">
        <f>(L14-$D$15)/$D$15</f>
        <v>#DIV/0!</v>
      </c>
      <c r="T14" s="38">
        <f>MIN(T4:T13)</f>
        <v>979211.03305357194</v>
      </c>
      <c r="U14" s="39">
        <f>INDEX(U4:U13, MATCH($T$14, T4:T13, 0))</f>
        <v>58.639159457998183</v>
      </c>
      <c r="V14" s="38">
        <f>INDEX(V4:V13, MATCH($T$14, T4:T13, 0))</f>
        <v>16</v>
      </c>
      <c r="W14" s="38">
        <f>INDEX(W4:W13, MATCH($T$14, T4:T13, 0))</f>
        <v>92</v>
      </c>
      <c r="X14" s="39">
        <f>INDEX(X4:X13, MATCH($T$14, T4:T13, 0))</f>
        <v>1017.6230259775988</v>
      </c>
      <c r="Y14" s="39">
        <f>INDEX(Y4:Y13, MATCH($T$14, T4:T13, 0))</f>
        <v>45.257511549914994</v>
      </c>
      <c r="Z14" s="39">
        <f>INDEX(Z4:Z13, MATCH($T$14, T4:T13, 0))</f>
        <v>6080.1910593721877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0.33065400510859283</v>
      </c>
      <c r="M15" s="45">
        <f t="shared" ref="M15:R15" si="0">(M14-E14)/E14</f>
        <v>0.4013422233531399</v>
      </c>
      <c r="N15" s="45">
        <f t="shared" si="0"/>
        <v>1.2</v>
      </c>
      <c r="O15" s="45">
        <f t="shared" si="0"/>
        <v>-4.3010752688172046E-2</v>
      </c>
      <c r="P15" s="45">
        <f t="shared" si="0"/>
        <v>-0.45865313986734929</v>
      </c>
      <c r="Q15" s="45">
        <f t="shared" si="0"/>
        <v>-0.58924512260513884</v>
      </c>
      <c r="R15" s="45">
        <f t="shared" si="0"/>
        <v>-0.10225271816721457</v>
      </c>
      <c r="S15"/>
      <c r="T15" s="45">
        <f>(T14-D14)/D14</f>
        <v>0.30138045471462288</v>
      </c>
      <c r="U15" s="45">
        <f t="shared" ref="U15:Z15" si="1">(U14-E14)/E14</f>
        <v>-1.3472605057914084E-2</v>
      </c>
      <c r="V15" s="45">
        <f t="shared" si="1"/>
        <v>0.6</v>
      </c>
      <c r="W15" s="45">
        <f>(W14-G14)/G14</f>
        <v>-1.0752688172043012E-2</v>
      </c>
      <c r="X15" s="45">
        <f t="shared" si="1"/>
        <v>3.1204062903693348</v>
      </c>
      <c r="Y15" s="45">
        <f t="shared" si="1"/>
        <v>0.24773390125946579</v>
      </c>
      <c r="Z15" s="45">
        <f t="shared" si="1"/>
        <v>0.25715343587557227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3:C1048576">
    <cfRule type="duplicateValues" dxfId="79" priority="7"/>
    <cfRule type="duplicateValues" dxfId="78" priority="8"/>
  </conditionalFormatting>
  <conditionalFormatting sqref="C14">
    <cfRule type="duplicateValues" dxfId="77" priority="3"/>
    <cfRule type="duplicateValues" dxfId="76" priority="4"/>
  </conditionalFormatting>
  <conditionalFormatting sqref="C15">
    <cfRule type="duplicateValues" dxfId="75" priority="5"/>
    <cfRule type="duplicateValues" dxfId="74" priority="6"/>
  </conditionalFormatting>
  <conditionalFormatting sqref="C17:C32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1F1F-AE09-C543-A6C6-61FA8BA622E6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-0.95382675959011531</v>
      </c>
      <c r="J2" s="28" t="e">
        <f>(S14-J14)/J14</f>
        <v>#DIV/0!</v>
      </c>
      <c r="K2" s="28"/>
      <c r="L2" s="1" t="s">
        <v>19</v>
      </c>
      <c r="P2" s="1">
        <f>(P14-H14)/H14</f>
        <v>-0.45651693246870295</v>
      </c>
      <c r="R2" s="1">
        <f>(R14-J14)/J14</f>
        <v>-0.19915332453034112</v>
      </c>
      <c r="T2" s="1" t="s">
        <v>20</v>
      </c>
      <c r="X2" s="1">
        <f>(X14-P14)/P14</f>
        <v>3.4716979915979125</v>
      </c>
      <c r="Z2" s="1">
        <f>(Z14-R14)/R14</f>
        <v>0.48256095908146224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184</v>
      </c>
      <c r="D4" s="23">
        <v>772048.01769635221</v>
      </c>
      <c r="E4" s="33">
        <v>33.842764749999333</v>
      </c>
      <c r="F4" s="5">
        <v>10</v>
      </c>
      <c r="G4" s="23">
        <v>92</v>
      </c>
      <c r="H4" s="33">
        <v>199.45974421413109</v>
      </c>
      <c r="I4" s="23">
        <v>33.772741428082192</v>
      </c>
      <c r="J4" s="5">
        <v>4891.525888882923</v>
      </c>
      <c r="K4" s="31"/>
      <c r="L4" s="23">
        <v>1092744.9587260359</v>
      </c>
      <c r="M4" s="33">
        <v>69.776888166001299</v>
      </c>
      <c r="N4" s="5">
        <v>19</v>
      </c>
      <c r="O4" s="5">
        <v>82</v>
      </c>
      <c r="P4" s="33">
        <v>349.30575159383864</v>
      </c>
      <c r="Q4" s="5">
        <v>15.379868207089972</v>
      </c>
      <c r="R4" s="5">
        <v>4487.7366202938902</v>
      </c>
      <c r="S4" s="31"/>
      <c r="T4" s="23">
        <v>1049366.9160395949</v>
      </c>
      <c r="U4" s="33">
        <v>50.124592125001072</v>
      </c>
      <c r="V4" s="5">
        <v>15</v>
      </c>
      <c r="W4" s="5">
        <v>93</v>
      </c>
      <c r="X4" s="33">
        <v>1460.2678278375515</v>
      </c>
      <c r="Y4" s="5">
        <v>46.959784204779275</v>
      </c>
      <c r="Z4" s="5">
        <v>6689.0821706537154</v>
      </c>
      <c r="AA4" s="35"/>
    </row>
    <row r="5" spans="2:27" x14ac:dyDescent="0.2">
      <c r="B5" s="4">
        <v>2</v>
      </c>
      <c r="C5" s="4">
        <v>313</v>
      </c>
      <c r="D5" s="23">
        <v>809821.0350648826</v>
      </c>
      <c r="E5" s="33">
        <v>31.930373707997209</v>
      </c>
      <c r="F5" s="5">
        <v>11</v>
      </c>
      <c r="G5" s="23">
        <v>92</v>
      </c>
      <c r="H5" s="33">
        <v>324.63709916789759</v>
      </c>
      <c r="I5" s="23">
        <v>30.920790875818657</v>
      </c>
      <c r="J5" s="5">
        <v>4990.7199581206087</v>
      </c>
      <c r="K5" s="31"/>
      <c r="L5" s="23">
        <v>1079822.79125433</v>
      </c>
      <c r="M5" s="33">
        <v>100.93364054099951</v>
      </c>
      <c r="N5" s="5">
        <v>26</v>
      </c>
      <c r="O5" s="5">
        <v>91</v>
      </c>
      <c r="P5" s="33">
        <v>352.76440894949724</v>
      </c>
      <c r="Q5" s="5">
        <v>12.774176897342951</v>
      </c>
      <c r="R5" s="5">
        <v>4454.7473942307597</v>
      </c>
      <c r="S5" s="31"/>
      <c r="T5" s="23">
        <v>1022878.324994</v>
      </c>
      <c r="U5" s="33">
        <v>66.056603208002343</v>
      </c>
      <c r="V5" s="5">
        <v>16</v>
      </c>
      <c r="W5" s="5">
        <v>94</v>
      </c>
      <c r="X5" s="33">
        <v>1392.4312308498584</v>
      </c>
      <c r="Y5" s="5">
        <v>44.867095861667373</v>
      </c>
      <c r="Z5" s="5">
        <v>6336.0825437867888</v>
      </c>
      <c r="AA5" s="35"/>
    </row>
    <row r="6" spans="2:27" x14ac:dyDescent="0.2">
      <c r="B6" s="4">
        <v>3</v>
      </c>
      <c r="C6" s="4">
        <v>370</v>
      </c>
      <c r="D6" s="23">
        <v>822437.48097129178</v>
      </c>
      <c r="E6" s="33">
        <v>30.848401291994382</v>
      </c>
      <c r="F6" s="5">
        <v>11</v>
      </c>
      <c r="G6" s="23">
        <v>93</v>
      </c>
      <c r="H6" s="33">
        <v>391.7137214916014</v>
      </c>
      <c r="I6" s="23">
        <v>31.40952512970787</v>
      </c>
      <c r="J6" s="5">
        <v>5136.2397604930275</v>
      </c>
      <c r="K6" s="31"/>
      <c r="L6" s="23">
        <v>1174304.4712015011</v>
      </c>
      <c r="M6" s="33">
        <v>118.99364691600201</v>
      </c>
      <c r="N6" s="5">
        <v>25</v>
      </c>
      <c r="O6" s="5">
        <v>89</v>
      </c>
      <c r="P6" s="33">
        <v>625.84622219052062</v>
      </c>
      <c r="Q6" s="5">
        <v>12.70195669491901</v>
      </c>
      <c r="R6" s="5">
        <v>5117.2294184487755</v>
      </c>
      <c r="S6" s="31"/>
      <c r="T6" s="23">
        <v>993200.3801295408</v>
      </c>
      <c r="U6" s="33">
        <v>67.598685916003888</v>
      </c>
      <c r="V6" s="5">
        <v>15</v>
      </c>
      <c r="W6" s="5">
        <v>92</v>
      </c>
      <c r="X6" s="33">
        <v>1160.0265316558089</v>
      </c>
      <c r="Y6" s="5">
        <v>48.303816747701745</v>
      </c>
      <c r="Z6" s="5">
        <v>6261.0861809003454</v>
      </c>
      <c r="AA6" s="35"/>
    </row>
    <row r="7" spans="2:27" x14ac:dyDescent="0.2">
      <c r="B7" s="4">
        <v>4</v>
      </c>
      <c r="C7" s="4">
        <v>372</v>
      </c>
      <c r="D7" s="23">
        <v>800360.60724341474</v>
      </c>
      <c r="E7" s="33">
        <v>30.71786387499742</v>
      </c>
      <c r="F7" s="5">
        <v>11</v>
      </c>
      <c r="G7" s="23">
        <v>94</v>
      </c>
      <c r="H7" s="33">
        <v>393.31560184656661</v>
      </c>
      <c r="I7" s="23">
        <v>30.181512599360143</v>
      </c>
      <c r="J7" s="5">
        <v>5052.0937042712922</v>
      </c>
      <c r="K7" s="31"/>
      <c r="L7" s="23">
        <v>1066051.1370326551</v>
      </c>
      <c r="M7" s="33">
        <v>121.2993809580003</v>
      </c>
      <c r="N7" s="5">
        <v>21</v>
      </c>
      <c r="O7" s="5">
        <v>85</v>
      </c>
      <c r="P7" s="33">
        <v>213.12216680263913</v>
      </c>
      <c r="Q7" s="5">
        <v>14.641123730039624</v>
      </c>
      <c r="R7" s="5">
        <v>4451.6224168173812</v>
      </c>
      <c r="S7" s="31"/>
      <c r="T7" s="23">
        <v>989086.21801789023</v>
      </c>
      <c r="U7" s="33">
        <v>54.742750333003642</v>
      </c>
      <c r="V7" s="5">
        <v>14</v>
      </c>
      <c r="W7" s="5">
        <v>88</v>
      </c>
      <c r="X7" s="33">
        <v>766.8123302532706</v>
      </c>
      <c r="Y7" s="5">
        <v>45.569089911150854</v>
      </c>
      <c r="Z7" s="5">
        <v>5936.5554077625575</v>
      </c>
      <c r="AA7" s="35"/>
    </row>
    <row r="8" spans="2:27" x14ac:dyDescent="0.2">
      <c r="B8" s="4">
        <v>5</v>
      </c>
      <c r="C8" s="4">
        <v>406</v>
      </c>
      <c r="D8" s="23">
        <v>829841.57367822109</v>
      </c>
      <c r="E8" s="33">
        <v>33.518411208002362</v>
      </c>
      <c r="F8" s="5">
        <v>10</v>
      </c>
      <c r="G8" s="23">
        <v>94</v>
      </c>
      <c r="H8" s="33">
        <v>605.07598704894804</v>
      </c>
      <c r="I8" s="23">
        <v>34.541709949897871</v>
      </c>
      <c r="J8" s="5">
        <v>5436.3786087121834</v>
      </c>
      <c r="K8" s="31"/>
      <c r="L8" s="23">
        <v>1033503.0539564129</v>
      </c>
      <c r="M8" s="33">
        <v>141.394055458004</v>
      </c>
      <c r="N8" s="5">
        <v>20</v>
      </c>
      <c r="O8" s="5">
        <v>85</v>
      </c>
      <c r="P8" s="33">
        <v>260.31324480595788</v>
      </c>
      <c r="Q8" s="5">
        <v>14.918221946332213</v>
      </c>
      <c r="R8" s="5">
        <v>4234.3127831240427</v>
      </c>
      <c r="S8" s="31"/>
      <c r="T8" s="23">
        <v>917665.14752155717</v>
      </c>
      <c r="U8" s="33">
        <v>86.054908625003009</v>
      </c>
      <c r="V8" s="5">
        <v>15</v>
      </c>
      <c r="W8" s="5">
        <v>94</v>
      </c>
      <c r="X8" s="33">
        <v>871.50923142127397</v>
      </c>
      <c r="Y8" s="5">
        <v>48.727583455774948</v>
      </c>
      <c r="Z8" s="5">
        <v>5912.0142786018723</v>
      </c>
      <c r="AA8" s="35"/>
    </row>
    <row r="9" spans="2:27" x14ac:dyDescent="0.2">
      <c r="B9" s="4">
        <v>6</v>
      </c>
      <c r="C9" s="4">
        <v>450</v>
      </c>
      <c r="D9" s="23">
        <v>907496.68267856771</v>
      </c>
      <c r="E9" s="33">
        <v>32.735686582993367</v>
      </c>
      <c r="F9" s="5">
        <v>12</v>
      </c>
      <c r="G9" s="23">
        <v>89</v>
      </c>
      <c r="H9" s="33">
        <v>367.83819344463905</v>
      </c>
      <c r="I9" s="23">
        <v>25.620878952369477</v>
      </c>
      <c r="J9" s="5">
        <v>5200.0833148132469</v>
      </c>
      <c r="K9" s="31"/>
      <c r="L9" s="23">
        <v>1101340.915331838</v>
      </c>
      <c r="M9" s="33">
        <v>67.624480625003343</v>
      </c>
      <c r="N9" s="5">
        <v>21</v>
      </c>
      <c r="O9" s="5">
        <v>85</v>
      </c>
      <c r="P9" s="33">
        <v>347.60512053966534</v>
      </c>
      <c r="Q9" s="5">
        <v>14.601047771534516</v>
      </c>
      <c r="R9" s="5">
        <v>4725.3778276629801</v>
      </c>
      <c r="S9" s="31"/>
      <c r="T9" s="23">
        <v>981759.67045740224</v>
      </c>
      <c r="U9" s="33">
        <v>102.5524712080005</v>
      </c>
      <c r="V9" s="5">
        <v>16</v>
      </c>
      <c r="W9" s="5">
        <v>93</v>
      </c>
      <c r="X9" s="33">
        <v>1012.1199292256209</v>
      </c>
      <c r="Y9" s="5">
        <v>45.830424701501101</v>
      </c>
      <c r="Z9" s="5">
        <v>6191.4216305881446</v>
      </c>
      <c r="AA9" s="35"/>
    </row>
    <row r="10" spans="2:27" x14ac:dyDescent="0.2">
      <c r="B10" s="4">
        <v>7</v>
      </c>
      <c r="C10" s="4">
        <v>529</v>
      </c>
      <c r="D10" s="23">
        <v>855561.62068098306</v>
      </c>
      <c r="E10" s="33">
        <v>31.27164895900205</v>
      </c>
      <c r="F10" s="5">
        <v>10</v>
      </c>
      <c r="G10" s="23">
        <v>90</v>
      </c>
      <c r="H10" s="33">
        <v>365.21675666832647</v>
      </c>
      <c r="I10" s="23">
        <v>31.347219079623489</v>
      </c>
      <c r="J10" s="5">
        <v>5172.2335664021366</v>
      </c>
      <c r="K10" s="31"/>
      <c r="L10" s="23">
        <v>1039729.342841901</v>
      </c>
      <c r="M10" s="33">
        <v>70.258713249997527</v>
      </c>
      <c r="N10" s="5">
        <v>20</v>
      </c>
      <c r="O10" s="5">
        <v>85</v>
      </c>
      <c r="P10" s="33">
        <v>266.02161441078454</v>
      </c>
      <c r="Q10" s="5">
        <v>15.099671526059435</v>
      </c>
      <c r="R10" s="5">
        <v>4298.5267722451763</v>
      </c>
      <c r="S10" s="31"/>
      <c r="T10" s="23">
        <v>904036.60032906884</v>
      </c>
      <c r="U10" s="33">
        <v>48.965692582998599</v>
      </c>
      <c r="V10" s="5">
        <v>14</v>
      </c>
      <c r="W10" s="5">
        <v>92</v>
      </c>
      <c r="X10" s="33">
        <v>652.815813420827</v>
      </c>
      <c r="Y10" s="5">
        <v>49.158490795109053</v>
      </c>
      <c r="Z10" s="5">
        <v>5811.4638780433706</v>
      </c>
      <c r="AA10" s="35"/>
    </row>
    <row r="11" spans="2:27" x14ac:dyDescent="0.2">
      <c r="B11" s="4">
        <v>8</v>
      </c>
      <c r="C11" s="4">
        <v>699</v>
      </c>
      <c r="D11" s="23">
        <v>810461.53210879804</v>
      </c>
      <c r="E11" s="33">
        <v>30.03105816699826</v>
      </c>
      <c r="F11" s="5">
        <v>10</v>
      </c>
      <c r="G11" s="23">
        <v>94</v>
      </c>
      <c r="H11" s="33">
        <v>484.46449701249725</v>
      </c>
      <c r="I11" s="23">
        <v>35.565223781755762</v>
      </c>
      <c r="J11" s="5">
        <v>5367.1038187690265</v>
      </c>
      <c r="K11" s="31"/>
      <c r="L11" s="23">
        <v>1079535.114899247</v>
      </c>
      <c r="M11" s="33">
        <v>121.71017099999879</v>
      </c>
      <c r="N11" s="5">
        <v>27</v>
      </c>
      <c r="O11" s="5">
        <v>90</v>
      </c>
      <c r="P11" s="33">
        <v>117.01007712604304</v>
      </c>
      <c r="Q11" s="5">
        <v>12.086061316324265</v>
      </c>
      <c r="R11" s="5">
        <v>4243.7000621870966</v>
      </c>
      <c r="S11" s="31"/>
      <c r="T11" s="23">
        <v>969629.9721161871</v>
      </c>
      <c r="U11" s="33">
        <v>50.144942208004068</v>
      </c>
      <c r="V11" s="5">
        <v>14</v>
      </c>
      <c r="W11" s="5">
        <v>91</v>
      </c>
      <c r="X11" s="33">
        <v>961.06929947867934</v>
      </c>
      <c r="Y11" s="5">
        <v>50.789998550717122</v>
      </c>
      <c r="Z11" s="5">
        <v>6237.6451990170708</v>
      </c>
      <c r="AA11" s="35"/>
    </row>
    <row r="12" spans="2:27" x14ac:dyDescent="0.2">
      <c r="B12" s="4">
        <v>9</v>
      </c>
      <c r="C12" s="4">
        <v>781</v>
      </c>
      <c r="D12" s="23">
        <v>789996.05886287277</v>
      </c>
      <c r="E12" s="33">
        <v>30.28223679200164</v>
      </c>
      <c r="F12" s="5">
        <v>10</v>
      </c>
      <c r="G12" s="23">
        <v>94</v>
      </c>
      <c r="H12" s="33">
        <v>256.6432659360047</v>
      </c>
      <c r="I12" s="23">
        <v>34.517472782818672</v>
      </c>
      <c r="J12" s="5">
        <v>5264.9050786681564</v>
      </c>
      <c r="K12" s="31"/>
      <c r="L12" s="23">
        <v>1032714.394401752</v>
      </c>
      <c r="M12" s="33">
        <v>97.592324833996827</v>
      </c>
      <c r="N12" s="5">
        <v>26</v>
      </c>
      <c r="O12" s="5">
        <v>90</v>
      </c>
      <c r="P12" s="33">
        <v>145.98835043140971</v>
      </c>
      <c r="Q12" s="5">
        <v>12.402879876517577</v>
      </c>
      <c r="R12" s="5">
        <v>3919.8819059986108</v>
      </c>
      <c r="S12" s="31"/>
      <c r="T12" s="23">
        <v>1035814.203074869</v>
      </c>
      <c r="U12" s="33">
        <v>43.791642166004749</v>
      </c>
      <c r="V12" s="5">
        <v>15</v>
      </c>
      <c r="W12" s="5">
        <v>89</v>
      </c>
      <c r="X12" s="33">
        <v>1106.1095244562161</v>
      </c>
      <c r="Y12" s="5">
        <v>43.433765459641684</v>
      </c>
      <c r="Z12" s="5">
        <v>6213.5432406765067</v>
      </c>
      <c r="AA12" s="35"/>
    </row>
    <row r="13" spans="2:27" x14ac:dyDescent="0.2">
      <c r="B13" s="4">
        <v>10</v>
      </c>
      <c r="C13" s="4">
        <v>874</v>
      </c>
      <c r="D13" s="23">
        <v>758448.80097959144</v>
      </c>
      <c r="E13" s="33">
        <v>30.733704665995901</v>
      </c>
      <c r="F13" s="5">
        <v>10</v>
      </c>
      <c r="G13" s="23">
        <v>94</v>
      </c>
      <c r="H13" s="33">
        <v>268.61618908302569</v>
      </c>
      <c r="I13" s="23">
        <v>33.090114430611834</v>
      </c>
      <c r="J13" s="5">
        <v>4894.6721339634514</v>
      </c>
      <c r="K13" s="31"/>
      <c r="L13" s="23">
        <v>1051918.911971462</v>
      </c>
      <c r="M13" s="33">
        <v>87.513765124997008</v>
      </c>
      <c r="N13" s="5">
        <v>25</v>
      </c>
      <c r="O13" s="5">
        <v>90</v>
      </c>
      <c r="P13" s="33">
        <v>220.99036919885813</v>
      </c>
      <c r="Q13" s="5">
        <v>12.795535051963084</v>
      </c>
      <c r="R13" s="5">
        <v>4287.0713206054234</v>
      </c>
      <c r="S13" s="31"/>
      <c r="T13" s="23">
        <v>910588.78555831267</v>
      </c>
      <c r="U13" s="33">
        <v>50.36759316700045</v>
      </c>
      <c r="V13" s="5">
        <v>13</v>
      </c>
      <c r="W13" s="5">
        <v>91</v>
      </c>
      <c r="X13" s="33">
        <v>643.68051707907989</v>
      </c>
      <c r="Y13" s="5">
        <v>52.311452027393493</v>
      </c>
      <c r="Z13" s="5">
        <v>5958.0020404589659</v>
      </c>
      <c r="AA13" s="35"/>
    </row>
    <row r="14" spans="2:27" x14ac:dyDescent="0.2">
      <c r="B14" s="46" t="s">
        <v>3</v>
      </c>
      <c r="C14" s="47"/>
      <c r="D14" s="9">
        <f>MIN(D4:D13)</f>
        <v>758448.80097959144</v>
      </c>
      <c r="E14" s="22">
        <f>INDEX(E4:E13, MATCH($D$14, D4:D13, 0))</f>
        <v>30.733704665995901</v>
      </c>
      <c r="F14" s="9">
        <f>INDEX(F4:F13, MATCH($D$14, D4:D13, 0))</f>
        <v>10</v>
      </c>
      <c r="G14" s="9">
        <f>INDEX(G4:G13, MATCH($D$14, D4:D13, 0))</f>
        <v>94</v>
      </c>
      <c r="H14" s="22">
        <f>INDEX(H4:H13, MATCH($D$14, D4:D13, 0))</f>
        <v>268.61618908302569</v>
      </c>
      <c r="I14" s="22">
        <f>INDEX(I4:I13, MATCH($D$14, D4:D13, 0))</f>
        <v>33.090114430611834</v>
      </c>
      <c r="J14" s="22">
        <f>INDEX(J4:J13, MATCH($D$14, D4:D13, 0))</f>
        <v>4894.6721339634514</v>
      </c>
      <c r="K14" s="32" t="e">
        <f>(D14-$D$15)/$D$15</f>
        <v>#DIV/0!</v>
      </c>
      <c r="L14" s="16">
        <f>MIN(L4:L13)</f>
        <v>1032714.394401752</v>
      </c>
      <c r="M14" s="21">
        <f>INDEX(M4:M13, MATCH($L$14, L4:L13, 0))</f>
        <v>97.592324833996827</v>
      </c>
      <c r="N14" s="16">
        <f>INDEX(N4:N13, MATCH($L$14, L4:L13, 0))</f>
        <v>26</v>
      </c>
      <c r="O14" s="16">
        <f>INDEX(O4:O13, MATCH($L$14, L4:L13, 0))</f>
        <v>90</v>
      </c>
      <c r="P14" s="21">
        <f>INDEX(P4:P13, MATCH($L$14, L4:L13, 0))</f>
        <v>145.98835043140971</v>
      </c>
      <c r="Q14" s="21">
        <f>INDEX(Q4:Q13, MATCH($L$14, L4:L13, 0))</f>
        <v>12.402879876517577</v>
      </c>
      <c r="R14" s="21">
        <f>INDEX(R4:R13, MATCH($L$14, L4:L13, 0))</f>
        <v>3919.8819059986108</v>
      </c>
      <c r="S14" s="36" t="e">
        <f>(L14-$D$15)/$D$15</f>
        <v>#DIV/0!</v>
      </c>
      <c r="T14" s="38">
        <f>MIN(T4:T13)</f>
        <v>904036.60032906884</v>
      </c>
      <c r="U14" s="39">
        <f>INDEX(U4:U13, MATCH($T$14, T4:T13, 0))</f>
        <v>48.965692582998599</v>
      </c>
      <c r="V14" s="38">
        <f>INDEX(V4:V13, MATCH($T$14, T4:T13, 0))</f>
        <v>14</v>
      </c>
      <c r="W14" s="38">
        <f>INDEX(W4:W13, MATCH($T$14, T4:T13, 0))</f>
        <v>92</v>
      </c>
      <c r="X14" s="39">
        <f>INDEX(X4:X13, MATCH($T$14, T4:T13, 0))</f>
        <v>652.815813420827</v>
      </c>
      <c r="Y14" s="39">
        <f>INDEX(Y4:Y13, MATCH($T$14, T4:T13, 0))</f>
        <v>49.158490795109053</v>
      </c>
      <c r="Z14" s="39">
        <f>INDEX(Z4:Z13, MATCH($T$14, T4:T13, 0))</f>
        <v>5811.4638780433706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0.36161385325934559</v>
      </c>
      <c r="M15" s="45">
        <f t="shared" ref="M15:R15" si="0">(M14-E14)/E14</f>
        <v>2.1754168882208988</v>
      </c>
      <c r="N15" s="45">
        <f t="shared" si="0"/>
        <v>1.6</v>
      </c>
      <c r="O15" s="45">
        <f t="shared" si="0"/>
        <v>-4.2553191489361701E-2</v>
      </c>
      <c r="P15" s="45">
        <f t="shared" si="0"/>
        <v>-0.45651693246870295</v>
      </c>
      <c r="Q15" s="45">
        <f t="shared" si="0"/>
        <v>-0.62517869490824096</v>
      </c>
      <c r="R15" s="45">
        <f t="shared" si="0"/>
        <v>-0.19915332453034112</v>
      </c>
      <c r="S15"/>
      <c r="T15" s="45">
        <f>(T14-D14)/D14</f>
        <v>0.19195468324485482</v>
      </c>
      <c r="U15" s="45">
        <f t="shared" ref="U15:Z15" si="1">(U14-E14)/E14</f>
        <v>0.59322454338460417</v>
      </c>
      <c r="V15" s="45">
        <f t="shared" si="1"/>
        <v>0.4</v>
      </c>
      <c r="W15" s="45">
        <f>(W14-G14)/G14</f>
        <v>-2.1276595744680851E-2</v>
      </c>
      <c r="X15" s="45">
        <f t="shared" si="1"/>
        <v>1.4302921415471734</v>
      </c>
      <c r="Y15" s="45">
        <f t="shared" si="1"/>
        <v>0.48559446351241026</v>
      </c>
      <c r="Z15" s="45">
        <f t="shared" si="1"/>
        <v>0.18730401526149798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3:C1048576">
    <cfRule type="duplicateValues" dxfId="73" priority="7"/>
    <cfRule type="duplicateValues" dxfId="72" priority="8"/>
  </conditionalFormatting>
  <conditionalFormatting sqref="C14">
    <cfRule type="duplicateValues" dxfId="71" priority="3"/>
    <cfRule type="duplicateValues" dxfId="70" priority="4"/>
  </conditionalFormatting>
  <conditionalFormatting sqref="C15">
    <cfRule type="duplicateValues" dxfId="69" priority="5"/>
    <cfRule type="duplicateValues" dxfId="68" priority="6"/>
  </conditionalFormatting>
  <conditionalFormatting sqref="C17:C32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98DC-E201-B84D-AEE4-91A397F53496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-0.96162106643168466</v>
      </c>
      <c r="J2" s="28" t="e">
        <f>(S14-J14)/J14</f>
        <v>#DIV/0!</v>
      </c>
      <c r="K2" s="28"/>
      <c r="L2" s="1" t="s">
        <v>19</v>
      </c>
      <c r="P2" s="1">
        <f>(P14-H14)/H14</f>
        <v>-0.36529282649278949</v>
      </c>
      <c r="R2" s="1">
        <f>(R14-J14)/J14</f>
        <v>-0.10218755255961248</v>
      </c>
      <c r="T2" s="1" t="s">
        <v>20</v>
      </c>
      <c r="X2" s="1">
        <f>(X14-P14)/P14</f>
        <v>1.3886944056024504</v>
      </c>
      <c r="Z2" s="1">
        <f>(Z14-R14)/R14</f>
        <v>0.30673864835562537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</v>
      </c>
      <c r="D4" s="23">
        <v>863977.19703418599</v>
      </c>
      <c r="E4" s="33">
        <v>35.288109958004497</v>
      </c>
      <c r="F4" s="5">
        <v>11</v>
      </c>
      <c r="G4" s="23">
        <v>93</v>
      </c>
      <c r="H4" s="33">
        <v>513.40911413059791</v>
      </c>
      <c r="I4" s="23">
        <v>29.494709986509225</v>
      </c>
      <c r="J4" s="5">
        <v>5316.6576150293304</v>
      </c>
      <c r="K4" s="31"/>
      <c r="L4" s="23">
        <v>1127352.5296009339</v>
      </c>
      <c r="M4" s="33">
        <v>112.963000290998</v>
      </c>
      <c r="N4" s="5">
        <v>21</v>
      </c>
      <c r="O4" s="5">
        <v>83</v>
      </c>
      <c r="P4" s="33">
        <v>303.47335463829262</v>
      </c>
      <c r="Q4" s="5">
        <v>13.403019660952793</v>
      </c>
      <c r="R4" s="5">
        <v>4499.6235528010093</v>
      </c>
      <c r="S4" s="31"/>
      <c r="T4" s="23">
        <v>1080341.188952314</v>
      </c>
      <c r="U4" s="33">
        <v>41.372883541996998</v>
      </c>
      <c r="V4" s="5">
        <v>13</v>
      </c>
      <c r="W4" s="5">
        <v>87</v>
      </c>
      <c r="X4" s="33">
        <v>1251.6738354771335</v>
      </c>
      <c r="Y4" s="5">
        <v>51.540964755056358</v>
      </c>
      <c r="Z4" s="5">
        <v>6566.5785767632124</v>
      </c>
      <c r="AA4" s="35"/>
    </row>
    <row r="5" spans="2:27" x14ac:dyDescent="0.2">
      <c r="B5" s="4">
        <v>2</v>
      </c>
      <c r="C5" s="4">
        <v>83</v>
      </c>
      <c r="D5" s="23">
        <v>804661.99362654961</v>
      </c>
      <c r="E5" s="33">
        <v>55.430488582998812</v>
      </c>
      <c r="F5" s="5">
        <v>10</v>
      </c>
      <c r="G5" s="23">
        <v>93</v>
      </c>
      <c r="H5" s="33">
        <v>456.65644400704167</v>
      </c>
      <c r="I5" s="23">
        <v>31.668209225145112</v>
      </c>
      <c r="J5" s="5">
        <v>5001.9898928449138</v>
      </c>
      <c r="K5" s="31"/>
      <c r="L5" s="23">
        <v>1132286.9690690211</v>
      </c>
      <c r="M5" s="33">
        <v>81.702572624999448</v>
      </c>
      <c r="N5" s="5">
        <v>20</v>
      </c>
      <c r="O5" s="5">
        <v>81</v>
      </c>
      <c r="P5" s="33">
        <v>247.68976630524995</v>
      </c>
      <c r="Q5" s="5">
        <v>14.245971206300151</v>
      </c>
      <c r="R5" s="5">
        <v>4456.2409893272888</v>
      </c>
      <c r="S5" s="31"/>
      <c r="T5" s="23">
        <v>1070819.980146812</v>
      </c>
      <c r="U5" s="33">
        <v>93.35997620899434</v>
      </c>
      <c r="V5" s="5">
        <v>15</v>
      </c>
      <c r="W5" s="5">
        <v>91</v>
      </c>
      <c r="X5" s="33">
        <v>1468.2095529491614</v>
      </c>
      <c r="Y5" s="5">
        <v>49.009369430027377</v>
      </c>
      <c r="Z5" s="5">
        <v>6627.8836300080338</v>
      </c>
      <c r="AA5" s="35"/>
    </row>
    <row r="6" spans="2:27" x14ac:dyDescent="0.2">
      <c r="B6" s="4">
        <v>3</v>
      </c>
      <c r="C6" s="4">
        <v>245</v>
      </c>
      <c r="D6" s="23">
        <v>804026.9370230519</v>
      </c>
      <c r="E6" s="33">
        <v>55.475921582998133</v>
      </c>
      <c r="F6" s="5">
        <v>10</v>
      </c>
      <c r="G6" s="23">
        <v>93</v>
      </c>
      <c r="H6" s="33">
        <v>511.56222185234401</v>
      </c>
      <c r="I6" s="23">
        <v>31.497893219921547</v>
      </c>
      <c r="J6" s="5">
        <v>4948.6588109408749</v>
      </c>
      <c r="K6" s="31"/>
      <c r="L6" s="23">
        <v>1103517.2685165</v>
      </c>
      <c r="M6" s="33">
        <v>104.3407983750003</v>
      </c>
      <c r="N6" s="5">
        <v>22</v>
      </c>
      <c r="O6" s="5">
        <v>84</v>
      </c>
      <c r="P6" s="33">
        <v>222.02055075396962</v>
      </c>
      <c r="Q6" s="5">
        <v>13.42494984120516</v>
      </c>
      <c r="R6" s="5">
        <v>4255.4013939794795</v>
      </c>
      <c r="S6" s="31"/>
      <c r="T6" s="23">
        <v>1035711.8280699051</v>
      </c>
      <c r="U6" s="33">
        <v>87.238705374998972</v>
      </c>
      <c r="V6" s="5">
        <v>14</v>
      </c>
      <c r="W6" s="5">
        <v>90</v>
      </c>
      <c r="X6" s="33">
        <v>1299.8046487470301</v>
      </c>
      <c r="Y6" s="5">
        <v>50.820047159459548</v>
      </c>
      <c r="Z6" s="5">
        <v>6452.2647375389897</v>
      </c>
      <c r="AA6" s="35"/>
    </row>
    <row r="7" spans="2:27" x14ac:dyDescent="0.2">
      <c r="B7" s="4">
        <v>4</v>
      </c>
      <c r="C7" s="4">
        <v>246</v>
      </c>
      <c r="D7" s="23">
        <v>832273.29050179338</v>
      </c>
      <c r="E7" s="33">
        <v>73.224394208002195</v>
      </c>
      <c r="F7" s="5">
        <v>12</v>
      </c>
      <c r="G7" s="23">
        <v>93</v>
      </c>
      <c r="H7" s="33">
        <v>353.02486807151746</v>
      </c>
      <c r="I7" s="23">
        <v>27.321373585791509</v>
      </c>
      <c r="J7" s="5">
        <v>4915.3942641377771</v>
      </c>
      <c r="K7" s="31"/>
      <c r="L7" s="23">
        <v>1196791.94967119</v>
      </c>
      <c r="M7" s="33">
        <v>131.65134050000049</v>
      </c>
      <c r="N7" s="5">
        <v>21</v>
      </c>
      <c r="O7" s="5">
        <v>81</v>
      </c>
      <c r="P7" s="33">
        <v>382.92722231625885</v>
      </c>
      <c r="Q7" s="5">
        <v>13.124427311842659</v>
      </c>
      <c r="R7" s="5">
        <v>4893.0547705133022</v>
      </c>
      <c r="S7" s="31"/>
      <c r="T7" s="23">
        <v>1062564.2622747179</v>
      </c>
      <c r="U7" s="33">
        <v>70.788593042001594</v>
      </c>
      <c r="V7" s="5">
        <v>13</v>
      </c>
      <c r="W7" s="5">
        <v>85</v>
      </c>
      <c r="X7" s="33">
        <v>1006.2020489231878</v>
      </c>
      <c r="Y7" s="5">
        <v>49.119299464365298</v>
      </c>
      <c r="Z7" s="5">
        <v>6266.689330863398</v>
      </c>
      <c r="AA7" s="35"/>
    </row>
    <row r="8" spans="2:27" x14ac:dyDescent="0.2">
      <c r="B8" s="4">
        <v>5</v>
      </c>
      <c r="C8" s="4">
        <v>437</v>
      </c>
      <c r="D8" s="23">
        <v>795975.32930679282</v>
      </c>
      <c r="E8" s="33">
        <v>48.004705542000011</v>
      </c>
      <c r="F8" s="5">
        <v>10</v>
      </c>
      <c r="G8" s="23">
        <v>93</v>
      </c>
      <c r="H8" s="33">
        <v>426.01812491768919</v>
      </c>
      <c r="I8" s="23">
        <v>32.143200937694559</v>
      </c>
      <c r="J8" s="5">
        <v>4933.8430030142135</v>
      </c>
      <c r="K8" s="31"/>
      <c r="L8" s="23">
        <v>1173623.0417102841</v>
      </c>
      <c r="M8" s="33">
        <v>67.636237291997531</v>
      </c>
      <c r="N8" s="5">
        <v>27</v>
      </c>
      <c r="O8" s="5">
        <v>90</v>
      </c>
      <c r="P8" s="33">
        <v>453.47833184936025</v>
      </c>
      <c r="Q8" s="5">
        <v>11.52224330068525</v>
      </c>
      <c r="R8" s="5">
        <v>4785.0897927682154</v>
      </c>
      <c r="S8" s="31"/>
      <c r="T8" s="23">
        <v>1171145.658600732</v>
      </c>
      <c r="U8" s="33">
        <v>57.996916000003687</v>
      </c>
      <c r="V8" s="5">
        <v>15</v>
      </c>
      <c r="W8" s="5">
        <v>91</v>
      </c>
      <c r="X8" s="33">
        <v>1708.1113570200598</v>
      </c>
      <c r="Y8" s="5">
        <v>46.012164809151493</v>
      </c>
      <c r="Z8" s="5">
        <v>7198.295934190096</v>
      </c>
      <c r="AA8" s="35"/>
    </row>
    <row r="9" spans="2:27" x14ac:dyDescent="0.2">
      <c r="B9" s="4">
        <v>6</v>
      </c>
      <c r="C9" s="4">
        <v>581</v>
      </c>
      <c r="D9" s="23">
        <v>908043.74234568537</v>
      </c>
      <c r="E9" s="33">
        <v>42.38791024999955</v>
      </c>
      <c r="F9" s="5">
        <v>11</v>
      </c>
      <c r="G9" s="23">
        <v>93</v>
      </c>
      <c r="H9" s="33">
        <v>488.86520076134678</v>
      </c>
      <c r="I9" s="23">
        <v>29.116671123012644</v>
      </c>
      <c r="J9" s="5">
        <v>5797.2921884046809</v>
      </c>
      <c r="K9" s="31"/>
      <c r="L9" s="23">
        <v>1190365.8743596</v>
      </c>
      <c r="M9" s="33">
        <v>58.212015999997668</v>
      </c>
      <c r="N9" s="5">
        <v>19</v>
      </c>
      <c r="O9" s="5">
        <v>80</v>
      </c>
      <c r="P9" s="33">
        <v>366.45126662317267</v>
      </c>
      <c r="Q9" s="5">
        <v>14.420502707978693</v>
      </c>
      <c r="R9" s="5">
        <v>5122.7172517360905</v>
      </c>
      <c r="S9" s="31"/>
      <c r="T9" s="23">
        <v>1196963.0710950149</v>
      </c>
      <c r="U9" s="33">
        <v>58.271632000003592</v>
      </c>
      <c r="V9" s="5">
        <v>13</v>
      </c>
      <c r="W9" s="5">
        <v>76</v>
      </c>
      <c r="X9" s="33">
        <v>1024.6131769162116</v>
      </c>
      <c r="Y9" s="5">
        <v>43.339003945438613</v>
      </c>
      <c r="Z9" s="5">
        <v>6170.1981099887662</v>
      </c>
      <c r="AA9" s="35"/>
    </row>
    <row r="10" spans="2:27" x14ac:dyDescent="0.2">
      <c r="B10" s="4">
        <v>7</v>
      </c>
      <c r="C10" s="4">
        <v>679</v>
      </c>
      <c r="D10" s="23">
        <v>941405.46024788264</v>
      </c>
      <c r="E10" s="33">
        <v>31.186292999998841</v>
      </c>
      <c r="F10" s="5">
        <v>11</v>
      </c>
      <c r="G10" s="23">
        <v>93</v>
      </c>
      <c r="H10" s="33">
        <v>874.33723818904298</v>
      </c>
      <c r="I10" s="23">
        <v>30.073774321069756</v>
      </c>
      <c r="J10" s="5">
        <v>5856.951510781827</v>
      </c>
      <c r="K10" s="31"/>
      <c r="L10" s="23">
        <v>1243866.896763931</v>
      </c>
      <c r="M10" s="33">
        <v>61.75611354099965</v>
      </c>
      <c r="N10" s="5">
        <v>28</v>
      </c>
      <c r="O10" s="5">
        <v>89</v>
      </c>
      <c r="P10" s="33">
        <v>592.91102503298453</v>
      </c>
      <c r="Q10" s="5">
        <v>11.124636350466721</v>
      </c>
      <c r="R10" s="5">
        <v>5045.2778847466934</v>
      </c>
      <c r="S10" s="31"/>
      <c r="T10" s="23">
        <v>1021178.867801559</v>
      </c>
      <c r="U10" s="33">
        <v>121.1562670830026</v>
      </c>
      <c r="V10" s="5">
        <v>14</v>
      </c>
      <c r="W10" s="5">
        <v>88</v>
      </c>
      <c r="X10" s="33">
        <v>1029.6080630889835</v>
      </c>
      <c r="Y10" s="5">
        <v>49.45493498021515</v>
      </c>
      <c r="Z10" s="5">
        <v>6052.3027826159432</v>
      </c>
      <c r="AA10" s="35"/>
    </row>
    <row r="11" spans="2:27" x14ac:dyDescent="0.2">
      <c r="B11" s="4">
        <v>8</v>
      </c>
      <c r="C11" s="4">
        <v>853</v>
      </c>
      <c r="D11" s="23">
        <v>847783.80811245425</v>
      </c>
      <c r="E11" s="33">
        <v>53.761468750002678</v>
      </c>
      <c r="F11" s="5">
        <v>10</v>
      </c>
      <c r="G11" s="23">
        <v>89</v>
      </c>
      <c r="H11" s="33">
        <v>412.11662394076137</v>
      </c>
      <c r="I11" s="23">
        <v>29.347985183088987</v>
      </c>
      <c r="J11" s="5">
        <v>4805.6989551912611</v>
      </c>
      <c r="K11" s="31"/>
      <c r="L11" s="23">
        <v>1139729.0850802001</v>
      </c>
      <c r="M11" s="33">
        <v>132.55483470800391</v>
      </c>
      <c r="N11" s="5">
        <v>19</v>
      </c>
      <c r="O11" s="5">
        <v>78</v>
      </c>
      <c r="P11" s="33">
        <v>154.20675740770886</v>
      </c>
      <c r="Q11" s="5">
        <v>14.115446189846628</v>
      </c>
      <c r="R11" s="5">
        <v>4323.2442198472027</v>
      </c>
      <c r="S11" s="31"/>
      <c r="T11" s="23">
        <v>999364.3734963825</v>
      </c>
      <c r="U11" s="33">
        <v>73.408119625004474</v>
      </c>
      <c r="V11" s="5">
        <v>14</v>
      </c>
      <c r="W11" s="5">
        <v>92</v>
      </c>
      <c r="X11" s="33">
        <v>1284.5700081128391</v>
      </c>
      <c r="Y11" s="5">
        <v>51.624482149448831</v>
      </c>
      <c r="Z11" s="5">
        <v>6252.0020606523558</v>
      </c>
      <c r="AA11" s="35"/>
    </row>
    <row r="12" spans="2:27" x14ac:dyDescent="0.2">
      <c r="B12" s="4">
        <v>9</v>
      </c>
      <c r="C12" s="4">
        <v>881</v>
      </c>
      <c r="D12" s="23">
        <v>822961.72580329783</v>
      </c>
      <c r="E12" s="33">
        <v>31.980706041002119</v>
      </c>
      <c r="F12" s="5">
        <v>12</v>
      </c>
      <c r="G12" s="23">
        <v>93</v>
      </c>
      <c r="H12" s="33">
        <v>272.1365770361985</v>
      </c>
      <c r="I12" s="23">
        <v>27.560604275550237</v>
      </c>
      <c r="J12" s="5">
        <v>4889.2946679770048</v>
      </c>
      <c r="K12" s="31"/>
      <c r="L12" s="23">
        <v>1120746.189408259</v>
      </c>
      <c r="M12" s="33">
        <v>59.467412750003859</v>
      </c>
      <c r="N12" s="5">
        <v>21</v>
      </c>
      <c r="O12" s="5">
        <v>82</v>
      </c>
      <c r="P12" s="33">
        <v>202.90548569455953</v>
      </c>
      <c r="Q12" s="5">
        <v>13.434329590697736</v>
      </c>
      <c r="R12" s="5">
        <v>4299.8584765016276</v>
      </c>
      <c r="S12" s="31"/>
      <c r="T12" s="23">
        <v>997428.90618165489</v>
      </c>
      <c r="U12" s="33">
        <v>113.5258953340017</v>
      </c>
      <c r="V12" s="5">
        <v>12</v>
      </c>
      <c r="W12" s="5">
        <v>83</v>
      </c>
      <c r="X12" s="33">
        <v>530.33924751478207</v>
      </c>
      <c r="Y12" s="5">
        <v>48.027583870612176</v>
      </c>
      <c r="Z12" s="5">
        <v>5560.6974657793889</v>
      </c>
      <c r="AA12" s="35"/>
    </row>
    <row r="13" spans="2:27" x14ac:dyDescent="0.2">
      <c r="B13" s="4">
        <v>10</v>
      </c>
      <c r="C13" s="4">
        <v>889</v>
      </c>
      <c r="D13" s="23">
        <v>773230.47337762569</v>
      </c>
      <c r="E13" s="33">
        <v>87.157661083001585</v>
      </c>
      <c r="F13" s="5">
        <v>10</v>
      </c>
      <c r="G13" s="23">
        <v>93</v>
      </c>
      <c r="H13" s="33">
        <v>349.79997079148717</v>
      </c>
      <c r="I13" s="23">
        <v>32.196256926269839</v>
      </c>
      <c r="J13" s="5">
        <v>4739.7442596294895</v>
      </c>
      <c r="K13" s="31"/>
      <c r="L13" s="23">
        <v>1123375.646258855</v>
      </c>
      <c r="M13" s="33">
        <v>78.026295833005861</v>
      </c>
      <c r="N13" s="5">
        <v>22</v>
      </c>
      <c r="O13" s="5">
        <v>86</v>
      </c>
      <c r="P13" s="33">
        <v>444.06617060659329</v>
      </c>
      <c r="Q13" s="5">
        <v>13.490836329252359</v>
      </c>
      <c r="R13" s="5">
        <v>4698.2620474689547</v>
      </c>
      <c r="S13" s="31"/>
      <c r="T13" s="23">
        <v>1046533.634200477</v>
      </c>
      <c r="U13" s="33">
        <v>82.311612542005605</v>
      </c>
      <c r="V13" s="5">
        <v>13</v>
      </c>
      <c r="W13" s="5">
        <v>85</v>
      </c>
      <c r="X13" s="33">
        <v>820.82347066786747</v>
      </c>
      <c r="Y13" s="5">
        <v>47.941165460669055</v>
      </c>
      <c r="Z13" s="5">
        <v>6111.0639105593764</v>
      </c>
      <c r="AA13" s="35"/>
    </row>
    <row r="14" spans="2:27" x14ac:dyDescent="0.2">
      <c r="B14" s="46" t="s">
        <v>3</v>
      </c>
      <c r="C14" s="47"/>
      <c r="D14" s="9">
        <f>MIN(D4:D13)</f>
        <v>773230.47337762569</v>
      </c>
      <c r="E14" s="22">
        <f>INDEX(E4:E13, MATCH($D$14, D4:D13, 0))</f>
        <v>87.157661083001585</v>
      </c>
      <c r="F14" s="9">
        <f>INDEX(F4:F13, MATCH($D$14, D4:D13, 0))</f>
        <v>10</v>
      </c>
      <c r="G14" s="9">
        <f>INDEX(G4:G13, MATCH($D$14, D4:D13, 0))</f>
        <v>93</v>
      </c>
      <c r="H14" s="22">
        <f>INDEX(H4:H13, MATCH($D$14, D4:D13, 0))</f>
        <v>349.79997079148717</v>
      </c>
      <c r="I14" s="22">
        <f>INDEX(I4:I13, MATCH($D$14, D4:D13, 0))</f>
        <v>32.196256926269839</v>
      </c>
      <c r="J14" s="22">
        <f>INDEX(J4:J13, MATCH($D$14, D4:D13, 0))</f>
        <v>4739.7442596294895</v>
      </c>
      <c r="K14" s="32" t="e">
        <f>(D14-$D$15)/$D$15</f>
        <v>#DIV/0!</v>
      </c>
      <c r="L14" s="16">
        <f>MIN(L4:L13)</f>
        <v>1103517.2685165</v>
      </c>
      <c r="M14" s="21">
        <f>INDEX(M4:M13, MATCH($L$14, L4:L13, 0))</f>
        <v>104.3407983750003</v>
      </c>
      <c r="N14" s="16">
        <f>INDEX(N4:N13, MATCH($L$14, L4:L13, 0))</f>
        <v>22</v>
      </c>
      <c r="O14" s="16">
        <f>INDEX(O4:O13, MATCH($L$14, L4:L13, 0))</f>
        <v>84</v>
      </c>
      <c r="P14" s="21">
        <f>INDEX(P4:P13, MATCH($L$14, L4:L13, 0))</f>
        <v>222.02055075396962</v>
      </c>
      <c r="Q14" s="21">
        <f>INDEX(Q4:Q13, MATCH($L$14, L4:L13, 0))</f>
        <v>13.42494984120516</v>
      </c>
      <c r="R14" s="21">
        <f>INDEX(R4:R13, MATCH($L$14, L4:L13, 0))</f>
        <v>4255.4013939794795</v>
      </c>
      <c r="S14" s="36" t="e">
        <f>(L14-$D$15)/$D$15</f>
        <v>#DIV/0!</v>
      </c>
      <c r="T14" s="38">
        <f>MIN(T4:T13)</f>
        <v>997428.90618165489</v>
      </c>
      <c r="U14" s="39">
        <f>INDEX(U4:U13, MATCH($T$14, T4:T13, 0))</f>
        <v>113.5258953340017</v>
      </c>
      <c r="V14" s="38">
        <f>INDEX(V4:V13, MATCH($T$14, T4:T13, 0))</f>
        <v>12</v>
      </c>
      <c r="W14" s="38">
        <f>INDEX(W4:W13, MATCH($T$14, T4:T13, 0))</f>
        <v>83</v>
      </c>
      <c r="X14" s="39">
        <f>INDEX(X4:X13, MATCH($T$14, T4:T13, 0))</f>
        <v>530.33924751478207</v>
      </c>
      <c r="Y14" s="39">
        <f>INDEX(Y4:Y13, MATCH($T$14, T4:T13, 0))</f>
        <v>48.027583870612176</v>
      </c>
      <c r="Z14" s="39">
        <f>INDEX(Z4:Z13, MATCH($T$14, T4:T13, 0))</f>
        <v>5560.6974657793889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0.42715180856247864</v>
      </c>
      <c r="M15" s="45">
        <f t="shared" ref="M15:R15" si="0">(M14-E14)/E14</f>
        <v>0.1971500505920524</v>
      </c>
      <c r="N15" s="45">
        <f t="shared" si="0"/>
        <v>1.2</v>
      </c>
      <c r="O15" s="45">
        <f t="shared" si="0"/>
        <v>-9.6774193548387094E-2</v>
      </c>
      <c r="P15" s="45">
        <f t="shared" si="0"/>
        <v>-0.36529282649278949</v>
      </c>
      <c r="Q15" s="45">
        <f t="shared" si="0"/>
        <v>-0.5830276211315929</v>
      </c>
      <c r="R15" s="45">
        <f t="shared" si="0"/>
        <v>-0.10218755255961248</v>
      </c>
      <c r="S15"/>
      <c r="T15" s="45">
        <f>(T14-D14)/D14</f>
        <v>0.28995033243411311</v>
      </c>
      <c r="U15" s="45">
        <f t="shared" ref="U15:Z15" si="1">(U14-E14)/E14</f>
        <v>0.30253489966750302</v>
      </c>
      <c r="V15" s="45">
        <f t="shared" si="1"/>
        <v>0.2</v>
      </c>
      <c r="W15" s="45">
        <f>(W14-G14)/G14</f>
        <v>-0.10752688172043011</v>
      </c>
      <c r="X15" s="45">
        <f t="shared" si="1"/>
        <v>0.51612147455241741</v>
      </c>
      <c r="Y15" s="45">
        <f t="shared" si="1"/>
        <v>0.49171327526042657</v>
      </c>
      <c r="Z15" s="45">
        <f t="shared" si="1"/>
        <v>0.17320622404510791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3:C1048576">
    <cfRule type="duplicateValues" dxfId="67" priority="7"/>
    <cfRule type="duplicateValues" dxfId="66" priority="8"/>
  </conditionalFormatting>
  <conditionalFormatting sqref="C14">
    <cfRule type="duplicateValues" dxfId="65" priority="3"/>
    <cfRule type="duplicateValues" dxfId="64" priority="4"/>
  </conditionalFormatting>
  <conditionalFormatting sqref="C15">
    <cfRule type="duplicateValues" dxfId="63" priority="5"/>
    <cfRule type="duplicateValues" dxfId="62" priority="6"/>
  </conditionalFormatting>
  <conditionalFormatting sqref="C17:C32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0EA9-47EA-8D42-9C57-6A8890BE9486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-0.96994827492527902</v>
      </c>
      <c r="J2" s="28" t="e">
        <f>(S14-J14)/J14</f>
        <v>#DIV/0!</v>
      </c>
      <c r="K2" s="28"/>
      <c r="L2" s="1" t="s">
        <v>19</v>
      </c>
      <c r="P2" s="1">
        <f>(P14-H14)/H14</f>
        <v>-0.55468367021197684</v>
      </c>
      <c r="R2" s="1">
        <f>(R14-J14)/J14</f>
        <v>-0.14219535384468096</v>
      </c>
      <c r="T2" s="1" t="s">
        <v>20</v>
      </c>
      <c r="X2" s="1">
        <f>(X14-P14)/P14</f>
        <v>3.5203191207709037</v>
      </c>
      <c r="Z2" s="1">
        <f>(Z14-R14)/R14</f>
        <v>0.38408609875035638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</v>
      </c>
      <c r="D4" s="23">
        <v>849482.61760938738</v>
      </c>
      <c r="E4" s="33">
        <v>60.205392832998768</v>
      </c>
      <c r="F4" s="5">
        <v>10</v>
      </c>
      <c r="G4" s="23">
        <v>91</v>
      </c>
      <c r="H4" s="33">
        <v>495.05366499791262</v>
      </c>
      <c r="I4" s="23">
        <v>33.242211793584225</v>
      </c>
      <c r="J4" s="5">
        <v>5268.9227547665778</v>
      </c>
      <c r="K4" s="31"/>
      <c r="L4" s="23">
        <v>1095223.9895251009</v>
      </c>
      <c r="M4" s="33">
        <v>52.164590916996531</v>
      </c>
      <c r="N4" s="5">
        <v>23</v>
      </c>
      <c r="O4" s="5">
        <v>89</v>
      </c>
      <c r="P4" s="33">
        <v>410.12622492831593</v>
      </c>
      <c r="Q4" s="5">
        <v>14.735523018960365</v>
      </c>
      <c r="R4" s="5">
        <v>4933.2950831287999</v>
      </c>
      <c r="S4" s="31"/>
      <c r="T4" s="23">
        <v>943319.24366734549</v>
      </c>
      <c r="U4" s="33">
        <v>80.826190374995349</v>
      </c>
      <c r="V4" s="5">
        <v>13</v>
      </c>
      <c r="W4" s="5">
        <v>91</v>
      </c>
      <c r="X4" s="33">
        <v>955.11908152030367</v>
      </c>
      <c r="Y4" s="5">
        <v>50.85369979438569</v>
      </c>
      <c r="Z4" s="5">
        <v>6016.6381193982161</v>
      </c>
      <c r="AA4" s="35"/>
    </row>
    <row r="5" spans="2:27" x14ac:dyDescent="0.2">
      <c r="B5" s="4">
        <v>2</v>
      </c>
      <c r="C5" s="4">
        <v>159</v>
      </c>
      <c r="D5" s="23">
        <v>826146.43708562874</v>
      </c>
      <c r="E5" s="33">
        <v>29.833942083001599</v>
      </c>
      <c r="F5" s="5">
        <v>12</v>
      </c>
      <c r="G5" s="23">
        <v>95</v>
      </c>
      <c r="H5" s="33">
        <v>414.46327749411284</v>
      </c>
      <c r="I5" s="23">
        <v>31.090397069807604</v>
      </c>
      <c r="J5" s="5">
        <v>5344.5651767510935</v>
      </c>
      <c r="K5" s="31"/>
      <c r="L5" s="23">
        <v>1116770.150276717</v>
      </c>
      <c r="M5" s="33">
        <v>60.171875332998752</v>
      </c>
      <c r="N5" s="5">
        <v>22</v>
      </c>
      <c r="O5" s="5">
        <v>85</v>
      </c>
      <c r="P5" s="33">
        <v>454.50687814696403</v>
      </c>
      <c r="Q5" s="5">
        <v>14.39588578874692</v>
      </c>
      <c r="R5" s="5">
        <v>4667.3398210773466</v>
      </c>
      <c r="S5" s="31"/>
      <c r="T5" s="23">
        <v>1199565.849743156</v>
      </c>
      <c r="U5" s="33">
        <v>40.609339707996703</v>
      </c>
      <c r="V5" s="5">
        <v>15</v>
      </c>
      <c r="W5" s="5">
        <v>89</v>
      </c>
      <c r="X5" s="33">
        <v>2029.4356228585971</v>
      </c>
      <c r="Y5" s="5">
        <v>43.860187190411899</v>
      </c>
      <c r="Z5" s="5">
        <v>7339.7085307138068</v>
      </c>
      <c r="AA5" s="35"/>
    </row>
    <row r="6" spans="2:27" x14ac:dyDescent="0.2">
      <c r="B6" s="4">
        <v>3</v>
      </c>
      <c r="C6" s="4">
        <v>206</v>
      </c>
      <c r="D6" s="23">
        <v>815350.4430358744</v>
      </c>
      <c r="E6" s="33">
        <v>35.16813962499873</v>
      </c>
      <c r="F6" s="5">
        <v>12</v>
      </c>
      <c r="G6" s="23">
        <v>96</v>
      </c>
      <c r="H6" s="33">
        <v>500.29061836071031</v>
      </c>
      <c r="I6" s="23">
        <v>29.306020646231826</v>
      </c>
      <c r="J6" s="5">
        <v>5214.9529236524077</v>
      </c>
      <c r="K6" s="31"/>
      <c r="L6" s="23">
        <v>1123396.5695303881</v>
      </c>
      <c r="M6" s="33">
        <v>102.24763420799719</v>
      </c>
      <c r="N6" s="5">
        <v>18</v>
      </c>
      <c r="O6" s="5">
        <v>78</v>
      </c>
      <c r="P6" s="33">
        <v>239.31604767216601</v>
      </c>
      <c r="Q6" s="5">
        <v>14.709231181244755</v>
      </c>
      <c r="R6" s="5">
        <v>4399.6442985925332</v>
      </c>
      <c r="S6" s="31"/>
      <c r="T6" s="23">
        <v>1027463.258495474</v>
      </c>
      <c r="U6" s="33">
        <v>67.42193145800411</v>
      </c>
      <c r="V6" s="5">
        <v>15</v>
      </c>
      <c r="W6" s="5">
        <v>90</v>
      </c>
      <c r="X6" s="33">
        <v>1058.9403774932655</v>
      </c>
      <c r="Y6" s="5">
        <v>41.898694223063558</v>
      </c>
      <c r="Z6" s="5">
        <v>6164.5916386849958</v>
      </c>
      <c r="AA6" s="35"/>
    </row>
    <row r="7" spans="2:27" x14ac:dyDescent="0.2">
      <c r="B7" s="4">
        <v>4</v>
      </c>
      <c r="C7" s="4">
        <v>580</v>
      </c>
      <c r="D7" s="23">
        <v>840912.40189121594</v>
      </c>
      <c r="E7" s="33">
        <v>31.845176082999391</v>
      </c>
      <c r="F7" s="5">
        <v>10</v>
      </c>
      <c r="G7" s="23">
        <v>94</v>
      </c>
      <c r="H7" s="33">
        <v>552.64408280519137</v>
      </c>
      <c r="I7" s="23">
        <v>36.327508875212729</v>
      </c>
      <c r="J7" s="5">
        <v>5618.7678514050467</v>
      </c>
      <c r="K7" s="31"/>
      <c r="L7" s="23">
        <v>1135346.549066619</v>
      </c>
      <c r="M7" s="33">
        <v>63.069965250004323</v>
      </c>
      <c r="N7" s="5">
        <v>23</v>
      </c>
      <c r="O7" s="5">
        <v>89</v>
      </c>
      <c r="P7" s="33">
        <v>625.01397440596259</v>
      </c>
      <c r="Q7" s="5">
        <v>14.311770879624859</v>
      </c>
      <c r="R7" s="5">
        <v>5127.8815766045745</v>
      </c>
      <c r="S7" s="31"/>
      <c r="T7" s="23">
        <v>940074.65910968091</v>
      </c>
      <c r="U7" s="33">
        <v>110.3963121249981</v>
      </c>
      <c r="V7" s="5">
        <v>13</v>
      </c>
      <c r="W7" s="5">
        <v>92</v>
      </c>
      <c r="X7" s="33">
        <v>1081.677826000041</v>
      </c>
      <c r="Y7" s="5">
        <v>53.155287228868467</v>
      </c>
      <c r="Z7" s="5">
        <v>6114.6697076172159</v>
      </c>
      <c r="AA7" s="35"/>
    </row>
    <row r="8" spans="2:27" x14ac:dyDescent="0.2">
      <c r="B8" s="4">
        <v>5</v>
      </c>
      <c r="C8" s="4">
        <v>648</v>
      </c>
      <c r="D8" s="23">
        <v>959774.37628413085</v>
      </c>
      <c r="E8" s="33">
        <v>30.408192957998839</v>
      </c>
      <c r="F8" s="5">
        <v>12</v>
      </c>
      <c r="G8" s="23">
        <v>95</v>
      </c>
      <c r="H8" s="33">
        <v>940.89481311380871</v>
      </c>
      <c r="I8" s="23">
        <v>30.580133408011378</v>
      </c>
      <c r="J8" s="5">
        <v>6262.5519526264043</v>
      </c>
      <c r="K8" s="31"/>
      <c r="L8" s="23">
        <v>1071183.7258926539</v>
      </c>
      <c r="M8" s="33">
        <v>139.6907201669965</v>
      </c>
      <c r="N8" s="5">
        <v>20</v>
      </c>
      <c r="O8" s="5">
        <v>85</v>
      </c>
      <c r="P8" s="33">
        <v>352.2611635393904</v>
      </c>
      <c r="Q8" s="5">
        <v>15.42528221186021</v>
      </c>
      <c r="R8" s="5">
        <v>4583.9002300252532</v>
      </c>
      <c r="S8" s="31"/>
      <c r="T8" s="23">
        <v>1091421.2599972039</v>
      </c>
      <c r="U8" s="33">
        <v>60.265015958997537</v>
      </c>
      <c r="V8" s="5">
        <v>17</v>
      </c>
      <c r="W8" s="5">
        <v>93</v>
      </c>
      <c r="X8" s="33">
        <v>1355.6369915327757</v>
      </c>
      <c r="Y8" s="5">
        <v>39.610159349076135</v>
      </c>
      <c r="Z8" s="5">
        <v>6694.6197556397137</v>
      </c>
      <c r="AA8" s="35"/>
    </row>
    <row r="9" spans="2:27" x14ac:dyDescent="0.2">
      <c r="B9" s="4">
        <v>6</v>
      </c>
      <c r="C9" s="4">
        <v>844</v>
      </c>
      <c r="D9" s="23">
        <v>903600.23734435346</v>
      </c>
      <c r="E9" s="33">
        <v>29.817675000005689</v>
      </c>
      <c r="F9" s="5">
        <v>11</v>
      </c>
      <c r="G9" s="23">
        <v>96</v>
      </c>
      <c r="H9" s="33">
        <v>806.31688914190454</v>
      </c>
      <c r="I9" s="23">
        <v>33.787689157628421</v>
      </c>
      <c r="J9" s="5">
        <v>6115.8026014319048</v>
      </c>
      <c r="K9" s="31"/>
      <c r="L9" s="23">
        <v>1158035.065527509</v>
      </c>
      <c r="M9" s="33">
        <v>64.759123041993007</v>
      </c>
      <c r="N9" s="5">
        <v>28</v>
      </c>
      <c r="O9" s="5">
        <v>93</v>
      </c>
      <c r="P9" s="33">
        <v>474.22492085533679</v>
      </c>
      <c r="Q9" s="5">
        <v>12.556420445331314</v>
      </c>
      <c r="R9" s="5">
        <v>5133.7993076138118</v>
      </c>
      <c r="S9" s="31"/>
      <c r="T9" s="23">
        <v>1098965.386827125</v>
      </c>
      <c r="U9" s="33">
        <v>102.7776065419966</v>
      </c>
      <c r="V9" s="5">
        <v>16</v>
      </c>
      <c r="W9" s="5">
        <v>92</v>
      </c>
      <c r="X9" s="33">
        <v>1587.3020919044163</v>
      </c>
      <c r="Y9" s="5">
        <v>40.39458865996793</v>
      </c>
      <c r="Z9" s="5">
        <v>6664.7955249879842</v>
      </c>
      <c r="AA9" s="35"/>
    </row>
    <row r="10" spans="2:27" x14ac:dyDescent="0.2">
      <c r="B10" s="4">
        <v>7</v>
      </c>
      <c r="C10" s="4">
        <v>900</v>
      </c>
      <c r="D10" s="23">
        <v>882119.21348494943</v>
      </c>
      <c r="E10" s="33">
        <v>39.936261875001946</v>
      </c>
      <c r="F10" s="5">
        <v>12</v>
      </c>
      <c r="G10" s="23">
        <v>96</v>
      </c>
      <c r="H10" s="33">
        <v>698.94165950272588</v>
      </c>
      <c r="I10" s="23">
        <v>30.74714723153895</v>
      </c>
      <c r="J10" s="5">
        <v>5802.0861636147929</v>
      </c>
      <c r="K10" s="31"/>
      <c r="L10" s="23">
        <v>1087954.424390964</v>
      </c>
      <c r="M10" s="33">
        <v>103.9044887919954</v>
      </c>
      <c r="N10" s="5">
        <v>20</v>
      </c>
      <c r="O10" s="5">
        <v>83</v>
      </c>
      <c r="P10" s="33">
        <v>263.19348209449862</v>
      </c>
      <c r="Q10" s="5">
        <v>14.838671564919617</v>
      </c>
      <c r="R10" s="5">
        <v>4481.9824276641657</v>
      </c>
      <c r="S10" s="31"/>
      <c r="T10" s="23">
        <v>927279.35954778397</v>
      </c>
      <c r="U10" s="33">
        <v>112.7098744999967</v>
      </c>
      <c r="V10" s="5">
        <v>16</v>
      </c>
      <c r="W10" s="5">
        <v>96</v>
      </c>
      <c r="X10" s="33">
        <v>980.08667565545022</v>
      </c>
      <c r="Y10" s="5">
        <v>44.280429456942301</v>
      </c>
      <c r="Z10" s="5">
        <v>5985.4619968084635</v>
      </c>
      <c r="AA10" s="35"/>
    </row>
    <row r="11" spans="2:27" x14ac:dyDescent="0.2">
      <c r="B11" s="4">
        <v>8</v>
      </c>
      <c r="C11" s="4">
        <v>916</v>
      </c>
      <c r="D11" s="23">
        <v>871678.92717123334</v>
      </c>
      <c r="E11" s="33">
        <v>32.786166124998999</v>
      </c>
      <c r="F11" s="5">
        <v>11</v>
      </c>
      <c r="G11" s="23">
        <v>96</v>
      </c>
      <c r="H11" s="33">
        <v>811.35170028705397</v>
      </c>
      <c r="I11" s="23">
        <v>34.451244756988523</v>
      </c>
      <c r="J11" s="5">
        <v>5783.605607513513</v>
      </c>
      <c r="K11" s="31"/>
      <c r="L11" s="23">
        <v>1091845.7854312989</v>
      </c>
      <c r="M11" s="33">
        <v>129.05494716700201</v>
      </c>
      <c r="N11" s="5">
        <v>25</v>
      </c>
      <c r="O11" s="5">
        <v>90</v>
      </c>
      <c r="P11" s="33">
        <v>430.54640357925672</v>
      </c>
      <c r="Q11" s="5">
        <v>13.873395298616408</v>
      </c>
      <c r="R11" s="5">
        <v>4660.3854547064384</v>
      </c>
      <c r="S11" s="31"/>
      <c r="T11" s="23">
        <v>1033635.8820640279</v>
      </c>
      <c r="U11" s="33">
        <v>83.801919458004704</v>
      </c>
      <c r="V11" s="5">
        <v>15</v>
      </c>
      <c r="W11" s="5">
        <v>89</v>
      </c>
      <c r="X11" s="33">
        <v>1040.9066806577118</v>
      </c>
      <c r="Y11" s="5">
        <v>40.852151922855569</v>
      </c>
      <c r="Z11" s="5">
        <v>6150.6001668578256</v>
      </c>
      <c r="AA11" s="35"/>
    </row>
    <row r="12" spans="2:27" x14ac:dyDescent="0.2">
      <c r="B12" s="4">
        <v>9</v>
      </c>
      <c r="C12" s="4">
        <v>983</v>
      </c>
      <c r="D12" s="23">
        <v>798392.95091634884</v>
      </c>
      <c r="E12" s="33">
        <v>60.209614542000047</v>
      </c>
      <c r="F12" s="5">
        <v>12</v>
      </c>
      <c r="G12" s="23">
        <v>96</v>
      </c>
      <c r="H12" s="33">
        <v>486.88541839850768</v>
      </c>
      <c r="I12" s="23">
        <v>29.067515996943925</v>
      </c>
      <c r="J12" s="5">
        <v>5041.342187591923</v>
      </c>
      <c r="K12" s="31"/>
      <c r="L12" s="23">
        <v>1033587.123119463</v>
      </c>
      <c r="M12" s="33">
        <v>84.295202000001154</v>
      </c>
      <c r="N12" s="5">
        <v>22</v>
      </c>
      <c r="O12" s="5">
        <v>88</v>
      </c>
      <c r="P12" s="33">
        <v>216.81802754852944</v>
      </c>
      <c r="Q12" s="5">
        <v>14.631746736602445</v>
      </c>
      <c r="R12" s="5">
        <v>4324.4867513751715</v>
      </c>
      <c r="S12" s="31"/>
      <c r="T12" s="23">
        <v>1023891.499191932</v>
      </c>
      <c r="U12" s="33">
        <v>91.928401582998049</v>
      </c>
      <c r="V12" s="5">
        <v>15</v>
      </c>
      <c r="W12" s="5">
        <v>94</v>
      </c>
      <c r="X12" s="33">
        <v>1440.0679201193393</v>
      </c>
      <c r="Y12" s="5">
        <v>44.467137110629885</v>
      </c>
      <c r="Z12" s="5">
        <v>6548.1016713198114</v>
      </c>
      <c r="AA12" s="35"/>
    </row>
    <row r="13" spans="2:27" x14ac:dyDescent="0.2">
      <c r="B13" s="4">
        <v>10</v>
      </c>
      <c r="C13" s="4">
        <v>994</v>
      </c>
      <c r="D13" s="23">
        <v>824294.51111316134</v>
      </c>
      <c r="E13" s="33">
        <v>35.503396957996301</v>
      </c>
      <c r="F13" s="5">
        <v>13</v>
      </c>
      <c r="G13" s="23">
        <v>94</v>
      </c>
      <c r="H13" s="33">
        <v>395.90979096219945</v>
      </c>
      <c r="I13" s="23">
        <v>27.28204898143715</v>
      </c>
      <c r="J13" s="5">
        <v>4924.6796448839914</v>
      </c>
      <c r="K13" s="31"/>
      <c r="L13" s="23">
        <v>1126427.7652628659</v>
      </c>
      <c r="M13" s="33">
        <v>66.002806374999636</v>
      </c>
      <c r="N13" s="5">
        <v>19</v>
      </c>
      <c r="O13" s="5">
        <v>83</v>
      </c>
      <c r="P13" s="33">
        <v>515.94007249690435</v>
      </c>
      <c r="Q13" s="5">
        <v>15.752374951363384</v>
      </c>
      <c r="R13" s="5">
        <v>4961.5135623249771</v>
      </c>
      <c r="S13" s="31"/>
      <c r="T13" s="23">
        <v>989328.52198637021</v>
      </c>
      <c r="U13" s="33">
        <v>51.010817125003094</v>
      </c>
      <c r="V13" s="5">
        <v>15</v>
      </c>
      <c r="W13" s="5">
        <v>93</v>
      </c>
      <c r="X13" s="33">
        <v>1184.5839217996872</v>
      </c>
      <c r="Y13" s="5">
        <v>43.064367821151286</v>
      </c>
      <c r="Z13" s="5">
        <v>6166.8509528978593</v>
      </c>
      <c r="AA13" s="35"/>
    </row>
    <row r="14" spans="2:27" x14ac:dyDescent="0.2">
      <c r="B14" s="46" t="s">
        <v>3</v>
      </c>
      <c r="C14" s="47"/>
      <c r="D14" s="9">
        <f>MIN(D4:D13)</f>
        <v>798392.95091634884</v>
      </c>
      <c r="E14" s="22">
        <f>INDEX(E4:E13, MATCH($D$14, D4:D13, 0))</f>
        <v>60.209614542000047</v>
      </c>
      <c r="F14" s="9">
        <f>INDEX(F4:F13, MATCH($D$14, D4:D13, 0))</f>
        <v>12</v>
      </c>
      <c r="G14" s="9">
        <f>INDEX(G4:G13, MATCH($D$14, D4:D13, 0))</f>
        <v>96</v>
      </c>
      <c r="H14" s="22">
        <f>INDEX(H4:H13, MATCH($D$14, D4:D13, 0))</f>
        <v>486.88541839850768</v>
      </c>
      <c r="I14" s="22">
        <f>INDEX(I4:I13, MATCH($D$14, D4:D13, 0))</f>
        <v>29.067515996943925</v>
      </c>
      <c r="J14" s="22">
        <f>INDEX(J4:J13, MATCH($D$14, D4:D13, 0))</f>
        <v>5041.342187591923</v>
      </c>
      <c r="K14" s="32" t="e">
        <f>(D14-$D$15)/$D$15</f>
        <v>#DIV/0!</v>
      </c>
      <c r="L14" s="16">
        <f>MIN(L4:L13)</f>
        <v>1033587.123119463</v>
      </c>
      <c r="M14" s="21">
        <f>INDEX(M4:M13, MATCH($L$14, L4:L13, 0))</f>
        <v>84.295202000001154</v>
      </c>
      <c r="N14" s="16">
        <f>INDEX(N4:N13, MATCH($L$14, L4:L13, 0))</f>
        <v>22</v>
      </c>
      <c r="O14" s="16">
        <f>INDEX(O4:O13, MATCH($L$14, L4:L13, 0))</f>
        <v>88</v>
      </c>
      <c r="P14" s="21">
        <f>INDEX(P4:P13, MATCH($L$14, L4:L13, 0))</f>
        <v>216.81802754852944</v>
      </c>
      <c r="Q14" s="21">
        <f>INDEX(Q4:Q13, MATCH($L$14, L4:L13, 0))</f>
        <v>14.631746736602445</v>
      </c>
      <c r="R14" s="21">
        <f>INDEX(R4:R13, MATCH($L$14, L4:L13, 0))</f>
        <v>4324.4867513751715</v>
      </c>
      <c r="S14" s="36" t="e">
        <f>(L14-$D$15)/$D$15</f>
        <v>#DIV/0!</v>
      </c>
      <c r="T14" s="38">
        <f>MIN(T4:T13)</f>
        <v>927279.35954778397</v>
      </c>
      <c r="U14" s="39">
        <f>INDEX(U4:U13, MATCH($T$14, T4:T13, 0))</f>
        <v>112.7098744999967</v>
      </c>
      <c r="V14" s="38">
        <f>INDEX(V4:V13, MATCH($T$14, T4:T13, 0))</f>
        <v>16</v>
      </c>
      <c r="W14" s="38">
        <f>INDEX(W4:W13, MATCH($T$14, T4:T13, 0))</f>
        <v>96</v>
      </c>
      <c r="X14" s="39">
        <f>INDEX(X4:X13, MATCH($T$14, T4:T13, 0))</f>
        <v>980.08667565545022</v>
      </c>
      <c r="Y14" s="39">
        <f>INDEX(Y4:Y13, MATCH($T$14, T4:T13, 0))</f>
        <v>44.280429456942301</v>
      </c>
      <c r="Z14" s="39">
        <f>INDEX(Z4:Z13, MATCH($T$14, T4:T13, 0))</f>
        <v>5985.4619968084635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0.2945844799019981</v>
      </c>
      <c r="M15" s="45">
        <f t="shared" ref="M15:R15" si="0">(M14-E14)/E14</f>
        <v>0.40002892629714271</v>
      </c>
      <c r="N15" s="45">
        <f t="shared" si="0"/>
        <v>0.83333333333333337</v>
      </c>
      <c r="O15" s="45">
        <f t="shared" si="0"/>
        <v>-8.3333333333333329E-2</v>
      </c>
      <c r="P15" s="45">
        <f t="shared" si="0"/>
        <v>-0.55468367021197684</v>
      </c>
      <c r="Q15" s="45">
        <f t="shared" si="0"/>
        <v>-0.49662892631964889</v>
      </c>
      <c r="R15" s="45">
        <f t="shared" si="0"/>
        <v>-0.14219535384468096</v>
      </c>
      <c r="S15"/>
      <c r="T15" s="45">
        <f>(T14-D14)/D14</f>
        <v>0.1614322978221524</v>
      </c>
      <c r="U15" s="45">
        <f t="shared" ref="U15:Z15" si="1">(U14-E14)/E14</f>
        <v>0.87195808106983275</v>
      </c>
      <c r="V15" s="45">
        <f t="shared" si="1"/>
        <v>0.33333333333333331</v>
      </c>
      <c r="W15" s="45">
        <f>(W14-G14)/G14</f>
        <v>0</v>
      </c>
      <c r="X15" s="45">
        <f t="shared" si="1"/>
        <v>1.0129719203323224</v>
      </c>
      <c r="Y15" s="45">
        <f t="shared" si="1"/>
        <v>0.52336475747008504</v>
      </c>
      <c r="Z15" s="45">
        <f t="shared" si="1"/>
        <v>0.18727548618704543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3:C1048576">
    <cfRule type="duplicateValues" dxfId="61" priority="7"/>
    <cfRule type="duplicateValues" dxfId="60" priority="8"/>
  </conditionalFormatting>
  <conditionalFormatting sqref="C14">
    <cfRule type="duplicateValues" dxfId="59" priority="3"/>
    <cfRule type="duplicateValues" dxfId="58" priority="4"/>
  </conditionalFormatting>
  <conditionalFormatting sqref="C15">
    <cfRule type="duplicateValues" dxfId="57" priority="5"/>
    <cfRule type="duplicateValues" dxfId="56" priority="6"/>
  </conditionalFormatting>
  <conditionalFormatting sqref="C17:C32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921A-9C9A-4446-BC21-53154CD044CC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-0.79740060623293607</v>
      </c>
      <c r="J2" s="28" t="e">
        <f>(S14-J14)/J14</f>
        <v>#DIV/0!</v>
      </c>
      <c r="K2" s="28"/>
      <c r="L2" s="1" t="s">
        <v>19</v>
      </c>
      <c r="P2" s="1">
        <f>(P14-H14)/H14</f>
        <v>1.0079534333579399</v>
      </c>
      <c r="R2" s="1">
        <f>(R14-J14)/J14</f>
        <v>-7.5623940966598233E-2</v>
      </c>
      <c r="T2" s="1" t="s">
        <v>20</v>
      </c>
      <c r="X2" s="1">
        <f>(X14-P14)/P14</f>
        <v>2.7417968590894315</v>
      </c>
      <c r="Z2" s="1">
        <f>(Z14-R14)/R14</f>
        <v>0.46734905217114431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</v>
      </c>
      <c r="D4" s="23">
        <v>705814.86326138757</v>
      </c>
      <c r="E4" s="33">
        <v>32.418178291001823</v>
      </c>
      <c r="F4" s="5">
        <v>10</v>
      </c>
      <c r="G4" s="23">
        <v>93</v>
      </c>
      <c r="H4" s="33">
        <v>70.955693018952559</v>
      </c>
      <c r="I4" s="23">
        <v>31.784547907512881</v>
      </c>
      <c r="J4" s="5">
        <v>4446.1967916303929</v>
      </c>
      <c r="K4" s="31"/>
      <c r="L4" s="23">
        <v>1065096.35013188</v>
      </c>
      <c r="M4" s="33">
        <v>71.158349334000377</v>
      </c>
      <c r="N4" s="5">
        <v>22</v>
      </c>
      <c r="O4" s="5">
        <v>91</v>
      </c>
      <c r="P4" s="33">
        <v>347.23134714639531</v>
      </c>
      <c r="Q4" s="5">
        <v>13.553333738504323</v>
      </c>
      <c r="R4" s="5">
        <v>5104.5651705759365</v>
      </c>
      <c r="S4" s="31"/>
      <c r="T4" s="23">
        <v>958266.29543581046</v>
      </c>
      <c r="U4" s="33">
        <v>66.409235500002978</v>
      </c>
      <c r="V4" s="5">
        <v>14</v>
      </c>
      <c r="W4" s="5">
        <v>91</v>
      </c>
      <c r="X4" s="33">
        <v>768.78598427684699</v>
      </c>
      <c r="Y4" s="5">
        <v>44.649937373884782</v>
      </c>
      <c r="Z4" s="5">
        <v>6103.1500110986608</v>
      </c>
      <c r="AA4" s="35"/>
    </row>
    <row r="5" spans="2:27" x14ac:dyDescent="0.2">
      <c r="B5" s="4">
        <v>2</v>
      </c>
      <c r="C5" s="4">
        <v>272</v>
      </c>
      <c r="D5" s="23">
        <v>827456.65523700684</v>
      </c>
      <c r="E5" s="33">
        <v>35.004421708996233</v>
      </c>
      <c r="F5" s="5">
        <v>11</v>
      </c>
      <c r="G5" s="23">
        <v>93</v>
      </c>
      <c r="H5" s="33">
        <v>419.16976695927337</v>
      </c>
      <c r="I5" s="23">
        <v>28.713700022538127</v>
      </c>
      <c r="J5" s="5">
        <v>5272.6348676907101</v>
      </c>
      <c r="K5" s="31"/>
      <c r="L5" s="23">
        <v>1005176.911248005</v>
      </c>
      <c r="M5" s="33">
        <v>125.3719025419996</v>
      </c>
      <c r="N5" s="5">
        <v>22</v>
      </c>
      <c r="O5" s="5">
        <v>91</v>
      </c>
      <c r="P5" s="33">
        <v>235.39534282295159</v>
      </c>
      <c r="Q5" s="5">
        <v>13.823410422109561</v>
      </c>
      <c r="R5" s="5">
        <v>4597.7113975687462</v>
      </c>
      <c r="S5" s="31"/>
      <c r="T5" s="23">
        <v>949230.99446839653</v>
      </c>
      <c r="U5" s="33">
        <v>100.4314823750028</v>
      </c>
      <c r="V5" s="5">
        <v>14</v>
      </c>
      <c r="W5" s="5">
        <v>93</v>
      </c>
      <c r="X5" s="33">
        <v>926.60063349230711</v>
      </c>
      <c r="Y5" s="5">
        <v>45.634711172894178</v>
      </c>
      <c r="Z5" s="5">
        <v>6254.678576302349</v>
      </c>
      <c r="AA5" s="35"/>
    </row>
    <row r="6" spans="2:27" x14ac:dyDescent="0.2">
      <c r="B6" s="4">
        <v>3</v>
      </c>
      <c r="C6" s="4">
        <v>430</v>
      </c>
      <c r="D6" s="23">
        <v>807798.90913237049</v>
      </c>
      <c r="E6" s="33">
        <v>50.069718416998512</v>
      </c>
      <c r="F6" s="5">
        <v>11</v>
      </c>
      <c r="G6" s="23">
        <v>93</v>
      </c>
      <c r="H6" s="33">
        <v>312.48238282593627</v>
      </c>
      <c r="I6" s="23">
        <v>27.801648590322273</v>
      </c>
      <c r="J6" s="5">
        <v>5119.3526064632097</v>
      </c>
      <c r="K6" s="31"/>
      <c r="L6" s="23">
        <v>964495.96604624949</v>
      </c>
      <c r="M6" s="33">
        <v>118.3937082499979</v>
      </c>
      <c r="N6" s="5">
        <v>22</v>
      </c>
      <c r="O6" s="5">
        <v>91</v>
      </c>
      <c r="P6" s="33">
        <v>73.877726457471525</v>
      </c>
      <c r="Q6" s="5">
        <v>13.606006999897762</v>
      </c>
      <c r="R6" s="5">
        <v>4254.6807824526722</v>
      </c>
      <c r="S6" s="31"/>
      <c r="T6" s="23">
        <v>934440.16254440986</v>
      </c>
      <c r="U6" s="33">
        <v>45.528284459003771</v>
      </c>
      <c r="V6" s="5">
        <v>10</v>
      </c>
      <c r="W6" s="5">
        <v>87</v>
      </c>
      <c r="X6" s="33">
        <v>592.42074355738043</v>
      </c>
      <c r="Y6" s="5">
        <v>55.198583862618477</v>
      </c>
      <c r="Z6" s="5">
        <v>6143.5851666662966</v>
      </c>
      <c r="AA6" s="35"/>
    </row>
    <row r="7" spans="2:27" x14ac:dyDescent="0.2">
      <c r="B7" s="4">
        <v>4</v>
      </c>
      <c r="C7" s="4">
        <v>434</v>
      </c>
      <c r="D7" s="23">
        <v>900375.02847659634</v>
      </c>
      <c r="E7" s="33">
        <v>29.375265499998932</v>
      </c>
      <c r="F7" s="5">
        <v>12</v>
      </c>
      <c r="G7" s="23">
        <v>90</v>
      </c>
      <c r="H7" s="33">
        <v>440.36344844368426</v>
      </c>
      <c r="I7" s="23">
        <v>24.816334395749166</v>
      </c>
      <c r="J7" s="5">
        <v>5329.3520676846128</v>
      </c>
      <c r="K7" s="31"/>
      <c r="L7" s="23">
        <v>1001973.618007625</v>
      </c>
      <c r="M7" s="33">
        <v>76.460358291995362</v>
      </c>
      <c r="N7" s="5">
        <v>22</v>
      </c>
      <c r="O7" s="5">
        <v>91</v>
      </c>
      <c r="P7" s="33">
        <v>208.26084656776399</v>
      </c>
      <c r="Q7" s="5">
        <v>13.455811874024898</v>
      </c>
      <c r="R7" s="5">
        <v>4551.6749716800823</v>
      </c>
      <c r="S7" s="31"/>
      <c r="T7" s="23">
        <v>1078565.815928872</v>
      </c>
      <c r="U7" s="33">
        <v>67.904640666005434</v>
      </c>
      <c r="V7" s="5">
        <v>15</v>
      </c>
      <c r="W7" s="5">
        <v>90</v>
      </c>
      <c r="X7" s="33">
        <v>1242.5496803369747</v>
      </c>
      <c r="Y7" s="5">
        <v>41.028692096997041</v>
      </c>
      <c r="Z7" s="5">
        <v>6669.4859273018474</v>
      </c>
      <c r="AA7" s="35"/>
    </row>
    <row r="8" spans="2:27" x14ac:dyDescent="0.2">
      <c r="B8" s="4">
        <v>5</v>
      </c>
      <c r="C8" s="4">
        <v>500</v>
      </c>
      <c r="D8" s="23">
        <v>749438.20022095856</v>
      </c>
      <c r="E8" s="33">
        <v>61.470664124994073</v>
      </c>
      <c r="F8" s="5">
        <v>10</v>
      </c>
      <c r="G8" s="23">
        <v>93</v>
      </c>
      <c r="H8" s="33">
        <v>210.86671965240851</v>
      </c>
      <c r="I8" s="23">
        <v>31.04657127557336</v>
      </c>
      <c r="J8" s="5">
        <v>4795.7098100992625</v>
      </c>
      <c r="K8" s="31"/>
      <c r="L8" s="23">
        <v>947861.58995701442</v>
      </c>
      <c r="M8" s="33">
        <v>106.69869458299949</v>
      </c>
      <c r="N8" s="5">
        <v>20</v>
      </c>
      <c r="O8" s="5">
        <v>89</v>
      </c>
      <c r="P8" s="33">
        <v>142.4757274136978</v>
      </c>
      <c r="Q8" s="5">
        <v>14.375580389961678</v>
      </c>
      <c r="R8" s="5">
        <v>4109.9578679342576</v>
      </c>
      <c r="S8" s="31"/>
      <c r="T8" s="23">
        <v>1053973.4727131331</v>
      </c>
      <c r="U8" s="33">
        <v>41.475930250002421</v>
      </c>
      <c r="V8" s="5">
        <v>15</v>
      </c>
      <c r="W8" s="5">
        <v>92</v>
      </c>
      <c r="X8" s="33">
        <v>1404.3541567824261</v>
      </c>
      <c r="Y8" s="5">
        <v>42.040036496330551</v>
      </c>
      <c r="Z8" s="5">
        <v>6614.6523204551231</v>
      </c>
      <c r="AA8" s="35"/>
    </row>
    <row r="9" spans="2:27" x14ac:dyDescent="0.2">
      <c r="B9" s="4">
        <v>6</v>
      </c>
      <c r="C9" s="4">
        <v>568</v>
      </c>
      <c r="D9" s="23">
        <v>936253.53841587668</v>
      </c>
      <c r="E9" s="33">
        <v>32.51791874999617</v>
      </c>
      <c r="F9" s="5">
        <v>14</v>
      </c>
      <c r="G9" s="23">
        <v>89</v>
      </c>
      <c r="H9" s="33">
        <v>647.86214371693723</v>
      </c>
      <c r="I9" s="23">
        <v>21.5664637373415</v>
      </c>
      <c r="J9" s="5">
        <v>5088.8005780674921</v>
      </c>
      <c r="K9" s="31"/>
      <c r="L9" s="23">
        <v>1074555.271892485</v>
      </c>
      <c r="M9" s="33">
        <v>76.056416707993776</v>
      </c>
      <c r="N9" s="5">
        <v>22</v>
      </c>
      <c r="O9" s="5">
        <v>89</v>
      </c>
      <c r="P9" s="33">
        <v>329.0553905014811</v>
      </c>
      <c r="Q9" s="5">
        <v>13.206269268151722</v>
      </c>
      <c r="R9" s="5">
        <v>4959.691695677946</v>
      </c>
      <c r="S9" s="31"/>
      <c r="T9" s="23">
        <v>1074599.8072939899</v>
      </c>
      <c r="U9" s="33">
        <v>65.859829375003756</v>
      </c>
      <c r="V9" s="5">
        <v>15</v>
      </c>
      <c r="W9" s="5">
        <v>89</v>
      </c>
      <c r="X9" s="33">
        <v>1146.1118290042064</v>
      </c>
      <c r="Y9" s="5">
        <v>40.785383001647475</v>
      </c>
      <c r="Z9" s="5">
        <v>6561.5260793495127</v>
      </c>
      <c r="AA9" s="35"/>
    </row>
    <row r="10" spans="2:27" x14ac:dyDescent="0.2">
      <c r="B10" s="4">
        <v>7</v>
      </c>
      <c r="C10" s="4">
        <v>610</v>
      </c>
      <c r="D10" s="23">
        <v>961457.98906163045</v>
      </c>
      <c r="E10" s="33">
        <v>30.948292792003489</v>
      </c>
      <c r="F10" s="5">
        <v>11</v>
      </c>
      <c r="G10" s="23">
        <v>91</v>
      </c>
      <c r="H10" s="33">
        <v>776.35842707023983</v>
      </c>
      <c r="I10" s="23">
        <v>26.791853254270244</v>
      </c>
      <c r="J10" s="5">
        <v>6115.8322252144071</v>
      </c>
      <c r="K10" s="31"/>
      <c r="L10" s="23">
        <v>975393.48316452675</v>
      </c>
      <c r="M10" s="33">
        <v>56.578299624998181</v>
      </c>
      <c r="N10" s="5">
        <v>22</v>
      </c>
      <c r="O10" s="5">
        <v>91</v>
      </c>
      <c r="P10" s="33">
        <v>264.90883642999682</v>
      </c>
      <c r="Q10" s="5">
        <v>13.463917875159469</v>
      </c>
      <c r="R10" s="5">
        <v>4239.0568944434344</v>
      </c>
      <c r="S10" s="31"/>
      <c r="T10" s="23">
        <v>925145.16056295764</v>
      </c>
      <c r="U10" s="33">
        <v>38.520248082997568</v>
      </c>
      <c r="V10" s="5">
        <v>12</v>
      </c>
      <c r="W10" s="5">
        <v>89</v>
      </c>
      <c r="X10" s="33">
        <v>533.11522933305639</v>
      </c>
      <c r="Y10" s="5">
        <v>50.345609318093665</v>
      </c>
      <c r="Z10" s="5">
        <v>6030.7427819766699</v>
      </c>
      <c r="AA10" s="35"/>
    </row>
    <row r="11" spans="2:27" x14ac:dyDescent="0.2">
      <c r="B11" s="4">
        <v>8</v>
      </c>
      <c r="C11" s="4">
        <v>674</v>
      </c>
      <c r="D11" s="23">
        <v>857477.38565463922</v>
      </c>
      <c r="E11" s="33">
        <v>33.677367999996932</v>
      </c>
      <c r="F11" s="5">
        <v>13</v>
      </c>
      <c r="G11" s="23">
        <v>93</v>
      </c>
      <c r="H11" s="33">
        <v>438.08480084958387</v>
      </c>
      <c r="I11" s="23">
        <v>24.311672672885347</v>
      </c>
      <c r="J11" s="5">
        <v>5167.2402327063555</v>
      </c>
      <c r="K11" s="31"/>
      <c r="L11" s="23">
        <v>998672.90954235243</v>
      </c>
      <c r="M11" s="33">
        <v>56.225327749998542</v>
      </c>
      <c r="N11" s="5">
        <v>23</v>
      </c>
      <c r="O11" s="5">
        <v>91</v>
      </c>
      <c r="P11" s="33">
        <v>219.54685804819553</v>
      </c>
      <c r="Q11" s="5">
        <v>13.193132116171618</v>
      </c>
      <c r="R11" s="5">
        <v>4323.3811343709358</v>
      </c>
      <c r="S11" s="31"/>
      <c r="T11" s="23">
        <v>1058222.986249936</v>
      </c>
      <c r="U11" s="33">
        <v>65.03661770799954</v>
      </c>
      <c r="V11" s="5">
        <v>17</v>
      </c>
      <c r="W11" s="5">
        <v>91</v>
      </c>
      <c r="X11" s="33">
        <v>1113.4502140364125</v>
      </c>
      <c r="Y11" s="5">
        <v>35.485267256620716</v>
      </c>
      <c r="Z11" s="5">
        <v>6318.2225281310775</v>
      </c>
      <c r="AA11" s="35"/>
    </row>
    <row r="12" spans="2:27" x14ac:dyDescent="0.2">
      <c r="B12" s="4">
        <v>9</v>
      </c>
      <c r="C12" s="4">
        <v>726</v>
      </c>
      <c r="D12" s="23">
        <v>783812.67487544322</v>
      </c>
      <c r="E12" s="33">
        <v>51.297261208994307</v>
      </c>
      <c r="F12" s="5">
        <v>11</v>
      </c>
      <c r="G12" s="23">
        <v>93</v>
      </c>
      <c r="H12" s="33">
        <v>222.59746449589338</v>
      </c>
      <c r="I12" s="23">
        <v>28.528980320635888</v>
      </c>
      <c r="J12" s="5">
        <v>4946.1134898068758</v>
      </c>
      <c r="K12" s="31"/>
      <c r="L12" s="23">
        <v>977174.53325484064</v>
      </c>
      <c r="M12" s="33">
        <v>74.825173874996835</v>
      </c>
      <c r="N12" s="5">
        <v>22</v>
      </c>
      <c r="O12" s="5">
        <v>91</v>
      </c>
      <c r="P12" s="33">
        <v>154.43816363872983</v>
      </c>
      <c r="Q12" s="5">
        <v>13.64878114879162</v>
      </c>
      <c r="R12" s="5">
        <v>4300.1194968078062</v>
      </c>
      <c r="S12" s="31"/>
      <c r="T12" s="23">
        <v>1140987.2373841419</v>
      </c>
      <c r="U12" s="33">
        <v>38.914766166002657</v>
      </c>
      <c r="V12" s="5">
        <v>16</v>
      </c>
      <c r="W12" s="5">
        <v>89</v>
      </c>
      <c r="X12" s="33">
        <v>1418.8314440142146</v>
      </c>
      <c r="Y12" s="5">
        <v>38.013144743789553</v>
      </c>
      <c r="Z12" s="5">
        <v>6879.7951017319729</v>
      </c>
      <c r="AA12" s="35"/>
    </row>
    <row r="13" spans="2:27" x14ac:dyDescent="0.2">
      <c r="B13" s="4">
        <v>10</v>
      </c>
      <c r="C13" s="4">
        <v>763</v>
      </c>
      <c r="D13" s="23">
        <v>731555.66948690847</v>
      </c>
      <c r="E13" s="33">
        <v>38.161193874999299</v>
      </c>
      <c r="F13" s="5">
        <v>11</v>
      </c>
      <c r="G13" s="23">
        <v>93</v>
      </c>
      <c r="H13" s="33">
        <v>61.650425711463164</v>
      </c>
      <c r="I13" s="23">
        <v>29.207631253517331</v>
      </c>
      <c r="J13" s="5">
        <v>4539.8080648974001</v>
      </c>
      <c r="K13" s="31"/>
      <c r="L13" s="23">
        <v>992057.60978251672</v>
      </c>
      <c r="M13" s="33">
        <v>161.85976091700289</v>
      </c>
      <c r="N13" s="5">
        <v>21</v>
      </c>
      <c r="O13" s="5">
        <v>90</v>
      </c>
      <c r="P13" s="33">
        <v>244.08021802101939</v>
      </c>
      <c r="Q13" s="5">
        <v>14.109136829444321</v>
      </c>
      <c r="R13" s="5">
        <v>4457.9886526200517</v>
      </c>
      <c r="S13" s="31"/>
      <c r="T13" s="23">
        <v>991843.91138382989</v>
      </c>
      <c r="U13" s="33">
        <v>75.703331290998904</v>
      </c>
      <c r="V13" s="5">
        <v>15</v>
      </c>
      <c r="W13" s="5">
        <v>93</v>
      </c>
      <c r="X13" s="33">
        <v>1125.9657736994748</v>
      </c>
      <c r="Y13" s="5">
        <v>42.507835597052342</v>
      </c>
      <c r="Z13" s="5">
        <v>6357.3117516775355</v>
      </c>
      <c r="AA13" s="35"/>
    </row>
    <row r="14" spans="2:27" x14ac:dyDescent="0.2">
      <c r="B14" s="46" t="s">
        <v>3</v>
      </c>
      <c r="C14" s="47"/>
      <c r="D14" s="9">
        <f>MIN(D4:D13)</f>
        <v>705814.86326138757</v>
      </c>
      <c r="E14" s="22">
        <f>INDEX(E4:E13, MATCH($D$14, D4:D13, 0))</f>
        <v>32.418178291001823</v>
      </c>
      <c r="F14" s="9">
        <f>INDEX(F4:F13, MATCH($D$14, D4:D13, 0))</f>
        <v>10</v>
      </c>
      <c r="G14" s="9">
        <f>INDEX(G4:G13, MATCH($D$14, D4:D13, 0))</f>
        <v>93</v>
      </c>
      <c r="H14" s="22">
        <f>INDEX(H4:H13, MATCH($D$14, D4:D13, 0))</f>
        <v>70.955693018952559</v>
      </c>
      <c r="I14" s="22">
        <f>INDEX(I4:I13, MATCH($D$14, D4:D13, 0))</f>
        <v>31.784547907512881</v>
      </c>
      <c r="J14" s="22">
        <f>INDEX(J4:J13, MATCH($D$14, D4:D13, 0))</f>
        <v>4446.1967916303929</v>
      </c>
      <c r="K14" s="32" t="e">
        <f>(D14-$D$15)/$D$15</f>
        <v>#DIV/0!</v>
      </c>
      <c r="L14" s="16">
        <f>MIN(L4:L13)</f>
        <v>947861.58995701442</v>
      </c>
      <c r="M14" s="21">
        <f>INDEX(M4:M13, MATCH($L$14, L4:L13, 0))</f>
        <v>106.69869458299949</v>
      </c>
      <c r="N14" s="16">
        <f>INDEX(N4:N13, MATCH($L$14, L4:L13, 0))</f>
        <v>20</v>
      </c>
      <c r="O14" s="16">
        <f>INDEX(O4:O13, MATCH($L$14, L4:L13, 0))</f>
        <v>89</v>
      </c>
      <c r="P14" s="21">
        <f>INDEX(P4:P13, MATCH($L$14, L4:L13, 0))</f>
        <v>142.4757274136978</v>
      </c>
      <c r="Q14" s="21">
        <f>INDEX(Q4:Q13, MATCH($L$14, L4:L13, 0))</f>
        <v>14.375580389961678</v>
      </c>
      <c r="R14" s="21">
        <f>INDEX(R4:R13, MATCH($L$14, L4:L13, 0))</f>
        <v>4109.9578679342576</v>
      </c>
      <c r="S14" s="36" t="e">
        <f>(L14-$D$15)/$D$15</f>
        <v>#DIV/0!</v>
      </c>
      <c r="T14" s="38">
        <f>MIN(T4:T13)</f>
        <v>925145.16056295764</v>
      </c>
      <c r="U14" s="39">
        <f>INDEX(U4:U13, MATCH($T$14, T4:T13, 0))</f>
        <v>38.520248082997568</v>
      </c>
      <c r="V14" s="38">
        <f>INDEX(V4:V13, MATCH($T$14, T4:T13, 0))</f>
        <v>12</v>
      </c>
      <c r="W14" s="38">
        <f>INDEX(W4:W13, MATCH($T$14, T4:T13, 0))</f>
        <v>89</v>
      </c>
      <c r="X14" s="39">
        <f>INDEX(X4:X13, MATCH($T$14, T4:T13, 0))</f>
        <v>533.11522933305639</v>
      </c>
      <c r="Y14" s="39">
        <f>INDEX(Y4:Y13, MATCH($T$14, T4:T13, 0))</f>
        <v>50.345609318093665</v>
      </c>
      <c r="Z14" s="39">
        <f>INDEX(Z4:Z13, MATCH($T$14, T4:T13, 0))</f>
        <v>6030.7427819766699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0.34293231737454727</v>
      </c>
      <c r="M15" s="45">
        <f t="shared" ref="M15:R15" si="0">(M14-E14)/E14</f>
        <v>2.2913229616179698</v>
      </c>
      <c r="N15" s="45">
        <f t="shared" si="0"/>
        <v>1</v>
      </c>
      <c r="O15" s="45">
        <f t="shared" si="0"/>
        <v>-4.3010752688172046E-2</v>
      </c>
      <c r="P15" s="45">
        <f t="shared" si="0"/>
        <v>1.0079534333579399</v>
      </c>
      <c r="Q15" s="45">
        <f t="shared" si="0"/>
        <v>-0.5477179530194376</v>
      </c>
      <c r="R15" s="45">
        <f t="shared" si="0"/>
        <v>-7.5623940966598233E-2</v>
      </c>
      <c r="S15"/>
      <c r="T15" s="45">
        <f>(T14-D14)/D14</f>
        <v>0.31074763187629911</v>
      </c>
      <c r="U15" s="45">
        <f t="shared" ref="U15:Z15" si="1">(U14-E14)/E14</f>
        <v>0.18822987945900313</v>
      </c>
      <c r="V15" s="45">
        <f t="shared" si="1"/>
        <v>0.2</v>
      </c>
      <c r="W15" s="45">
        <f>(W14-G14)/G14</f>
        <v>-4.3010752688172046E-2</v>
      </c>
      <c r="X15" s="45">
        <f t="shared" si="1"/>
        <v>6.5133538501365793</v>
      </c>
      <c r="Y15" s="45">
        <f t="shared" si="1"/>
        <v>0.58396493367122981</v>
      </c>
      <c r="Z15" s="45">
        <f t="shared" si="1"/>
        <v>0.35638233407235981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33:C1048576">
    <cfRule type="duplicateValues" dxfId="55" priority="7"/>
    <cfRule type="duplicateValues" dxfId="54" priority="8"/>
  </conditionalFormatting>
  <conditionalFormatting sqref="C14">
    <cfRule type="duplicateValues" dxfId="53" priority="3"/>
    <cfRule type="duplicateValues" dxfId="52" priority="4"/>
  </conditionalFormatting>
  <conditionalFormatting sqref="C15">
    <cfRule type="duplicateValues" dxfId="51" priority="5"/>
    <cfRule type="duplicateValues" dxfId="50" priority="6"/>
  </conditionalFormatting>
  <conditionalFormatting sqref="C17:C3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results40</vt:lpstr>
      <vt:lpstr>results271</vt:lpstr>
      <vt:lpstr>results421</vt:lpstr>
      <vt:lpstr>results465</vt:lpstr>
      <vt:lpstr>results611</vt:lpstr>
      <vt:lpstr>results614</vt:lpstr>
      <vt:lpstr>results688</vt:lpstr>
      <vt:lpstr>results735</vt:lpstr>
      <vt:lpstr>results850</vt:lpstr>
      <vt:lpstr>results901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2026-10-21T19:37:30Z</dcterms:modified>
</cp:coreProperties>
</file>