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Sensitivity Analysis/Large/150-10-10/Due date/"/>
    </mc:Choice>
  </mc:AlternateContent>
  <xr:revisionPtr revIDLastSave="0" documentId="13_ncr:1_{6D5BCCB6-B555-F94D-A9D8-509C7734906E}" xr6:coauthVersionLast="47" xr6:coauthVersionMax="47" xr10:uidLastSave="{00000000-0000-0000-0000-000000000000}"/>
  <bookViews>
    <workbookView xWindow="0" yWindow="740" windowWidth="34560" windowHeight="21600" tabRatio="842" xr2:uid="{41E620E7-D6DF-9342-B452-EA60AB3B07C5}"/>
  </bookViews>
  <sheets>
    <sheet name="Summary" sheetId="68" r:id="rId1"/>
    <sheet name="results45" sheetId="63" r:id="rId2"/>
    <sheet name="results229" sheetId="69" r:id="rId3"/>
    <sheet name="results268" sheetId="70" r:id="rId4"/>
    <sheet name="results346" sheetId="71" r:id="rId5"/>
    <sheet name="results418" sheetId="72" r:id="rId6"/>
    <sheet name="results464" sheetId="76" r:id="rId7"/>
    <sheet name="results658" sheetId="77" r:id="rId8"/>
    <sheet name="results720" sheetId="73" r:id="rId9"/>
    <sheet name="results846" sheetId="74" r:id="rId10"/>
    <sheet name="results910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75" l="1"/>
  <c r="G14" i="75" s="1"/>
  <c r="D14" i="74"/>
  <c r="K14" i="74" s="1"/>
  <c r="D14" i="73"/>
  <c r="I14" i="73" s="1"/>
  <c r="D14" i="77"/>
  <c r="D14" i="76"/>
  <c r="E14" i="76" s="1"/>
  <c r="D14" i="72"/>
  <c r="K14" i="72" s="1"/>
  <c r="D14" i="71"/>
  <c r="D14" i="70"/>
  <c r="E14" i="70" s="1"/>
  <c r="D14" i="69"/>
  <c r="G14" i="69" s="1"/>
  <c r="H14" i="75" l="1"/>
  <c r="E14" i="75"/>
  <c r="I14" i="75"/>
  <c r="J14" i="75"/>
  <c r="F14" i="75"/>
  <c r="K14" i="75"/>
  <c r="I14" i="74"/>
  <c r="J14" i="74"/>
  <c r="E14" i="74"/>
  <c r="F14" i="74"/>
  <c r="G14" i="74"/>
  <c r="H14" i="74"/>
  <c r="K14" i="73"/>
  <c r="E14" i="73"/>
  <c r="F14" i="73"/>
  <c r="J14" i="73"/>
  <c r="G14" i="73"/>
  <c r="H14" i="73"/>
  <c r="J14" i="77"/>
  <c r="E14" i="77"/>
  <c r="F14" i="77"/>
  <c r="G14" i="77"/>
  <c r="I14" i="77"/>
  <c r="K14" i="77"/>
  <c r="H14" i="77"/>
  <c r="G14" i="76"/>
  <c r="I14" i="76"/>
  <c r="J14" i="76"/>
  <c r="K14" i="76"/>
  <c r="F14" i="76"/>
  <c r="H14" i="76"/>
  <c r="I14" i="72"/>
  <c r="J14" i="72"/>
  <c r="H14" i="72"/>
  <c r="E14" i="72"/>
  <c r="G14" i="72"/>
  <c r="F14" i="72"/>
  <c r="G14" i="71"/>
  <c r="H14" i="71"/>
  <c r="F14" i="71"/>
  <c r="E14" i="71"/>
  <c r="I14" i="71"/>
  <c r="J14" i="71"/>
  <c r="K14" i="71"/>
  <c r="K14" i="70"/>
  <c r="G14" i="70"/>
  <c r="F14" i="70"/>
  <c r="H14" i="70"/>
  <c r="J14" i="70"/>
  <c r="I14" i="70"/>
  <c r="F14" i="69"/>
  <c r="I14" i="69"/>
  <c r="J14" i="69"/>
  <c r="K14" i="69"/>
  <c r="E14" i="69"/>
  <c r="H14" i="69"/>
  <c r="H14" i="34" l="1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7" i="68" a="1"/>
  <c r="I5" i="68" a="1"/>
  <c r="H10" i="68" a="1"/>
  <c r="D12" i="68" a="1"/>
  <c r="I11" i="68" a="1"/>
  <c r="F8" i="68" a="1"/>
  <c r="H5" i="68" a="1"/>
  <c r="F9" i="68" a="1"/>
  <c r="D10" i="68" a="1"/>
  <c r="C9" i="68" a="1"/>
  <c r="E6" i="68" a="1"/>
  <c r="F5" i="68" a="1"/>
  <c r="C8" i="68" a="1"/>
  <c r="F11" i="68" a="1"/>
  <c r="C6" i="68" a="1"/>
  <c r="G5" i="68" a="1"/>
  <c r="D9" i="68" a="1"/>
  <c r="G4" i="68" a="1"/>
  <c r="G9" i="68" a="1"/>
  <c r="E11" i="68" a="1"/>
  <c r="G7" i="68" a="1"/>
  <c r="I9" i="68" a="1"/>
  <c r="H7" i="68" a="1"/>
  <c r="H4" i="68" a="1"/>
  <c r="H11" i="68" a="1"/>
  <c r="G10" i="68" a="1"/>
  <c r="H12" i="68" a="1"/>
  <c r="F3" i="68" a="1"/>
  <c r="D8" i="68" a="1"/>
  <c r="E3" i="68" a="1"/>
  <c r="C3" i="68" a="1"/>
  <c r="E4" i="68" a="1"/>
  <c r="D6" i="68" a="1"/>
  <c r="C12" i="68" a="1"/>
  <c r="C11" i="68" a="1"/>
  <c r="E10" i="68" a="1"/>
  <c r="F4" i="68" a="1"/>
  <c r="D11" i="68" a="1"/>
  <c r="I4" i="68" a="1"/>
  <c r="G11" i="68" a="1"/>
  <c r="D7" i="68" a="1"/>
  <c r="I10" i="68" a="1"/>
  <c r="D5" i="68" a="1"/>
  <c r="I3" i="68" a="1"/>
  <c r="H3" i="68" a="1"/>
  <c r="H6" i="68" a="1"/>
  <c r="F12" i="68" a="1"/>
  <c r="E5" i="68" a="1"/>
  <c r="C7" i="68" a="1"/>
  <c r="I8" i="68" a="1"/>
  <c r="H8" i="68" a="1"/>
  <c r="E7" i="68" a="1"/>
  <c r="G12" i="68" a="1"/>
  <c r="C4" i="68" a="1"/>
  <c r="E9" i="68" a="1"/>
  <c r="C5" i="68" a="1"/>
  <c r="F6" i="68" a="1"/>
  <c r="H9" i="68" a="1"/>
  <c r="E12" i="68" a="1"/>
  <c r="I6" i="68" a="1"/>
  <c r="C10" i="68" a="1"/>
  <c r="I12" i="68" a="1"/>
  <c r="G3" i="68" a="1"/>
  <c r="F10" i="68" a="1"/>
  <c r="G8" i="68" a="1"/>
  <c r="D4" i="68" a="1"/>
  <c r="E8" i="68" a="1"/>
  <c r="G6" i="68" a="1"/>
  <c r="I7" i="68" a="1"/>
  <c r="C6" i="68" l="1"/>
  <c r="C11" i="68"/>
  <c r="D11" i="68"/>
  <c r="E9" i="68"/>
  <c r="G12" i="68"/>
  <c r="C3" i="68"/>
  <c r="C12" i="68"/>
  <c r="I8" i="68"/>
  <c r="G10" i="68"/>
  <c r="E10" i="68"/>
  <c r="G8" i="68"/>
  <c r="F7" i="68"/>
  <c r="D5" i="68"/>
  <c r="H7" i="68"/>
  <c r="F9" i="68"/>
  <c r="H11" i="68"/>
  <c r="H8" i="68"/>
  <c r="H5" i="68"/>
  <c r="I7" i="68"/>
  <c r="E7" i="68"/>
  <c r="G3" i="68"/>
  <c r="E4" i="68"/>
  <c r="C10" i="68"/>
  <c r="H12" i="68"/>
  <c r="G9" i="68"/>
  <c r="I5" i="68"/>
  <c r="D9" i="68"/>
  <c r="D10" i="68"/>
  <c r="F8" i="68"/>
  <c r="D6" i="68"/>
  <c r="E8" i="68"/>
  <c r="G7" i="68"/>
  <c r="D12" i="68"/>
  <c r="E11" i="68"/>
  <c r="E6" i="68"/>
  <c r="G5" i="68"/>
  <c r="D4" i="68"/>
  <c r="F12" i="68"/>
  <c r="F5" i="68"/>
  <c r="G6" i="68"/>
  <c r="I9" i="68"/>
  <c r="H4" i="68"/>
  <c r="H6" i="68"/>
  <c r="G4" i="68"/>
  <c r="H10" i="68"/>
  <c r="H3" i="68"/>
  <c r="C4" i="68"/>
  <c r="G11" i="68"/>
  <c r="C8" i="68"/>
  <c r="E12" i="68"/>
  <c r="I11" i="68"/>
  <c r="C9" i="68"/>
  <c r="I12" i="68"/>
  <c r="F3" i="68"/>
  <c r="E3" i="68"/>
  <c r="C7" i="68"/>
  <c r="I6" i="68"/>
  <c r="F6" i="68"/>
  <c r="F4" i="68"/>
  <c r="F10" i="68"/>
  <c r="I10" i="68"/>
  <c r="C5" i="68"/>
  <c r="I3" i="68"/>
  <c r="I4" i="68"/>
  <c r="H9" i="68"/>
  <c r="E5" i="68"/>
  <c r="D7" i="68"/>
  <c r="F11" i="68"/>
  <c r="D8" i="68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T14" i="75" l="1"/>
  <c r="AA14" i="75" s="1"/>
  <c r="L14" i="75"/>
  <c r="O14" i="75" s="1"/>
  <c r="L14" i="74"/>
  <c r="N14" i="74" s="1"/>
  <c r="T14" i="74"/>
  <c r="W14" i="74" s="1"/>
  <c r="L14" i="73"/>
  <c r="L15" i="73" s="1"/>
  <c r="T14" i="73"/>
  <c r="X14" i="73" s="1"/>
  <c r="X15" i="73" s="1"/>
  <c r="T14" i="77"/>
  <c r="L14" i="77"/>
  <c r="S14" i="77" s="1"/>
  <c r="L14" i="76"/>
  <c r="T14" i="76"/>
  <c r="T15" i="76" s="1"/>
  <c r="L14" i="72"/>
  <c r="P14" i="72" s="1"/>
  <c r="P2" i="72" s="1"/>
  <c r="T14" i="72"/>
  <c r="Z14" i="72" s="1"/>
  <c r="Z15" i="72" s="1"/>
  <c r="T14" i="71"/>
  <c r="Z14" i="71" s="1"/>
  <c r="L14" i="71"/>
  <c r="P14" i="71" s="1"/>
  <c r="T14" i="70"/>
  <c r="Y14" i="70" s="1"/>
  <c r="L14" i="70"/>
  <c r="L14" i="69"/>
  <c r="L15" i="69" s="1"/>
  <c r="T14" i="69"/>
  <c r="X14" i="69" s="1"/>
  <c r="X15" i="69" s="1"/>
  <c r="Z14" i="73"/>
  <c r="Z15" i="73" s="1"/>
  <c r="V14" i="73"/>
  <c r="V15" i="73" s="1"/>
  <c r="W14" i="73"/>
  <c r="W15" i="73" s="1"/>
  <c r="T15" i="73"/>
  <c r="M14" i="76"/>
  <c r="M15" i="76" s="1"/>
  <c r="Y14" i="73"/>
  <c r="Y15" i="73" s="1"/>
  <c r="P14" i="74"/>
  <c r="P2" i="74" s="1"/>
  <c r="P14" i="73"/>
  <c r="P2" i="73" s="1"/>
  <c r="Q14" i="73"/>
  <c r="Q15" i="73" s="1"/>
  <c r="R14" i="70"/>
  <c r="R15" i="70" s="1"/>
  <c r="L15" i="76"/>
  <c r="G13" i="68"/>
  <c r="R14" i="73"/>
  <c r="R2" i="73" s="1"/>
  <c r="S14" i="74"/>
  <c r="Q14" i="75"/>
  <c r="Q15" i="75" s="1"/>
  <c r="S14" i="73"/>
  <c r="O14" i="73"/>
  <c r="O15" i="73" s="1"/>
  <c r="P14" i="70"/>
  <c r="P15" i="70" s="1"/>
  <c r="I13" i="68"/>
  <c r="Q14" i="76"/>
  <c r="Q15" i="76" s="1"/>
  <c r="R14" i="75"/>
  <c r="R15" i="75" s="1"/>
  <c r="H13" i="68"/>
  <c r="R14" i="76"/>
  <c r="R2" i="76" s="1"/>
  <c r="M14" i="72"/>
  <c r="M15" i="72" s="1"/>
  <c r="Q14" i="70"/>
  <c r="Q15" i="70" s="1"/>
  <c r="C13" i="68"/>
  <c r="J13" i="68" s="1"/>
  <c r="P14" i="76"/>
  <c r="P15" i="76" s="1"/>
  <c r="S14" i="76"/>
  <c r="E13" i="68"/>
  <c r="O14" i="69"/>
  <c r="O15" i="69" s="1"/>
  <c r="S14" i="70"/>
  <c r="L15" i="72"/>
  <c r="F13" i="68"/>
  <c r="N14" i="69"/>
  <c r="L15" i="74"/>
  <c r="Q14" i="72"/>
  <c r="N14" i="75"/>
  <c r="S14" i="69"/>
  <c r="Q14" i="69"/>
  <c r="S14" i="71"/>
  <c r="Q14" i="71"/>
  <c r="L15" i="71"/>
  <c r="O14" i="70"/>
  <c r="O15" i="70" s="1"/>
  <c r="S14" i="72"/>
  <c r="R14" i="71"/>
  <c r="R15" i="71" s="1"/>
  <c r="L15" i="70"/>
  <c r="O14" i="76"/>
  <c r="O15" i="76" s="1"/>
  <c r="V14" i="74"/>
  <c r="Y14" i="74"/>
  <c r="X14" i="74"/>
  <c r="U14" i="74"/>
  <c r="M14" i="69"/>
  <c r="O14" i="71"/>
  <c r="M14" i="74"/>
  <c r="M15" i="74" s="1"/>
  <c r="O14" i="72"/>
  <c r="O15" i="72" s="1"/>
  <c r="P14" i="69"/>
  <c r="N14" i="71"/>
  <c r="N15" i="71" s="1"/>
  <c r="M14" i="70"/>
  <c r="M15" i="70" s="1"/>
  <c r="R14" i="74"/>
  <c r="R2" i="74" s="1"/>
  <c r="L15" i="75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N8" i="68" a="1"/>
  <c r="O6" i="68" a="1"/>
  <c r="P8" i="68" a="1"/>
  <c r="N4" i="68" a="1"/>
  <c r="X5" i="68" a="1"/>
  <c r="W4" i="68" a="1"/>
  <c r="Q12" i="68" a="1"/>
  <c r="Y6" i="68" a="1"/>
  <c r="K6" i="68" a="1"/>
  <c r="S4" i="68" a="1"/>
  <c r="O11" i="68" a="1"/>
  <c r="T11" i="68" a="1"/>
  <c r="M12" i="68" a="1"/>
  <c r="Q8" i="68" a="1"/>
  <c r="K7" i="68" a="1"/>
  <c r="N5" i="68" a="1"/>
  <c r="W10" i="68" a="1"/>
  <c r="Y7" i="68" a="1"/>
  <c r="O10" i="68" a="1"/>
  <c r="W11" i="68" a="1"/>
  <c r="K11" i="68" a="1"/>
  <c r="K9" i="68" a="1"/>
  <c r="Y10" i="68" a="1"/>
  <c r="M4" i="68" a="1"/>
  <c r="S10" i="68" a="1"/>
  <c r="X10" i="68" a="1"/>
  <c r="P10" i="68" a="1"/>
  <c r="U11" i="68" a="1"/>
  <c r="P5" i="68" a="1"/>
  <c r="P6" i="68" a="1"/>
  <c r="N10" i="68" a="1"/>
  <c r="V10" i="68" a="1"/>
  <c r="Q6" i="68" a="1"/>
  <c r="O4" i="68" a="1"/>
  <c r="M6" i="68" a="1"/>
  <c r="Q10" i="68" a="1"/>
  <c r="N7" i="68" a="1"/>
  <c r="S9" i="68" a="1"/>
  <c r="L11" i="68" a="1"/>
  <c r="N6" i="68" a="1"/>
  <c r="K5" i="68" a="1"/>
  <c r="X11" i="68" a="1"/>
  <c r="K4" i="68" a="1"/>
  <c r="V11" i="68" a="1"/>
  <c r="O5" i="68" a="1"/>
  <c r="M11" i="68" a="1"/>
  <c r="L5" i="68" a="1"/>
  <c r="S12" i="68" a="1"/>
  <c r="K8" i="68" a="1"/>
  <c r="P12" i="68" a="1"/>
  <c r="K12" i="68" a="1"/>
  <c r="S7" i="68" a="1"/>
  <c r="S11" i="68" a="1"/>
  <c r="N12" i="68" a="1"/>
  <c r="S5" i="68" a="1"/>
  <c r="L7" i="68" a="1"/>
  <c r="P7" i="68" a="1"/>
  <c r="O7" i="68" a="1"/>
  <c r="L8" i="68" a="1"/>
  <c r="Q11" i="68" a="1"/>
  <c r="S6" i="68" a="1"/>
  <c r="O8" i="68" a="1"/>
  <c r="P4" i="68" a="1"/>
  <c r="Q5" i="68" a="1"/>
  <c r="K10" i="68" a="1"/>
  <c r="L4" i="68" a="1"/>
  <c r="U10" i="68" a="1"/>
  <c r="S8" i="68" a="1"/>
  <c r="P14" i="75" l="1"/>
  <c r="M14" i="75"/>
  <c r="Z14" i="74"/>
  <c r="T15" i="74"/>
  <c r="X14" i="71"/>
  <c r="X15" i="71" s="1"/>
  <c r="W14" i="71"/>
  <c r="W15" i="71" s="1"/>
  <c r="Z14" i="76"/>
  <c r="U14" i="73"/>
  <c r="V14" i="75"/>
  <c r="W14" i="75"/>
  <c r="W15" i="75" s="1"/>
  <c r="Y14" i="75"/>
  <c r="Z14" i="75"/>
  <c r="Z15" i="75" s="1"/>
  <c r="T15" i="75"/>
  <c r="U14" i="75"/>
  <c r="K12" i="68"/>
  <c r="S12" i="68"/>
  <c r="S14" i="75"/>
  <c r="X14" i="75"/>
  <c r="AA14" i="76"/>
  <c r="X14" i="76"/>
  <c r="X15" i="76" s="1"/>
  <c r="Q14" i="74"/>
  <c r="Y14" i="76"/>
  <c r="Y15" i="76" s="1"/>
  <c r="W14" i="76"/>
  <c r="S11" i="68"/>
  <c r="K11" i="68"/>
  <c r="AA14" i="74"/>
  <c r="O14" i="74"/>
  <c r="M14" i="73"/>
  <c r="S10" i="68"/>
  <c r="K10" i="68"/>
  <c r="AA14" i="73"/>
  <c r="V14" i="71"/>
  <c r="V15" i="71" s="1"/>
  <c r="N14" i="73"/>
  <c r="AA14" i="71"/>
  <c r="U14" i="71"/>
  <c r="U15" i="71" s="1"/>
  <c r="T15" i="71"/>
  <c r="S9" i="68"/>
  <c r="AA14" i="77"/>
  <c r="Z14" i="77"/>
  <c r="Z15" i="77" s="1"/>
  <c r="L15" i="77"/>
  <c r="P14" i="77"/>
  <c r="P2" i="77" s="1"/>
  <c r="U14" i="77"/>
  <c r="U15" i="77" s="1"/>
  <c r="Y14" i="77"/>
  <c r="X14" i="77"/>
  <c r="M14" i="77"/>
  <c r="M15" i="77" s="1"/>
  <c r="Q14" i="77"/>
  <c r="O14" i="77"/>
  <c r="O15" i="77" s="1"/>
  <c r="R14" i="77"/>
  <c r="R2" i="77" s="1"/>
  <c r="W14" i="77"/>
  <c r="T15" i="77"/>
  <c r="V14" i="77"/>
  <c r="K9" i="68"/>
  <c r="V14" i="76"/>
  <c r="N14" i="77"/>
  <c r="T15" i="70"/>
  <c r="X14" i="70"/>
  <c r="K8" i="68"/>
  <c r="Z14" i="70"/>
  <c r="Z15" i="70" s="1"/>
  <c r="N14" i="76"/>
  <c r="S8" i="68"/>
  <c r="U14" i="76"/>
  <c r="Y14" i="72"/>
  <c r="AA14" i="72"/>
  <c r="T15" i="72"/>
  <c r="W14" i="72"/>
  <c r="W15" i="72" s="1"/>
  <c r="V14" i="72"/>
  <c r="U14" i="72"/>
  <c r="N14" i="72"/>
  <c r="S7" i="68"/>
  <c r="K7" i="68"/>
  <c r="X14" i="72"/>
  <c r="R14" i="72"/>
  <c r="V14" i="69"/>
  <c r="V15" i="69" s="1"/>
  <c r="Y14" i="69"/>
  <c r="Y15" i="69" s="1"/>
  <c r="AA14" i="69"/>
  <c r="S6" i="68"/>
  <c r="Y14" i="71"/>
  <c r="K6" i="68"/>
  <c r="M14" i="71"/>
  <c r="U14" i="70"/>
  <c r="V14" i="70"/>
  <c r="AA14" i="70"/>
  <c r="S5" i="68"/>
  <c r="W14" i="70"/>
  <c r="K5" i="68"/>
  <c r="N14" i="70"/>
  <c r="K4" i="68"/>
  <c r="R14" i="69"/>
  <c r="U14" i="69"/>
  <c r="Z14" i="69"/>
  <c r="T15" i="69"/>
  <c r="S4" i="68"/>
  <c r="Y7" i="68"/>
  <c r="W14" i="69"/>
  <c r="Y10" i="68"/>
  <c r="P15" i="73"/>
  <c r="R2" i="70"/>
  <c r="P15" i="74"/>
  <c r="V10" i="68"/>
  <c r="U10" i="68"/>
  <c r="R15" i="76"/>
  <c r="X10" i="68"/>
  <c r="L8" i="68"/>
  <c r="R2" i="75"/>
  <c r="M11" i="68"/>
  <c r="Q5" i="68"/>
  <c r="P10" i="68"/>
  <c r="O10" i="68"/>
  <c r="W4" i="68"/>
  <c r="O11" i="68"/>
  <c r="P2" i="70"/>
  <c r="N15" i="74"/>
  <c r="O5" i="68"/>
  <c r="N10" i="68"/>
  <c r="P12" i="68"/>
  <c r="Q12" i="68"/>
  <c r="P8" i="68"/>
  <c r="Q10" i="68"/>
  <c r="P2" i="76"/>
  <c r="R15" i="73"/>
  <c r="N4" i="68"/>
  <c r="M4" i="68"/>
  <c r="O8" i="68"/>
  <c r="P5" i="68"/>
  <c r="L7" i="68"/>
  <c r="N12" i="68"/>
  <c r="Q8" i="68"/>
  <c r="P2" i="75"/>
  <c r="N15" i="69"/>
  <c r="O15" i="75"/>
  <c r="N6" i="68"/>
  <c r="P7" i="68"/>
  <c r="O6" i="68"/>
  <c r="T11" i="68"/>
  <c r="W11" i="68"/>
  <c r="P6" i="68"/>
  <c r="M12" i="68"/>
  <c r="P4" i="68"/>
  <c r="X5" i="68"/>
  <c r="X11" i="68"/>
  <c r="Q11" i="68"/>
  <c r="W10" i="68"/>
  <c r="O4" i="68"/>
  <c r="N8" i="68"/>
  <c r="M6" i="68"/>
  <c r="L4" i="68"/>
  <c r="L5" i="68"/>
  <c r="N7" i="68"/>
  <c r="Q6" i="68"/>
  <c r="O7" i="68"/>
  <c r="V11" i="68"/>
  <c r="L11" i="68"/>
  <c r="U11" i="68"/>
  <c r="N5" i="68"/>
  <c r="Y6" i="68"/>
  <c r="U15" i="74"/>
  <c r="X15" i="74"/>
  <c r="Q15" i="71"/>
  <c r="Y15" i="74"/>
  <c r="P15" i="72"/>
  <c r="O15" i="71"/>
  <c r="P15" i="71"/>
  <c r="V15" i="75"/>
  <c r="P15" i="69"/>
  <c r="P2" i="69"/>
  <c r="Y15" i="70"/>
  <c r="M15" i="69"/>
  <c r="Z15" i="74"/>
  <c r="P2" i="71"/>
  <c r="R15" i="74"/>
  <c r="R2" i="71"/>
  <c r="Q15" i="72"/>
  <c r="N15" i="72"/>
  <c r="W15" i="74"/>
  <c r="V15" i="74"/>
  <c r="N15" i="75"/>
  <c r="Z15" i="71"/>
  <c r="Q15" i="69"/>
  <c r="T14" i="63"/>
  <c r="G14" i="26"/>
  <c r="E14" i="26"/>
  <c r="D14" i="26"/>
  <c r="K14" i="26"/>
  <c r="P14" i="25"/>
  <c r="N14" i="25"/>
  <c r="M14" i="25"/>
  <c r="T14" i="25"/>
  <c r="D14" i="25"/>
  <c r="O12" i="68" a="1"/>
  <c r="M8" i="68" a="1"/>
  <c r="U5" i="68" a="1"/>
  <c r="W12" i="68" a="1"/>
  <c r="L6" i="68" a="1"/>
  <c r="L9" i="68" a="1"/>
  <c r="P11" i="68" a="1"/>
  <c r="W5" i="68" a="1"/>
  <c r="U6" i="68" a="1"/>
  <c r="V4" i="68" a="1"/>
  <c r="U7" i="68" a="1"/>
  <c r="L12" i="68" a="1"/>
  <c r="W9" i="68" a="1"/>
  <c r="X4" i="68" a="1"/>
  <c r="V6" i="68" a="1"/>
  <c r="V9" i="68" a="1"/>
  <c r="Q4" i="68" a="1"/>
  <c r="Y4" i="68" a="1"/>
  <c r="S3" i="68" a="1"/>
  <c r="T7" i="68" a="1"/>
  <c r="W6" i="68" a="1"/>
  <c r="U12" i="68" a="1"/>
  <c r="L10" i="68" a="1"/>
  <c r="T5" i="68" a="1"/>
  <c r="X9" i="68" a="1"/>
  <c r="M5" i="68" a="1"/>
  <c r="U4" i="68" a="1"/>
  <c r="X7" i="68" a="1"/>
  <c r="H4" i="23" a="1"/>
  <c r="V5" i="68" a="1"/>
  <c r="Y12" i="68" a="1"/>
  <c r="W7" i="68" a="1"/>
  <c r="X6" i="68" a="1"/>
  <c r="I4" i="23" a="1"/>
  <c r="N11" i="68" a="1"/>
  <c r="T10" i="68" a="1"/>
  <c r="W8" i="68" a="1"/>
  <c r="V8" i="68" a="1"/>
  <c r="U8" i="68" a="1"/>
  <c r="X12" i="68" a="1"/>
  <c r="M7" i="68" a="1"/>
  <c r="U9" i="68" a="1"/>
  <c r="T6" i="68" a="1"/>
  <c r="Q9" i="68" a="1"/>
  <c r="Y9" i="68" a="1"/>
  <c r="T8" i="68" a="1"/>
  <c r="P9" i="68" a="1"/>
  <c r="V12" i="68" a="1"/>
  <c r="O9" i="68" a="1"/>
  <c r="T12" i="68" a="1"/>
  <c r="V7" i="68" a="1"/>
  <c r="T4" i="68" a="1"/>
  <c r="Q7" i="68" a="1"/>
  <c r="Y11" i="68" a="1"/>
  <c r="M9" i="68" a="1"/>
  <c r="X8" i="68" a="1"/>
  <c r="Y8" i="68" a="1"/>
  <c r="Y5" i="68" a="1"/>
  <c r="T9" i="68" a="1"/>
  <c r="N9" i="68" a="1"/>
  <c r="M10" i="68" a="1"/>
  <c r="L12" i="68" l="1"/>
  <c r="O12" i="68"/>
  <c r="M15" i="75"/>
  <c r="P15" i="75"/>
  <c r="Y11" i="68"/>
  <c r="Y8" i="68"/>
  <c r="T10" i="68"/>
  <c r="V6" i="68"/>
  <c r="W6" i="68"/>
  <c r="Z15" i="76"/>
  <c r="U15" i="73"/>
  <c r="T12" i="68"/>
  <c r="Y12" i="68"/>
  <c r="X12" i="68"/>
  <c r="V12" i="68"/>
  <c r="U12" i="68"/>
  <c r="U15" i="75"/>
  <c r="Y15" i="75"/>
  <c r="W12" i="68"/>
  <c r="X15" i="75"/>
  <c r="W8" i="68"/>
  <c r="P11" i="68"/>
  <c r="Q15" i="74"/>
  <c r="X8" i="68"/>
  <c r="V8" i="68"/>
  <c r="W15" i="76"/>
  <c r="N11" i="68"/>
  <c r="O15" i="74"/>
  <c r="L10" i="68"/>
  <c r="M15" i="73"/>
  <c r="U6" i="68"/>
  <c r="M10" i="68"/>
  <c r="N15" i="73"/>
  <c r="T6" i="68"/>
  <c r="P9" i="68"/>
  <c r="N9" i="68"/>
  <c r="W9" i="68"/>
  <c r="X9" i="68"/>
  <c r="V9" i="68"/>
  <c r="Q9" i="68"/>
  <c r="L9" i="68"/>
  <c r="O9" i="68"/>
  <c r="U9" i="68"/>
  <c r="T9" i="68"/>
  <c r="Y9" i="68"/>
  <c r="Q15" i="77"/>
  <c r="R15" i="77"/>
  <c r="X15" i="77"/>
  <c r="Y15" i="77"/>
  <c r="W15" i="77"/>
  <c r="P15" i="77"/>
  <c r="V15" i="77"/>
  <c r="M9" i="68"/>
  <c r="U8" i="68"/>
  <c r="N15" i="77"/>
  <c r="V15" i="76"/>
  <c r="W5" i="68"/>
  <c r="X15" i="70"/>
  <c r="Y5" i="68"/>
  <c r="M8" i="68"/>
  <c r="N15" i="76"/>
  <c r="T8" i="68"/>
  <c r="U15" i="76"/>
  <c r="T7" i="68"/>
  <c r="U7" i="68"/>
  <c r="V7" i="68"/>
  <c r="X7" i="68"/>
  <c r="U15" i="72"/>
  <c r="V15" i="72"/>
  <c r="Y15" i="72"/>
  <c r="M7" i="68"/>
  <c r="Q7" i="68"/>
  <c r="W7" i="68"/>
  <c r="R2" i="72"/>
  <c r="R15" i="72"/>
  <c r="X15" i="72"/>
  <c r="X4" i="68"/>
  <c r="U4" i="68"/>
  <c r="X6" i="68"/>
  <c r="Y15" i="71"/>
  <c r="L6" i="68"/>
  <c r="M15" i="71"/>
  <c r="U5" i="68"/>
  <c r="T5" i="68"/>
  <c r="V15" i="70"/>
  <c r="U15" i="70"/>
  <c r="V5" i="68"/>
  <c r="W15" i="70"/>
  <c r="M5" i="68"/>
  <c r="N15" i="70"/>
  <c r="Q4" i="68"/>
  <c r="R15" i="69"/>
  <c r="R2" i="69"/>
  <c r="T4" i="68"/>
  <c r="U15" i="69"/>
  <c r="Y4" i="68"/>
  <c r="Z15" i="69"/>
  <c r="V4" i="68"/>
  <c r="W15" i="69"/>
  <c r="S3" i="68"/>
  <c r="S13" i="68" s="1"/>
  <c r="E18" i="68" s="1"/>
  <c r="V14" i="63"/>
  <c r="D14" i="63"/>
  <c r="K14" i="63" s="1"/>
  <c r="L14" i="63"/>
  <c r="L15" i="63" s="1"/>
  <c r="U14" i="63"/>
  <c r="W14" i="63"/>
  <c r="Z14" i="63"/>
  <c r="X14" i="63"/>
  <c r="AA14" i="63"/>
  <c r="Y14" i="63"/>
  <c r="H4" i="23"/>
  <c r="I4" i="23"/>
  <c r="G5" i="23" a="1"/>
  <c r="T3" i="68" a="1"/>
  <c r="E4" i="23" a="1"/>
  <c r="E12" i="23" a="1"/>
  <c r="G4" i="23" a="1"/>
  <c r="G9" i="23" a="1"/>
  <c r="D9" i="23" a="1"/>
  <c r="D8" i="23" a="1"/>
  <c r="D5" i="23" a="1"/>
  <c r="G7" i="23" a="1"/>
  <c r="D11" i="23" a="1"/>
  <c r="F12" i="23" a="1"/>
  <c r="G12" i="23" a="1"/>
  <c r="W3" i="68" a="1"/>
  <c r="F6" i="23" a="1"/>
  <c r="D6" i="23" a="1"/>
  <c r="G13" i="23" a="1"/>
  <c r="E10" i="23" a="1"/>
  <c r="X3" i="68" a="1"/>
  <c r="F8" i="23" a="1"/>
  <c r="K3" i="68" a="1"/>
  <c r="F11" i="23" a="1"/>
  <c r="U3" i="68" a="1"/>
  <c r="G10" i="23" a="1"/>
  <c r="F4" i="23" a="1"/>
  <c r="F13" i="23" a="1"/>
  <c r="G8" i="23" a="1"/>
  <c r="G11" i="23" a="1"/>
  <c r="E5" i="23" a="1"/>
  <c r="F5" i="23" a="1"/>
  <c r="G6" i="23" a="1"/>
  <c r="E7" i="23" a="1"/>
  <c r="Y3" i="68" a="1"/>
  <c r="E9" i="23" a="1"/>
  <c r="F9" i="23" a="1"/>
  <c r="V3" i="68" a="1"/>
  <c r="E6" i="23" a="1"/>
  <c r="D10" i="23" a="1"/>
  <c r="F7" i="23" a="1"/>
  <c r="F10" i="23" a="1"/>
  <c r="E8" i="23" a="1"/>
  <c r="D13" i="23" a="1"/>
  <c r="D7" i="23" a="1"/>
  <c r="E11" i="23" a="1"/>
  <c r="D12" i="23" a="1"/>
  <c r="D4" i="23" a="1"/>
  <c r="E13" i="23" a="1"/>
  <c r="T3" i="68" l="1"/>
  <c r="T13" i="68" s="1"/>
  <c r="X3" i="68"/>
  <c r="X13" i="68" s="1"/>
  <c r="V3" i="68"/>
  <c r="V13" i="68" s="1"/>
  <c r="K3" i="68"/>
  <c r="K13" i="68" s="1"/>
  <c r="D18" i="68" s="1"/>
  <c r="W3" i="68"/>
  <c r="W13" i="68" s="1"/>
  <c r="U3" i="68"/>
  <c r="U13" i="68" s="1"/>
  <c r="Y3" i="68"/>
  <c r="Y13" i="68" s="1"/>
  <c r="N14" i="63"/>
  <c r="Z13" i="68"/>
  <c r="S14" i="68"/>
  <c r="M14" i="63"/>
  <c r="Q14" i="63"/>
  <c r="R14" i="63"/>
  <c r="P14" i="63"/>
  <c r="S14" i="63"/>
  <c r="O14" i="63"/>
  <c r="F14" i="63"/>
  <c r="J14" i="63"/>
  <c r="G14" i="63"/>
  <c r="H14" i="63"/>
  <c r="E14" i="63"/>
  <c r="I14" i="63"/>
  <c r="T15" i="63"/>
  <c r="V15" i="63"/>
  <c r="X15" i="63"/>
  <c r="W15" i="63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  <c r="D3" i="68" a="1"/>
  <c r="N3" i="68" a="1"/>
  <c r="P3" i="68" a="1"/>
  <c r="L3" i="68" a="1"/>
  <c r="M3" i="68" a="1"/>
  <c r="Q3" i="68" a="1"/>
  <c r="O3" i="68" a="1"/>
  <c r="D3" i="68" l="1"/>
  <c r="D13" i="68" s="1"/>
  <c r="T14" i="68" s="1"/>
  <c r="W14" i="68"/>
  <c r="E22" i="68"/>
  <c r="Y14" i="68"/>
  <c r="E23" i="68"/>
  <c r="V14" i="68"/>
  <c r="E20" i="68"/>
  <c r="U14" i="68"/>
  <c r="E19" i="68"/>
  <c r="X14" i="68"/>
  <c r="E21" i="68"/>
  <c r="N3" i="68"/>
  <c r="N13" i="68" s="1"/>
  <c r="D20" i="68" s="1"/>
  <c r="Q3" i="68"/>
  <c r="Q13" i="68" s="1"/>
  <c r="D23" i="68" s="1"/>
  <c r="P3" i="68"/>
  <c r="P13" i="68" s="1"/>
  <c r="D21" i="68" s="1"/>
  <c r="O3" i="68"/>
  <c r="O13" i="68" s="1"/>
  <c r="D22" i="68" s="1"/>
  <c r="L3" i="68"/>
  <c r="L13" i="68" s="1"/>
  <c r="M3" i="68"/>
  <c r="M13" i="68" s="1"/>
  <c r="D19" i="68" s="1"/>
  <c r="O15" i="63"/>
  <c r="R2" i="63"/>
  <c r="R13" i="68"/>
  <c r="K14" i="68"/>
  <c r="P2" i="63"/>
  <c r="N15" i="63"/>
  <c r="Q15" i="63"/>
  <c r="M15" i="63"/>
  <c r="P15" i="63"/>
  <c r="U15" i="63"/>
  <c r="R15" i="63"/>
  <c r="Z15" i="63"/>
  <c r="Y15" i="63"/>
  <c r="L14" i="68" l="1"/>
  <c r="N14" i="68"/>
  <c r="Q14" i="68"/>
  <c r="O14" i="68"/>
  <c r="M14" i="68"/>
  <c r="P14" i="6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<sst xmlns="http://schemas.openxmlformats.org/spreadsheetml/2006/main" count="662" uniqueCount="27">
  <si>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</si>
  <si>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</si>
  <si>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</si>
  <si>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</si>
  <si>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</si>
  <si>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</si>
  <si>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</si>
  <si>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</si>
  <si>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</si>
  <si>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</si>
  <si>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</si>
  <si>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</si>
  <si>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</si>
  <si>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</si>
  <si>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</si>
  <si>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</si>
  <si>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</si>
  <si>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</si>
  <si>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</si>
  <si>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-50%</t>
  </si>
  <si>
    <t>+50%</t>
  </si>
  <si>
    <t>Changes in total cost</t>
  </si>
  <si>
    <t>Changes in # of batches</t>
  </si>
  <si>
    <t>Acceptance rate</t>
  </si>
  <si>
    <t>Average batch utilization</t>
  </si>
  <si>
    <t>Average tardiness</t>
  </si>
  <si>
    <t>average completion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</si>
</sst>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/>
    <xf numFmtId="49" fontId="5" fillId="0" borderId="0" xfId="0" applyNumberFormat="1" applyFont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CB7B-A94E-4263-BFCA-D4E84F62D125}">
  <dimension ref="B1:Z23"/>
  <sheetViews>
    <sheetView tabSelected="1" zoomScale="85" zoomScaleNormal="85" workbookViewId="0">
      <selection activeCell="E18" sqref="E18:E23"/>
    </sheetView>
  </sheetViews>
  <sheetFormatPr baseColWidth="10" defaultColWidth="11.5" defaultRowHeight="16" x14ac:dyDescent="0.2"/>
  <cols>
    <col min="1" max="1" width="3.5" customWidth="1"/>
    <col min="2" max="2" width="11.5" style="1"/>
    <col min="3" max="3" width="21.1640625" bestFit="1" customWidth="1"/>
    <col min="4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6640625" bestFit="1" customWidth="1"/>
    <col min="9" max="9" width="18" bestFit="1" customWidth="1"/>
    <col min="11" max="11" width="8" bestFit="1" customWidth="1"/>
    <col min="12" max="12" width="9.1640625" bestFit="1" customWidth="1"/>
    <col min="13" max="13" width="8.6640625" bestFit="1" customWidth="1"/>
    <col min="14" max="14" width="17.6640625" bestFit="1" customWidth="1"/>
    <col min="15" max="15" width="12.1640625" bestFit="1" customWidth="1"/>
    <col min="16" max="16" width="23.66406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6640625" bestFit="1" customWidth="1"/>
    <col min="22" max="22" width="17.6640625" bestFit="1" customWidth="1"/>
    <col min="23" max="23" width="12.1640625" bestFit="1" customWidth="1"/>
    <col min="24" max="24" width="23.6640625" bestFit="1" customWidth="1"/>
    <col min="25" max="25" width="17.33203125" bestFit="1" customWidth="1"/>
    <col min="26" max="26" width="5.83203125" bestFit="1" customWidth="1"/>
  </cols>
  <sheetData>
    <row r="1" spans="2:26" x14ac:dyDescent="0.2">
      <c r="B1" s="47">
        <v>0</v>
      </c>
      <c r="K1" s="48">
        <v>-0.5</v>
      </c>
      <c r="S1" s="48">
        <v>0.5</v>
      </c>
    </row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45</v>
      </c>
      <c r="C3" s="5" cm="1">
        <f t="array" aca="1" ref="C3" ca="1">INDIRECT("'results" &amp; $B3 &amp; "'!D$14")</f>
        <v>1109491.730596958</v>
      </c>
      <c r="D3" s="33" cm="1">
        <f t="array" aca="1" ref="D3" ca="1">INDIRECT("'results" &amp; $B3 &amp; "'!E$14")</f>
        <v>175.83051161536085</v>
      </c>
      <c r="E3" s="5" cm="1">
        <f t="array" aca="1" ref="E3" ca="1">INDIRECT("'results" &amp; $B3 &amp; "'!F$14")</f>
        <v>11</v>
      </c>
      <c r="F3" s="5" cm="1">
        <f t="array" aca="1" ref="F3" ca="1">INDIRECT("'results" &amp; $B3 &amp; "'!G$14")</f>
        <v>96</v>
      </c>
      <c r="G3" s="5" cm="1">
        <f t="array" aca="1" ref="G3" ca="1">INDIRECT("'results" &amp; $B3 &amp; "'!H$14")</f>
        <v>419.06882453373214</v>
      </c>
      <c r="H3" s="33" cm="1">
        <f t="array" aca="1" ref="H3" ca="1">INDIRECT("'results" &amp; $B3 &amp; "'!I$14")</f>
        <v>49.007721434937274</v>
      </c>
      <c r="I3" s="5" cm="1">
        <f t="array" aca="1" ref="I3" ca="1">INDIRECT("'results" &amp; $B3 &amp; "'!J$14")</f>
        <v>5556.5358758104085</v>
      </c>
      <c r="J3" s="5"/>
      <c r="K3" s="5" cm="1">
        <f t="array" aca="1" ref="K3" ca="1">INDIRECT("'results" &amp; $B3 &amp; "'!L$14")</f>
        <v>1306346.421855031</v>
      </c>
      <c r="L3" s="5" cm="1">
        <f t="array" aca="1" ref="L3" ca="1">INDIRECT("'results" &amp; $B3 &amp; "'!M$14")</f>
        <v>218.23039646152975</v>
      </c>
      <c r="M3" s="5" cm="1">
        <f t="array" aca="1" ref="M3" ca="1">INDIRECT("'results" &amp; $B3 &amp; "'!N$14")</f>
        <v>15</v>
      </c>
      <c r="N3" s="5" cm="1">
        <f t="array" aca="1" ref="N3" ca="1">INDIRECT("'results" &amp; $B3 &amp; "'!O$14")</f>
        <v>96</v>
      </c>
      <c r="O3" s="5" cm="1">
        <f t="array" aca="1" ref="O3" ca="1">INDIRECT("'results" &amp; $B3 &amp; "'!P$14")</f>
        <v>2248.6840226858149</v>
      </c>
      <c r="P3" s="5" cm="1">
        <f t="array" aca="1" ref="P3" ca="1">INDIRECT("'results" &amp; $B3 &amp; "'!Q$14")</f>
        <v>35.670048815463176</v>
      </c>
      <c r="Q3" s="5" cm="1">
        <f t="array" aca="1" ref="Q3" ca="1">INDIRECT("'results" &amp; $B3 &amp; "'!R$14")</f>
        <v>5041.3162098510438</v>
      </c>
      <c r="R3" s="5"/>
      <c r="S3" s="5" cm="1">
        <f t="array" aca="1" ref="S3" ca="1">INDIRECT("'results" &amp; $B3 &amp; "'!T$14")</f>
        <v>1058638.859695293</v>
      </c>
      <c r="T3" s="5" cm="1">
        <f t="array" aca="1" ref="T3" ca="1">INDIRECT("'results" &amp; $B3 &amp; "'!U$14")</f>
        <v>90.771394384612989</v>
      </c>
      <c r="U3" s="5" cm="1">
        <f t="array" aca="1" ref="U3" ca="1">INDIRECT("'results" &amp; $B3 &amp; "'!V$14")</f>
        <v>11</v>
      </c>
      <c r="V3" s="5" cm="1">
        <f t="array" aca="1" ref="V3" ca="1">INDIRECT("'results" &amp; $B3 &amp; "'!W$14")</f>
        <v>96</v>
      </c>
      <c r="W3" s="5" cm="1">
        <f t="array" aca="1" ref="W3" ca="1">INDIRECT("'results" &amp; $B3 &amp; "'!X$14")</f>
        <v>15.797823325913889</v>
      </c>
      <c r="X3" s="5" cm="1">
        <f t="array" aca="1" ref="X3" ca="1">INDIRECT("'results" &amp; $B3 &amp; "'!Y$14")</f>
        <v>48.671351033298379</v>
      </c>
      <c r="Y3" s="5" cm="1">
        <f t="array" aca="1" ref="Y3" ca="1">INDIRECT("'results" &amp; $B3 &amp; "'!Z$14")</f>
        <v>5515.146391220188</v>
      </c>
      <c r="Z3" s="5"/>
    </row>
    <row r="4" spans="2:26" x14ac:dyDescent="0.2">
      <c r="B4" s="4">
        <v>229</v>
      </c>
      <c r="C4" s="5" cm="1">
        <f t="array" aca="1" ref="C4" ca="1">INDIRECT("'results" &amp; $B4 &amp; "'!D$14")</f>
        <v>968127.96556841256</v>
      </c>
      <c r="D4" s="33" cm="1">
        <f t="array" aca="1" ref="D4" ca="1">INDIRECT("'results" &amp; $B4 &amp; "'!E$14")</f>
        <v>110.66876407685831</v>
      </c>
      <c r="E4" s="5" cm="1">
        <f t="array" aca="1" ref="E4" ca="1">INDIRECT("'results" &amp; $B4 &amp; "'!F$14")</f>
        <v>11</v>
      </c>
      <c r="F4" s="5" cm="1">
        <f t="array" aca="1" ref="F4" ca="1">INDIRECT("'results" &amp; $B4 &amp; "'!G$14")</f>
        <v>96</v>
      </c>
      <c r="G4" s="5" cm="1">
        <f t="array" aca="1" ref="G4" ca="1">INDIRECT("'results" &amp; $B4 &amp; "'!H$14")</f>
        <v>148.27568864938823</v>
      </c>
      <c r="H4" s="33" cm="1">
        <f t="array" aca="1" ref="H4" ca="1">INDIRECT("'results" &amp; $B4 &amp; "'!I$14")</f>
        <v>41.044499047729481</v>
      </c>
      <c r="I4" s="5" cm="1">
        <f t="array" aca="1" ref="I4" ca="1">INDIRECT("'results" &amp; $B4 &amp; "'!J$14")</f>
        <v>4730.6926525659665</v>
      </c>
      <c r="J4" s="5"/>
      <c r="K4" s="5" cm="1">
        <f t="array" aca="1" ref="K4" ca="1">INDIRECT("'results" &amp; $B4 &amp; "'!L$14")</f>
        <v>1145921.679856604</v>
      </c>
      <c r="L4" s="5" cm="1">
        <f t="array" aca="1" ref="L4" ca="1">INDIRECT("'results" &amp; $B4 &amp; "'!M$14")</f>
        <v>268.32081184615021</v>
      </c>
      <c r="M4" s="5" cm="1">
        <f t="array" aca="1" ref="M4" ca="1">INDIRECT("'results" &amp; $B4 &amp; "'!N$14")</f>
        <v>12</v>
      </c>
      <c r="N4" s="5" cm="1">
        <f t="array" aca="1" ref="N4" ca="1">INDIRECT("'results" &amp; $B4 &amp; "'!O$14")</f>
        <v>96</v>
      </c>
      <c r="O4" s="5" cm="1">
        <f t="array" aca="1" ref="O4" ca="1">INDIRECT("'results" &amp; $B4 &amp; "'!P$14")</f>
        <v>1785.5325274125157</v>
      </c>
      <c r="P4" s="5" cm="1">
        <f t="array" aca="1" ref="P4" ca="1">INDIRECT("'results" &amp; $B4 &amp; "'!Q$14")</f>
        <v>37.837756812438215</v>
      </c>
      <c r="Q4" s="5" cm="1">
        <f t="array" aca="1" ref="Q4" ca="1">INDIRECT("'results" &amp; $B4 &amp; "'!R$14")</f>
        <v>4594.4047848790142</v>
      </c>
      <c r="R4" s="5"/>
      <c r="S4" s="5" cm="1">
        <f t="array" aca="1" ref="S4" ca="1">INDIRECT("'results" &amp; $B4 &amp; "'!T$14")</f>
        <v>951017.77713515563</v>
      </c>
      <c r="T4" s="5" cm="1">
        <f t="array" aca="1" ref="T4" ca="1">INDIRECT("'results" &amp; $B4 &amp; "'!U$14")</f>
        <v>215.77606853849898</v>
      </c>
      <c r="U4" s="5" cm="1">
        <f t="array" aca="1" ref="U4" ca="1">INDIRECT("'results" &amp; $B4 &amp; "'!V$14")</f>
        <v>11</v>
      </c>
      <c r="V4" s="5" cm="1">
        <f t="array" aca="1" ref="V4" ca="1">INDIRECT("'results" &amp; $B4 &amp; "'!W$14")</f>
        <v>96</v>
      </c>
      <c r="W4" s="5" cm="1">
        <f t="array" aca="1" ref="W4" ca="1">INDIRECT("'results" &amp; $B4 &amp; "'!X$14")</f>
        <v>0.74175052315474166</v>
      </c>
      <c r="X4" s="5" cm="1">
        <f t="array" aca="1" ref="X4" ca="1">INDIRECT("'results" &amp; $B4 &amp; "'!Y$14")</f>
        <v>41.040130602581428</v>
      </c>
      <c r="Y4" s="5" cm="1">
        <f t="array" aca="1" ref="Y4" ca="1">INDIRECT("'results" &amp; $B4 &amp; "'!Z$14")</f>
        <v>4730.2676525659663</v>
      </c>
      <c r="Z4" s="5"/>
    </row>
    <row r="5" spans="2:26" x14ac:dyDescent="0.2">
      <c r="B5" s="4">
        <v>268</v>
      </c>
      <c r="C5" s="5" cm="1">
        <f t="array" aca="1" ref="C5" ca="1">INDIRECT("'results" &amp; $B5 &amp; "'!D$14")</f>
        <v>1171722.7209426111</v>
      </c>
      <c r="D5" s="33" cm="1">
        <f t="array" aca="1" ref="D5" ca="1">INDIRECT("'results" &amp; $B5 &amp; "'!E$14")</f>
        <v>274.61161923075383</v>
      </c>
      <c r="E5" s="5" cm="1">
        <f t="array" aca="1" ref="E5" ca="1">INDIRECT("'results" &amp; $B5 &amp; "'!F$14")</f>
        <v>16</v>
      </c>
      <c r="F5" s="5" cm="1">
        <f t="array" aca="1" ref="F5" ca="1">INDIRECT("'results" &amp; $B5 &amp; "'!G$14")</f>
        <v>97.333333333333329</v>
      </c>
      <c r="G5" s="5" cm="1">
        <f t="array" aca="1" ref="G5" ca="1">INDIRECT("'results" &amp; $B5 &amp; "'!H$14")</f>
        <v>552.87315230917284</v>
      </c>
      <c r="H5" s="33" cm="1">
        <f t="array" aca="1" ref="H5" ca="1">INDIRECT("'results" &amp; $B5 &amp; "'!I$14")</f>
        <v>39.68895058554655</v>
      </c>
      <c r="I5" s="5" cm="1">
        <f t="array" aca="1" ref="I5" ca="1">INDIRECT("'results" &amp; $B5 &amp; "'!J$14")</f>
        <v>5498.4921850503042</v>
      </c>
      <c r="J5" s="5"/>
      <c r="K5" s="5" cm="1">
        <f t="array" aca="1" ref="K5" ca="1">INDIRECT("'results" &amp; $B5 &amp; "'!L$14")</f>
        <v>1373588.5896383971</v>
      </c>
      <c r="L5" s="5" cm="1">
        <f t="array" aca="1" ref="L5" ca="1">INDIRECT("'results" &amp; $B5 &amp; "'!M$14")</f>
        <v>202.66157553844656</v>
      </c>
      <c r="M5" s="5" cm="1">
        <f t="array" aca="1" ref="M5" ca="1">INDIRECT("'results" &amp; $B5 &amp; "'!N$14")</f>
        <v>17</v>
      </c>
      <c r="N5" s="5" cm="1">
        <f t="array" aca="1" ref="N5" ca="1">INDIRECT("'results" &amp; $B5 &amp; "'!O$14")</f>
        <v>96.666666666666671</v>
      </c>
      <c r="O5" s="5" cm="1">
        <f t="array" aca="1" ref="O5" ca="1">INDIRECT("'results" &amp; $B5 &amp; "'!P$14")</f>
        <v>2417.5892034786903</v>
      </c>
      <c r="P5" s="5" cm="1">
        <f t="array" aca="1" ref="P5" ca="1">INDIRECT("'results" &amp; $B5 &amp; "'!Q$14")</f>
        <v>37.102301969345191</v>
      </c>
      <c r="Q5" s="5" cm="1">
        <f t="array" aca="1" ref="Q5" ca="1">INDIRECT("'results" &amp; $B5 &amp; "'!R$14")</f>
        <v>5270.9335998985434</v>
      </c>
      <c r="R5" s="5"/>
      <c r="S5" s="5" cm="1">
        <f t="array" aca="1" ref="S5" ca="1">INDIRECT("'results" &amp; $B5 &amp; "'!T$14")</f>
        <v>1124687.5799538181</v>
      </c>
      <c r="T5" s="5" cm="1">
        <f t="array" aca="1" ref="T5" ca="1">INDIRECT("'results" &amp; $B5 &amp; "'!U$14")</f>
        <v>152.17401807697922</v>
      </c>
      <c r="U5" s="5" cm="1">
        <f t="array" aca="1" ref="U5" ca="1">INDIRECT("'results" &amp; $B5 &amp; "'!V$14")</f>
        <v>15</v>
      </c>
      <c r="V5" s="5" cm="1">
        <f t="array" aca="1" ref="V5" ca="1">INDIRECT("'results" &amp; $B5 &amp; "'!W$14")</f>
        <v>97.333333333333329</v>
      </c>
      <c r="W5" s="5" cm="1">
        <f t="array" aca="1" ref="W5" ca="1">INDIRECT("'results" &amp; $B5 &amp; "'!X$14")</f>
        <v>118.87534047234909</v>
      </c>
      <c r="X5" s="5" cm="1">
        <f t="array" aca="1" ref="X5" ca="1">INDIRECT("'results" &amp; $B5 &amp; "'!Y$14")</f>
        <v>42.757124328434386</v>
      </c>
      <c r="Y5" s="5" cm="1">
        <f t="array" aca="1" ref="Y5" ca="1">INDIRECT("'results" &amp; $B5 &amp; "'!Z$14")</f>
        <v>5629.7519207146315</v>
      </c>
      <c r="Z5" s="5"/>
    </row>
    <row r="6" spans="2:26" x14ac:dyDescent="0.2">
      <c r="B6" s="4">
        <v>346</v>
      </c>
      <c r="C6" s="5" cm="1">
        <f t="array" aca="1" ref="C6" ca="1">INDIRECT("'results" &amp; $B6 &amp; "'!D$14")</f>
        <v>1141726.937281823</v>
      </c>
      <c r="D6" s="33" cm="1">
        <f t="array" aca="1" ref="D6" ca="1">INDIRECT("'results" &amp; $B6 &amp; "'!E$14")</f>
        <v>371.94766284620312</v>
      </c>
      <c r="E6" s="5" cm="1">
        <f t="array" aca="1" ref="E6" ca="1">INDIRECT("'results" &amp; $B6 &amp; "'!F$14")</f>
        <v>14</v>
      </c>
      <c r="F6" s="5" cm="1">
        <f t="array" aca="1" ref="F6" ca="1">INDIRECT("'results" &amp; $B6 &amp; "'!G$14")</f>
        <v>94</v>
      </c>
      <c r="G6" s="5" cm="1">
        <f t="array" aca="1" ref="G6" ca="1">INDIRECT("'results" &amp; $B6 &amp; "'!H$14")</f>
        <v>284.12843424466513</v>
      </c>
      <c r="H6" s="33" cm="1">
        <f t="array" aca="1" ref="H6" ca="1">INDIRECT("'results" &amp; $B6 &amp; "'!I$14")</f>
        <v>38.423322876589999</v>
      </c>
      <c r="I6" s="5" cm="1">
        <f t="array" aca="1" ref="I6" ca="1">INDIRECT("'results" &amp; $B6 &amp; "'!J$14")</f>
        <v>5202.2457846926009</v>
      </c>
      <c r="J6" s="5"/>
      <c r="K6" s="5" cm="1">
        <f t="array" aca="1" ref="K6" ca="1">INDIRECT("'results" &amp; $B6 &amp; "'!L$14")</f>
        <v>1339429.6172684911</v>
      </c>
      <c r="L6" s="5" cm="1">
        <f t="array" aca="1" ref="L6" ca="1">INDIRECT("'results" &amp; $B6 &amp; "'!M$14")</f>
        <v>173.54326853842045</v>
      </c>
      <c r="M6" s="5" cm="1">
        <f t="array" aca="1" ref="M6" ca="1">INDIRECT("'results" &amp; $B6 &amp; "'!N$14")</f>
        <v>15</v>
      </c>
      <c r="N6" s="5" cm="1">
        <f t="array" aca="1" ref="N6" ca="1">INDIRECT("'results" &amp; $B6 &amp; "'!O$14")</f>
        <v>94</v>
      </c>
      <c r="O6" s="5" cm="1">
        <f t="array" aca="1" ref="O6" ca="1">INDIRECT("'results" &amp; $B6 &amp; "'!P$14")</f>
        <v>2163.7818125386443</v>
      </c>
      <c r="P6" s="5" cm="1">
        <f t="array" aca="1" ref="P6" ca="1">INDIRECT("'results" &amp; $B6 &amp; "'!Q$14")</f>
        <v>35.259214276916175</v>
      </c>
      <c r="Q6" s="5" cm="1">
        <f t="array" aca="1" ref="Q6" ca="1">INDIRECT("'results" &amp; $B6 &amp; "'!R$14")</f>
        <v>5085.4277036410685</v>
      </c>
      <c r="R6" s="5"/>
      <c r="S6" s="5" cm="1">
        <f t="array" aca="1" ref="S6" ca="1">INDIRECT("'results" &amp; $B6 &amp; "'!T$14")</f>
        <v>1098744.4883737441</v>
      </c>
      <c r="T6" s="5" cm="1">
        <f t="array" aca="1" ref="T6" ca="1">INDIRECT("'results" &amp; $B6 &amp; "'!U$14")</f>
        <v>189.89544676921261</v>
      </c>
      <c r="U6" s="5" cm="1">
        <f t="array" aca="1" ref="U6" ca="1">INDIRECT("'results" &amp; $B6 &amp; "'!V$14")</f>
        <v>14</v>
      </c>
      <c r="V6" s="5" cm="1">
        <f t="array" aca="1" ref="V6" ca="1">INDIRECT("'results" &amp; $B6 &amp; "'!W$14")</f>
        <v>94</v>
      </c>
      <c r="W6" s="5" cm="1">
        <f t="array" aca="1" ref="W6" ca="1">INDIRECT("'results" &amp; $B6 &amp; "'!X$14")</f>
        <v>5.7474420628635317</v>
      </c>
      <c r="X6" s="5" cm="1">
        <f t="array" aca="1" ref="X6" ca="1">INDIRECT("'results" &amp; $B6 &amp; "'!Y$14")</f>
        <v>38.419198579551974</v>
      </c>
      <c r="Y6" s="5" cm="1">
        <f t="array" aca="1" ref="Y6" ca="1">INDIRECT("'results" &amp; $B6 &amp; "'!Z$14")</f>
        <v>5095.4017375771837</v>
      </c>
      <c r="Z6" s="5"/>
    </row>
    <row r="7" spans="2:26" x14ac:dyDescent="0.2">
      <c r="B7" s="4">
        <v>418</v>
      </c>
      <c r="C7" s="5" cm="1">
        <f t="array" aca="1" ref="C7" ca="1">INDIRECT("'results" &amp; $B7 &amp; "'!D$14")</f>
        <v>1155075.914594016</v>
      </c>
      <c r="D7" s="33" cm="1">
        <f t="array" aca="1" ref="D7" ca="1">INDIRECT("'results" &amp; $B7 &amp; "'!E$14")</f>
        <v>124.98730038462853</v>
      </c>
      <c r="E7" s="5" cm="1">
        <f t="array" aca="1" ref="E7" ca="1">INDIRECT("'results" &amp; $B7 &amp; "'!F$14")</f>
        <v>13</v>
      </c>
      <c r="F7" s="5" cm="1">
        <f t="array" aca="1" ref="F7" ca="1">INDIRECT("'results" &amp; $B7 &amp; "'!G$14")</f>
        <v>94</v>
      </c>
      <c r="G7" s="5" cm="1">
        <f t="array" aca="1" ref="G7" ca="1">INDIRECT("'results" &amp; $B7 &amp; "'!H$14")</f>
        <v>315.4818009440686</v>
      </c>
      <c r="H7" s="33" cm="1">
        <f t="array" aca="1" ref="H7" ca="1">INDIRECT("'results" &amp; $B7 &amp; "'!I$14")</f>
        <v>43.565165325317544</v>
      </c>
      <c r="I7" s="5" cm="1">
        <f t="array" aca="1" ref="I7" ca="1">INDIRECT("'results" &amp; $B7 &amp; "'!J$14")</f>
        <v>5346.775780707324</v>
      </c>
      <c r="J7" s="5"/>
      <c r="K7" s="5" cm="1">
        <f t="array" aca="1" ref="K7" ca="1">INDIRECT("'results" &amp; $B7 &amp; "'!L$14")</f>
        <v>1350843.2954044109</v>
      </c>
      <c r="L7" s="5" cm="1">
        <f t="array" aca="1" ref="L7" ca="1">INDIRECT("'results" &amp; $B7 &amp; "'!M$14")</f>
        <v>565.12050384619772</v>
      </c>
      <c r="M7" s="5" cm="1">
        <f t="array" aca="1" ref="M7" ca="1">INDIRECT("'results" &amp; $B7 &amp; "'!N$14")</f>
        <v>16</v>
      </c>
      <c r="N7" s="5" cm="1">
        <f t="array" aca="1" ref="N7" ca="1">INDIRECT("'results" &amp; $B7 &amp; "'!O$14")</f>
        <v>93.333333333333329</v>
      </c>
      <c r="O7" s="5" cm="1">
        <f t="array" aca="1" ref="O7" ca="1">INDIRECT("'results" &amp; $B7 &amp; "'!P$14")</f>
        <v>2057.1666836259856</v>
      </c>
      <c r="P7" s="5" cm="1">
        <f t="array" aca="1" ref="P7" ca="1">INDIRECT("'results" &amp; $B7 &amp; "'!Q$14")</f>
        <v>35.200088924116315</v>
      </c>
      <c r="Q7" s="5" cm="1">
        <f t="array" aca="1" ref="Q7" ca="1">INDIRECT("'results" &amp; $B7 &amp; "'!R$14")</f>
        <v>4950.1162598335022</v>
      </c>
      <c r="R7" s="5"/>
      <c r="S7" s="5" cm="1">
        <f t="array" aca="1" ref="S7" ca="1">INDIRECT("'results" &amp; $B7 &amp; "'!T$14")</f>
        <v>1114833.3241930739</v>
      </c>
      <c r="T7" s="5" cm="1">
        <f t="array" aca="1" ref="T7" ca="1">INDIRECT("'results" &amp; $B7 &amp; "'!U$14")</f>
        <v>150.724264230812</v>
      </c>
      <c r="U7" s="5" cm="1">
        <f t="array" aca="1" ref="U7" ca="1">INDIRECT("'results" &amp; $B7 &amp; "'!V$14")</f>
        <v>12</v>
      </c>
      <c r="V7" s="5" cm="1">
        <f t="array" aca="1" ref="V7" ca="1">INDIRECT("'results" &amp; $B7 &amp; "'!W$14")</f>
        <v>94</v>
      </c>
      <c r="W7" s="5" cm="1">
        <f t="array" aca="1" ref="W7" ca="1">INDIRECT("'results" &amp; $B7 &amp; "'!X$14")</f>
        <v>8.4337446378189576</v>
      </c>
      <c r="X7" s="5" cm="1">
        <f t="array" aca="1" ref="X7" ca="1">INDIRECT("'results" &amp; $B7 &amp; "'!Y$14")</f>
        <v>46.420804440321071</v>
      </c>
      <c r="Y7" s="5" cm="1">
        <f t="array" aca="1" ref="Y7" ca="1">INDIRECT("'results" &amp; $B7 &amp; "'!Z$14")</f>
        <v>5401.9573533786743</v>
      </c>
      <c r="Z7" s="5"/>
    </row>
    <row r="8" spans="2:26" x14ac:dyDescent="0.2">
      <c r="B8" s="4">
        <v>464</v>
      </c>
      <c r="C8" s="5" cm="1">
        <f t="array" aca="1" ref="C8" ca="1">INDIRECT("'results" &amp; $B8 &amp; "'!D$14")</f>
        <v>1109461.4547045201</v>
      </c>
      <c r="D8" s="33" cm="1">
        <f t="array" aca="1" ref="D8" ca="1">INDIRECT("'results" &amp; $B8 &amp; "'!E$14")</f>
        <v>267.75269992309256</v>
      </c>
      <c r="E8" s="5" cm="1">
        <f t="array" aca="1" ref="E8" ca="1">INDIRECT("'results" &amp; $B8 &amp; "'!F$14")</f>
        <v>13</v>
      </c>
      <c r="F8" s="5" cm="1">
        <f t="array" aca="1" ref="F8" ca="1">INDIRECT("'results" &amp; $B8 &amp; "'!G$14")</f>
        <v>98.666666666666671</v>
      </c>
      <c r="G8" s="5" cm="1">
        <f t="array" aca="1" ref="G8" ca="1">INDIRECT("'results" &amp; $B8 &amp; "'!H$14")</f>
        <v>556.1484043778413</v>
      </c>
      <c r="H8" s="33" cm="1">
        <f t="array" aca="1" ref="H8" ca="1">INDIRECT("'results" &amp; $B8 &amp; "'!I$14")</f>
        <v>46.079268944698597</v>
      </c>
      <c r="I8" s="5" cm="1">
        <f t="array" aca="1" ref="I8" ca="1">INDIRECT("'results" &amp; $B8 &amp; "'!J$14")</f>
        <v>5662.791341137412</v>
      </c>
      <c r="J8" s="5"/>
      <c r="K8" s="5" cm="1">
        <f t="array" aca="1" ref="K8" ca="1">INDIRECT("'results" &amp; $B8 &amp; "'!L$14")</f>
        <v>1322491.4723871481</v>
      </c>
      <c r="L8" s="5" cm="1">
        <f t="array" aca="1" ref="L8" ca="1">INDIRECT("'results" &amp; $B8 &amp; "'!M$14")</f>
        <v>300.78302715385621</v>
      </c>
      <c r="M8" s="5" cm="1">
        <f t="array" aca="1" ref="M8" ca="1">INDIRECT("'results" &amp; $B8 &amp; "'!N$14")</f>
        <v>15</v>
      </c>
      <c r="N8" s="5" cm="1">
        <f t="array" aca="1" ref="N8" ca="1">INDIRECT("'results" &amp; $B8 &amp; "'!O$14")</f>
        <v>98.666666666666671</v>
      </c>
      <c r="O8" s="5" cm="1">
        <f t="array" aca="1" ref="O8" ca="1">INDIRECT("'results" &amp; $B8 &amp; "'!P$14")</f>
        <v>2498.5140649135024</v>
      </c>
      <c r="P8" s="5" cm="1">
        <f t="array" aca="1" ref="P8" ca="1">INDIRECT("'results" &amp; $B8 &amp; "'!Q$14")</f>
        <v>39.572856547197787</v>
      </c>
      <c r="Q8" s="5" cm="1">
        <f t="array" aca="1" ref="Q8" ca="1">INDIRECT("'results" &amp; $B8 &amp; "'!R$14")</f>
        <v>5388.4372102283169</v>
      </c>
      <c r="R8" s="5"/>
      <c r="S8" s="5" cm="1">
        <f t="array" aca="1" ref="S8" ca="1">INDIRECT("'results" &amp; $B8 &amp; "'!T$14")</f>
        <v>1049844.537823736</v>
      </c>
      <c r="T8" s="5" cm="1">
        <f t="array" aca="1" ref="T8" ca="1">INDIRECT("'results" &amp; $B8 &amp; "'!U$14")</f>
        <v>187.16106099998939</v>
      </c>
      <c r="U8" s="5" cm="1">
        <f t="array" aca="1" ref="U8" ca="1">INDIRECT("'results" &amp; $B8 &amp; "'!V$14")</f>
        <v>12</v>
      </c>
      <c r="V8" s="5" cm="1">
        <f t="array" aca="1" ref="V8" ca="1">INDIRECT("'results" &amp; $B8 &amp; "'!W$14")</f>
        <v>98</v>
      </c>
      <c r="W8" s="5" cm="1">
        <f t="array" aca="1" ref="W8" ca="1">INDIRECT("'results" &amp; $B8 &amp; "'!X$14")</f>
        <v>41.83951103893699</v>
      </c>
      <c r="X8" s="5" cm="1">
        <f t="array" aca="1" ref="X8" ca="1">INDIRECT("'results" &amp; $B8 &amp; "'!Y$14")</f>
        <v>48.749856064706954</v>
      </c>
      <c r="Y8" s="5" cm="1">
        <f t="array" aca="1" ref="Y8" ca="1">INDIRECT("'results" &amp; $B8 &amp; "'!Z$14")</f>
        <v>5699.4926511999802</v>
      </c>
      <c r="Z8" s="5"/>
    </row>
    <row r="9" spans="2:26" x14ac:dyDescent="0.2">
      <c r="B9" s="4">
        <v>658</v>
      </c>
      <c r="C9" s="5" cm="1">
        <f t="array" aca="1" ref="C9" ca="1">INDIRECT("'results" &amp; $B9 &amp; "'!D$14")</f>
        <v>1046045.483747479</v>
      </c>
      <c r="D9" s="33" cm="1">
        <f t="array" aca="1" ref="D9" ca="1">INDIRECT("'results" &amp; $B9 &amp; "'!E$14")</f>
        <v>205.49383246160752</v>
      </c>
      <c r="E9" s="5" cm="1">
        <f t="array" aca="1" ref="E9" ca="1">INDIRECT("'results" &amp; $B9 &amp; "'!F$14")</f>
        <v>14</v>
      </c>
      <c r="F9" s="5" cm="1">
        <f t="array" aca="1" ref="F9" ca="1">INDIRECT("'results" &amp; $B9 &amp; "'!G$14")</f>
        <v>96.666666666666671</v>
      </c>
      <c r="G9" s="5" cm="1">
        <f t="array" aca="1" ref="G9" ca="1">INDIRECT("'results" &amp; $B9 &amp; "'!H$14")</f>
        <v>351.38906290061749</v>
      </c>
      <c r="H9" s="33" cm="1">
        <f t="array" aca="1" ref="H9" ca="1">INDIRECT("'results" &amp; $B9 &amp; "'!I$14")</f>
        <v>37.424531203822959</v>
      </c>
      <c r="I9" s="5" cm="1">
        <f t="array" aca="1" ref="I9" ca="1">INDIRECT("'results" &amp; $B9 &amp; "'!J$14")</f>
        <v>4871.4040777261835</v>
      </c>
      <c r="J9" s="5"/>
      <c r="K9" s="5" cm="1">
        <f t="array" aca="1" ref="K9" ca="1">INDIRECT("'results" &amp; $B9 &amp; "'!L$14")</f>
        <v>1231773.937931777</v>
      </c>
      <c r="L9" s="5" cm="1">
        <f t="array" aca="1" ref="L9" ca="1">INDIRECT("'results" &amp; $B9 &amp; "'!M$14")</f>
        <v>416.61239276926676</v>
      </c>
      <c r="M9" s="5" cm="1">
        <f t="array" aca="1" ref="M9" ca="1">INDIRECT("'results" &amp; $B9 &amp; "'!N$14")</f>
        <v>14</v>
      </c>
      <c r="N9" s="5" cm="1">
        <f t="array" aca="1" ref="N9" ca="1">INDIRECT("'results" &amp; $B9 &amp; "'!O$14")</f>
        <v>96.666666666666671</v>
      </c>
      <c r="O9" s="5" cm="1">
        <f t="array" aca="1" ref="O9" ca="1">INDIRECT("'results" &amp; $B9 &amp; "'!P$14")</f>
        <v>2033.6746256459223</v>
      </c>
      <c r="P9" s="5" cm="1">
        <f t="array" aca="1" ref="P9" ca="1">INDIRECT("'results" &amp; $B9 &amp; "'!Q$14")</f>
        <v>37.456191884914155</v>
      </c>
      <c r="Q9" s="5" cm="1">
        <f t="array" aca="1" ref="Q9" ca="1">INDIRECT("'results" &amp; $B9 &amp; "'!R$14")</f>
        <v>4873.3069027896254</v>
      </c>
      <c r="R9" s="5"/>
      <c r="S9" s="5" cm="1">
        <f t="array" aca="1" ref="S9" ca="1">INDIRECT("'results" &amp; $B9 &amp; "'!T$14")</f>
        <v>1023557.319989344</v>
      </c>
      <c r="T9" s="5" cm="1">
        <f t="array" aca="1" ref="T9" ca="1">INDIRECT("'results" &amp; $B9 &amp; "'!U$14")</f>
        <v>97.446844230782077</v>
      </c>
      <c r="U9" s="5" cm="1">
        <f t="array" aca="1" ref="U9" ca="1">INDIRECT("'results" &amp; $B9 &amp; "'!V$14")</f>
        <v>13</v>
      </c>
      <c r="V9" s="5" cm="1">
        <f t="array" aca="1" ref="V9" ca="1">INDIRECT("'results" &amp; $B9 &amp; "'!W$14")</f>
        <v>96.666666666666671</v>
      </c>
      <c r="W9" s="5" cm="1">
        <f t="array" aca="1" ref="W9" ca="1">INDIRECT("'results" &amp; $B9 &amp; "'!X$14")</f>
        <v>21.376297250417132</v>
      </c>
      <c r="X9" s="5" cm="1">
        <f t="array" aca="1" ref="X9" ca="1">INDIRECT("'results" &amp; $B9 &amp; "'!Y$14")</f>
        <v>40.554521819045895</v>
      </c>
      <c r="Y9" s="5" cm="1">
        <f t="array" aca="1" ref="Y9" ca="1">INDIRECT("'results" &amp; $B9 &amp; "'!Z$14")</f>
        <v>5099.7562089407338</v>
      </c>
      <c r="Z9" s="5"/>
    </row>
    <row r="10" spans="2:26" x14ac:dyDescent="0.2">
      <c r="B10" s="4">
        <v>720</v>
      </c>
      <c r="C10" s="5" cm="1">
        <f t="array" aca="1" ref="C10" ca="1">INDIRECT("'results" &amp; $B10 &amp; "'!D$14")</f>
        <v>1298314.612475632</v>
      </c>
      <c r="D10" s="33" cm="1">
        <f t="array" aca="1" ref="D10" ca="1">INDIRECT("'results" &amp; $B10 &amp; "'!E$14")</f>
        <v>222.78767107690396</v>
      </c>
      <c r="E10" s="5" cm="1">
        <f t="array" aca="1" ref="E10" ca="1">INDIRECT("'results" &amp; $B10 &amp; "'!F$14")</f>
        <v>15</v>
      </c>
      <c r="F10" s="5" cm="1">
        <f t="array" aca="1" ref="F10" ca="1">INDIRECT("'results" &amp; $B10 &amp; "'!G$14")</f>
        <v>93.333333333333329</v>
      </c>
      <c r="G10" s="5" cm="1">
        <f t="array" aca="1" ref="G10" ca="1">INDIRECT("'results" &amp; $B10 &amp; "'!H$14")</f>
        <v>557.2158028380004</v>
      </c>
      <c r="H10" s="33" cm="1">
        <f t="array" aca="1" ref="H10" ca="1">INDIRECT("'results" &amp; $B10 &amp; "'!I$14")</f>
        <v>34.54691388475625</v>
      </c>
      <c r="I10" s="5" cm="1">
        <f t="array" aca="1" ref="I10" ca="1">INDIRECT("'results" &amp; $B10 &amp; "'!J$14")</f>
        <v>5750.2115391621046</v>
      </c>
      <c r="J10" s="5"/>
      <c r="K10" s="5" cm="1">
        <f t="array" aca="1" ref="K10" ca="1">INDIRECT("'results" &amp; $B10 &amp; "'!L$14")</f>
        <v>1516223.9057181601</v>
      </c>
      <c r="L10" s="5" cm="1">
        <f t="array" aca="1" ref="L10" ca="1">INDIRECT("'results" &amp; $B10 &amp; "'!M$14")</f>
        <v>414.70871915387062</v>
      </c>
      <c r="M10" s="5" cm="1">
        <f t="array" aca="1" ref="M10" ca="1">INDIRECT("'results" &amp; $B10 &amp; "'!N$14")</f>
        <v>16</v>
      </c>
      <c r="N10" s="5" cm="1">
        <f t="array" aca="1" ref="N10" ca="1">INDIRECT("'results" &amp; $B10 &amp; "'!O$14")</f>
        <v>92</v>
      </c>
      <c r="O10" s="5" cm="1">
        <f t="array" aca="1" ref="O10" ca="1">INDIRECT("'results" &amp; $B10 &amp; "'!P$14")</f>
        <v>2609.7943560103681</v>
      </c>
      <c r="P10" s="5" cm="1">
        <f t="array" aca="1" ref="P10" ca="1">INDIRECT("'results" &amp; $B10 &amp; "'!Q$14")</f>
        <v>31.230473007481944</v>
      </c>
      <c r="Q10" s="5" cm="1">
        <f t="array" aca="1" ref="Q10" ca="1">INDIRECT("'results" &amp; $B10 &amp; "'!R$14")</f>
        <v>5513.1397091824574</v>
      </c>
      <c r="R10" s="5"/>
      <c r="S10" s="5" cm="1">
        <f t="array" aca="1" ref="S10" ca="1">INDIRECT("'results" &amp; $B10 &amp; "'!T$14")</f>
        <v>1244457.1618174659</v>
      </c>
      <c r="T10" s="5" cm="1">
        <f t="array" aca="1" ref="T10" ca="1">INDIRECT("'results" &amp; $B10 &amp; "'!U$14")</f>
        <v>163.95237507692607</v>
      </c>
      <c r="U10" s="5" cm="1">
        <f t="array" aca="1" ref="U10" ca="1">INDIRECT("'results" &amp; $B10 &amp; "'!V$14")</f>
        <v>14</v>
      </c>
      <c r="V10" s="5" cm="1">
        <f t="array" aca="1" ref="V10" ca="1">INDIRECT("'results" &amp; $B10 &amp; "'!W$14")</f>
        <v>93.333333333333329</v>
      </c>
      <c r="W10" s="5" cm="1">
        <f t="array" aca="1" ref="W10" ca="1">INDIRECT("'results" &amp; $B10 &amp; "'!X$14")</f>
        <v>27.286961476404226</v>
      </c>
      <c r="X10" s="5" cm="1">
        <f t="array" aca="1" ref="X10" ca="1">INDIRECT("'results" &amp; $B10 &amp; "'!Y$14")</f>
        <v>36.446376917482837</v>
      </c>
      <c r="Y10" s="5" cm="1">
        <f t="array" aca="1" ref="Y10" ca="1">INDIRECT("'results" &amp; $B10 &amp; "'!Z$14")</f>
        <v>5887.0221353573152</v>
      </c>
      <c r="Z10" s="5"/>
    </row>
    <row r="11" spans="2:26" x14ac:dyDescent="0.2">
      <c r="B11" s="4">
        <v>846</v>
      </c>
      <c r="C11" s="5" cm="1">
        <f t="array" aca="1" ref="C11" ca="1">INDIRECT("'results" &amp; $B11 &amp; "'!D$14")</f>
        <v>1168643.226288683</v>
      </c>
      <c r="D11" s="33" cm="1">
        <f t="array" aca="1" ref="D11" ca="1">INDIRECT("'results" &amp; $B11 &amp; "'!E$14")</f>
        <v>309.76703292314107</v>
      </c>
      <c r="E11" s="5" cm="1">
        <f t="array" aca="1" ref="E11" ca="1">INDIRECT("'results" &amp; $B11 &amp; "'!F$14")</f>
        <v>13</v>
      </c>
      <c r="F11" s="5" cm="1">
        <f t="array" aca="1" ref="F11" ca="1">INDIRECT("'results" &amp; $B11 &amp; "'!G$14")</f>
        <v>94</v>
      </c>
      <c r="G11" s="5" cm="1">
        <f t="array" aca="1" ref="G11" ca="1">INDIRECT("'results" &amp; $B11 &amp; "'!H$14")</f>
        <v>362.73205147026351</v>
      </c>
      <c r="H11" s="33" cm="1">
        <f t="array" aca="1" ref="H11" ca="1">INDIRECT("'results" &amp; $B11 &amp; "'!I$14")</f>
        <v>40.263651627371402</v>
      </c>
      <c r="I11" s="5" cm="1">
        <f t="array" aca="1" ref="I11" ca="1">INDIRECT("'results" &amp; $B11 &amp; "'!J$14")</f>
        <v>5415.5349556114834</v>
      </c>
      <c r="J11" s="5"/>
      <c r="K11" s="5" cm="1">
        <f t="array" aca="1" ref="K11" ca="1">INDIRECT("'results" &amp; $B11 &amp; "'!L$14")</f>
        <v>1349071.23552028</v>
      </c>
      <c r="L11" s="5" cm="1">
        <f t="array" aca="1" ref="L11" ca="1">INDIRECT("'results" &amp; $B11 &amp; "'!M$14")</f>
        <v>270.15353307692112</v>
      </c>
      <c r="M11" s="5" cm="1">
        <f t="array" aca="1" ref="M11" ca="1">INDIRECT("'results" &amp; $B11 &amp; "'!N$14")</f>
        <v>15</v>
      </c>
      <c r="N11" s="5" cm="1">
        <f t="array" aca="1" ref="N11" ca="1">INDIRECT("'results" &amp; $B11 &amp; "'!O$14")</f>
        <v>94</v>
      </c>
      <c r="O11" s="5" cm="1">
        <f t="array" aca="1" ref="O11" ca="1">INDIRECT("'results" &amp; $B11 &amp; "'!P$14")</f>
        <v>2170.8801767701625</v>
      </c>
      <c r="P11" s="5" cm="1">
        <f t="array" aca="1" ref="P11" ca="1">INDIRECT("'results" &amp; $B11 &amp; "'!Q$14")</f>
        <v>34.471642064098077</v>
      </c>
      <c r="Q11" s="5" cm="1">
        <f t="array" aca="1" ref="Q11" ca="1">INDIRECT("'results" &amp; $B11 &amp; "'!R$14")</f>
        <v>5057.4811292493032</v>
      </c>
      <c r="R11" s="5"/>
      <c r="S11" s="5" cm="1">
        <f t="array" aca="1" ref="S11" ca="1">INDIRECT("'results" &amp; $B11 &amp; "'!T$14")</f>
        <v>1124595.6215973359</v>
      </c>
      <c r="T11" s="5" cm="1">
        <f t="array" aca="1" ref="T11" ca="1">INDIRECT("'results" &amp; $B11 &amp; "'!U$14")</f>
        <v>204.95615053850301</v>
      </c>
      <c r="U11" s="5" cm="1">
        <f t="array" aca="1" ref="U11" ca="1">INDIRECT("'results" &amp; $B11 &amp; "'!V$14")</f>
        <v>13</v>
      </c>
      <c r="V11" s="5" cm="1">
        <f t="array" aca="1" ref="V11" ca="1">INDIRECT("'results" &amp; $B11 &amp; "'!W$14")</f>
        <v>94.666666666666671</v>
      </c>
      <c r="W11" s="5" cm="1">
        <f t="array" aca="1" ref="W11" ca="1">INDIRECT("'results" &amp; $B11 &amp; "'!X$14")</f>
        <v>19.053534955306699</v>
      </c>
      <c r="X11" s="5" cm="1">
        <f t="array" aca="1" ref="X11" ca="1">INDIRECT("'results" &amp; $B11 &amp; "'!Y$14")</f>
        <v>40.59155550045125</v>
      </c>
      <c r="Y11" s="5" cm="1">
        <f t="array" aca="1" ref="Y11" ca="1">INDIRECT("'results" &amp; $B11 &amp; "'!Z$14")</f>
        <v>5444.6997672067355</v>
      </c>
      <c r="Z11" s="5"/>
    </row>
    <row r="12" spans="2:26" x14ac:dyDescent="0.2">
      <c r="B12" s="4">
        <v>910</v>
      </c>
      <c r="C12" s="5" cm="1">
        <f t="array" aca="1" ref="C12" ca="1">INDIRECT("'results" &amp; $B12 &amp; "'!D$14")</f>
        <v>1204846.1049447469</v>
      </c>
      <c r="D12" s="33" cm="1">
        <f t="array" aca="1" ref="D12" ca="1">INDIRECT("'results" &amp; $B12 &amp; "'!E$14")</f>
        <v>167.72226484617792</v>
      </c>
      <c r="E12" s="5" cm="1">
        <f t="array" aca="1" ref="E12" ca="1">INDIRECT("'results" &amp; $B12 &amp; "'!F$14")</f>
        <v>12</v>
      </c>
      <c r="F12" s="5" cm="1">
        <f t="array" aca="1" ref="F12" ca="1">INDIRECT("'results" &amp; $B12 &amp; "'!G$14")</f>
        <v>92.666666666666671</v>
      </c>
      <c r="G12" s="5" cm="1">
        <f t="array" aca="1" ref="G12" ca="1">INDIRECT("'results" &amp; $B12 &amp; "'!H$14")</f>
        <v>381.05739905978987</v>
      </c>
      <c r="H12" s="33" cm="1">
        <f t="array" aca="1" ref="H12" ca="1">INDIRECT("'results" &amp; $B12 &amp; "'!I$14")</f>
        <v>38.403845039915126</v>
      </c>
      <c r="I12" s="5" cm="1">
        <f t="array" aca="1" ref="I12" ca="1">INDIRECT("'results" &amp; $B12 &amp; "'!J$14")</f>
        <v>5454.0471054728532</v>
      </c>
      <c r="J12" s="5"/>
      <c r="K12" s="5" cm="1">
        <f t="array" aca="1" ref="K12" ca="1">INDIRECT("'results" &amp; $B12 &amp; "'!L$14")</f>
        <v>1398858.9437994161</v>
      </c>
      <c r="L12" s="5" cm="1">
        <f t="array" aca="1" ref="L12" ca="1">INDIRECT("'results" &amp; $B12 &amp; "'!M$14")</f>
        <v>333.13220569237063</v>
      </c>
      <c r="M12" s="5" cm="1">
        <f t="array" aca="1" ref="M12" ca="1">INDIRECT("'results" &amp; $B12 &amp; "'!N$14")</f>
        <v>14</v>
      </c>
      <c r="N12" s="5" cm="1">
        <f t="array" aca="1" ref="N12" ca="1">INDIRECT("'results" &amp; $B12 &amp; "'!O$14")</f>
        <v>92</v>
      </c>
      <c r="O12" s="5" cm="1">
        <f t="array" aca="1" ref="O12" ca="1">INDIRECT("'results" &amp; $B12 &amp; "'!P$14")</f>
        <v>2260.7314379624604</v>
      </c>
      <c r="P12" s="5" cm="1">
        <f t="array" aca="1" ref="P12" ca="1">INDIRECT("'results" &amp; $B12 &amp; "'!Q$14")</f>
        <v>32.72812549991724</v>
      </c>
      <c r="Q12" s="5" cm="1">
        <f t="array" aca="1" ref="Q12" ca="1">INDIRECT("'results" &amp; $B12 &amp; "'!R$14")</f>
        <v>5104.6207468867178</v>
      </c>
      <c r="R12" s="5"/>
      <c r="S12" s="5" cm="1">
        <f t="array" aca="1" ref="S12" ca="1">INDIRECT("'results" &amp; $B12 &amp; "'!T$14")</f>
        <v>1176280.2877909651</v>
      </c>
      <c r="T12" s="5" cm="1">
        <f t="array" aca="1" ref="T12" ca="1">INDIRECT("'results" &amp; $B12 &amp; "'!U$14")</f>
        <v>166.97077484613354</v>
      </c>
      <c r="U12" s="5" cm="1">
        <f t="array" aca="1" ref="U12" ca="1">INDIRECT("'results" &amp; $B12 &amp; "'!V$14")</f>
        <v>11</v>
      </c>
      <c r="V12" s="5" cm="1">
        <f t="array" aca="1" ref="V12" ca="1">INDIRECT("'results" &amp; $B12 &amp; "'!W$14")</f>
        <v>92.666666666666671</v>
      </c>
      <c r="W12" s="5" cm="1">
        <f t="array" aca="1" ref="W12" ca="1">INDIRECT("'results" &amp; $B12 &amp; "'!X$14")</f>
        <v>34.054457108186263</v>
      </c>
      <c r="X12" s="5" cm="1">
        <f t="array" aca="1" ref="X12" ca="1">INDIRECT("'results" &amp; $B12 &amp; "'!Y$14")</f>
        <v>41.408750535425106</v>
      </c>
      <c r="Y12" s="5" cm="1">
        <f t="array" aca="1" ref="Y12" ca="1">INDIRECT("'results" &amp; $B12 &amp; "'!Z$14")</f>
        <v>5646.4805970191064</v>
      </c>
      <c r="Z12" s="5"/>
    </row>
    <row r="13" spans="2:26" x14ac:dyDescent="0.2">
      <c r="B13" s="8" t="s">
        <v>3</v>
      </c>
      <c r="C13" s="9">
        <f ca="1">AVERAGE(C3:C12)</f>
        <v>1137345.6151144882</v>
      </c>
      <c r="D13" s="10">
        <f t="shared" ref="D13:I13" ca="1" si="0">AVERAGE(D3:D12)</f>
        <v>223.15693593847277</v>
      </c>
      <c r="E13" s="9">
        <f t="shared" ca="1" si="0"/>
        <v>13.2</v>
      </c>
      <c r="F13" s="9">
        <f t="shared" ca="1" si="0"/>
        <v>95.266666666666666</v>
      </c>
      <c r="G13" s="9">
        <f t="shared" ca="1" si="0"/>
        <v>392.83706213275394</v>
      </c>
      <c r="H13" s="10">
        <f t="shared" ca="1" si="0"/>
        <v>40.84478699706851</v>
      </c>
      <c r="I13" s="9">
        <f t="shared" ca="1" si="0"/>
        <v>5348.8731297936638</v>
      </c>
      <c r="J13" s="32" t="e">
        <f ca="1">(C13-$D$15)/$D$15</f>
        <v>#DIV/0!</v>
      </c>
      <c r="K13" s="16">
        <f ca="1">AVERAGE(K3:K12)</f>
        <v>1333454.9099379717</v>
      </c>
      <c r="L13" s="42">
        <f t="shared" ref="L13:Q13" ca="1" si="1">AVERAGE(L3:L12)</f>
        <v>316.32664340770299</v>
      </c>
      <c r="M13" s="16">
        <f t="shared" ca="1" si="1"/>
        <v>14.9</v>
      </c>
      <c r="N13" s="16">
        <f ca="1">AVERAGE(N3:N12)</f>
        <v>94.933333333333323</v>
      </c>
      <c r="O13" s="16">
        <f t="shared" ca="1" si="1"/>
        <v>2224.6348911044065</v>
      </c>
      <c r="P13" s="42">
        <f t="shared" ca="1" si="1"/>
        <v>35.652869980188825</v>
      </c>
      <c r="Q13" s="16">
        <f t="shared" ca="1" si="1"/>
        <v>5087.9184256439594</v>
      </c>
      <c r="R13" s="43" t="e">
        <f ca="1">(K13-$D$15)/$D$15</f>
        <v>#DIV/0!</v>
      </c>
      <c r="S13" s="38">
        <f ca="1">AVERAGE(S3:S12)</f>
        <v>1096665.6958369934</v>
      </c>
      <c r="T13" s="44">
        <f t="shared" ref="T13:Y13" ca="1" si="2">AVERAGE(T3:T12)</f>
        <v>161.98283976924498</v>
      </c>
      <c r="U13" s="38">
        <f t="shared" ca="1" si="2"/>
        <v>12.6</v>
      </c>
      <c r="V13" s="38">
        <f t="shared" ca="1" si="2"/>
        <v>95.266666666666652</v>
      </c>
      <c r="W13" s="38">
        <f t="shared" ca="1" si="2"/>
        <v>29.320686285135157</v>
      </c>
      <c r="X13" s="44">
        <f t="shared" ca="1" si="2"/>
        <v>42.50596698212992</v>
      </c>
      <c r="Y13" s="38">
        <f t="shared" ca="1" si="2"/>
        <v>5414.9976415180518</v>
      </c>
      <c r="Z13" s="45" t="e">
        <f ca="1">(S13-$D$15)/$D$15</f>
        <v>#DIV/0!</v>
      </c>
    </row>
    <row r="14" spans="2:26" x14ac:dyDescent="0.2">
      <c r="K14" s="46">
        <f ca="1">(K13-C13)/C13</f>
        <v>0.1724271779987851</v>
      </c>
      <c r="L14" s="46">
        <f t="shared" ref="L14:Q14" ca="1" si="3">(L13-D13)/D13</f>
        <v>0.41750755842479526</v>
      </c>
      <c r="M14" s="46">
        <f t="shared" ca="1" si="3"/>
        <v>0.12878787878787887</v>
      </c>
      <c r="N14" s="46">
        <f t="shared" ca="1" si="3"/>
        <v>-3.4989503149056279E-3</v>
      </c>
      <c r="O14" s="46">
        <f t="shared" ca="1" si="3"/>
        <v>4.6629964571739446</v>
      </c>
      <c r="P14" s="46">
        <f t="shared" ca="1" si="3"/>
        <v>-0.12711333314707496</v>
      </c>
      <c r="Q14" s="46">
        <f t="shared" ca="1" si="3"/>
        <v>-4.8786856187738911E-2</v>
      </c>
      <c r="S14" s="46">
        <f ca="1">(S13-C13)/C13</f>
        <v>-3.5767420858610184E-2</v>
      </c>
      <c r="T14" s="46">
        <f t="shared" ref="T14:Y14" ca="1" si="4">(T13-D13)/D13</f>
        <v>-0.27413038233368769</v>
      </c>
      <c r="U14" s="46">
        <f t="shared" ca="1" si="4"/>
        <v>-4.5454545454545428E-2</v>
      </c>
      <c r="V14" s="46">
        <f ca="1">(V13-F13)/F13</f>
        <v>-1.4916922374249829E-16</v>
      </c>
      <c r="W14" s="46">
        <f t="shared" ca="1" si="4"/>
        <v>-0.92536171071550621</v>
      </c>
      <c r="X14" s="46">
        <f t="shared" ca="1" si="4"/>
        <v>4.0670550814247954E-2</v>
      </c>
      <c r="Y14" s="46">
        <f t="shared" ca="1" si="4"/>
        <v>1.2362325693624884E-2</v>
      </c>
    </row>
    <row r="17" spans="3:5" ht="22" x14ac:dyDescent="0.2">
      <c r="C17" s="1"/>
      <c r="D17" s="49" t="s">
        <v>19</v>
      </c>
      <c r="E17" s="49" t="s">
        <v>20</v>
      </c>
    </row>
    <row r="18" spans="3:5" x14ac:dyDescent="0.2">
      <c r="C18" t="s">
        <v>21</v>
      </c>
      <c r="D18" s="41">
        <f ca="1">(K13-C13)/C13</f>
        <v>0.1724271779987851</v>
      </c>
      <c r="E18" s="41">
        <f ca="1">(S13-C13)/C13</f>
        <v>-3.5767420858610184E-2</v>
      </c>
    </row>
    <row r="19" spans="3:5" x14ac:dyDescent="0.2">
      <c r="C19" t="s">
        <v>22</v>
      </c>
      <c r="D19" s="41">
        <f ca="1">(M13-E13)/E13</f>
        <v>0.12878787878787887</v>
      </c>
      <c r="E19" s="41">
        <f ca="1">(U13-E13)/E13</f>
        <v>-4.5454545454545428E-2</v>
      </c>
    </row>
    <row r="20" spans="3:5" x14ac:dyDescent="0.2">
      <c r="C20" t="s">
        <v>23</v>
      </c>
      <c r="D20" s="41">
        <f ca="1">(N13-F13)/F13</f>
        <v>-3.4989503149056279E-3</v>
      </c>
      <c r="E20" s="41">
        <f ca="1">(V13-F13)/F13</f>
        <v>-1.4916922374249829E-16</v>
      </c>
    </row>
    <row r="21" spans="3:5" x14ac:dyDescent="0.2">
      <c r="C21" t="s">
        <v>24</v>
      </c>
      <c r="D21" s="41">
        <f ca="1">(P13-H13)/H13</f>
        <v>-0.12711333314707496</v>
      </c>
      <c r="E21" s="41">
        <f ca="1">(X13-H13)/H13</f>
        <v>4.0670550814247954E-2</v>
      </c>
    </row>
    <row r="22" spans="3:5" x14ac:dyDescent="0.2">
      <c r="C22" t="s">
        <v>25</v>
      </c>
      <c r="D22" s="41">
        <f ca="1">(O13-G13)/G13</f>
        <v>4.6629964571739446</v>
      </c>
      <c r="E22" s="41">
        <f ca="1">(W13-G13)/G13</f>
        <v>-0.92536171071550621</v>
      </c>
    </row>
    <row r="23" spans="3:5" x14ac:dyDescent="0.2">
      <c r="C23" t="s">
        <v>26</v>
      </c>
      <c r="D23" s="41">
        <f ca="1">(Q13-I13)/I13</f>
        <v>-4.8786856187738911E-2</v>
      </c>
      <c r="E23" s="41">
        <f ca="1">(Y13-I13)/I13</f>
        <v>1.2362325693624884E-2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729E-4C33-4A98-9174-69ED4C08C4CA}">
  <dimension ref="B1:AA39"/>
  <sheetViews>
    <sheetView zoomScale="90" zoomScaleNormal="90" workbookViewId="0">
      <selection activeCell="U18" sqref="U18:U3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10.664062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4.3659062450845978</v>
      </c>
      <c r="R2" s="1">
        <f>(R14-J14)/J14</f>
        <v>-9.2723178158949801E-2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97</v>
      </c>
      <c r="D4" s="23">
        <v>1122021.9334757749</v>
      </c>
      <c r="E4" s="33">
        <v>183.73735515382853</v>
      </c>
      <c r="F4" s="5">
        <v>12</v>
      </c>
      <c r="G4" s="23">
        <v>96</v>
      </c>
      <c r="H4" s="33">
        <v>425.75936971036424</v>
      </c>
      <c r="I4" s="23">
        <v>44.97897523428793</v>
      </c>
      <c r="J4" s="5">
        <v>5517.0558625535232</v>
      </c>
      <c r="K4" s="31"/>
      <c r="L4" s="23">
        <v>1333254.2673592321</v>
      </c>
      <c r="M4" s="33">
        <v>123.53679923072032</v>
      </c>
      <c r="N4" s="5">
        <v>15</v>
      </c>
      <c r="O4" s="23">
        <v>96</v>
      </c>
      <c r="P4" s="33">
        <v>2334.5162383872794</v>
      </c>
      <c r="Q4" s="23">
        <v>35.412512411914726</v>
      </c>
      <c r="R4" s="5">
        <v>5119.7092251812319</v>
      </c>
      <c r="S4" s="35"/>
      <c r="T4" s="23">
        <v>1096980.2461080551</v>
      </c>
      <c r="U4" s="33">
        <v>93.293966076945765</v>
      </c>
      <c r="V4" s="5">
        <v>12</v>
      </c>
      <c r="W4" s="23">
        <v>96</v>
      </c>
      <c r="X4" s="33">
        <v>44.46470108758237</v>
      </c>
      <c r="Y4" s="23">
        <v>44.398341644702107</v>
      </c>
      <c r="Z4" s="5">
        <v>5606.5754407353752</v>
      </c>
      <c r="AA4" s="35"/>
    </row>
    <row r="5" spans="2:27" x14ac:dyDescent="0.2">
      <c r="B5" s="4">
        <v>2</v>
      </c>
      <c r="C5" s="4">
        <v>106</v>
      </c>
      <c r="D5" s="23">
        <v>1126682.9916717601</v>
      </c>
      <c r="E5" s="33">
        <v>271.11431015386745</v>
      </c>
      <c r="F5" s="5">
        <v>11</v>
      </c>
      <c r="G5" s="23">
        <v>94.666666666666671</v>
      </c>
      <c r="H5" s="33">
        <v>336.77922459537626</v>
      </c>
      <c r="I5" s="23">
        <v>48.507401519347461</v>
      </c>
      <c r="J5" s="5">
        <v>5529.4543143216943</v>
      </c>
      <c r="K5" s="31"/>
      <c r="L5" s="23">
        <v>1335988.646286234</v>
      </c>
      <c r="M5" s="33">
        <v>105.65219700005122</v>
      </c>
      <c r="N5" s="5">
        <v>14</v>
      </c>
      <c r="O5" s="23">
        <v>94.666666666666671</v>
      </c>
      <c r="P5" s="33">
        <v>2318.5306896529246</v>
      </c>
      <c r="Q5" s="23">
        <v>37.143671059427326</v>
      </c>
      <c r="R5" s="5">
        <v>5112.5659232298294</v>
      </c>
      <c r="S5" s="35"/>
      <c r="T5" s="23">
        <v>1134285.888036849</v>
      </c>
      <c r="U5" s="33">
        <v>159.47335976919231</v>
      </c>
      <c r="V5" s="5">
        <v>13</v>
      </c>
      <c r="W5" s="23">
        <v>96</v>
      </c>
      <c r="X5" s="33">
        <v>58.203983498298356</v>
      </c>
      <c r="Y5" s="23">
        <v>41.090604559974935</v>
      </c>
      <c r="Z5" s="5">
        <v>5725.2458210624191</v>
      </c>
      <c r="AA5" s="35"/>
    </row>
    <row r="6" spans="2:27" x14ac:dyDescent="0.2">
      <c r="B6" s="4">
        <v>3</v>
      </c>
      <c r="C6" s="4">
        <v>235</v>
      </c>
      <c r="D6" s="23">
        <v>1132146.432679648</v>
      </c>
      <c r="E6" s="33">
        <v>194.98045776916953</v>
      </c>
      <c r="F6" s="5">
        <v>13</v>
      </c>
      <c r="G6" s="23">
        <v>96</v>
      </c>
      <c r="H6" s="33">
        <v>428.84100424297549</v>
      </c>
      <c r="I6" s="23">
        <v>41.453548363962604</v>
      </c>
      <c r="J6" s="5">
        <v>5450.5331439472538</v>
      </c>
      <c r="K6" s="31"/>
      <c r="L6" s="23">
        <v>1306346.421855031</v>
      </c>
      <c r="M6" s="33">
        <v>218.23039646152975</v>
      </c>
      <c r="N6" s="5">
        <v>15</v>
      </c>
      <c r="O6" s="23">
        <v>96</v>
      </c>
      <c r="P6" s="33">
        <v>2248.6840226858149</v>
      </c>
      <c r="Q6" s="23">
        <v>35.670048815463176</v>
      </c>
      <c r="R6" s="5">
        <v>5041.3162098510438</v>
      </c>
      <c r="S6" s="35"/>
      <c r="T6" s="23">
        <v>1065084.854625701</v>
      </c>
      <c r="U6" s="33">
        <v>203.63374423074458</v>
      </c>
      <c r="V6" s="5">
        <v>12</v>
      </c>
      <c r="W6" s="23">
        <v>96</v>
      </c>
      <c r="X6" s="33">
        <v>19.569286219917185</v>
      </c>
      <c r="Y6" s="23">
        <v>44.581122297636604</v>
      </c>
      <c r="Z6" s="5">
        <v>5427.6795914140976</v>
      </c>
      <c r="AA6" s="35"/>
    </row>
    <row r="7" spans="2:27" x14ac:dyDescent="0.2">
      <c r="B7" s="4">
        <v>4</v>
      </c>
      <c r="C7" s="4">
        <v>242</v>
      </c>
      <c r="D7" s="23">
        <v>1116068.431941214</v>
      </c>
      <c r="E7" s="33">
        <v>189.84986530769115</v>
      </c>
      <c r="F7" s="5">
        <v>12</v>
      </c>
      <c r="G7" s="23">
        <v>95.333333333333329</v>
      </c>
      <c r="H7" s="33">
        <v>371.89828653282825</v>
      </c>
      <c r="I7" s="23">
        <v>44.595960762261143</v>
      </c>
      <c r="J7" s="5">
        <v>5398.2298200767509</v>
      </c>
      <c r="K7" s="31"/>
      <c r="L7" s="23">
        <v>1309446.964110218</v>
      </c>
      <c r="M7" s="33">
        <v>207.72750423074913</v>
      </c>
      <c r="N7" s="5">
        <v>15</v>
      </c>
      <c r="O7" s="23">
        <v>96</v>
      </c>
      <c r="P7" s="33">
        <v>2246.9990267015605</v>
      </c>
      <c r="Q7" s="23">
        <v>35.500406154309786</v>
      </c>
      <c r="R7" s="5">
        <v>5052.6793666615285</v>
      </c>
      <c r="S7" s="35"/>
      <c r="T7" s="23">
        <v>1078200.836567783</v>
      </c>
      <c r="U7" s="33">
        <v>125.52757238458767</v>
      </c>
      <c r="V7" s="5">
        <v>11</v>
      </c>
      <c r="W7" s="23">
        <v>96</v>
      </c>
      <c r="X7" s="33">
        <v>10.798013533154334</v>
      </c>
      <c r="Y7" s="23">
        <v>49.24179488785046</v>
      </c>
      <c r="Z7" s="5">
        <v>5642.4144573485246</v>
      </c>
      <c r="AA7" s="35"/>
    </row>
    <row r="8" spans="2:27" x14ac:dyDescent="0.2">
      <c r="B8" s="4">
        <v>5</v>
      </c>
      <c r="C8" s="4">
        <v>406</v>
      </c>
      <c r="D8" s="23">
        <v>1127029.214867082</v>
      </c>
      <c r="E8" s="33">
        <v>225.84214153842851</v>
      </c>
      <c r="F8" s="5">
        <v>11</v>
      </c>
      <c r="G8" s="23">
        <v>95.333333333333329</v>
      </c>
      <c r="H8" s="33">
        <v>395.7552910647305</v>
      </c>
      <c r="I8" s="23">
        <v>48.773796022884063</v>
      </c>
      <c r="J8" s="5">
        <v>5589.4329330435912</v>
      </c>
      <c r="K8" s="31"/>
      <c r="L8" s="23">
        <v>1307396.8343246749</v>
      </c>
      <c r="M8" s="33">
        <v>174.64943584618877</v>
      </c>
      <c r="N8" s="5">
        <v>15</v>
      </c>
      <c r="O8" s="23">
        <v>96</v>
      </c>
      <c r="P8" s="33">
        <v>2243.0320437856294</v>
      </c>
      <c r="Q8" s="23">
        <v>35.608443286666187</v>
      </c>
      <c r="R8" s="5">
        <v>5042.8020593196543</v>
      </c>
      <c r="S8" s="35"/>
      <c r="T8" s="23">
        <v>1081947.361709594</v>
      </c>
      <c r="U8" s="33">
        <v>122.11527507698445</v>
      </c>
      <c r="V8" s="5">
        <v>10</v>
      </c>
      <c r="W8" s="23">
        <v>96</v>
      </c>
      <c r="X8" s="33">
        <v>10.637214990797393</v>
      </c>
      <c r="Y8" s="23">
        <v>53.681006895577823</v>
      </c>
      <c r="Z8" s="5">
        <v>5795.96857679193</v>
      </c>
      <c r="AA8" s="35"/>
    </row>
    <row r="9" spans="2:27" x14ac:dyDescent="0.2">
      <c r="B9" s="4">
        <v>6</v>
      </c>
      <c r="C9" s="4">
        <v>652</v>
      </c>
      <c r="D9" s="23">
        <v>1133790.4513554031</v>
      </c>
      <c r="E9" s="33">
        <v>189.7263022308023</v>
      </c>
      <c r="F9" s="5">
        <v>12</v>
      </c>
      <c r="G9" s="23">
        <v>95.333333333333329</v>
      </c>
      <c r="H9" s="33">
        <v>383.45350194676695</v>
      </c>
      <c r="I9" s="23">
        <v>44.447138327421811</v>
      </c>
      <c r="J9" s="5">
        <v>5490.5588842943616</v>
      </c>
      <c r="K9" s="31"/>
      <c r="L9" s="23">
        <v>1358709.8007942941</v>
      </c>
      <c r="M9" s="33">
        <v>136.90509292306021</v>
      </c>
      <c r="N9" s="5">
        <v>13</v>
      </c>
      <c r="O9" s="23">
        <v>95.333333333333329</v>
      </c>
      <c r="P9" s="33">
        <v>2525.3322782455148</v>
      </c>
      <c r="Q9" s="23">
        <v>40.368433445786344</v>
      </c>
      <c r="R9" s="5">
        <v>5311.5828031217025</v>
      </c>
      <c r="S9" s="35"/>
      <c r="T9" s="23">
        <v>1086369.170041465</v>
      </c>
      <c r="U9" s="33">
        <v>136.81935930767884</v>
      </c>
      <c r="V9" s="5">
        <v>10</v>
      </c>
      <c r="W9" s="23">
        <v>96</v>
      </c>
      <c r="X9" s="33">
        <v>12.286803963118063</v>
      </c>
      <c r="Y9" s="23">
        <v>53.324171911597794</v>
      </c>
      <c r="Z9" s="5">
        <v>5796.5954633407373</v>
      </c>
      <c r="AA9" s="35"/>
    </row>
    <row r="10" spans="2:27" x14ac:dyDescent="0.2">
      <c r="B10" s="4">
        <v>7</v>
      </c>
      <c r="C10" s="4">
        <v>716</v>
      </c>
      <c r="D10" s="23">
        <v>1140031.934616267</v>
      </c>
      <c r="E10" s="33">
        <v>217.64429946152421</v>
      </c>
      <c r="F10" s="5">
        <v>13</v>
      </c>
      <c r="G10" s="23">
        <v>96</v>
      </c>
      <c r="H10" s="33">
        <v>428.80407814808723</v>
      </c>
      <c r="I10" s="23">
        <v>40.948950980188506</v>
      </c>
      <c r="J10" s="5">
        <v>5479.1543091261265</v>
      </c>
      <c r="K10" s="31"/>
      <c r="L10" s="23">
        <v>1307602.5502639499</v>
      </c>
      <c r="M10" s="33">
        <v>240.41268069234394</v>
      </c>
      <c r="N10" s="5">
        <v>15</v>
      </c>
      <c r="O10" s="23">
        <v>96</v>
      </c>
      <c r="P10" s="33">
        <v>2244.4981742719629</v>
      </c>
      <c r="Q10" s="23">
        <v>35.60098152511992</v>
      </c>
      <c r="R10" s="5">
        <v>5044.26818980599</v>
      </c>
      <c r="S10" s="35"/>
      <c r="T10" s="23">
        <v>1058638.859695293</v>
      </c>
      <c r="U10" s="33">
        <v>90.771394384612989</v>
      </c>
      <c r="V10" s="5">
        <v>11</v>
      </c>
      <c r="W10" s="23">
        <v>96</v>
      </c>
      <c r="X10" s="33">
        <v>15.797823325913889</v>
      </c>
      <c r="Y10" s="23">
        <v>48.671351033298379</v>
      </c>
      <c r="Z10" s="5">
        <v>5515.146391220188</v>
      </c>
      <c r="AA10" s="35"/>
    </row>
    <row r="11" spans="2:27" x14ac:dyDescent="0.2">
      <c r="B11" s="4">
        <v>8</v>
      </c>
      <c r="C11" s="4">
        <v>719</v>
      </c>
      <c r="D11" s="23">
        <v>1113987.924892782</v>
      </c>
      <c r="E11" s="33">
        <v>406.53136184609207</v>
      </c>
      <c r="F11" s="5">
        <v>13</v>
      </c>
      <c r="G11" s="23">
        <v>96</v>
      </c>
      <c r="H11" s="33">
        <v>383.75046607843046</v>
      </c>
      <c r="I11" s="23">
        <v>40.972053977201611</v>
      </c>
      <c r="J11" s="5">
        <v>5328.7818705660438</v>
      </c>
      <c r="K11" s="31"/>
      <c r="L11" s="23">
        <v>1306886.2577323171</v>
      </c>
      <c r="M11" s="33">
        <v>386.78403823072307</v>
      </c>
      <c r="N11" s="5">
        <v>15</v>
      </c>
      <c r="O11" s="23">
        <v>96</v>
      </c>
      <c r="P11" s="33">
        <v>2233.3533076016993</v>
      </c>
      <c r="Q11" s="23">
        <v>35.608038389331838</v>
      </c>
      <c r="R11" s="5">
        <v>5038.8949962678125</v>
      </c>
      <c r="S11" s="35"/>
      <c r="T11" s="23">
        <v>1086369.170041465</v>
      </c>
      <c r="U11" s="33">
        <v>123.3913350768853</v>
      </c>
      <c r="V11" s="5">
        <v>10</v>
      </c>
      <c r="W11" s="23">
        <v>96</v>
      </c>
      <c r="X11" s="33">
        <v>12.286803963118063</v>
      </c>
      <c r="Y11" s="23">
        <v>53.324171911597794</v>
      </c>
      <c r="Z11" s="5">
        <v>5796.5954633407373</v>
      </c>
      <c r="AA11" s="35"/>
    </row>
    <row r="12" spans="2:27" x14ac:dyDescent="0.2">
      <c r="B12" s="4">
        <v>9</v>
      </c>
      <c r="C12" s="4">
        <v>851</v>
      </c>
      <c r="D12" s="23">
        <v>1109491.730596958</v>
      </c>
      <c r="E12" s="33">
        <v>175.83051161536085</v>
      </c>
      <c r="F12" s="5">
        <v>11</v>
      </c>
      <c r="G12" s="23">
        <v>96</v>
      </c>
      <c r="H12" s="33">
        <v>419.06882453373214</v>
      </c>
      <c r="I12" s="23">
        <v>49.007721434937274</v>
      </c>
      <c r="J12" s="5">
        <v>5556.5358758104085</v>
      </c>
      <c r="K12" s="31"/>
      <c r="L12" s="23">
        <v>1315077.3943397561</v>
      </c>
      <c r="M12" s="33">
        <v>151.23395692306354</v>
      </c>
      <c r="N12" s="5">
        <v>14</v>
      </c>
      <c r="O12" s="23">
        <v>95.333333333333329</v>
      </c>
      <c r="P12" s="33">
        <v>2299.6174295907153</v>
      </c>
      <c r="Q12" s="23">
        <v>38.228032170348015</v>
      </c>
      <c r="R12" s="5">
        <v>5102.3159067718316</v>
      </c>
      <c r="S12" s="35"/>
      <c r="T12" s="23">
        <v>1074405.8663798261</v>
      </c>
      <c r="U12" s="33">
        <v>106.46158115383092</v>
      </c>
      <c r="V12" s="5">
        <v>12</v>
      </c>
      <c r="W12" s="23">
        <v>96</v>
      </c>
      <c r="X12" s="33">
        <v>19.75391343779334</v>
      </c>
      <c r="Y12" s="23">
        <v>44.891472549010501</v>
      </c>
      <c r="Z12" s="5">
        <v>5480.7832000295011</v>
      </c>
      <c r="AA12" s="35"/>
    </row>
    <row r="13" spans="2:27" x14ac:dyDescent="0.2">
      <c r="B13" s="4">
        <v>10</v>
      </c>
      <c r="C13" s="4">
        <v>949</v>
      </c>
      <c r="D13" s="23">
        <v>1126167.2428744051</v>
      </c>
      <c r="E13" s="33">
        <v>141.45905299998745</v>
      </c>
      <c r="F13" s="5">
        <v>12</v>
      </c>
      <c r="G13" s="23">
        <v>96</v>
      </c>
      <c r="H13" s="33">
        <v>400.44745439680673</v>
      </c>
      <c r="I13" s="23">
        <v>44.619990142235828</v>
      </c>
      <c r="J13" s="5">
        <v>5525.3048096473231</v>
      </c>
      <c r="K13" s="31"/>
      <c r="L13" s="23">
        <v>1319833.5062349441</v>
      </c>
      <c r="M13" s="33">
        <v>219.12855176926729</v>
      </c>
      <c r="N13" s="5">
        <v>15</v>
      </c>
      <c r="O13" s="23">
        <v>96</v>
      </c>
      <c r="P13" s="33">
        <v>2300.8665012585275</v>
      </c>
      <c r="Q13" s="23">
        <v>35.511472363512908</v>
      </c>
      <c r="R13" s="5">
        <v>5080.6205639664522</v>
      </c>
      <c r="S13" s="35"/>
      <c r="T13" s="23">
        <v>1078541.971039054</v>
      </c>
      <c r="U13" s="33">
        <v>150.01115738459001</v>
      </c>
      <c r="V13" s="5">
        <v>11</v>
      </c>
      <c r="W13" s="23">
        <v>96</v>
      </c>
      <c r="X13" s="33">
        <v>14.224275736877283</v>
      </c>
      <c r="Y13" s="23">
        <v>49.396956333334487</v>
      </c>
      <c r="Z13" s="5">
        <v>5653.673716607781</v>
      </c>
      <c r="AA13" s="35"/>
    </row>
    <row r="14" spans="2:27" x14ac:dyDescent="0.2">
      <c r="B14" s="50" t="s">
        <v>3</v>
      </c>
      <c r="C14" s="51"/>
      <c r="D14" s="9">
        <f>MIN(D4:D13)</f>
        <v>1109491.730596958</v>
      </c>
      <c r="E14" s="22">
        <f>INDEX(E4:E13, MATCH($D$14, D4:D13, 0))</f>
        <v>175.83051161536085</v>
      </c>
      <c r="F14" s="9">
        <f>INDEX(F4:F13, MATCH($D$14, D4:D13, 0))</f>
        <v>11</v>
      </c>
      <c r="G14" s="9">
        <f>INDEX(G4:G13, MATCH($D$14, D4:D13, 0))</f>
        <v>96</v>
      </c>
      <c r="H14" s="22">
        <f>INDEX(H4:H13, MATCH($D$14, D4:D13, 0))</f>
        <v>419.06882453373214</v>
      </c>
      <c r="I14" s="22">
        <f>INDEX(I4:I13, MATCH($D$14, D4:D13, 0))</f>
        <v>49.007721434937274</v>
      </c>
      <c r="J14" s="22">
        <f>INDEX(J4:J13, MATCH($D$14, D4:D13, 0))</f>
        <v>5556.5358758104085</v>
      </c>
      <c r="K14" s="32" t="e">
        <f>(D14-$D$15)/$D$15</f>
        <v>#DIV/0!</v>
      </c>
      <c r="L14" s="16">
        <f>MIN(L4:L13)</f>
        <v>1306346.421855031</v>
      </c>
      <c r="M14" s="21">
        <f>INDEX(M4:M13, MATCH($L$14, L4:L13, 0))</f>
        <v>218.23039646152975</v>
      </c>
      <c r="N14" s="16">
        <f>INDEX(N4:N13, MATCH($L$14, L4:L13, 0))</f>
        <v>15</v>
      </c>
      <c r="O14" s="16">
        <f>INDEX(O4:O13, MATCH($L$14, L4:L13, 0))</f>
        <v>96</v>
      </c>
      <c r="P14" s="21">
        <f>INDEX(P4:P13, MATCH($L$14, L4:L13, 0))</f>
        <v>2248.6840226858149</v>
      </c>
      <c r="Q14" s="21">
        <f>INDEX(Q4:Q13, MATCH($L$14, L4:L13, 0))</f>
        <v>35.670048815463176</v>
      </c>
      <c r="R14" s="21">
        <f>INDEX(R4:R13, MATCH($L$14, L4:L13, 0))</f>
        <v>5041.3162098510438</v>
      </c>
      <c r="S14" s="36" t="e">
        <f>(L14-$D$15)/$D$15</f>
        <v>#DIV/0!</v>
      </c>
      <c r="T14" s="38">
        <f>MIN(T4:T13)</f>
        <v>1058638.859695293</v>
      </c>
      <c r="U14" s="39">
        <f>INDEX(U4:U13, MATCH($T$14, T4:T13, 0))</f>
        <v>90.771394384612989</v>
      </c>
      <c r="V14" s="38">
        <f>INDEX(V4:V13, MATCH($T$14, T4:T13, 0))</f>
        <v>11</v>
      </c>
      <c r="W14" s="38">
        <f>INDEX(W4:W13, MATCH($T$14, T4:T13, 0))</f>
        <v>96</v>
      </c>
      <c r="X14" s="39">
        <f>INDEX(X4:X13, MATCH($T$14, T4:T13, 0))</f>
        <v>15.797823325913889</v>
      </c>
      <c r="Y14" s="39">
        <f>INDEX(Y4:Y13, MATCH($T$14, T4:T13, 0))</f>
        <v>48.671351033298379</v>
      </c>
      <c r="Z14" s="39">
        <f>INDEX(Z4:Z13, MATCH($T$14, T4:T13, 0))</f>
        <v>5515.146391220188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0.17742781296094576</v>
      </c>
      <c r="M15" s="41">
        <f t="shared" ref="M15:R15" si="0">(M14-E14)/E14</f>
        <v>0.24114065560430739</v>
      </c>
      <c r="N15" s="41">
        <f t="shared" si="0"/>
        <v>0.36363636363636365</v>
      </c>
      <c r="O15" s="41">
        <f t="shared" si="0"/>
        <v>0</v>
      </c>
      <c r="P15" s="41">
        <f t="shared" si="0"/>
        <v>4.3659062450845978</v>
      </c>
      <c r="Q15" s="41">
        <f t="shared" si="0"/>
        <v>-0.27215451420611775</v>
      </c>
      <c r="R15" s="41">
        <f t="shared" si="0"/>
        <v>-9.2723178158949801E-2</v>
      </c>
      <c r="T15" s="41">
        <f>(T14-D14)/D14</f>
        <v>-4.583438479014508E-2</v>
      </c>
      <c r="U15" s="41">
        <f t="shared" ref="U15:Z15" si="1">(U14-E14)/E14</f>
        <v>-0.4837562971824792</v>
      </c>
      <c r="V15" s="41">
        <f t="shared" si="1"/>
        <v>0</v>
      </c>
      <c r="W15" s="41">
        <f t="shared" si="1"/>
        <v>0</v>
      </c>
      <c r="X15" s="41">
        <f t="shared" si="1"/>
        <v>-0.96230255652280738</v>
      </c>
      <c r="Y15" s="41">
        <f t="shared" si="1"/>
        <v>-6.8636205028520039E-3</v>
      </c>
      <c r="Z15" s="41">
        <f t="shared" si="1"/>
        <v>-7.4487928297923434E-3</v>
      </c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  <row r="39" s="1" customFormat="1" x14ac:dyDescent="0.2"/>
  </sheetData>
  <mergeCells count="1">
    <mergeCell ref="B14:C14"/>
  </mergeCells>
  <conditionalFormatting sqref="C1 C16:C1048576 C3">
    <cfRule type="duplicateValues" dxfId="149" priority="11"/>
    <cfRule type="duplicateValues" dxfId="148" priority="12"/>
  </conditionalFormatting>
  <conditionalFormatting sqref="C2">
    <cfRule type="duplicateValues" dxfId="147" priority="1"/>
    <cfRule type="duplicateValues" dxfId="146" priority="2"/>
  </conditionalFormatting>
  <conditionalFormatting sqref="C4:C13">
    <cfRule type="duplicateValues" dxfId="145" priority="3"/>
    <cfRule type="duplicateValues" dxfId="144" priority="4"/>
  </conditionalFormatting>
  <conditionalFormatting sqref="C14">
    <cfRule type="duplicateValues" dxfId="143" priority="9"/>
    <cfRule type="duplicateValues" dxfId="142" priority="10"/>
  </conditionalFormatting>
  <conditionalFormatting sqref="C15">
    <cfRule type="duplicateValues" dxfId="141" priority="7"/>
    <cfRule type="duplicateValues" dxfId="140" priority="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C949-B9EE-4AA8-8502-293CCF2F0118}">
  <dimension ref="B1:AA39"/>
  <sheetViews>
    <sheetView zoomScale="90" zoomScaleNormal="90" workbookViewId="0">
      <selection activeCell="U19" sqref="U19:U34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11.041977640950803</v>
      </c>
      <c r="R2" s="1">
        <f>(R14-J14)/J14</f>
        <v>-2.8809283903283932E-2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34</v>
      </c>
      <c r="D4" s="23">
        <v>968127.96556841256</v>
      </c>
      <c r="E4" s="33">
        <v>110.66876407685831</v>
      </c>
      <c r="F4" s="5">
        <v>11</v>
      </c>
      <c r="G4" s="23">
        <v>96</v>
      </c>
      <c r="H4" s="33">
        <v>148.27568864938823</v>
      </c>
      <c r="I4" s="23">
        <v>41.044499047729481</v>
      </c>
      <c r="J4" s="5">
        <v>4730.6926525659665</v>
      </c>
      <c r="K4" s="31"/>
      <c r="L4" s="23">
        <v>1163413.159559889</v>
      </c>
      <c r="M4" s="33">
        <v>221.92292046151124</v>
      </c>
      <c r="N4" s="5">
        <v>11</v>
      </c>
      <c r="O4" s="23">
        <v>95.333333333333329</v>
      </c>
      <c r="P4" s="33">
        <v>1864.2152751438928</v>
      </c>
      <c r="Q4" s="23">
        <v>40.54258562152426</v>
      </c>
      <c r="R4" s="5">
        <v>4676.2325176455806</v>
      </c>
      <c r="S4" s="35"/>
      <c r="T4" s="23">
        <v>963525.29636138515</v>
      </c>
      <c r="U4" s="33">
        <v>90.639050846220925</v>
      </c>
      <c r="V4" s="5">
        <v>10</v>
      </c>
      <c r="W4" s="23">
        <v>96</v>
      </c>
      <c r="X4" s="33">
        <v>0</v>
      </c>
      <c r="Y4" s="23">
        <v>44.568625133797568</v>
      </c>
      <c r="Z4" s="5">
        <v>4927.5325088772124</v>
      </c>
      <c r="AA4" s="35"/>
    </row>
    <row r="5" spans="2:27" x14ac:dyDescent="0.2">
      <c r="B5" s="4">
        <v>2</v>
      </c>
      <c r="C5" s="4">
        <v>148</v>
      </c>
      <c r="D5" s="23">
        <v>986432.44844475493</v>
      </c>
      <c r="E5" s="33">
        <v>99.406090000053311</v>
      </c>
      <c r="F5" s="5">
        <v>10</v>
      </c>
      <c r="G5" s="23">
        <v>96</v>
      </c>
      <c r="H5" s="33">
        <v>200.44797504472541</v>
      </c>
      <c r="I5" s="23">
        <v>44.573430423460422</v>
      </c>
      <c r="J5" s="5">
        <v>4927.9575088772144</v>
      </c>
      <c r="K5" s="31"/>
      <c r="L5" s="23">
        <v>1145921.679856604</v>
      </c>
      <c r="M5" s="33">
        <v>268.32081184615021</v>
      </c>
      <c r="N5" s="5">
        <v>12</v>
      </c>
      <c r="O5" s="23">
        <v>96</v>
      </c>
      <c r="P5" s="33">
        <v>1785.5325274125157</v>
      </c>
      <c r="Q5" s="23">
        <v>37.837756812438215</v>
      </c>
      <c r="R5" s="5">
        <v>4594.4047848790142</v>
      </c>
      <c r="S5" s="35"/>
      <c r="T5" s="23">
        <v>951017.77713515563</v>
      </c>
      <c r="U5" s="33">
        <v>215.77606853849898</v>
      </c>
      <c r="V5" s="5">
        <v>11</v>
      </c>
      <c r="W5" s="23">
        <v>96</v>
      </c>
      <c r="X5" s="33">
        <v>0.74175052315474166</v>
      </c>
      <c r="Y5" s="23">
        <v>41.040130602581428</v>
      </c>
      <c r="Z5" s="5">
        <v>4730.2676525659663</v>
      </c>
      <c r="AA5" s="35"/>
    </row>
    <row r="6" spans="2:27" x14ac:dyDescent="0.2">
      <c r="B6" s="4">
        <v>3</v>
      </c>
      <c r="C6" s="4">
        <v>199</v>
      </c>
      <c r="D6" s="23">
        <v>968127.96556841256</v>
      </c>
      <c r="E6" s="33">
        <v>94.729488923017385</v>
      </c>
      <c r="F6" s="5">
        <v>11</v>
      </c>
      <c r="G6" s="23">
        <v>96</v>
      </c>
      <c r="H6" s="33">
        <v>148.27568864938823</v>
      </c>
      <c r="I6" s="23">
        <v>41.044499047729481</v>
      </c>
      <c r="J6" s="5">
        <v>4730.6926525659665</v>
      </c>
      <c r="K6" s="31"/>
      <c r="L6" s="23">
        <v>1145921.679856604</v>
      </c>
      <c r="M6" s="33">
        <v>216.55634799999038</v>
      </c>
      <c r="N6" s="5">
        <v>12</v>
      </c>
      <c r="O6" s="23">
        <v>96</v>
      </c>
      <c r="P6" s="33">
        <v>1785.5325274125157</v>
      </c>
      <c r="Q6" s="23">
        <v>37.837756812438215</v>
      </c>
      <c r="R6" s="5">
        <v>4594.4047848790142</v>
      </c>
      <c r="S6" s="35"/>
      <c r="T6" s="23">
        <v>951017.77713515563</v>
      </c>
      <c r="U6" s="33">
        <v>119.34591507691393</v>
      </c>
      <c r="V6" s="5">
        <v>11</v>
      </c>
      <c r="W6" s="23">
        <v>96</v>
      </c>
      <c r="X6" s="33">
        <v>0.74175052315474166</v>
      </c>
      <c r="Y6" s="23">
        <v>41.040130602581428</v>
      </c>
      <c r="Z6" s="5">
        <v>4730.2676525659663</v>
      </c>
      <c r="AA6" s="35"/>
    </row>
    <row r="7" spans="2:27" x14ac:dyDescent="0.2">
      <c r="B7" s="4">
        <v>4</v>
      </c>
      <c r="C7" s="4">
        <v>229</v>
      </c>
      <c r="D7" s="23">
        <v>968127.96556841256</v>
      </c>
      <c r="E7" s="33">
        <v>165.76878069237307</v>
      </c>
      <c r="F7" s="5">
        <v>11</v>
      </c>
      <c r="G7" s="23">
        <v>96</v>
      </c>
      <c r="H7" s="33">
        <v>148.27568864938823</v>
      </c>
      <c r="I7" s="23">
        <v>41.044499047729481</v>
      </c>
      <c r="J7" s="5">
        <v>4730.6926525659665</v>
      </c>
      <c r="K7" s="31"/>
      <c r="L7" s="23">
        <v>1192108.6164154911</v>
      </c>
      <c r="M7" s="33">
        <v>130.85442046160239</v>
      </c>
      <c r="N7" s="5">
        <v>10</v>
      </c>
      <c r="O7" s="23">
        <v>95.333333333333329</v>
      </c>
      <c r="P7" s="33">
        <v>2048.4493190693465</v>
      </c>
      <c r="Q7" s="23">
        <v>43.970883324956453</v>
      </c>
      <c r="R7" s="5">
        <v>4865.1134147178873</v>
      </c>
      <c r="S7" s="35"/>
      <c r="T7" s="23">
        <v>951017.77713515563</v>
      </c>
      <c r="U7" s="33">
        <v>106.05589153845075</v>
      </c>
      <c r="V7" s="5">
        <v>11</v>
      </c>
      <c r="W7" s="23">
        <v>96</v>
      </c>
      <c r="X7" s="33">
        <v>0.74175052315474166</v>
      </c>
      <c r="Y7" s="23">
        <v>41.040130602581428</v>
      </c>
      <c r="Z7" s="5">
        <v>4730.2676525659663</v>
      </c>
      <c r="AA7" s="35"/>
    </row>
    <row r="8" spans="2:27" x14ac:dyDescent="0.2">
      <c r="B8" s="4">
        <v>5</v>
      </c>
      <c r="C8" s="4">
        <v>472</v>
      </c>
      <c r="D8" s="23">
        <v>1029035.6278008739</v>
      </c>
      <c r="E8" s="33">
        <v>197.36991199996106</v>
      </c>
      <c r="F8" s="5">
        <v>12</v>
      </c>
      <c r="G8" s="23">
        <v>96</v>
      </c>
      <c r="H8" s="33">
        <v>231.88850890096572</v>
      </c>
      <c r="I8" s="23">
        <v>37.458197806659051</v>
      </c>
      <c r="J8" s="5">
        <v>4944.0919529934436</v>
      </c>
      <c r="K8" s="31"/>
      <c r="L8" s="23">
        <v>1234239.516260819</v>
      </c>
      <c r="M8" s="33">
        <v>95.338946692376922</v>
      </c>
      <c r="N8" s="5">
        <v>12</v>
      </c>
      <c r="O8" s="23">
        <v>96</v>
      </c>
      <c r="P8" s="33">
        <v>2129.0478269193886</v>
      </c>
      <c r="Q8" s="23">
        <v>37.475746099561121</v>
      </c>
      <c r="R8" s="5">
        <v>4944.3323107925935</v>
      </c>
      <c r="S8" s="35"/>
      <c r="T8" s="23">
        <v>1007408.769052198</v>
      </c>
      <c r="U8" s="33">
        <v>99.289469461476145</v>
      </c>
      <c r="V8" s="5">
        <v>11</v>
      </c>
      <c r="W8" s="23">
        <v>96</v>
      </c>
      <c r="X8" s="33">
        <v>0</v>
      </c>
      <c r="Y8" s="23">
        <v>40.859120071207279</v>
      </c>
      <c r="Z8" s="5">
        <v>5104.1570834798913</v>
      </c>
      <c r="AA8" s="35"/>
    </row>
    <row r="9" spans="2:27" x14ac:dyDescent="0.2">
      <c r="B9" s="4">
        <v>6</v>
      </c>
      <c r="C9" s="4">
        <v>634</v>
      </c>
      <c r="D9" s="23">
        <v>968127.96556841256</v>
      </c>
      <c r="E9" s="33">
        <v>269.12330561541376</v>
      </c>
      <c r="F9" s="5">
        <v>11</v>
      </c>
      <c r="G9" s="23">
        <v>96</v>
      </c>
      <c r="H9" s="33">
        <v>148.27568864938823</v>
      </c>
      <c r="I9" s="23">
        <v>41.044499047729481</v>
      </c>
      <c r="J9" s="5">
        <v>4730.6926525659665</v>
      </c>
      <c r="K9" s="31"/>
      <c r="L9" s="23">
        <v>1145921.679856604</v>
      </c>
      <c r="M9" s="33">
        <v>208.32008723080014</v>
      </c>
      <c r="N9" s="5">
        <v>12</v>
      </c>
      <c r="O9" s="23">
        <v>96</v>
      </c>
      <c r="P9" s="33">
        <v>1785.5325274125157</v>
      </c>
      <c r="Q9" s="23">
        <v>37.837756812438215</v>
      </c>
      <c r="R9" s="5">
        <v>4594.4047848790142</v>
      </c>
      <c r="S9" s="35"/>
      <c r="T9" s="23">
        <v>954536.23564942006</v>
      </c>
      <c r="U9" s="33">
        <v>98.305495538426385</v>
      </c>
      <c r="V9" s="5">
        <v>11</v>
      </c>
      <c r="W9" s="23">
        <v>96</v>
      </c>
      <c r="X9" s="33">
        <v>0.74175052315474166</v>
      </c>
      <c r="Y9" s="23">
        <v>41.090355711073329</v>
      </c>
      <c r="Z9" s="5">
        <v>4740.3882847012428</v>
      </c>
      <c r="AA9" s="35"/>
    </row>
    <row r="10" spans="2:27" x14ac:dyDescent="0.2">
      <c r="B10" s="4">
        <v>7</v>
      </c>
      <c r="C10" s="4">
        <v>748</v>
      </c>
      <c r="D10" s="23">
        <v>986432.44844475493</v>
      </c>
      <c r="E10" s="33">
        <v>122.43891207689344</v>
      </c>
      <c r="F10" s="5">
        <v>10</v>
      </c>
      <c r="G10" s="23">
        <v>96</v>
      </c>
      <c r="H10" s="33">
        <v>200.44797504472541</v>
      </c>
      <c r="I10" s="23">
        <v>44.573430423460422</v>
      </c>
      <c r="J10" s="5">
        <v>4927.9575088772144</v>
      </c>
      <c r="K10" s="31"/>
      <c r="L10" s="23">
        <v>1298369.4761157371</v>
      </c>
      <c r="M10" s="33">
        <v>116.38686261542783</v>
      </c>
      <c r="N10" s="5">
        <v>12</v>
      </c>
      <c r="O10" s="23">
        <v>95.333333333333329</v>
      </c>
      <c r="P10" s="33">
        <v>2314.6666385011458</v>
      </c>
      <c r="Q10" s="23">
        <v>37.591684172227254</v>
      </c>
      <c r="R10" s="5">
        <v>5128.2293183179518</v>
      </c>
      <c r="S10" s="35"/>
      <c r="T10" s="23">
        <v>951017.77713515563</v>
      </c>
      <c r="U10" s="33">
        <v>95.934064615374538</v>
      </c>
      <c r="V10" s="5">
        <v>11</v>
      </c>
      <c r="W10" s="23">
        <v>96</v>
      </c>
      <c r="X10" s="33">
        <v>0.74175052315474166</v>
      </c>
      <c r="Y10" s="23">
        <v>41.040130602581428</v>
      </c>
      <c r="Z10" s="5">
        <v>4730.2676525659663</v>
      </c>
      <c r="AA10" s="35"/>
    </row>
    <row r="11" spans="2:27" x14ac:dyDescent="0.2">
      <c r="B11" s="4">
        <v>8</v>
      </c>
      <c r="C11" s="4">
        <v>767</v>
      </c>
      <c r="D11" s="23">
        <v>1031992.629923077</v>
      </c>
      <c r="E11" s="33">
        <v>117.32684092309614</v>
      </c>
      <c r="F11" s="5">
        <v>12</v>
      </c>
      <c r="G11" s="23">
        <v>96</v>
      </c>
      <c r="H11" s="33">
        <v>226.19872059087209</v>
      </c>
      <c r="I11" s="23">
        <v>37.458197806659051</v>
      </c>
      <c r="J11" s="5">
        <v>4975.6345834017447</v>
      </c>
      <c r="K11" s="31"/>
      <c r="L11" s="23">
        <v>1146034.582079394</v>
      </c>
      <c r="M11" s="33">
        <v>151.42559092303807</v>
      </c>
      <c r="N11" s="5">
        <v>12</v>
      </c>
      <c r="O11" s="23">
        <v>96</v>
      </c>
      <c r="P11" s="33">
        <v>1784.3716259450102</v>
      </c>
      <c r="Q11" s="23">
        <v>37.820208519536152</v>
      </c>
      <c r="R11" s="5">
        <v>4593.8688834115101</v>
      </c>
      <c r="S11" s="35"/>
      <c r="T11" s="23">
        <v>963525.29636138515</v>
      </c>
      <c r="U11" s="33">
        <v>124.80772992309468</v>
      </c>
      <c r="V11" s="5">
        <v>10</v>
      </c>
      <c r="W11" s="23">
        <v>96</v>
      </c>
      <c r="X11" s="33">
        <v>0</v>
      </c>
      <c r="Y11" s="23">
        <v>44.568625133797568</v>
      </c>
      <c r="Z11" s="5">
        <v>4927.5325088772124</v>
      </c>
      <c r="AA11" s="35"/>
    </row>
    <row r="12" spans="2:27" x14ac:dyDescent="0.2">
      <c r="B12" s="4">
        <v>9</v>
      </c>
      <c r="C12" s="4">
        <v>930</v>
      </c>
      <c r="D12" s="23">
        <v>1040196.868565167</v>
      </c>
      <c r="E12" s="33">
        <v>144.2765249230433</v>
      </c>
      <c r="F12" s="5">
        <v>12</v>
      </c>
      <c r="G12" s="23">
        <v>96</v>
      </c>
      <c r="H12" s="33">
        <v>220.20657769523217</v>
      </c>
      <c r="I12" s="23">
        <v>37.686447129986611</v>
      </c>
      <c r="J12" s="5">
        <v>5016.5383587650103</v>
      </c>
      <c r="K12" s="31"/>
      <c r="L12" s="23">
        <v>1145921.679856604</v>
      </c>
      <c r="M12" s="33">
        <v>159.65055461543108</v>
      </c>
      <c r="N12" s="5">
        <v>12</v>
      </c>
      <c r="O12" s="23">
        <v>96</v>
      </c>
      <c r="P12" s="33">
        <v>1785.5325274125157</v>
      </c>
      <c r="Q12" s="23">
        <v>37.837756812438215</v>
      </c>
      <c r="R12" s="5">
        <v>4594.4047848790142</v>
      </c>
      <c r="S12" s="35"/>
      <c r="T12" s="23">
        <v>951017.77713515563</v>
      </c>
      <c r="U12" s="33">
        <v>102.97811453848577</v>
      </c>
      <c r="V12" s="5">
        <v>11</v>
      </c>
      <c r="W12" s="23">
        <v>96</v>
      </c>
      <c r="X12" s="33">
        <v>0.74175052315474166</v>
      </c>
      <c r="Y12" s="23">
        <v>41.040130602581428</v>
      </c>
      <c r="Z12" s="5">
        <v>4730.2676525659663</v>
      </c>
      <c r="AA12" s="35"/>
    </row>
    <row r="13" spans="2:27" x14ac:dyDescent="0.2">
      <c r="B13" s="4">
        <v>10</v>
      </c>
      <c r="C13" s="4">
        <v>996</v>
      </c>
      <c r="D13" s="23">
        <v>1065543.2000822199</v>
      </c>
      <c r="E13" s="33">
        <v>112.03921823081777</v>
      </c>
      <c r="F13" s="5">
        <v>11</v>
      </c>
      <c r="G13" s="23">
        <v>96</v>
      </c>
      <c r="H13" s="33">
        <v>290.95749174819258</v>
      </c>
      <c r="I13" s="23">
        <v>41.369414160292223</v>
      </c>
      <c r="J13" s="5">
        <v>5268.3047633131764</v>
      </c>
      <c r="K13" s="31"/>
      <c r="L13" s="23">
        <v>1160717.467709545</v>
      </c>
      <c r="M13" s="33">
        <v>88.762885846125997</v>
      </c>
      <c r="N13" s="5">
        <v>11</v>
      </c>
      <c r="O13" s="23">
        <v>96</v>
      </c>
      <c r="P13" s="33">
        <v>1915.5661875606868</v>
      </c>
      <c r="Q13" s="23">
        <v>41.066782594271793</v>
      </c>
      <c r="R13" s="5">
        <v>4730.8506714338901</v>
      </c>
      <c r="S13" s="35"/>
      <c r="T13" s="23">
        <v>951017.77713515563</v>
      </c>
      <c r="U13" s="33">
        <v>94.104268538514845</v>
      </c>
      <c r="V13" s="5">
        <v>11</v>
      </c>
      <c r="W13" s="23">
        <v>96</v>
      </c>
      <c r="X13" s="33">
        <v>0.74175052315474166</v>
      </c>
      <c r="Y13" s="23">
        <v>41.040130602581428</v>
      </c>
      <c r="Z13" s="5">
        <v>4730.2676525659663</v>
      </c>
      <c r="AA13" s="35"/>
    </row>
    <row r="14" spans="2:27" x14ac:dyDescent="0.2">
      <c r="B14" s="50" t="s">
        <v>3</v>
      </c>
      <c r="C14" s="51"/>
      <c r="D14" s="9">
        <f>MIN(D4:D13)</f>
        <v>968127.96556841256</v>
      </c>
      <c r="E14" s="22">
        <f>INDEX(E4:E13, MATCH($D$14, D4:D13, 0))</f>
        <v>110.66876407685831</v>
      </c>
      <c r="F14" s="9">
        <f>INDEX(F4:F13, MATCH($D$14, D4:D13, 0))</f>
        <v>11</v>
      </c>
      <c r="G14" s="9">
        <f>INDEX(G4:G13, MATCH($D$14, D4:D13, 0))</f>
        <v>96</v>
      </c>
      <c r="H14" s="22">
        <f>INDEX(H4:H13, MATCH($D$14, D4:D13, 0))</f>
        <v>148.27568864938823</v>
      </c>
      <c r="I14" s="22">
        <f>INDEX(I4:I13, MATCH($D$14, D4:D13, 0))</f>
        <v>41.044499047729481</v>
      </c>
      <c r="J14" s="22">
        <f>INDEX(J4:J13, MATCH($D$14, D4:D13, 0))</f>
        <v>4730.6926525659665</v>
      </c>
      <c r="K14" s="32" t="e">
        <f>(D14-$D$15)/$D$15</f>
        <v>#DIV/0!</v>
      </c>
      <c r="L14" s="16">
        <f>MIN(L4:L13)</f>
        <v>1145921.679856604</v>
      </c>
      <c r="M14" s="21">
        <f>INDEX(M4:M13, MATCH($L$14, L4:L13, 0))</f>
        <v>268.32081184615021</v>
      </c>
      <c r="N14" s="16">
        <f>INDEX(N4:N13, MATCH($L$14, L4:L13, 0))</f>
        <v>12</v>
      </c>
      <c r="O14" s="16">
        <f>INDEX(O4:O13, MATCH($L$14, L4:L13, 0))</f>
        <v>96</v>
      </c>
      <c r="P14" s="21">
        <f>INDEX(P4:P13, MATCH($L$14, L4:L13, 0))</f>
        <v>1785.5325274125157</v>
      </c>
      <c r="Q14" s="21">
        <f>INDEX(Q4:Q13, MATCH($L$14, L4:L13, 0))</f>
        <v>37.837756812438215</v>
      </c>
      <c r="R14" s="21">
        <f>INDEX(R4:R13, MATCH($L$14, L4:L13, 0))</f>
        <v>4594.4047848790142</v>
      </c>
      <c r="S14" s="36" t="e">
        <f>(L14-$D$15)/$D$15</f>
        <v>#DIV/0!</v>
      </c>
      <c r="T14" s="38">
        <f>MIN(T4:T13)</f>
        <v>951017.77713515563</v>
      </c>
      <c r="U14" s="39">
        <f>INDEX(U4:U13, MATCH($T$14, T4:T13, 0))</f>
        <v>215.77606853849898</v>
      </c>
      <c r="V14" s="38">
        <f>INDEX(V4:V13, MATCH($T$14, T4:T13, 0))</f>
        <v>11</v>
      </c>
      <c r="W14" s="38">
        <f>INDEX(W4:W13, MATCH($T$14, T4:T13, 0))</f>
        <v>96</v>
      </c>
      <c r="X14" s="39">
        <f>INDEX(X4:X13, MATCH($T$14, T4:T13, 0))</f>
        <v>0.74175052315474166</v>
      </c>
      <c r="Y14" s="39">
        <f>INDEX(Y4:Y13, MATCH($T$14, T4:T13, 0))</f>
        <v>41.040130602581428</v>
      </c>
      <c r="Z14" s="39">
        <f>INDEX(Z4:Z13, MATCH($T$14, T4:T13, 0))</f>
        <v>4730.2676525659663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0.18364691508916819</v>
      </c>
      <c r="M15" s="41">
        <f t="shared" ref="M15:R15" si="0">(M14-E14)/E14</f>
        <v>1.4245396981193734</v>
      </c>
      <c r="N15" s="41">
        <f t="shared" si="0"/>
        <v>9.0909090909090912E-2</v>
      </c>
      <c r="O15" s="41">
        <f t="shared" si="0"/>
        <v>0</v>
      </c>
      <c r="P15" s="41">
        <f t="shared" si="0"/>
        <v>11.041977640950803</v>
      </c>
      <c r="Q15" s="41">
        <f t="shared" si="0"/>
        <v>-7.8128429136441316E-2</v>
      </c>
      <c r="R15" s="41">
        <f t="shared" si="0"/>
        <v>-2.8809283903283932E-2</v>
      </c>
      <c r="T15" s="41">
        <f>(T14-D14)/D14</f>
        <v>-1.7673478136964162E-2</v>
      </c>
      <c r="U15" s="41">
        <f t="shared" ref="U15:Z15" si="1">(U14-E14)/E14</f>
        <v>0.94974679927431671</v>
      </c>
      <c r="V15" s="41">
        <f t="shared" si="1"/>
        <v>0</v>
      </c>
      <c r="W15" s="41">
        <f t="shared" si="1"/>
        <v>0</v>
      </c>
      <c r="X15" s="41">
        <f t="shared" si="1"/>
        <v>-0.99499749062094278</v>
      </c>
      <c r="Y15" s="41">
        <f t="shared" si="1"/>
        <v>-1.0643192752756155E-4</v>
      </c>
      <c r="Z15" s="41">
        <f t="shared" si="1"/>
        <v>-8.9838852619110313E-5</v>
      </c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  <row r="39" s="1" customFormat="1" x14ac:dyDescent="0.2"/>
  </sheetData>
  <mergeCells count="1">
    <mergeCell ref="B14:C14"/>
  </mergeCells>
  <conditionalFormatting sqref="C1 C16 C3 C40:C1048576">
    <cfRule type="duplicateValues" dxfId="139" priority="11"/>
    <cfRule type="duplicateValues" dxfId="138" priority="12"/>
  </conditionalFormatting>
  <conditionalFormatting sqref="C2">
    <cfRule type="duplicateValues" dxfId="137" priority="3"/>
    <cfRule type="duplicateValues" dxfId="136" priority="4"/>
  </conditionalFormatting>
  <conditionalFormatting sqref="C4:C13">
    <cfRule type="duplicateValues" dxfId="135" priority="5"/>
    <cfRule type="duplicateValues" dxfId="134" priority="6"/>
  </conditionalFormatting>
  <conditionalFormatting sqref="C14">
    <cfRule type="duplicateValues" dxfId="133" priority="9"/>
    <cfRule type="duplicateValues" dxfId="132" priority="10"/>
  </conditionalFormatting>
  <conditionalFormatting sqref="C15">
    <cfRule type="duplicateValues" dxfId="131" priority="7"/>
    <cfRule type="duplicateValues" dxfId="130" priority="8"/>
  </conditionalFormatting>
  <conditionalFormatting sqref="C17:C39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96A0-5A68-4696-AC9B-FD4AB17AC7C4}">
  <dimension ref="B1:AA17"/>
  <sheetViews>
    <sheetView zoomScale="90" zoomScaleNormal="90" workbookViewId="0">
      <selection activeCell="U19" sqref="U19:U3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3.3727737427314022</v>
      </c>
      <c r="R2" s="1">
        <f>(R14-J14)/J14</f>
        <v>-4.138563400534849E-2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57</v>
      </c>
      <c r="D4" s="23">
        <v>1280681.1210966869</v>
      </c>
      <c r="E4" s="33">
        <v>114.18495884612915</v>
      </c>
      <c r="F4" s="5">
        <v>16</v>
      </c>
      <c r="G4" s="23">
        <v>95.333333333333329</v>
      </c>
      <c r="H4" s="33">
        <v>733.30132009796887</v>
      </c>
      <c r="I4" s="23">
        <v>38.904873232268478</v>
      </c>
      <c r="J4" s="5">
        <v>5761.4627707720665</v>
      </c>
      <c r="K4" s="31"/>
      <c r="L4" s="23">
        <v>1428519.4958700971</v>
      </c>
      <c r="M4" s="33">
        <v>411.05677030765668</v>
      </c>
      <c r="N4" s="5">
        <v>17</v>
      </c>
      <c r="O4" s="23">
        <v>96.666666666666671</v>
      </c>
      <c r="P4" s="33">
        <v>2628.8896887379647</v>
      </c>
      <c r="Q4" s="23">
        <v>36.548313588807424</v>
      </c>
      <c r="R4" s="5">
        <v>5488.2506485221165</v>
      </c>
      <c r="S4" s="35"/>
      <c r="T4" s="23">
        <v>1141477.1867086501</v>
      </c>
      <c r="U4" s="33">
        <v>136.83643600007946</v>
      </c>
      <c r="V4" s="5">
        <v>13</v>
      </c>
      <c r="W4" s="23">
        <v>97.333333333333329</v>
      </c>
      <c r="X4" s="33">
        <v>143.2692917577188</v>
      </c>
      <c r="Y4" s="23">
        <v>49.167413987812729</v>
      </c>
      <c r="Z4" s="5">
        <v>5981.0261054660832</v>
      </c>
      <c r="AA4" s="35"/>
    </row>
    <row r="5" spans="2:27" x14ac:dyDescent="0.2">
      <c r="B5" s="4">
        <v>2</v>
      </c>
      <c r="C5" s="4">
        <v>107</v>
      </c>
      <c r="D5" s="23">
        <v>1252153.704625743</v>
      </c>
      <c r="E5" s="33">
        <v>318.13966623077596</v>
      </c>
      <c r="F5" s="5">
        <v>17</v>
      </c>
      <c r="G5" s="23">
        <v>96</v>
      </c>
      <c r="H5" s="33">
        <v>724.07302818045559</v>
      </c>
      <c r="I5" s="23">
        <v>37.032955137792513</v>
      </c>
      <c r="J5" s="5">
        <v>5564.572901666852</v>
      </c>
      <c r="K5" s="31"/>
      <c r="L5" s="23">
        <v>1402417.2446588511</v>
      </c>
      <c r="M5" s="33">
        <v>377.49913599995824</v>
      </c>
      <c r="N5" s="5">
        <v>16</v>
      </c>
      <c r="O5" s="23">
        <v>95.333333333333329</v>
      </c>
      <c r="P5" s="33">
        <v>2501.8799942631758</v>
      </c>
      <c r="Q5" s="23">
        <v>39.008524346224583</v>
      </c>
      <c r="R5" s="5">
        <v>5333.1781311782415</v>
      </c>
      <c r="S5" s="35"/>
      <c r="T5" s="23">
        <v>1135648.204793172</v>
      </c>
      <c r="U5" s="33">
        <v>154.30836999994847</v>
      </c>
      <c r="V5" s="5">
        <v>14</v>
      </c>
      <c r="W5" s="23">
        <v>97.333333333333329</v>
      </c>
      <c r="X5" s="33">
        <v>192.57237989999135</v>
      </c>
      <c r="Y5" s="23">
        <v>45.929872747923788</v>
      </c>
      <c r="Z5" s="5">
        <v>5778.7026859023508</v>
      </c>
      <c r="AA5" s="35"/>
    </row>
    <row r="6" spans="2:27" x14ac:dyDescent="0.2">
      <c r="B6" s="4">
        <v>3</v>
      </c>
      <c r="C6" s="4">
        <v>186</v>
      </c>
      <c r="D6" s="23">
        <v>1200025.2317240629</v>
      </c>
      <c r="E6" s="33">
        <v>173.91398946154644</v>
      </c>
      <c r="F6" s="5">
        <v>16</v>
      </c>
      <c r="G6" s="23">
        <v>96.666666666666671</v>
      </c>
      <c r="H6" s="33">
        <v>611.0755950545755</v>
      </c>
      <c r="I6" s="23">
        <v>40.088398618390023</v>
      </c>
      <c r="J6" s="5">
        <v>5525.7668774636077</v>
      </c>
      <c r="K6" s="31"/>
      <c r="L6" s="23">
        <v>1399150.9263691581</v>
      </c>
      <c r="M6" s="33">
        <v>256.38451723077407</v>
      </c>
      <c r="N6" s="5">
        <v>15</v>
      </c>
      <c r="O6" s="23">
        <v>93.333333333333329</v>
      </c>
      <c r="P6" s="33">
        <v>2431.2320076425817</v>
      </c>
      <c r="Q6" s="23">
        <v>40.72252220678196</v>
      </c>
      <c r="R6" s="5">
        <v>5274.8126242004782</v>
      </c>
      <c r="S6" s="35"/>
      <c r="T6" s="23">
        <v>1138369.3199645861</v>
      </c>
      <c r="U6" s="33">
        <v>192.37812600000046</v>
      </c>
      <c r="V6" s="5">
        <v>13</v>
      </c>
      <c r="W6" s="23">
        <v>97.333333333333329</v>
      </c>
      <c r="X6" s="33">
        <v>91.131006751095029</v>
      </c>
      <c r="Y6" s="23">
        <v>49.477700421189219</v>
      </c>
      <c r="Z6" s="5">
        <v>5992.1986868786898</v>
      </c>
      <c r="AA6" s="35"/>
    </row>
    <row r="7" spans="2:27" x14ac:dyDescent="0.2">
      <c r="B7" s="4">
        <v>4</v>
      </c>
      <c r="C7" s="4">
        <v>202</v>
      </c>
      <c r="D7" s="23">
        <v>1195874.55149322</v>
      </c>
      <c r="E7" s="33">
        <v>269.5518566154015</v>
      </c>
      <c r="F7" s="5">
        <v>15</v>
      </c>
      <c r="G7" s="23">
        <v>97.333333333333329</v>
      </c>
      <c r="H7" s="33">
        <v>687.63202542082661</v>
      </c>
      <c r="I7" s="23">
        <v>43.238451192275349</v>
      </c>
      <c r="J7" s="5">
        <v>5716.7130826593011</v>
      </c>
      <c r="K7" s="31"/>
      <c r="L7" s="23">
        <v>1378738.2797478191</v>
      </c>
      <c r="M7" s="33">
        <v>401.41856307692177</v>
      </c>
      <c r="N7" s="5">
        <v>17</v>
      </c>
      <c r="O7" s="23">
        <v>95.333333333333329</v>
      </c>
      <c r="P7" s="33">
        <v>2352.8575523510876</v>
      </c>
      <c r="Q7" s="23">
        <v>36.112025044821422</v>
      </c>
      <c r="R7" s="5">
        <v>5200.7032690005872</v>
      </c>
      <c r="S7" s="35"/>
      <c r="T7" s="23">
        <v>1150847.5269790411</v>
      </c>
      <c r="U7" s="33">
        <v>255.50072976925338</v>
      </c>
      <c r="V7" s="5">
        <v>15</v>
      </c>
      <c r="W7" s="23">
        <v>97.333333333333329</v>
      </c>
      <c r="X7" s="33">
        <v>74.296527897787882</v>
      </c>
      <c r="Y7" s="23">
        <v>42.60219182847937</v>
      </c>
      <c r="Z7" s="5">
        <v>5828.6848753992281</v>
      </c>
      <c r="AA7" s="35"/>
    </row>
    <row r="8" spans="2:27" x14ac:dyDescent="0.2">
      <c r="B8" s="4">
        <v>5</v>
      </c>
      <c r="C8" s="4">
        <v>232</v>
      </c>
      <c r="D8" s="23">
        <v>1269617.101655937</v>
      </c>
      <c r="E8" s="33">
        <v>176.94212353842045</v>
      </c>
      <c r="F8" s="5">
        <v>15</v>
      </c>
      <c r="G8" s="23">
        <v>97.333333333333329</v>
      </c>
      <c r="H8" s="33">
        <v>886.87303099481744</v>
      </c>
      <c r="I8" s="23">
        <v>42.143685035860436</v>
      </c>
      <c r="J8" s="5">
        <v>6045.4754456061328</v>
      </c>
      <c r="K8" s="31"/>
      <c r="L8" s="23">
        <v>1464939.7767878999</v>
      </c>
      <c r="M8" s="33">
        <v>174.86323330766308</v>
      </c>
      <c r="N8" s="5">
        <v>16</v>
      </c>
      <c r="O8" s="23">
        <v>96.666666666666671</v>
      </c>
      <c r="P8" s="33">
        <v>2846.8507669231353</v>
      </c>
      <c r="Q8" s="23">
        <v>39.235108104584</v>
      </c>
      <c r="R8" s="5">
        <v>5704.3772439486656</v>
      </c>
      <c r="S8" s="35"/>
      <c r="T8" s="23">
        <v>1175850.892812331</v>
      </c>
      <c r="U8" s="33">
        <v>160.91463361535438</v>
      </c>
      <c r="V8" s="5">
        <v>15</v>
      </c>
      <c r="W8" s="23">
        <v>97.333333333333329</v>
      </c>
      <c r="X8" s="33">
        <v>63.251591300504401</v>
      </c>
      <c r="Y8" s="23">
        <v>41.83230195578669</v>
      </c>
      <c r="Z8" s="5">
        <v>5997.867346146365</v>
      </c>
      <c r="AA8" s="35"/>
    </row>
    <row r="9" spans="2:27" x14ac:dyDescent="0.2">
      <c r="B9" s="4">
        <v>6</v>
      </c>
      <c r="C9" s="4">
        <v>234</v>
      </c>
      <c r="D9" s="23">
        <v>1171722.7209426111</v>
      </c>
      <c r="E9" s="33">
        <v>274.61161923075383</v>
      </c>
      <c r="F9" s="5">
        <v>16</v>
      </c>
      <c r="G9" s="23">
        <v>97.333333333333329</v>
      </c>
      <c r="H9" s="33">
        <v>552.87315230917284</v>
      </c>
      <c r="I9" s="23">
        <v>39.68895058554655</v>
      </c>
      <c r="J9" s="5">
        <v>5498.4921850503042</v>
      </c>
      <c r="K9" s="31"/>
      <c r="L9" s="23">
        <v>1475227.7230584661</v>
      </c>
      <c r="M9" s="33">
        <v>312.07192584612551</v>
      </c>
      <c r="N9" s="5">
        <v>16</v>
      </c>
      <c r="O9" s="23">
        <v>94</v>
      </c>
      <c r="P9" s="33">
        <v>2711.5942192994426</v>
      </c>
      <c r="Q9" s="23">
        <v>38.650907291543135</v>
      </c>
      <c r="R9" s="5">
        <v>5566.1746389356285</v>
      </c>
      <c r="S9" s="35"/>
      <c r="T9" s="23">
        <v>1146810.8433140609</v>
      </c>
      <c r="U9" s="33">
        <v>175.15951069233077</v>
      </c>
      <c r="V9" s="5">
        <v>13</v>
      </c>
      <c r="W9" s="23">
        <v>96.666666666666671</v>
      </c>
      <c r="X9" s="33">
        <v>80.146801573954107</v>
      </c>
      <c r="Y9" s="23">
        <v>48.400926842875101</v>
      </c>
      <c r="Z9" s="5">
        <v>5974.6278416299401</v>
      </c>
      <c r="AA9" s="35"/>
    </row>
    <row r="10" spans="2:27" x14ac:dyDescent="0.2">
      <c r="B10" s="4">
        <v>7</v>
      </c>
      <c r="C10" s="4">
        <v>385</v>
      </c>
      <c r="D10" s="23">
        <v>1199176.476264515</v>
      </c>
      <c r="E10" s="33">
        <v>210.84975484615339</v>
      </c>
      <c r="F10" s="5">
        <v>15</v>
      </c>
      <c r="G10" s="23">
        <v>97.333333333333329</v>
      </c>
      <c r="H10" s="33">
        <v>684.88362185811638</v>
      </c>
      <c r="I10" s="23">
        <v>42.229938727119269</v>
      </c>
      <c r="J10" s="5">
        <v>5700.5202672705091</v>
      </c>
      <c r="K10" s="31"/>
      <c r="L10" s="23">
        <v>1382510.5851922729</v>
      </c>
      <c r="M10" s="33">
        <v>232.36353330770868</v>
      </c>
      <c r="N10" s="5">
        <v>16</v>
      </c>
      <c r="O10" s="23">
        <v>95.333333333333329</v>
      </c>
      <c r="P10" s="33">
        <v>2432.6323810136491</v>
      </c>
      <c r="Q10" s="23">
        <v>38.95697463122761</v>
      </c>
      <c r="R10" s="5">
        <v>5279.5794962645523</v>
      </c>
      <c r="S10" s="35"/>
      <c r="T10" s="23">
        <v>1140810.541972043</v>
      </c>
      <c r="U10" s="33">
        <v>317.31783507696287</v>
      </c>
      <c r="V10" s="5">
        <v>14</v>
      </c>
      <c r="W10" s="23">
        <v>97.333333333333329</v>
      </c>
      <c r="X10" s="33">
        <v>89.341572108188501</v>
      </c>
      <c r="Y10" s="23">
        <v>46.051832656743763</v>
      </c>
      <c r="Z10" s="5">
        <v>5863.69193568219</v>
      </c>
      <c r="AA10" s="35"/>
    </row>
    <row r="11" spans="2:27" x14ac:dyDescent="0.2">
      <c r="B11" s="4">
        <v>8</v>
      </c>
      <c r="C11" s="4">
        <v>576</v>
      </c>
      <c r="D11" s="23">
        <v>1228006.3899969719</v>
      </c>
      <c r="E11" s="33">
        <v>263.00417484617077</v>
      </c>
      <c r="F11" s="5">
        <v>14</v>
      </c>
      <c r="G11" s="23">
        <v>96</v>
      </c>
      <c r="H11" s="33">
        <v>728.9454375853295</v>
      </c>
      <c r="I11" s="23">
        <v>43.905044641544769</v>
      </c>
      <c r="J11" s="5">
        <v>5806.2910518564559</v>
      </c>
      <c r="K11" s="31"/>
      <c r="L11" s="23">
        <v>1373588.5896383971</v>
      </c>
      <c r="M11" s="33">
        <v>202.66157553844656</v>
      </c>
      <c r="N11" s="5">
        <v>17</v>
      </c>
      <c r="O11" s="23">
        <v>96.666666666666671</v>
      </c>
      <c r="P11" s="33">
        <v>2417.5892034786903</v>
      </c>
      <c r="Q11" s="23">
        <v>37.102301969345191</v>
      </c>
      <c r="R11" s="5">
        <v>5270.9335998985434</v>
      </c>
      <c r="S11" s="35"/>
      <c r="T11" s="23">
        <v>1139288.2615069549</v>
      </c>
      <c r="U11" s="33">
        <v>160.75149138467029</v>
      </c>
      <c r="V11" s="5">
        <v>14</v>
      </c>
      <c r="W11" s="23">
        <v>97.333333333333329</v>
      </c>
      <c r="X11" s="33">
        <v>83.50162306211287</v>
      </c>
      <c r="Y11" s="23">
        <v>44.990899711324637</v>
      </c>
      <c r="Z11" s="5">
        <v>5877.295458066953</v>
      </c>
      <c r="AA11" s="35"/>
    </row>
    <row r="12" spans="2:27" x14ac:dyDescent="0.2">
      <c r="B12" s="4">
        <v>9</v>
      </c>
      <c r="C12" s="4">
        <v>594</v>
      </c>
      <c r="D12" s="23">
        <v>1185839.3651102521</v>
      </c>
      <c r="E12" s="33">
        <v>262.34278969224897</v>
      </c>
      <c r="F12" s="5">
        <v>15</v>
      </c>
      <c r="G12" s="23">
        <v>96.666666666666671</v>
      </c>
      <c r="H12" s="33">
        <v>633.10958565160763</v>
      </c>
      <c r="I12" s="23">
        <v>42.066728622129048</v>
      </c>
      <c r="J12" s="5">
        <v>5564.7176633644267</v>
      </c>
      <c r="K12" s="31"/>
      <c r="L12" s="23">
        <v>1492195.6943409371</v>
      </c>
      <c r="M12" s="33">
        <v>246.0841859999793</v>
      </c>
      <c r="N12" s="5">
        <v>15</v>
      </c>
      <c r="O12" s="23">
        <v>92</v>
      </c>
      <c r="P12" s="33">
        <v>2724.7702968478952</v>
      </c>
      <c r="Q12" s="23">
        <v>39.314551754428457</v>
      </c>
      <c r="R12" s="5">
        <v>5576.5034502635144</v>
      </c>
      <c r="S12" s="35"/>
      <c r="T12" s="23">
        <v>1202374.214143062</v>
      </c>
      <c r="U12" s="33">
        <v>160.40560099994761</v>
      </c>
      <c r="V12" s="5">
        <v>16</v>
      </c>
      <c r="W12" s="23">
        <v>97.333333333333329</v>
      </c>
      <c r="X12" s="33">
        <v>208.13066337461279</v>
      </c>
      <c r="Y12" s="23">
        <v>40.730663103178166</v>
      </c>
      <c r="Z12" s="5">
        <v>5965.9023354648625</v>
      </c>
      <c r="AA12" s="35"/>
    </row>
    <row r="13" spans="2:27" x14ac:dyDescent="0.2">
      <c r="B13" s="4">
        <v>10</v>
      </c>
      <c r="C13" s="4">
        <v>912</v>
      </c>
      <c r="D13" s="23">
        <v>1261692.9026187391</v>
      </c>
      <c r="E13" s="33">
        <v>118.11249299995747</v>
      </c>
      <c r="F13" s="5">
        <v>16</v>
      </c>
      <c r="G13" s="23">
        <v>96.666666666666671</v>
      </c>
      <c r="H13" s="33">
        <v>807.19655192424</v>
      </c>
      <c r="I13" s="23">
        <v>40.074748015964047</v>
      </c>
      <c r="J13" s="5">
        <v>5813.0611014275755</v>
      </c>
      <c r="K13" s="31"/>
      <c r="L13" s="23">
        <v>1375180.912373848</v>
      </c>
      <c r="M13" s="33">
        <v>275.29656538462189</v>
      </c>
      <c r="N13" s="5">
        <v>17</v>
      </c>
      <c r="O13" s="23">
        <v>96</v>
      </c>
      <c r="P13" s="33">
        <v>2377.9104683922715</v>
      </c>
      <c r="Q13" s="23">
        <v>37.14966500016709</v>
      </c>
      <c r="R13" s="5">
        <v>5228.4507713270696</v>
      </c>
      <c r="S13" s="35"/>
      <c r="T13" s="23">
        <v>1124687.5799538181</v>
      </c>
      <c r="U13" s="33">
        <v>152.17401807697922</v>
      </c>
      <c r="V13" s="5">
        <v>15</v>
      </c>
      <c r="W13" s="23">
        <v>97.333333333333329</v>
      </c>
      <c r="X13" s="33">
        <v>118.87534047234909</v>
      </c>
      <c r="Y13" s="23">
        <v>42.757124328434386</v>
      </c>
      <c r="Z13" s="5">
        <v>5629.7519207146315</v>
      </c>
      <c r="AA13" s="35"/>
    </row>
    <row r="14" spans="2:27" x14ac:dyDescent="0.2">
      <c r="B14" s="50" t="s">
        <v>3</v>
      </c>
      <c r="C14" s="51"/>
      <c r="D14" s="9">
        <f>MIN(D4:D13)</f>
        <v>1171722.7209426111</v>
      </c>
      <c r="E14" s="22">
        <f>INDEX(E4:E13, MATCH($D$14, D4:D13, 0))</f>
        <v>274.61161923075383</v>
      </c>
      <c r="F14" s="9">
        <f>INDEX(F4:F13, MATCH($D$14, D4:D13, 0))</f>
        <v>16</v>
      </c>
      <c r="G14" s="9">
        <f>INDEX(G4:G13, MATCH($D$14, D4:D13, 0))</f>
        <v>97.333333333333329</v>
      </c>
      <c r="H14" s="22">
        <f>INDEX(H4:H13, MATCH($D$14, D4:D13, 0))</f>
        <v>552.87315230917284</v>
      </c>
      <c r="I14" s="22">
        <f>INDEX(I4:I13, MATCH($D$14, D4:D13, 0))</f>
        <v>39.68895058554655</v>
      </c>
      <c r="J14" s="22">
        <f>INDEX(J4:J13, MATCH($D$14, D4:D13, 0))</f>
        <v>5498.4921850503042</v>
      </c>
      <c r="K14" s="32" t="e">
        <f>(D14-$D$15)/$D$15</f>
        <v>#DIV/0!</v>
      </c>
      <c r="L14" s="16">
        <f>MIN(L4:L13)</f>
        <v>1373588.5896383971</v>
      </c>
      <c r="M14" s="21">
        <f>INDEX(M4:M13, MATCH($L$14, L4:L13, 0))</f>
        <v>202.66157553844656</v>
      </c>
      <c r="N14" s="16">
        <f>INDEX(N4:N13, MATCH($L$14, L4:L13, 0))</f>
        <v>17</v>
      </c>
      <c r="O14" s="16">
        <f>INDEX(O4:O13, MATCH($L$14, L4:L13, 0))</f>
        <v>96.666666666666671</v>
      </c>
      <c r="P14" s="21">
        <f>INDEX(P4:P13, MATCH($L$14, L4:L13, 0))</f>
        <v>2417.5892034786903</v>
      </c>
      <c r="Q14" s="21">
        <f>INDEX(Q4:Q13, MATCH($L$14, L4:L13, 0))</f>
        <v>37.102301969345191</v>
      </c>
      <c r="R14" s="21">
        <f>INDEX(R4:R13, MATCH($L$14, L4:L13, 0))</f>
        <v>5270.9335998985434</v>
      </c>
      <c r="S14" s="36" t="e">
        <f>(L14-$D$15)/$D$15</f>
        <v>#DIV/0!</v>
      </c>
      <c r="T14" s="38">
        <f>MIN(T4:T13)</f>
        <v>1124687.5799538181</v>
      </c>
      <c r="U14" s="39">
        <f>INDEX(U4:U13, MATCH($T$14, T4:T13, 0))</f>
        <v>152.17401807697922</v>
      </c>
      <c r="V14" s="38">
        <f>INDEX(V4:V13, MATCH($T$14, T4:T13, 0))</f>
        <v>15</v>
      </c>
      <c r="W14" s="38">
        <f>INDEX(W4:W13, MATCH($T$14, T4:T13, 0))</f>
        <v>97.333333333333329</v>
      </c>
      <c r="X14" s="39">
        <f>INDEX(X4:X13, MATCH($T$14, T4:T13, 0))</f>
        <v>118.87534047234909</v>
      </c>
      <c r="Y14" s="39">
        <f>INDEX(Y4:Y13, MATCH($T$14, T4:T13, 0))</f>
        <v>42.757124328434386</v>
      </c>
      <c r="Z14" s="39">
        <f>INDEX(Z4:Z13, MATCH($T$14, T4:T13, 0))</f>
        <v>5629.7519207146315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0.17228126167374458</v>
      </c>
      <c r="M15" s="41">
        <f t="shared" ref="M15:R15" si="0">(M14-E14)/E14</f>
        <v>-0.26200655272291395</v>
      </c>
      <c r="N15" s="41">
        <f t="shared" si="0"/>
        <v>6.25E-2</v>
      </c>
      <c r="O15" s="41">
        <f t="shared" si="0"/>
        <v>-6.849315068493054E-3</v>
      </c>
      <c r="P15" s="41">
        <f t="shared" si="0"/>
        <v>3.3727737427314022</v>
      </c>
      <c r="Q15" s="41">
        <f t="shared" si="0"/>
        <v>-6.5173016117572369E-2</v>
      </c>
      <c r="R15" s="41">
        <f t="shared" si="0"/>
        <v>-4.138563400534849E-2</v>
      </c>
      <c r="T15" s="41">
        <f>(T14-D14)/D14</f>
        <v>-4.0141869870846933E-2</v>
      </c>
      <c r="U15" s="41">
        <f t="shared" ref="U15:Z15" si="1">(U14-E14)/E14</f>
        <v>-0.44585732204904016</v>
      </c>
      <c r="V15" s="41">
        <f t="shared" si="1"/>
        <v>-6.25E-2</v>
      </c>
      <c r="W15" s="41">
        <f t="shared" si="1"/>
        <v>0</v>
      </c>
      <c r="X15" s="41">
        <f t="shared" si="1"/>
        <v>-0.78498623061032147</v>
      </c>
      <c r="Y15" s="41">
        <f t="shared" si="1"/>
        <v>7.7305489251337567E-2</v>
      </c>
      <c r="Z15" s="41">
        <f t="shared" si="1"/>
        <v>2.3871950936150407E-2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0:C1048576">
    <cfRule type="duplicateValues" dxfId="129" priority="11"/>
    <cfRule type="duplicateValues" dxfId="128" priority="12"/>
  </conditionalFormatting>
  <conditionalFormatting sqref="C2">
    <cfRule type="duplicateValues" dxfId="127" priority="3"/>
    <cfRule type="duplicateValues" dxfId="126" priority="4"/>
  </conditionalFormatting>
  <conditionalFormatting sqref="C4:C13">
    <cfRule type="duplicateValues" dxfId="125" priority="5"/>
    <cfRule type="duplicateValues" dxfId="124" priority="6"/>
  </conditionalFormatting>
  <conditionalFormatting sqref="C14">
    <cfRule type="duplicateValues" dxfId="123" priority="9"/>
    <cfRule type="duplicateValues" dxfId="122" priority="10"/>
  </conditionalFormatting>
  <conditionalFormatting sqref="C15">
    <cfRule type="duplicateValues" dxfId="121" priority="7"/>
    <cfRule type="duplicateValues" dxfId="120" priority="8"/>
  </conditionalFormatting>
  <conditionalFormatting sqref="C17:C39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0BAC-9010-4EB7-A509-C645931A7C55}">
  <dimension ref="B1:AA17"/>
  <sheetViews>
    <sheetView zoomScale="90" zoomScaleNormal="90" workbookViewId="0">
      <selection activeCell="U19" sqref="U19:U32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6.6155060590500261</v>
      </c>
      <c r="R2" s="1">
        <f>(R14-J14)/J14</f>
        <v>-2.2455317546753523E-2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41</v>
      </c>
      <c r="D4" s="23">
        <v>1170325.1112011869</v>
      </c>
      <c r="E4" s="33">
        <v>164.01283223083462</v>
      </c>
      <c r="F4" s="5">
        <v>14</v>
      </c>
      <c r="G4" s="23">
        <v>94</v>
      </c>
      <c r="H4" s="33">
        <v>305.01396819264107</v>
      </c>
      <c r="I4" s="23">
        <v>37.38867361217094</v>
      </c>
      <c r="J4" s="5">
        <v>5359.7381602944406</v>
      </c>
      <c r="K4" s="31"/>
      <c r="L4" s="23">
        <v>1367467.038494671</v>
      </c>
      <c r="M4" s="33">
        <v>280.48508984618826</v>
      </c>
      <c r="N4" s="5">
        <v>15</v>
      </c>
      <c r="O4" s="23">
        <v>94</v>
      </c>
      <c r="P4" s="33">
        <v>2261.273976692823</v>
      </c>
      <c r="Q4" s="23">
        <v>34.552961398697008</v>
      </c>
      <c r="R4" s="5">
        <v>5181.5653478201866</v>
      </c>
      <c r="S4" s="35"/>
      <c r="T4" s="23">
        <v>1110138.0738321131</v>
      </c>
      <c r="U4" s="33">
        <v>173.32247476926284</v>
      </c>
      <c r="V4" s="5">
        <v>14</v>
      </c>
      <c r="W4" s="23">
        <v>94</v>
      </c>
      <c r="X4" s="33">
        <v>21.533087449923762</v>
      </c>
      <c r="Y4" s="23">
        <v>38.517394419449694</v>
      </c>
      <c r="Z4" s="5">
        <v>5166.5934223098047</v>
      </c>
      <c r="AA4" s="35"/>
    </row>
    <row r="5" spans="2:27" x14ac:dyDescent="0.2">
      <c r="B5" s="4">
        <v>2</v>
      </c>
      <c r="C5" s="4">
        <v>171</v>
      </c>
      <c r="D5" s="23">
        <v>1148316.5899994089</v>
      </c>
      <c r="E5" s="33">
        <v>126.27732507696446</v>
      </c>
      <c r="F5" s="5">
        <v>13</v>
      </c>
      <c r="G5" s="23">
        <v>94</v>
      </c>
      <c r="H5" s="33">
        <v>328.83944130422299</v>
      </c>
      <c r="I5" s="23">
        <v>41.467997513292097</v>
      </c>
      <c r="J5" s="5">
        <v>5347.5358915945953</v>
      </c>
      <c r="K5" s="31"/>
      <c r="L5" s="23">
        <v>1355615.1258881399</v>
      </c>
      <c r="M5" s="33">
        <v>301.52264838465129</v>
      </c>
      <c r="N5" s="5">
        <v>14</v>
      </c>
      <c r="O5" s="23">
        <v>94</v>
      </c>
      <c r="P5" s="33">
        <v>2296.0342400163845</v>
      </c>
      <c r="Q5" s="23">
        <v>37.895111646933707</v>
      </c>
      <c r="R5" s="5">
        <v>5219.889320340606</v>
      </c>
      <c r="S5" s="35"/>
      <c r="T5" s="23">
        <v>1121457.9047468579</v>
      </c>
      <c r="U5" s="33">
        <v>125.83745984620269</v>
      </c>
      <c r="V5" s="5">
        <v>13</v>
      </c>
      <c r="W5" s="23">
        <v>94</v>
      </c>
      <c r="X5" s="33">
        <v>0.2235056863513922</v>
      </c>
      <c r="Y5" s="23">
        <v>41.534369756263473</v>
      </c>
      <c r="Z5" s="5">
        <v>5379.7798249586267</v>
      </c>
      <c r="AA5" s="35"/>
    </row>
    <row r="6" spans="2:27" x14ac:dyDescent="0.2">
      <c r="B6" s="4">
        <v>3</v>
      </c>
      <c r="C6" s="4">
        <v>263</v>
      </c>
      <c r="D6" s="23">
        <v>1141726.937281823</v>
      </c>
      <c r="E6" s="33">
        <v>371.94766284620312</v>
      </c>
      <c r="F6" s="5">
        <v>14</v>
      </c>
      <c r="G6" s="23">
        <v>94</v>
      </c>
      <c r="H6" s="33">
        <v>284.12843424466513</v>
      </c>
      <c r="I6" s="23">
        <v>38.423322876589999</v>
      </c>
      <c r="J6" s="5">
        <v>5202.2457846926009</v>
      </c>
      <c r="K6" s="31"/>
      <c r="L6" s="23">
        <v>1394265.2407739749</v>
      </c>
      <c r="M6" s="33">
        <v>142.00157161542361</v>
      </c>
      <c r="N6" s="5">
        <v>15</v>
      </c>
      <c r="O6" s="23">
        <v>94</v>
      </c>
      <c r="P6" s="33">
        <v>2370.8063055134917</v>
      </c>
      <c r="Q6" s="23">
        <v>35.114880726031679</v>
      </c>
      <c r="R6" s="5">
        <v>5292.4521966159145</v>
      </c>
      <c r="S6" s="35"/>
      <c r="T6" s="23">
        <v>1120871.729440368</v>
      </c>
      <c r="U6" s="33">
        <v>141.14187361538194</v>
      </c>
      <c r="V6" s="5">
        <v>12</v>
      </c>
      <c r="W6" s="23">
        <v>94</v>
      </c>
      <c r="X6" s="33">
        <v>24.069256851403708</v>
      </c>
      <c r="Y6" s="23">
        <v>45.273558878822911</v>
      </c>
      <c r="Z6" s="5">
        <v>5505.1877958657133</v>
      </c>
      <c r="AA6" s="35"/>
    </row>
    <row r="7" spans="2:27" x14ac:dyDescent="0.2">
      <c r="B7" s="4">
        <v>4</v>
      </c>
      <c r="C7" s="4">
        <v>299</v>
      </c>
      <c r="D7" s="23">
        <v>1145072.824623574</v>
      </c>
      <c r="E7" s="33">
        <v>307.01109215384344</v>
      </c>
      <c r="F7" s="5">
        <v>13</v>
      </c>
      <c r="G7" s="23">
        <v>94</v>
      </c>
      <c r="H7" s="33">
        <v>308.6668186090148</v>
      </c>
      <c r="I7" s="23">
        <v>41.432112602581164</v>
      </c>
      <c r="J7" s="5">
        <v>5340.9985116472035</v>
      </c>
      <c r="K7" s="31"/>
      <c r="L7" s="23">
        <v>1343335.7128332199</v>
      </c>
      <c r="M7" s="33">
        <v>225.97223692313906</v>
      </c>
      <c r="N7" s="5">
        <v>15</v>
      </c>
      <c r="O7" s="23">
        <v>94</v>
      </c>
      <c r="P7" s="33">
        <v>2176.9009268218351</v>
      </c>
      <c r="Q7" s="23">
        <v>35.627554563134595</v>
      </c>
      <c r="R7" s="5">
        <v>5098.5468179242589</v>
      </c>
      <c r="S7" s="35"/>
      <c r="T7" s="23">
        <v>1141944.789544889</v>
      </c>
      <c r="U7" s="33">
        <v>516.97349453846425</v>
      </c>
      <c r="V7" s="5">
        <v>13</v>
      </c>
      <c r="W7" s="23">
        <v>94</v>
      </c>
      <c r="X7" s="33">
        <v>1.6178605436599154</v>
      </c>
      <c r="Y7" s="23">
        <v>41.760436045225674</v>
      </c>
      <c r="Z7" s="5">
        <v>5543.1250851235809</v>
      </c>
      <c r="AA7" s="35"/>
    </row>
    <row r="8" spans="2:27" x14ac:dyDescent="0.2">
      <c r="B8" s="4">
        <v>5</v>
      </c>
      <c r="C8" s="4">
        <v>407</v>
      </c>
      <c r="D8" s="23">
        <v>1158613.468585192</v>
      </c>
      <c r="E8" s="33">
        <v>113.97056346150261</v>
      </c>
      <c r="F8" s="5">
        <v>13</v>
      </c>
      <c r="G8" s="23">
        <v>94</v>
      </c>
      <c r="H8" s="33">
        <v>276.99255887922419</v>
      </c>
      <c r="I8" s="23">
        <v>40.910058745666142</v>
      </c>
      <c r="J8" s="5">
        <v>5439.6005044727408</v>
      </c>
      <c r="K8" s="31"/>
      <c r="L8" s="23">
        <v>1342040.196134364</v>
      </c>
      <c r="M8" s="33">
        <v>436.4989007692426</v>
      </c>
      <c r="N8" s="5">
        <v>16</v>
      </c>
      <c r="O8" s="23">
        <v>94</v>
      </c>
      <c r="P8" s="33">
        <v>2109.9377483798571</v>
      </c>
      <c r="Q8" s="23">
        <v>33.893049895235109</v>
      </c>
      <c r="R8" s="5">
        <v>5027.5975544405574</v>
      </c>
      <c r="S8" s="35"/>
      <c r="T8" s="23">
        <v>1145037.9681052079</v>
      </c>
      <c r="U8" s="33">
        <v>197.08811469223852</v>
      </c>
      <c r="V8" s="5">
        <v>14</v>
      </c>
      <c r="W8" s="23">
        <v>94</v>
      </c>
      <c r="X8" s="33">
        <v>6.2865959888379992</v>
      </c>
      <c r="Y8" s="23">
        <v>37.702922618095464</v>
      </c>
      <c r="Z8" s="5">
        <v>5405.8665173629988</v>
      </c>
      <c r="AA8" s="35"/>
    </row>
    <row r="9" spans="2:27" x14ac:dyDescent="0.2">
      <c r="B9" s="4">
        <v>6</v>
      </c>
      <c r="C9" s="4">
        <v>501</v>
      </c>
      <c r="D9" s="23">
        <v>1179523.9750385331</v>
      </c>
      <c r="E9" s="33">
        <v>190.68499353839653</v>
      </c>
      <c r="F9" s="5">
        <v>15</v>
      </c>
      <c r="G9" s="23">
        <v>94</v>
      </c>
      <c r="H9" s="33">
        <v>358.06900163112118</v>
      </c>
      <c r="I9" s="23">
        <v>36.081197209071505</v>
      </c>
      <c r="J9" s="5">
        <v>5274.6486469221954</v>
      </c>
      <c r="K9" s="31"/>
      <c r="L9" s="23">
        <v>1366059.1932327461</v>
      </c>
      <c r="M9" s="33">
        <v>186.37066300000205</v>
      </c>
      <c r="N9" s="5">
        <v>14</v>
      </c>
      <c r="O9" s="23">
        <v>93.333333333333329</v>
      </c>
      <c r="P9" s="33">
        <v>2284.4868393542588</v>
      </c>
      <c r="Q9" s="23">
        <v>38.574364943798699</v>
      </c>
      <c r="R9" s="5">
        <v>5206.4640342589946</v>
      </c>
      <c r="S9" s="35"/>
      <c r="T9" s="23">
        <v>1140426.856458853</v>
      </c>
      <c r="U9" s="33">
        <v>236.79980015391121</v>
      </c>
      <c r="V9" s="5">
        <v>14</v>
      </c>
      <c r="W9" s="23">
        <v>94</v>
      </c>
      <c r="X9" s="33">
        <v>8.1204195632732166</v>
      </c>
      <c r="Y9" s="23">
        <v>37.892667143705161</v>
      </c>
      <c r="Z9" s="5">
        <v>5374.3339737043043</v>
      </c>
      <c r="AA9" s="35"/>
    </row>
    <row r="10" spans="2:27" x14ac:dyDescent="0.2">
      <c r="B10" s="4">
        <v>7</v>
      </c>
      <c r="C10" s="4">
        <v>503</v>
      </c>
      <c r="D10" s="23">
        <v>1154877.678065887</v>
      </c>
      <c r="E10" s="33">
        <v>101.398167923057</v>
      </c>
      <c r="F10" s="5">
        <v>13</v>
      </c>
      <c r="G10" s="23">
        <v>94</v>
      </c>
      <c r="H10" s="33">
        <v>338.97353268411445</v>
      </c>
      <c r="I10" s="23">
        <v>41.849561469790942</v>
      </c>
      <c r="J10" s="5">
        <v>5392.7221290743882</v>
      </c>
      <c r="K10" s="31"/>
      <c r="L10" s="23">
        <v>1339429.6172684911</v>
      </c>
      <c r="M10" s="33">
        <v>173.54326853842045</v>
      </c>
      <c r="N10" s="5">
        <v>15</v>
      </c>
      <c r="O10" s="23">
        <v>94</v>
      </c>
      <c r="P10" s="33">
        <v>2163.7818125386443</v>
      </c>
      <c r="Q10" s="23">
        <v>35.259214276916175</v>
      </c>
      <c r="R10" s="5">
        <v>5085.4277036410685</v>
      </c>
      <c r="S10" s="35"/>
      <c r="T10" s="23">
        <v>1109394.256253721</v>
      </c>
      <c r="U10" s="33">
        <v>211.04927738465798</v>
      </c>
      <c r="V10" s="5">
        <v>13</v>
      </c>
      <c r="W10" s="23">
        <v>94</v>
      </c>
      <c r="X10" s="33">
        <v>24.398539118724258</v>
      </c>
      <c r="Y10" s="23">
        <v>41.975607327897741</v>
      </c>
      <c r="Z10" s="5">
        <v>5311.1939635461604</v>
      </c>
      <c r="AA10" s="35"/>
    </row>
    <row r="11" spans="2:27" x14ac:dyDescent="0.2">
      <c r="B11" s="4">
        <v>8</v>
      </c>
      <c r="C11" s="4">
        <v>599</v>
      </c>
      <c r="D11" s="23">
        <v>1174685.3457871131</v>
      </c>
      <c r="E11" s="33">
        <v>296.92075176916728</v>
      </c>
      <c r="F11" s="5">
        <v>14</v>
      </c>
      <c r="G11" s="23">
        <v>94</v>
      </c>
      <c r="H11" s="33">
        <v>429.42313508461041</v>
      </c>
      <c r="I11" s="23">
        <v>37.882386142464846</v>
      </c>
      <c r="J11" s="5">
        <v>5298.07573068689</v>
      </c>
      <c r="K11" s="31"/>
      <c r="L11" s="23">
        <v>1341462.7578736879</v>
      </c>
      <c r="M11" s="33">
        <v>330.40227623074315</v>
      </c>
      <c r="N11" s="5">
        <v>15</v>
      </c>
      <c r="O11" s="23">
        <v>94</v>
      </c>
      <c r="P11" s="33">
        <v>2179.7503407905087</v>
      </c>
      <c r="Q11" s="23">
        <v>36.47633652571762</v>
      </c>
      <c r="R11" s="5">
        <v>5108.931692885847</v>
      </c>
      <c r="S11" s="35"/>
      <c r="T11" s="23">
        <v>1098744.4883737441</v>
      </c>
      <c r="U11" s="33">
        <v>189.89544676921261</v>
      </c>
      <c r="V11" s="5">
        <v>14</v>
      </c>
      <c r="W11" s="23">
        <v>94</v>
      </c>
      <c r="X11" s="33">
        <v>5.7474420628635317</v>
      </c>
      <c r="Y11" s="23">
        <v>38.419198579551974</v>
      </c>
      <c r="Z11" s="5">
        <v>5095.4017375771837</v>
      </c>
      <c r="AA11" s="35"/>
    </row>
    <row r="12" spans="2:27" x14ac:dyDescent="0.2">
      <c r="B12" s="4">
        <v>9</v>
      </c>
      <c r="C12" s="4">
        <v>663</v>
      </c>
      <c r="D12" s="23">
        <v>1201901.4673412519</v>
      </c>
      <c r="E12" s="33">
        <v>337.01970092307494</v>
      </c>
      <c r="F12" s="5">
        <v>14</v>
      </c>
      <c r="G12" s="23">
        <v>94</v>
      </c>
      <c r="H12" s="33">
        <v>479.43363229327366</v>
      </c>
      <c r="I12" s="23">
        <v>37.805822536630714</v>
      </c>
      <c r="J12" s="5">
        <v>5435.3960991830681</v>
      </c>
      <c r="K12" s="31"/>
      <c r="L12" s="23">
        <v>1377453.871271302</v>
      </c>
      <c r="M12" s="33">
        <v>232.4602805385187</v>
      </c>
      <c r="N12" s="5">
        <v>15</v>
      </c>
      <c r="O12" s="23">
        <v>94</v>
      </c>
      <c r="P12" s="33">
        <v>2299.5092202930232</v>
      </c>
      <c r="Q12" s="23">
        <v>34.786452140489516</v>
      </c>
      <c r="R12" s="5">
        <v>5221.1551113954456</v>
      </c>
      <c r="S12" s="35"/>
      <c r="T12" s="23">
        <v>1142149.778097264</v>
      </c>
      <c r="U12" s="33">
        <v>231.09638138459277</v>
      </c>
      <c r="V12" s="5">
        <v>14</v>
      </c>
      <c r="W12" s="23">
        <v>94</v>
      </c>
      <c r="X12" s="33">
        <v>0.7088749021336137</v>
      </c>
      <c r="Y12" s="23">
        <v>38.765246299018408</v>
      </c>
      <c r="Z12" s="5">
        <v>5394.3820796752852</v>
      </c>
      <c r="AA12" s="35"/>
    </row>
    <row r="13" spans="2:27" x14ac:dyDescent="0.2">
      <c r="B13" s="4">
        <v>10</v>
      </c>
      <c r="C13" s="4">
        <v>731</v>
      </c>
      <c r="D13" s="23">
        <v>1183377.9090020419</v>
      </c>
      <c r="E13" s="33">
        <v>94.942989307634832</v>
      </c>
      <c r="F13" s="5">
        <v>14</v>
      </c>
      <c r="G13" s="23">
        <v>94</v>
      </c>
      <c r="H13" s="33">
        <v>422.50210120117367</v>
      </c>
      <c r="I13" s="23">
        <v>37.633366425991447</v>
      </c>
      <c r="J13" s="5">
        <v>5369.8627720996546</v>
      </c>
      <c r="K13" s="31"/>
      <c r="L13" s="23">
        <v>1341415.460610481</v>
      </c>
      <c r="M13" s="33">
        <v>125.14299776924484</v>
      </c>
      <c r="N13" s="5">
        <v>15</v>
      </c>
      <c r="O13" s="23">
        <v>93.333333333333329</v>
      </c>
      <c r="P13" s="33">
        <v>2129.7896019346877</v>
      </c>
      <c r="Q13" s="23">
        <v>36.085561813489853</v>
      </c>
      <c r="R13" s="5">
        <v>5053.7579636878445</v>
      </c>
      <c r="S13" s="35"/>
      <c r="T13" s="23">
        <v>1126803.466974332</v>
      </c>
      <c r="U13" s="33">
        <v>157.60761761536392</v>
      </c>
      <c r="V13" s="5">
        <v>13</v>
      </c>
      <c r="W13" s="23">
        <v>94</v>
      </c>
      <c r="X13" s="33">
        <v>20.827083023563208</v>
      </c>
      <c r="Y13" s="23">
        <v>41.107397069915621</v>
      </c>
      <c r="Z13" s="5">
        <v>5417.4306643331474</v>
      </c>
      <c r="AA13" s="35"/>
    </row>
    <row r="14" spans="2:27" x14ac:dyDescent="0.2">
      <c r="B14" s="50" t="s">
        <v>3</v>
      </c>
      <c r="C14" s="51"/>
      <c r="D14" s="9">
        <f>MIN(D4:D13)</f>
        <v>1141726.937281823</v>
      </c>
      <c r="E14" s="22">
        <f>INDEX(E4:E13, MATCH($D$14, D4:D13, 0))</f>
        <v>371.94766284620312</v>
      </c>
      <c r="F14" s="9">
        <f>INDEX(F4:F13, MATCH($D$14, D4:D13, 0))</f>
        <v>14</v>
      </c>
      <c r="G14" s="9">
        <f>INDEX(G4:G13, MATCH($D$14, D4:D13, 0))</f>
        <v>94</v>
      </c>
      <c r="H14" s="22">
        <f>INDEX(H4:H13, MATCH($D$14, D4:D13, 0))</f>
        <v>284.12843424466513</v>
      </c>
      <c r="I14" s="22">
        <f>INDEX(I4:I13, MATCH($D$14, D4:D13, 0))</f>
        <v>38.423322876589999</v>
      </c>
      <c r="J14" s="22">
        <f>INDEX(J4:J13, MATCH($D$14, D4:D13, 0))</f>
        <v>5202.2457846926009</v>
      </c>
      <c r="K14" s="32" t="e">
        <f>(D14-$D$15)/$D$15</f>
        <v>#DIV/0!</v>
      </c>
      <c r="L14" s="16">
        <f>MIN(L4:L13)</f>
        <v>1339429.6172684911</v>
      </c>
      <c r="M14" s="21">
        <f>INDEX(M4:M13, MATCH($L$14, L4:L13, 0))</f>
        <v>173.54326853842045</v>
      </c>
      <c r="N14" s="16">
        <f>INDEX(N4:N13, MATCH($L$14, L4:L13, 0))</f>
        <v>15</v>
      </c>
      <c r="O14" s="16">
        <f>INDEX(O4:O13, MATCH($L$14, L4:L13, 0))</f>
        <v>94</v>
      </c>
      <c r="P14" s="21">
        <f>INDEX(P4:P13, MATCH($L$14, L4:L13, 0))</f>
        <v>2163.7818125386443</v>
      </c>
      <c r="Q14" s="21">
        <f>INDEX(Q4:Q13, MATCH($L$14, L4:L13, 0))</f>
        <v>35.259214276916175</v>
      </c>
      <c r="R14" s="21">
        <f>INDEX(R4:R13, MATCH($L$14, L4:L13, 0))</f>
        <v>5085.4277036410685</v>
      </c>
      <c r="S14" s="36" t="e">
        <f>(L14-$D$15)/$D$15</f>
        <v>#DIV/0!</v>
      </c>
      <c r="T14" s="38">
        <f>MIN(T4:T13)</f>
        <v>1098744.4883737441</v>
      </c>
      <c r="U14" s="39">
        <f>INDEX(U4:U13, MATCH($T$14, T4:T13, 0))</f>
        <v>189.89544676921261</v>
      </c>
      <c r="V14" s="38">
        <f>INDEX(V4:V13, MATCH($T$14, T4:T13, 0))</f>
        <v>14</v>
      </c>
      <c r="W14" s="38">
        <f>INDEX(W4:W13, MATCH($T$14, T4:T13, 0))</f>
        <v>94</v>
      </c>
      <c r="X14" s="39">
        <f>INDEX(X4:X13, MATCH($T$14, T4:T13, 0))</f>
        <v>5.7474420628635317</v>
      </c>
      <c r="Y14" s="39">
        <f>INDEX(Y4:Y13, MATCH($T$14, T4:T13, 0))</f>
        <v>38.419198579551974</v>
      </c>
      <c r="Z14" s="39">
        <f>INDEX(Z4:Z13, MATCH($T$14, T4:T13, 0))</f>
        <v>5095.4017375771837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0.17316108916318515</v>
      </c>
      <c r="M15" s="41">
        <f t="shared" ref="M15:R15" si="0">(M14-E14)/E14</f>
        <v>-0.53342019355508363</v>
      </c>
      <c r="N15" s="41">
        <f t="shared" si="0"/>
        <v>7.1428571428571425E-2</v>
      </c>
      <c r="O15" s="41">
        <f t="shared" si="0"/>
        <v>0</v>
      </c>
      <c r="P15" s="41">
        <f t="shared" si="0"/>
        <v>6.6155060590500261</v>
      </c>
      <c r="Q15" s="41">
        <f t="shared" si="0"/>
        <v>-8.234864563474821E-2</v>
      </c>
      <c r="R15" s="41">
        <f t="shared" si="0"/>
        <v>-2.2455317546753523E-2</v>
      </c>
      <c r="T15" s="41">
        <f>(T14-D14)/D14</f>
        <v>-3.7646872912020291E-2</v>
      </c>
      <c r="U15" s="41">
        <f t="shared" ref="U15:Z15" si="1">(U14-E14)/E14</f>
        <v>-0.48945653989031085</v>
      </c>
      <c r="V15" s="41">
        <f t="shared" si="1"/>
        <v>0</v>
      </c>
      <c r="W15" s="41">
        <f t="shared" si="1"/>
        <v>0</v>
      </c>
      <c r="X15" s="41">
        <f t="shared" si="1"/>
        <v>-0.9797716758685463</v>
      </c>
      <c r="Y15" s="41">
        <f t="shared" si="1"/>
        <v>-1.0733837495710438E-4</v>
      </c>
      <c r="Z15" s="41">
        <f t="shared" si="1"/>
        <v>-2.053806212497716E-2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0:C1048576">
    <cfRule type="duplicateValues" dxfId="119" priority="11"/>
    <cfRule type="duplicateValues" dxfId="118" priority="12"/>
  </conditionalFormatting>
  <conditionalFormatting sqref="C2">
    <cfRule type="duplicateValues" dxfId="117" priority="3"/>
    <cfRule type="duplicateValues" dxfId="116" priority="4"/>
  </conditionalFormatting>
  <conditionalFormatting sqref="C4:C13">
    <cfRule type="duplicateValues" dxfId="115" priority="5"/>
    <cfRule type="duplicateValues" dxfId="114" priority="6"/>
  </conditionalFormatting>
  <conditionalFormatting sqref="C14">
    <cfRule type="duplicateValues" dxfId="113" priority="9"/>
    <cfRule type="duplicateValues" dxfId="112" priority="10"/>
  </conditionalFormatting>
  <conditionalFormatting sqref="C15">
    <cfRule type="duplicateValues" dxfId="111" priority="7"/>
    <cfRule type="duplicateValues" dxfId="110" priority="8"/>
  </conditionalFormatting>
  <conditionalFormatting sqref="C17:C39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5481-6863-4A2C-ACE5-11B06FC7399E}">
  <dimension ref="B1:AA17"/>
  <sheetViews>
    <sheetView zoomScale="90" zoomScaleNormal="90" workbookViewId="0">
      <selection activeCell="U19" sqref="U19:U3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5.5207142772419324</v>
      </c>
      <c r="R2" s="1">
        <f>(R14-J14)/J14</f>
        <v>-7.4186675698105997E-2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88</v>
      </c>
      <c r="D4" s="23">
        <v>1165811.7722223699</v>
      </c>
      <c r="E4" s="33">
        <v>146.44345992307461</v>
      </c>
      <c r="F4" s="5">
        <v>12</v>
      </c>
      <c r="G4" s="23">
        <v>93.333333333333329</v>
      </c>
      <c r="H4" s="33">
        <v>333.17399140428307</v>
      </c>
      <c r="I4" s="23">
        <v>46.56837742252381</v>
      </c>
      <c r="J4" s="5">
        <v>5421.3436955217421</v>
      </c>
      <c r="K4" s="31"/>
      <c r="L4" s="23">
        <v>1385659.6821264219</v>
      </c>
      <c r="M4" s="33">
        <v>245.4283146923766</v>
      </c>
      <c r="N4" s="5">
        <v>13</v>
      </c>
      <c r="O4" s="23">
        <v>92</v>
      </c>
      <c r="P4" s="33">
        <v>2289.2129495823738</v>
      </c>
      <c r="Q4" s="23">
        <v>42.236651693547884</v>
      </c>
      <c r="R4" s="5">
        <v>5194.2890365388948</v>
      </c>
      <c r="S4" s="35"/>
      <c r="T4" s="23">
        <v>1141901.908834517</v>
      </c>
      <c r="U4" s="33">
        <v>166.32645576923653</v>
      </c>
      <c r="V4" s="5">
        <v>12</v>
      </c>
      <c r="W4" s="23">
        <v>94</v>
      </c>
      <c r="X4" s="33">
        <v>25.047593324473674</v>
      </c>
      <c r="Y4" s="23">
        <v>47.106029369214639</v>
      </c>
      <c r="Z4" s="5">
        <v>5591.7810077563799</v>
      </c>
      <c r="AA4" s="35"/>
    </row>
    <row r="5" spans="2:27" x14ac:dyDescent="0.2">
      <c r="B5" s="4">
        <v>2</v>
      </c>
      <c r="C5" s="4">
        <v>199</v>
      </c>
      <c r="D5" s="23">
        <v>1177420.745513577</v>
      </c>
      <c r="E5" s="33">
        <v>181.57157261533524</v>
      </c>
      <c r="F5" s="5">
        <v>13</v>
      </c>
      <c r="G5" s="23">
        <v>94</v>
      </c>
      <c r="H5" s="33">
        <v>373.33237715219161</v>
      </c>
      <c r="I5" s="23">
        <v>43.243950924027288</v>
      </c>
      <c r="J5" s="5">
        <v>5436.530931383867</v>
      </c>
      <c r="K5" s="31"/>
      <c r="L5" s="23">
        <v>1396541.1719778031</v>
      </c>
      <c r="M5" s="33">
        <v>182.4512621538284</v>
      </c>
      <c r="N5" s="5">
        <v>14</v>
      </c>
      <c r="O5" s="23">
        <v>93.333333333333329</v>
      </c>
      <c r="P5" s="33">
        <v>2367.6211858757943</v>
      </c>
      <c r="Q5" s="23">
        <v>39.837158524354038</v>
      </c>
      <c r="R5" s="5">
        <v>5273.9602102971085</v>
      </c>
      <c r="S5" s="35"/>
      <c r="T5" s="23">
        <v>1122064.7248972</v>
      </c>
      <c r="U5" s="33">
        <v>291.87810161545019</v>
      </c>
      <c r="V5" s="5">
        <v>12</v>
      </c>
      <c r="W5" s="23">
        <v>94</v>
      </c>
      <c r="X5" s="33">
        <v>16.620889540391332</v>
      </c>
      <c r="Y5" s="23">
        <v>47.049685244818932</v>
      </c>
      <c r="Z5" s="5">
        <v>5477.9733651444885</v>
      </c>
      <c r="AA5" s="35"/>
    </row>
    <row r="6" spans="2:27" x14ac:dyDescent="0.2">
      <c r="B6" s="4">
        <v>3</v>
      </c>
      <c r="C6" s="4">
        <v>221</v>
      </c>
      <c r="D6" s="23">
        <v>1181428.0970732439</v>
      </c>
      <c r="E6" s="33">
        <v>221.80821776927377</v>
      </c>
      <c r="F6" s="5">
        <v>12</v>
      </c>
      <c r="G6" s="23">
        <v>94</v>
      </c>
      <c r="H6" s="33">
        <v>323.89224579221337</v>
      </c>
      <c r="I6" s="23">
        <v>46.327004582394245</v>
      </c>
      <c r="J6" s="5">
        <v>5606.299673098998</v>
      </c>
      <c r="K6" s="31"/>
      <c r="L6" s="23">
        <v>1385319.884013576</v>
      </c>
      <c r="M6" s="33">
        <v>368.71377423083271</v>
      </c>
      <c r="N6" s="5">
        <v>15</v>
      </c>
      <c r="O6" s="23">
        <v>93.333333333333329</v>
      </c>
      <c r="P6" s="33">
        <v>2239.7930799964597</v>
      </c>
      <c r="Q6" s="23">
        <v>36.771367066318746</v>
      </c>
      <c r="R6" s="5">
        <v>5139.2582565526764</v>
      </c>
      <c r="S6" s="35"/>
      <c r="T6" s="23">
        <v>1134795.9374744729</v>
      </c>
      <c r="U6" s="33">
        <v>122.79959776922345</v>
      </c>
      <c r="V6" s="5">
        <v>11</v>
      </c>
      <c r="W6" s="23">
        <v>94</v>
      </c>
      <c r="X6" s="33">
        <v>13.705630110907938</v>
      </c>
      <c r="Y6" s="23">
        <v>49.560843558152108</v>
      </c>
      <c r="Z6" s="5">
        <v>5666.2922579206024</v>
      </c>
      <c r="AA6" s="35"/>
    </row>
    <row r="7" spans="2:27" x14ac:dyDescent="0.2">
      <c r="B7" s="4">
        <v>4</v>
      </c>
      <c r="C7" s="4">
        <v>254</v>
      </c>
      <c r="D7" s="23">
        <v>1174184.5602595841</v>
      </c>
      <c r="E7" s="33">
        <v>154.33890084619631</v>
      </c>
      <c r="F7" s="5">
        <v>14</v>
      </c>
      <c r="G7" s="23">
        <v>94</v>
      </c>
      <c r="H7" s="33">
        <v>349.88343846988687</v>
      </c>
      <c r="I7" s="23">
        <v>40.279638286506497</v>
      </c>
      <c r="J7" s="5">
        <v>5312.0648531790848</v>
      </c>
      <c r="K7" s="31"/>
      <c r="L7" s="23">
        <v>1350843.2954044109</v>
      </c>
      <c r="M7" s="33">
        <v>565.12050384619772</v>
      </c>
      <c r="N7" s="5">
        <v>16</v>
      </c>
      <c r="O7" s="23">
        <v>93.333333333333329</v>
      </c>
      <c r="P7" s="33">
        <v>2057.1666836259856</v>
      </c>
      <c r="Q7" s="23">
        <v>35.200088924116315</v>
      </c>
      <c r="R7" s="5">
        <v>4950.1162598335022</v>
      </c>
      <c r="S7" s="35"/>
      <c r="T7" s="23">
        <v>1114833.3241930739</v>
      </c>
      <c r="U7" s="33">
        <v>150.724264230812</v>
      </c>
      <c r="V7" s="5">
        <v>12</v>
      </c>
      <c r="W7" s="23">
        <v>94</v>
      </c>
      <c r="X7" s="33">
        <v>8.4337446378189576</v>
      </c>
      <c r="Y7" s="23">
        <v>46.420804440321071</v>
      </c>
      <c r="Z7" s="5">
        <v>5401.9573533786743</v>
      </c>
      <c r="AA7" s="35"/>
    </row>
    <row r="8" spans="2:27" x14ac:dyDescent="0.2">
      <c r="B8" s="4">
        <v>5</v>
      </c>
      <c r="C8" s="4">
        <v>322</v>
      </c>
      <c r="D8" s="23">
        <v>1183868.953052948</v>
      </c>
      <c r="E8" s="33">
        <v>120.23267007692576</v>
      </c>
      <c r="F8" s="5">
        <v>12</v>
      </c>
      <c r="G8" s="23">
        <v>94</v>
      </c>
      <c r="H8" s="33">
        <v>521.56548228476356</v>
      </c>
      <c r="I8" s="23">
        <v>47.834075658752916</v>
      </c>
      <c r="J8" s="5">
        <v>5524.5107805118623</v>
      </c>
      <c r="K8" s="31"/>
      <c r="L8" s="23">
        <v>1375468.3313588121</v>
      </c>
      <c r="M8" s="33">
        <v>244.41203223075712</v>
      </c>
      <c r="N8" s="5">
        <v>14</v>
      </c>
      <c r="O8" s="23">
        <v>92.666666666666671</v>
      </c>
      <c r="P8" s="33">
        <v>2223.6557344589983</v>
      </c>
      <c r="Q8" s="23">
        <v>39.622097983725098</v>
      </c>
      <c r="R8" s="5">
        <v>5132.6017776244626</v>
      </c>
      <c r="S8" s="35"/>
      <c r="T8" s="23">
        <v>1143196.3276384741</v>
      </c>
      <c r="U8" s="33">
        <v>148.37311146153999</v>
      </c>
      <c r="V8" s="5">
        <v>11</v>
      </c>
      <c r="W8" s="23">
        <v>94</v>
      </c>
      <c r="X8" s="33">
        <v>33.585568534990841</v>
      </c>
      <c r="Y8" s="23">
        <v>50.777453952641707</v>
      </c>
      <c r="Z8" s="5">
        <v>5735.5169782041567</v>
      </c>
      <c r="AA8" s="35"/>
    </row>
    <row r="9" spans="2:27" x14ac:dyDescent="0.2">
      <c r="B9" s="4">
        <v>6</v>
      </c>
      <c r="C9" s="4">
        <v>333</v>
      </c>
      <c r="D9" s="23">
        <v>1155075.914594016</v>
      </c>
      <c r="E9" s="33">
        <v>124.98730038462853</v>
      </c>
      <c r="F9" s="5">
        <v>13</v>
      </c>
      <c r="G9" s="23">
        <v>94</v>
      </c>
      <c r="H9" s="33">
        <v>315.4818009440686</v>
      </c>
      <c r="I9" s="23">
        <v>43.565165325317544</v>
      </c>
      <c r="J9" s="5">
        <v>5346.775780707324</v>
      </c>
      <c r="K9" s="31"/>
      <c r="L9" s="23">
        <v>1372938.0755103589</v>
      </c>
      <c r="M9" s="33">
        <v>150.87833861533838</v>
      </c>
      <c r="N9" s="5">
        <v>14</v>
      </c>
      <c r="O9" s="23">
        <v>93.333333333333329</v>
      </c>
      <c r="P9" s="33">
        <v>2289.097934268571</v>
      </c>
      <c r="Q9" s="23">
        <v>40.347339428322933</v>
      </c>
      <c r="R9" s="5">
        <v>5193.1836485542808</v>
      </c>
      <c r="S9" s="35"/>
      <c r="T9" s="23">
        <v>1122064.7248972</v>
      </c>
      <c r="U9" s="33">
        <v>179.66961261538714</v>
      </c>
      <c r="V9" s="5">
        <v>12</v>
      </c>
      <c r="W9" s="23">
        <v>94</v>
      </c>
      <c r="X9" s="33">
        <v>16.620889540391332</v>
      </c>
      <c r="Y9" s="23">
        <v>47.049685244818932</v>
      </c>
      <c r="Z9" s="5">
        <v>5477.9733651444885</v>
      </c>
      <c r="AA9" s="35"/>
    </row>
    <row r="10" spans="2:27" x14ac:dyDescent="0.2">
      <c r="B10" s="4">
        <v>7</v>
      </c>
      <c r="C10" s="4">
        <v>475</v>
      </c>
      <c r="D10" s="23">
        <v>1183868.953052948</v>
      </c>
      <c r="E10" s="33">
        <v>177.72703538460729</v>
      </c>
      <c r="F10" s="5">
        <v>12</v>
      </c>
      <c r="G10" s="23">
        <v>94</v>
      </c>
      <c r="H10" s="33">
        <v>521.56548228476356</v>
      </c>
      <c r="I10" s="23">
        <v>47.834075658752916</v>
      </c>
      <c r="J10" s="5">
        <v>5524.5107805118623</v>
      </c>
      <c r="K10" s="31"/>
      <c r="L10" s="23">
        <v>1365044.5973582261</v>
      </c>
      <c r="M10" s="33">
        <v>142.27227899998138</v>
      </c>
      <c r="N10" s="5">
        <v>14</v>
      </c>
      <c r="O10" s="23">
        <v>92.666666666666671</v>
      </c>
      <c r="P10" s="33">
        <v>2212.3326740619032</v>
      </c>
      <c r="Q10" s="23">
        <v>40.132205862015113</v>
      </c>
      <c r="R10" s="5">
        <v>5117.6614111031195</v>
      </c>
      <c r="S10" s="35"/>
      <c r="T10" s="23">
        <v>1136218.758570235</v>
      </c>
      <c r="U10" s="33">
        <v>261.3985985384968</v>
      </c>
      <c r="V10" s="5">
        <v>13</v>
      </c>
      <c r="W10" s="23">
        <v>94</v>
      </c>
      <c r="X10" s="33">
        <v>36.87558938786173</v>
      </c>
      <c r="Y10" s="23">
        <v>43.06843584218781</v>
      </c>
      <c r="Z10" s="5">
        <v>5431.2407561221771</v>
      </c>
      <c r="AA10" s="35"/>
    </row>
    <row r="11" spans="2:27" x14ac:dyDescent="0.2">
      <c r="B11" s="4">
        <v>8</v>
      </c>
      <c r="C11" s="4">
        <v>637</v>
      </c>
      <c r="D11" s="23">
        <v>1183868.953052948</v>
      </c>
      <c r="E11" s="33">
        <v>188.87606300001676</v>
      </c>
      <c r="F11" s="5">
        <v>12</v>
      </c>
      <c r="G11" s="23">
        <v>94</v>
      </c>
      <c r="H11" s="33">
        <v>521.56548228476356</v>
      </c>
      <c r="I11" s="23">
        <v>47.834075658752916</v>
      </c>
      <c r="J11" s="5">
        <v>5524.5107805118623</v>
      </c>
      <c r="K11" s="31"/>
      <c r="L11" s="23">
        <v>1374540.7828763821</v>
      </c>
      <c r="M11" s="33">
        <v>235.79545130765138</v>
      </c>
      <c r="N11" s="5">
        <v>14</v>
      </c>
      <c r="O11" s="23">
        <v>92.666666666666671</v>
      </c>
      <c r="P11" s="33">
        <v>2236.5149420092112</v>
      </c>
      <c r="Q11" s="23">
        <v>39.782652161686585</v>
      </c>
      <c r="R11" s="5">
        <v>5139.4034312178374</v>
      </c>
      <c r="S11" s="35"/>
      <c r="T11" s="23">
        <v>1126586.5478164279</v>
      </c>
      <c r="U11" s="33">
        <v>220.81883700000336</v>
      </c>
      <c r="V11" s="5">
        <v>13</v>
      </c>
      <c r="W11" s="23">
        <v>94</v>
      </c>
      <c r="X11" s="33">
        <v>12.827542679121139</v>
      </c>
      <c r="Y11" s="23">
        <v>42.951200600048338</v>
      </c>
      <c r="Z11" s="5">
        <v>5334.7543202663928</v>
      </c>
      <c r="AA11" s="35"/>
    </row>
    <row r="12" spans="2:27" x14ac:dyDescent="0.2">
      <c r="B12" s="4">
        <v>9</v>
      </c>
      <c r="C12" s="4">
        <v>903</v>
      </c>
      <c r="D12" s="23">
        <v>1175236.7998209151</v>
      </c>
      <c r="E12" s="33">
        <v>169.29325138460484</v>
      </c>
      <c r="F12" s="5">
        <v>13</v>
      </c>
      <c r="G12" s="23">
        <v>94</v>
      </c>
      <c r="H12" s="33">
        <v>385.7997171012762</v>
      </c>
      <c r="I12" s="23">
        <v>43.97680808942669</v>
      </c>
      <c r="J12" s="5">
        <v>5432.5516405024864</v>
      </c>
      <c r="K12" s="31"/>
      <c r="L12" s="23">
        <v>1376539.1168560931</v>
      </c>
      <c r="M12" s="33">
        <v>110.32551615382546</v>
      </c>
      <c r="N12" s="5">
        <v>13</v>
      </c>
      <c r="O12" s="23">
        <v>93.333333333333329</v>
      </c>
      <c r="P12" s="33">
        <v>2373.898771855188</v>
      </c>
      <c r="Q12" s="23">
        <v>43.419150152721258</v>
      </c>
      <c r="R12" s="5">
        <v>5277.9844861409028</v>
      </c>
      <c r="S12" s="35"/>
      <c r="T12" s="23">
        <v>1157772.7497033749</v>
      </c>
      <c r="U12" s="33">
        <v>107.56530315382408</v>
      </c>
      <c r="V12" s="5">
        <v>12</v>
      </c>
      <c r="W12" s="23">
        <v>94</v>
      </c>
      <c r="X12" s="33">
        <v>15.745755465322338</v>
      </c>
      <c r="Y12" s="23">
        <v>46.666285494015092</v>
      </c>
      <c r="Z12" s="5">
        <v>5710.2267069824147</v>
      </c>
      <c r="AA12" s="35"/>
    </row>
    <row r="13" spans="2:27" x14ac:dyDescent="0.2">
      <c r="B13" s="4">
        <v>10</v>
      </c>
      <c r="C13" s="4">
        <v>998</v>
      </c>
      <c r="D13" s="23">
        <v>1157102.776712934</v>
      </c>
      <c r="E13" s="33">
        <v>180.61401653846798</v>
      </c>
      <c r="F13" s="5">
        <v>13</v>
      </c>
      <c r="G13" s="23">
        <v>94</v>
      </c>
      <c r="H13" s="33">
        <v>310.69270707462476</v>
      </c>
      <c r="I13" s="23">
        <v>43.500701755209576</v>
      </c>
      <c r="J13" s="5">
        <v>5348.9870947343234</v>
      </c>
      <c r="K13" s="31"/>
      <c r="L13" s="23">
        <v>1395664.4430122711</v>
      </c>
      <c r="M13" s="33">
        <v>199.52185292307362</v>
      </c>
      <c r="N13" s="5">
        <v>13</v>
      </c>
      <c r="O13" s="23">
        <v>92.666666666666671</v>
      </c>
      <c r="P13" s="33">
        <v>2381.8116570000825</v>
      </c>
      <c r="Q13" s="23">
        <v>42.621668747189489</v>
      </c>
      <c r="R13" s="5">
        <v>5283.6171492229951</v>
      </c>
      <c r="S13" s="35"/>
      <c r="T13" s="23">
        <v>1127057.740833733</v>
      </c>
      <c r="U13" s="33">
        <v>252.65176499996758</v>
      </c>
      <c r="V13" s="5">
        <v>13</v>
      </c>
      <c r="W13" s="23">
        <v>94</v>
      </c>
      <c r="X13" s="33">
        <v>12.795557348873821</v>
      </c>
      <c r="Y13" s="23">
        <v>42.886026017034219</v>
      </c>
      <c r="Z13" s="5">
        <v>5329.5477662884186</v>
      </c>
      <c r="AA13" s="35"/>
    </row>
    <row r="14" spans="2:27" x14ac:dyDescent="0.2">
      <c r="B14" s="50" t="s">
        <v>3</v>
      </c>
      <c r="C14" s="51"/>
      <c r="D14" s="9">
        <f>MIN(D4:D13)</f>
        <v>1155075.914594016</v>
      </c>
      <c r="E14" s="22">
        <f>INDEX(E4:E13, MATCH($D$14, D4:D13, 0))</f>
        <v>124.98730038462853</v>
      </c>
      <c r="F14" s="9">
        <f>INDEX(F4:F13, MATCH($D$14, D4:D13, 0))</f>
        <v>13</v>
      </c>
      <c r="G14" s="9">
        <f>INDEX(G4:G13, MATCH($D$14, D4:D13, 0))</f>
        <v>94</v>
      </c>
      <c r="H14" s="22">
        <f>INDEX(H4:H13, MATCH($D$14, D4:D13, 0))</f>
        <v>315.4818009440686</v>
      </c>
      <c r="I14" s="22">
        <f>INDEX(I4:I13, MATCH($D$14, D4:D13, 0))</f>
        <v>43.565165325317544</v>
      </c>
      <c r="J14" s="22">
        <f>INDEX(J4:J13, MATCH($D$14, D4:D13, 0))</f>
        <v>5346.775780707324</v>
      </c>
      <c r="K14" s="32" t="e">
        <f>(D14-$D$15)/$D$15</f>
        <v>#DIV/0!</v>
      </c>
      <c r="L14" s="16">
        <f>MIN(L4:L13)</f>
        <v>1350843.2954044109</v>
      </c>
      <c r="M14" s="21">
        <f>INDEX(M4:M13, MATCH($L$14, L4:L13, 0))</f>
        <v>565.12050384619772</v>
      </c>
      <c r="N14" s="16">
        <f>INDEX(N4:N13, MATCH($L$14, L4:L13, 0))</f>
        <v>16</v>
      </c>
      <c r="O14" s="16">
        <f>INDEX(O4:O13, MATCH($L$14, L4:L13, 0))</f>
        <v>93.333333333333329</v>
      </c>
      <c r="P14" s="21">
        <f>INDEX(P4:P13, MATCH($L$14, L4:L13, 0))</f>
        <v>2057.1666836259856</v>
      </c>
      <c r="Q14" s="21">
        <f>INDEX(Q4:Q13, MATCH($L$14, L4:L13, 0))</f>
        <v>35.200088924116315</v>
      </c>
      <c r="R14" s="21">
        <f>INDEX(R4:R13, MATCH($L$14, L4:L13, 0))</f>
        <v>4950.1162598335022</v>
      </c>
      <c r="S14" s="36" t="e">
        <f>(L14-$D$15)/$D$15</f>
        <v>#DIV/0!</v>
      </c>
      <c r="T14" s="38">
        <f>MIN(T4:T13)</f>
        <v>1114833.3241930739</v>
      </c>
      <c r="U14" s="39">
        <f>INDEX(U4:U13, MATCH($T$14, T4:T13, 0))</f>
        <v>150.724264230812</v>
      </c>
      <c r="V14" s="38">
        <f>INDEX(V4:V13, MATCH($T$14, T4:T13, 0))</f>
        <v>12</v>
      </c>
      <c r="W14" s="38">
        <f>INDEX(W4:W13, MATCH($T$14, T4:T13, 0))</f>
        <v>94</v>
      </c>
      <c r="X14" s="39">
        <f>INDEX(X4:X13, MATCH($T$14, T4:T13, 0))</f>
        <v>8.4337446378189576</v>
      </c>
      <c r="Y14" s="39">
        <f>INDEX(Y4:Y13, MATCH($T$14, T4:T13, 0))</f>
        <v>46.420804440321071</v>
      </c>
      <c r="Z14" s="39">
        <f>INDEX(Z4:Z13, MATCH($T$14, T4:T13, 0))</f>
        <v>5401.9573533786743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0.16948442811155218</v>
      </c>
      <c r="M15" s="41">
        <f t="shared" ref="M15:R15" si="0">(M14-E14)/E14</f>
        <v>3.5214233934738117</v>
      </c>
      <c r="N15" s="41">
        <f t="shared" si="0"/>
        <v>0.23076923076923078</v>
      </c>
      <c r="O15" s="41">
        <f t="shared" si="0"/>
        <v>-7.0921985815603338E-3</v>
      </c>
      <c r="P15" s="41">
        <f t="shared" si="0"/>
        <v>5.5207142772419324</v>
      </c>
      <c r="Q15" s="41">
        <f t="shared" si="0"/>
        <v>-0.1920129612440592</v>
      </c>
      <c r="R15" s="41">
        <f t="shared" si="0"/>
        <v>-7.4186675698105997E-2</v>
      </c>
      <c r="T15" s="41">
        <f>(T14-D14)/D14</f>
        <v>-3.4839779699749454E-2</v>
      </c>
      <c r="U15" s="41">
        <f t="shared" ref="U15:Z15" si="1">(U14-E14)/E14</f>
        <v>0.20591663126559306</v>
      </c>
      <c r="V15" s="41">
        <f t="shared" si="1"/>
        <v>-7.6923076923076927E-2</v>
      </c>
      <c r="W15" s="41">
        <f t="shared" si="1"/>
        <v>0</v>
      </c>
      <c r="X15" s="41">
        <f t="shared" si="1"/>
        <v>-0.97326709619197915</v>
      </c>
      <c r="Y15" s="41">
        <f t="shared" si="1"/>
        <v>6.5548680779227875E-2</v>
      </c>
      <c r="Z15" s="41">
        <f t="shared" si="1"/>
        <v>1.032053239832143E-2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0:C1048576">
    <cfRule type="duplicateValues" dxfId="109" priority="11"/>
    <cfRule type="duplicateValues" dxfId="108" priority="12"/>
  </conditionalFormatting>
  <conditionalFormatting sqref="C2">
    <cfRule type="duplicateValues" dxfId="107" priority="3"/>
    <cfRule type="duplicateValues" dxfId="106" priority="4"/>
  </conditionalFormatting>
  <conditionalFormatting sqref="C4:C13">
    <cfRule type="duplicateValues" dxfId="105" priority="5"/>
    <cfRule type="duplicateValues" dxfId="104" priority="6"/>
  </conditionalFormatting>
  <conditionalFormatting sqref="C14">
    <cfRule type="duplicateValues" dxfId="103" priority="9"/>
    <cfRule type="duplicateValues" dxfId="102" priority="10"/>
  </conditionalFormatting>
  <conditionalFormatting sqref="C15">
    <cfRule type="duplicateValues" dxfId="101" priority="7"/>
    <cfRule type="duplicateValues" dxfId="100" priority="8"/>
  </conditionalFormatting>
  <conditionalFormatting sqref="C17:C39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9C41-71D6-43C7-8DDF-0A8890644F1D}">
  <dimension ref="B1:AA17"/>
  <sheetViews>
    <sheetView zoomScale="90" zoomScaleNormal="90" workbookViewId="0">
      <selection activeCell="U18" sqref="U18:U35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3.49253121153619</v>
      </c>
      <c r="R2" s="1">
        <f>(R14-J14)/J14</f>
        <v>-4.8448567920213917E-2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38</v>
      </c>
      <c r="D4" s="23">
        <v>1121786.2826260659</v>
      </c>
      <c r="E4" s="33">
        <v>323.91321707696005</v>
      </c>
      <c r="F4" s="5">
        <v>13</v>
      </c>
      <c r="G4" s="23">
        <v>98.666666666666671</v>
      </c>
      <c r="H4" s="33">
        <v>619.0229855192207</v>
      </c>
      <c r="I4" s="23">
        <v>45.072103264841239</v>
      </c>
      <c r="J4" s="5">
        <v>5694.8610713517592</v>
      </c>
      <c r="K4" s="31"/>
      <c r="L4" s="23">
        <v>1345914.415690707</v>
      </c>
      <c r="M4" s="33">
        <v>129.95991992307469</v>
      </c>
      <c r="N4" s="5">
        <v>13</v>
      </c>
      <c r="O4" s="23">
        <v>96</v>
      </c>
      <c r="P4" s="33">
        <v>2549.120390233189</v>
      </c>
      <c r="Q4" s="23">
        <v>44.370846556935291</v>
      </c>
      <c r="R4" s="5">
        <v>5437.2497393081467</v>
      </c>
      <c r="S4" s="35"/>
      <c r="T4" s="23">
        <v>1067299.6475704261</v>
      </c>
      <c r="U4" s="33">
        <v>126.34425215387284</v>
      </c>
      <c r="V4" s="5">
        <v>13</v>
      </c>
      <c r="W4" s="23">
        <v>98.666666666666671</v>
      </c>
      <c r="X4" s="33">
        <v>34.106534380964554</v>
      </c>
      <c r="Y4" s="23">
        <v>44.319799609270461</v>
      </c>
      <c r="Z4" s="5">
        <v>5748.1113812402182</v>
      </c>
      <c r="AA4" s="35"/>
    </row>
    <row r="5" spans="2:27" x14ac:dyDescent="0.2">
      <c r="B5" s="4">
        <v>2</v>
      </c>
      <c r="C5" s="4">
        <v>43</v>
      </c>
      <c r="D5" s="23">
        <v>1121786.2826260659</v>
      </c>
      <c r="E5" s="33">
        <v>208.6951060769542</v>
      </c>
      <c r="F5" s="5">
        <v>13</v>
      </c>
      <c r="G5" s="23">
        <v>98.666666666666671</v>
      </c>
      <c r="H5" s="33">
        <v>619.0229855192207</v>
      </c>
      <c r="I5" s="23">
        <v>45.072103264841239</v>
      </c>
      <c r="J5" s="5">
        <v>5694.8610713517592</v>
      </c>
      <c r="K5" s="31"/>
      <c r="L5" s="23">
        <v>1327391.959241017</v>
      </c>
      <c r="M5" s="33">
        <v>233.76991884612761</v>
      </c>
      <c r="N5" s="5">
        <v>15</v>
      </c>
      <c r="O5" s="23">
        <v>97.333333333333329</v>
      </c>
      <c r="P5" s="33">
        <v>2422.126168716733</v>
      </c>
      <c r="Q5" s="23">
        <v>39.228783849329915</v>
      </c>
      <c r="R5" s="5">
        <v>5312.8838776659977</v>
      </c>
      <c r="S5" s="35"/>
      <c r="T5" s="23">
        <v>1080874.836102545</v>
      </c>
      <c r="U5" s="33">
        <v>98.725997769237992</v>
      </c>
      <c r="V5" s="5">
        <v>13</v>
      </c>
      <c r="W5" s="23">
        <v>98.666666666666671</v>
      </c>
      <c r="X5" s="33">
        <v>38.678502574368338</v>
      </c>
      <c r="Y5" s="23">
        <v>45.769562918325697</v>
      </c>
      <c r="Z5" s="5">
        <v>5856.3623086425287</v>
      </c>
      <c r="AA5" s="35"/>
    </row>
    <row r="6" spans="2:27" x14ac:dyDescent="0.2">
      <c r="B6" s="4">
        <v>3</v>
      </c>
      <c r="C6" s="4">
        <v>165</v>
      </c>
      <c r="D6" s="23">
        <v>1146239.0879266439</v>
      </c>
      <c r="E6" s="33">
        <v>145.33956584610183</v>
      </c>
      <c r="F6" s="5">
        <v>14</v>
      </c>
      <c r="G6" s="23">
        <v>98.666666666666671</v>
      </c>
      <c r="H6" s="33">
        <v>647.95799584527902</v>
      </c>
      <c r="I6" s="23">
        <v>42.327934779083762</v>
      </c>
      <c r="J6" s="5">
        <v>5712.7035541894957</v>
      </c>
      <c r="K6" s="31"/>
      <c r="L6" s="23">
        <v>1338134.8654356729</v>
      </c>
      <c r="M6" s="33">
        <v>290.89693830769437</v>
      </c>
      <c r="N6" s="5">
        <v>14</v>
      </c>
      <c r="O6" s="23">
        <v>94.666666666666671</v>
      </c>
      <c r="P6" s="33">
        <v>2345.3803474925535</v>
      </c>
      <c r="Q6" s="23">
        <v>40.874520782310093</v>
      </c>
      <c r="R6" s="5">
        <v>5237.6094892386955</v>
      </c>
      <c r="S6" s="35"/>
      <c r="T6" s="23">
        <v>1099597.814112833</v>
      </c>
      <c r="U6" s="33">
        <v>271.48104269227662</v>
      </c>
      <c r="V6" s="5">
        <v>14</v>
      </c>
      <c r="W6" s="23">
        <v>98.666666666666671</v>
      </c>
      <c r="X6" s="33">
        <v>18.403625213004194</v>
      </c>
      <c r="Y6" s="23">
        <v>40.292347195269613</v>
      </c>
      <c r="Z6" s="5">
        <v>5824.8485344969604</v>
      </c>
      <c r="AA6" s="35"/>
    </row>
    <row r="7" spans="2:27" x14ac:dyDescent="0.2">
      <c r="B7" s="4">
        <v>4</v>
      </c>
      <c r="C7" s="4">
        <v>242</v>
      </c>
      <c r="D7" s="23">
        <v>1130331.2847810029</v>
      </c>
      <c r="E7" s="33">
        <v>333.8130008461527</v>
      </c>
      <c r="F7" s="5">
        <v>14</v>
      </c>
      <c r="G7" s="23">
        <v>98.666666666666671</v>
      </c>
      <c r="H7" s="33">
        <v>539.58555323621454</v>
      </c>
      <c r="I7" s="23">
        <v>42.186819433527738</v>
      </c>
      <c r="J7" s="5">
        <v>5683.283563563481</v>
      </c>
      <c r="K7" s="31"/>
      <c r="L7" s="23">
        <v>1358283.461665245</v>
      </c>
      <c r="M7" s="33">
        <v>333.91181830764526</v>
      </c>
      <c r="N7" s="5">
        <v>16</v>
      </c>
      <c r="O7" s="23">
        <v>98</v>
      </c>
      <c r="P7" s="33">
        <v>2510.9340617689381</v>
      </c>
      <c r="Q7" s="23">
        <v>36.113039369499802</v>
      </c>
      <c r="R7" s="5">
        <v>5401.6356009988258</v>
      </c>
      <c r="S7" s="35"/>
      <c r="T7" s="23">
        <v>1106998.469643713</v>
      </c>
      <c r="U7" s="33">
        <v>244.5143353077583</v>
      </c>
      <c r="V7" s="5">
        <v>14</v>
      </c>
      <c r="W7" s="23">
        <v>98.666666666666671</v>
      </c>
      <c r="X7" s="33">
        <v>25.344375303771457</v>
      </c>
      <c r="Y7" s="23">
        <v>41.27068574612877</v>
      </c>
      <c r="Z7" s="5">
        <v>5890.1097115361299</v>
      </c>
      <c r="AA7" s="35"/>
    </row>
    <row r="8" spans="2:27" x14ac:dyDescent="0.2">
      <c r="B8" s="4">
        <v>5</v>
      </c>
      <c r="C8" s="4">
        <v>358</v>
      </c>
      <c r="D8" s="23">
        <v>1134322.89888199</v>
      </c>
      <c r="E8" s="33">
        <v>145.86066753845299</v>
      </c>
      <c r="F8" s="5">
        <v>13</v>
      </c>
      <c r="G8" s="23">
        <v>98.666666666666671</v>
      </c>
      <c r="H8" s="33">
        <v>601.82548601251983</v>
      </c>
      <c r="I8" s="23">
        <v>43.954983973877411</v>
      </c>
      <c r="J8" s="5">
        <v>5755.0234233203137</v>
      </c>
      <c r="K8" s="31"/>
      <c r="L8" s="23">
        <v>1390101.722286792</v>
      </c>
      <c r="M8" s="33">
        <v>313.02161707695069</v>
      </c>
      <c r="N8" s="5">
        <v>14</v>
      </c>
      <c r="O8" s="23">
        <v>94</v>
      </c>
      <c r="P8" s="33">
        <v>2503.874920527127</v>
      </c>
      <c r="Q8" s="23">
        <v>39.819109386131011</v>
      </c>
      <c r="R8" s="5">
        <v>5397.262570695726</v>
      </c>
      <c r="S8" s="35"/>
      <c r="T8" s="23">
        <v>1068024.4321703541</v>
      </c>
      <c r="U8" s="33">
        <v>125.55520653850039</v>
      </c>
      <c r="V8" s="5">
        <v>13</v>
      </c>
      <c r="W8" s="23">
        <v>98</v>
      </c>
      <c r="X8" s="33">
        <v>61.717766575424939</v>
      </c>
      <c r="Y8" s="23">
        <v>45.293824612445661</v>
      </c>
      <c r="Z8" s="5">
        <v>5683.8543738644257</v>
      </c>
      <c r="AA8" s="35"/>
    </row>
    <row r="9" spans="2:27" x14ac:dyDescent="0.2">
      <c r="B9" s="4">
        <v>6</v>
      </c>
      <c r="C9" s="4">
        <v>479</v>
      </c>
      <c r="D9" s="23">
        <v>1120670.5772736871</v>
      </c>
      <c r="E9" s="33">
        <v>230.17353484613031</v>
      </c>
      <c r="F9" s="5">
        <v>13</v>
      </c>
      <c r="G9" s="23">
        <v>98.666666666666671</v>
      </c>
      <c r="H9" s="33">
        <v>598.59378458235756</v>
      </c>
      <c r="I9" s="23">
        <v>43.835182209102499</v>
      </c>
      <c r="J9" s="5">
        <v>5690.5646683356308</v>
      </c>
      <c r="K9" s="31"/>
      <c r="L9" s="23">
        <v>1336333.0558470681</v>
      </c>
      <c r="M9" s="33">
        <v>298.67250846152621</v>
      </c>
      <c r="N9" s="5">
        <v>16</v>
      </c>
      <c r="O9" s="23">
        <v>98</v>
      </c>
      <c r="P9" s="33">
        <v>2430.917944643194</v>
      </c>
      <c r="Q9" s="23">
        <v>35.178414175723681</v>
      </c>
      <c r="R9" s="5">
        <v>5322.2997559819296</v>
      </c>
      <c r="S9" s="35"/>
      <c r="T9" s="23">
        <v>1049844.537823736</v>
      </c>
      <c r="U9" s="33">
        <v>187.16106099998939</v>
      </c>
      <c r="V9" s="5">
        <v>12</v>
      </c>
      <c r="W9" s="23">
        <v>98</v>
      </c>
      <c r="X9" s="33">
        <v>41.83951103893699</v>
      </c>
      <c r="Y9" s="23">
        <v>48.749856064706954</v>
      </c>
      <c r="Z9" s="5">
        <v>5699.4926511999802</v>
      </c>
      <c r="AA9" s="35"/>
    </row>
    <row r="10" spans="2:27" x14ac:dyDescent="0.2">
      <c r="B10" s="4">
        <v>7</v>
      </c>
      <c r="C10" s="4">
        <v>517</v>
      </c>
      <c r="D10" s="23">
        <v>1109461.4547045201</v>
      </c>
      <c r="E10" s="33">
        <v>267.75269992309256</v>
      </c>
      <c r="F10" s="5">
        <v>13</v>
      </c>
      <c r="G10" s="23">
        <v>98.666666666666671</v>
      </c>
      <c r="H10" s="33">
        <v>556.1484043778413</v>
      </c>
      <c r="I10" s="23">
        <v>46.079268944698597</v>
      </c>
      <c r="J10" s="5">
        <v>5662.791341137412</v>
      </c>
      <c r="K10" s="31"/>
      <c r="L10" s="23">
        <v>1337522.531358978</v>
      </c>
      <c r="M10" s="33">
        <v>346.43395176927481</v>
      </c>
      <c r="N10" s="5">
        <v>15</v>
      </c>
      <c r="O10" s="23">
        <v>98</v>
      </c>
      <c r="P10" s="33">
        <v>2502.9891309402929</v>
      </c>
      <c r="Q10" s="23">
        <v>39.40840228668246</v>
      </c>
      <c r="R10" s="5">
        <v>5393.2791003728971</v>
      </c>
      <c r="S10" s="35"/>
      <c r="T10" s="23">
        <v>1080801.4076450639</v>
      </c>
      <c r="U10" s="33">
        <v>218.6167839999633</v>
      </c>
      <c r="V10" s="5">
        <v>13</v>
      </c>
      <c r="W10" s="23">
        <v>98.666666666666671</v>
      </c>
      <c r="X10" s="33">
        <v>29.823517812991827</v>
      </c>
      <c r="Y10" s="23">
        <v>45.758545023524192</v>
      </c>
      <c r="Z10" s="5">
        <v>5869.7295486692019</v>
      </c>
      <c r="AA10" s="35"/>
    </row>
    <row r="11" spans="2:27" x14ac:dyDescent="0.2">
      <c r="B11" s="4">
        <v>8</v>
      </c>
      <c r="C11" s="4">
        <v>583</v>
      </c>
      <c r="D11" s="23">
        <v>1208164.084242699</v>
      </c>
      <c r="E11" s="33">
        <v>135.39227392309562</v>
      </c>
      <c r="F11" s="5">
        <v>13</v>
      </c>
      <c r="G11" s="23">
        <v>97.333333333333329</v>
      </c>
      <c r="H11" s="33">
        <v>788.31076836414411</v>
      </c>
      <c r="I11" s="23">
        <v>45.564296915079552</v>
      </c>
      <c r="J11" s="5">
        <v>5997.4604940281197</v>
      </c>
      <c r="K11" s="31"/>
      <c r="L11" s="23">
        <v>1343729.59660574</v>
      </c>
      <c r="M11" s="33">
        <v>143.20808692306923</v>
      </c>
      <c r="N11" s="5">
        <v>14</v>
      </c>
      <c r="O11" s="23">
        <v>97.333333333333329</v>
      </c>
      <c r="P11" s="33">
        <v>2561.2431604662361</v>
      </c>
      <c r="Q11" s="23">
        <v>41.054944135375116</v>
      </c>
      <c r="R11" s="5">
        <v>5453.0042992798935</v>
      </c>
      <c r="S11" s="35"/>
      <c r="T11" s="23">
        <v>1079128.439577285</v>
      </c>
      <c r="U11" s="33">
        <v>246.47082692307706</v>
      </c>
      <c r="V11" s="5">
        <v>13</v>
      </c>
      <c r="W11" s="23">
        <v>98.666666666666671</v>
      </c>
      <c r="X11" s="33">
        <v>40.682890607699278</v>
      </c>
      <c r="Y11" s="23">
        <v>44.595828648626238</v>
      </c>
      <c r="Z11" s="5">
        <v>5815.5799577774696</v>
      </c>
      <c r="AA11" s="35"/>
    </row>
    <row r="12" spans="2:27" x14ac:dyDescent="0.2">
      <c r="B12" s="4">
        <v>9</v>
      </c>
      <c r="C12" s="4">
        <v>614</v>
      </c>
      <c r="D12" s="23">
        <v>1158688.9487574219</v>
      </c>
      <c r="E12" s="33">
        <v>130.9993118461436</v>
      </c>
      <c r="F12" s="5">
        <v>13</v>
      </c>
      <c r="G12" s="23">
        <v>98</v>
      </c>
      <c r="H12" s="33">
        <v>600.50049892048003</v>
      </c>
      <c r="I12" s="23">
        <v>44.082311528140231</v>
      </c>
      <c r="J12" s="5">
        <v>5867.9866836457422</v>
      </c>
      <c r="K12" s="31"/>
      <c r="L12" s="23">
        <v>1322491.4723871481</v>
      </c>
      <c r="M12" s="33">
        <v>300.78302715385621</v>
      </c>
      <c r="N12" s="5">
        <v>15</v>
      </c>
      <c r="O12" s="23">
        <v>98.666666666666671</v>
      </c>
      <c r="P12" s="33">
        <v>2498.5140649135024</v>
      </c>
      <c r="Q12" s="23">
        <v>39.572856547197787</v>
      </c>
      <c r="R12" s="5">
        <v>5388.4372102283169</v>
      </c>
      <c r="S12" s="35"/>
      <c r="T12" s="23">
        <v>1115542.3918797779</v>
      </c>
      <c r="U12" s="33">
        <v>271.99835415383296</v>
      </c>
      <c r="V12" s="5">
        <v>12</v>
      </c>
      <c r="W12" s="23">
        <v>98</v>
      </c>
      <c r="X12" s="33">
        <v>85.413264815169796</v>
      </c>
      <c r="Y12" s="23">
        <v>47.626732561727842</v>
      </c>
      <c r="Z12" s="5">
        <v>6072.8090809082933</v>
      </c>
      <c r="AA12" s="35"/>
    </row>
    <row r="13" spans="2:27" x14ac:dyDescent="0.2">
      <c r="B13" s="4">
        <v>10</v>
      </c>
      <c r="C13" s="4">
        <v>945</v>
      </c>
      <c r="D13" s="23">
        <v>1148819.2570402501</v>
      </c>
      <c r="E13" s="33">
        <v>155.96661746152677</v>
      </c>
      <c r="F13" s="5">
        <v>14</v>
      </c>
      <c r="G13" s="23">
        <v>98.666666666666671</v>
      </c>
      <c r="H13" s="33">
        <v>613.47811460885009</v>
      </c>
      <c r="I13" s="23">
        <v>41.600870935938474</v>
      </c>
      <c r="J13" s="5">
        <v>5742.8782596553647</v>
      </c>
      <c r="K13" s="31"/>
      <c r="L13" s="23">
        <v>1476284.150867983</v>
      </c>
      <c r="M13" s="33">
        <v>233.10348361533559</v>
      </c>
      <c r="N13" s="5">
        <v>14</v>
      </c>
      <c r="O13" s="23">
        <v>91.333333333333329</v>
      </c>
      <c r="P13" s="33">
        <v>2632.3211253384593</v>
      </c>
      <c r="Q13" s="23">
        <v>37.937223780766281</v>
      </c>
      <c r="R13" s="5">
        <v>5518.3325832363744</v>
      </c>
      <c r="S13" s="35"/>
      <c r="T13" s="23">
        <v>1080801.4076450639</v>
      </c>
      <c r="U13" s="33">
        <v>162.44864238461906</v>
      </c>
      <c r="V13" s="5">
        <v>13</v>
      </c>
      <c r="W13" s="23">
        <v>98.666666666666671</v>
      </c>
      <c r="X13" s="33">
        <v>29.823517812991827</v>
      </c>
      <c r="Y13" s="23">
        <v>45.758545023524192</v>
      </c>
      <c r="Z13" s="5">
        <v>5869.7295486692019</v>
      </c>
      <c r="AA13" s="35"/>
    </row>
    <row r="14" spans="2:27" x14ac:dyDescent="0.2">
      <c r="B14" s="50" t="s">
        <v>3</v>
      </c>
      <c r="C14" s="51"/>
      <c r="D14" s="9">
        <f>MIN(D4:D13)</f>
        <v>1109461.4547045201</v>
      </c>
      <c r="E14" s="22">
        <f>INDEX(E4:E13, MATCH($D$14, D4:D13, 0))</f>
        <v>267.75269992309256</v>
      </c>
      <c r="F14" s="9">
        <f>INDEX(F4:F13, MATCH($D$14, D4:D13, 0))</f>
        <v>13</v>
      </c>
      <c r="G14" s="9">
        <f>INDEX(G4:G13, MATCH($D$14, D4:D13, 0))</f>
        <v>98.666666666666671</v>
      </c>
      <c r="H14" s="22">
        <f>INDEX(H4:H13, MATCH($D$14, D4:D13, 0))</f>
        <v>556.1484043778413</v>
      </c>
      <c r="I14" s="22">
        <f>INDEX(I4:I13, MATCH($D$14, D4:D13, 0))</f>
        <v>46.079268944698597</v>
      </c>
      <c r="J14" s="22">
        <f>INDEX(J4:J13, MATCH($D$14, D4:D13, 0))</f>
        <v>5662.791341137412</v>
      </c>
      <c r="K14" s="32" t="e">
        <f>(D14-$D$15)/$D$15</f>
        <v>#DIV/0!</v>
      </c>
      <c r="L14" s="16">
        <f>MIN(L4:L13)</f>
        <v>1322491.4723871481</v>
      </c>
      <c r="M14" s="21">
        <f>INDEX(M4:M13, MATCH($L$14, L4:L13, 0))</f>
        <v>300.78302715385621</v>
      </c>
      <c r="N14" s="16">
        <f>INDEX(N4:N13, MATCH($L$14, L4:L13, 0))</f>
        <v>15</v>
      </c>
      <c r="O14" s="16">
        <f>INDEX(O4:O13, MATCH($L$14, L4:L13, 0))</f>
        <v>98.666666666666671</v>
      </c>
      <c r="P14" s="21">
        <f>INDEX(P4:P13, MATCH($L$14, L4:L13, 0))</f>
        <v>2498.5140649135024</v>
      </c>
      <c r="Q14" s="21">
        <f>INDEX(Q4:Q13, MATCH($L$14, L4:L13, 0))</f>
        <v>39.572856547197787</v>
      </c>
      <c r="R14" s="21">
        <f>INDEX(R4:R13, MATCH($L$14, L4:L13, 0))</f>
        <v>5388.4372102283169</v>
      </c>
      <c r="S14" s="36" t="e">
        <f>(L14-$D$15)/$D$15</f>
        <v>#DIV/0!</v>
      </c>
      <c r="T14" s="38">
        <f>MIN(T4:T13)</f>
        <v>1049844.537823736</v>
      </c>
      <c r="U14" s="39">
        <f>INDEX(U4:U13, MATCH($T$14, T4:T13, 0))</f>
        <v>187.16106099998939</v>
      </c>
      <c r="V14" s="38">
        <f>INDEX(V4:V13, MATCH($T$14, T4:T13, 0))</f>
        <v>12</v>
      </c>
      <c r="W14" s="38">
        <f>INDEX(W4:W13, MATCH($T$14, T4:T13, 0))</f>
        <v>98</v>
      </c>
      <c r="X14" s="39">
        <f>INDEX(X4:X13, MATCH($T$14, T4:T13, 0))</f>
        <v>41.83951103893699</v>
      </c>
      <c r="Y14" s="39">
        <f>INDEX(Y4:Y13, MATCH($T$14, T4:T13, 0))</f>
        <v>48.749856064706954</v>
      </c>
      <c r="Z14" s="39">
        <f>INDEX(Z4:Z13, MATCH($T$14, T4:T13, 0))</f>
        <v>5699.4926511999802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0.19201209449801365</v>
      </c>
      <c r="M15" s="41">
        <f t="shared" ref="M15:R15" si="0">(M14-E14)/E14</f>
        <v>0.12336132274390155</v>
      </c>
      <c r="N15" s="41">
        <f t="shared" si="0"/>
        <v>0.15384615384615385</v>
      </c>
      <c r="O15" s="41">
        <f t="shared" si="0"/>
        <v>0</v>
      </c>
      <c r="P15" s="41">
        <f t="shared" si="0"/>
        <v>3.49253121153619</v>
      </c>
      <c r="Q15" s="41">
        <f t="shared" si="0"/>
        <v>-0.14120042584246273</v>
      </c>
      <c r="R15" s="41">
        <f t="shared" si="0"/>
        <v>-4.8448567920213917E-2</v>
      </c>
      <c r="T15" s="41">
        <f>(T14-D14)/D14</f>
        <v>-5.3735005058523376E-2</v>
      </c>
      <c r="U15" s="41">
        <f t="shared" ref="U15:Z15" si="1">(U14-E14)/E14</f>
        <v>-0.30099281518450333</v>
      </c>
      <c r="V15" s="41">
        <f t="shared" si="1"/>
        <v>-7.6923076923076927E-2</v>
      </c>
      <c r="W15" s="41">
        <f t="shared" si="1"/>
        <v>-6.7567567567568048E-3</v>
      </c>
      <c r="X15" s="41">
        <f t="shared" si="1"/>
        <v>-0.92476916105559548</v>
      </c>
      <c r="Y15" s="41">
        <f t="shared" si="1"/>
        <v>5.7956369125851906E-2</v>
      </c>
      <c r="Z15" s="41">
        <f t="shared" si="1"/>
        <v>6.4811341000596424E-3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0:C1048576">
    <cfRule type="duplicateValues" dxfId="99" priority="11"/>
    <cfRule type="duplicateValues" dxfId="98" priority="12"/>
  </conditionalFormatting>
  <conditionalFormatting sqref="C2">
    <cfRule type="duplicateValues" dxfId="97" priority="3"/>
    <cfRule type="duplicateValues" dxfId="96" priority="4"/>
  </conditionalFormatting>
  <conditionalFormatting sqref="C4:C13">
    <cfRule type="duplicateValues" dxfId="95" priority="5"/>
    <cfRule type="duplicateValues" dxfId="94" priority="6"/>
  </conditionalFormatting>
  <conditionalFormatting sqref="C14">
    <cfRule type="duplicateValues" dxfId="93" priority="9"/>
    <cfRule type="duplicateValues" dxfId="92" priority="10"/>
  </conditionalFormatting>
  <conditionalFormatting sqref="C15">
    <cfRule type="duplicateValues" dxfId="91" priority="7"/>
    <cfRule type="duplicateValues" dxfId="90" priority="8"/>
  </conditionalFormatting>
  <conditionalFormatting sqref="C17:C39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E562-5A4A-4199-8EFE-21B684C6C986}">
  <dimension ref="B1:AA17"/>
  <sheetViews>
    <sheetView zoomScale="90" zoomScaleNormal="90" workbookViewId="0">
      <selection activeCell="U19" sqref="U19:U37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4.7875296654327046</v>
      </c>
      <c r="R2" s="1">
        <f>(R14-J14)/J14</f>
        <v>3.9061121456590434E-4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16</v>
      </c>
      <c r="D4" s="23">
        <v>1140190.0234291479</v>
      </c>
      <c r="E4" s="33">
        <v>126.30827415376331</v>
      </c>
      <c r="F4" s="5">
        <v>12</v>
      </c>
      <c r="G4" s="23">
        <v>96.666666666666671</v>
      </c>
      <c r="H4" s="33">
        <v>564.16082997875378</v>
      </c>
      <c r="I4" s="23">
        <v>44.547633874464715</v>
      </c>
      <c r="J4" s="5">
        <v>5610.9785466450712</v>
      </c>
      <c r="K4" s="31"/>
      <c r="L4" s="23">
        <v>1231773.937931777</v>
      </c>
      <c r="M4" s="33">
        <v>416.61239276926676</v>
      </c>
      <c r="N4" s="5">
        <v>14</v>
      </c>
      <c r="O4" s="23">
        <v>96.666666666666671</v>
      </c>
      <c r="P4" s="33">
        <v>2033.6746256459223</v>
      </c>
      <c r="Q4" s="23">
        <v>37.456191884914155</v>
      </c>
      <c r="R4" s="5">
        <v>4873.3069027896254</v>
      </c>
      <c r="S4" s="35"/>
      <c r="T4" s="23">
        <v>1023557.319989344</v>
      </c>
      <c r="U4" s="33">
        <v>97.446844230782077</v>
      </c>
      <c r="V4" s="5">
        <v>13</v>
      </c>
      <c r="W4" s="23">
        <v>96.666666666666671</v>
      </c>
      <c r="X4" s="33">
        <v>21.376297250417132</v>
      </c>
      <c r="Y4" s="23">
        <v>40.554521819045895</v>
      </c>
      <c r="Z4" s="5">
        <v>5099.7562089407338</v>
      </c>
      <c r="AA4" s="35"/>
    </row>
    <row r="5" spans="2:27" x14ac:dyDescent="0.2">
      <c r="B5" s="4">
        <v>2</v>
      </c>
      <c r="C5" s="4">
        <v>80</v>
      </c>
      <c r="D5" s="23">
        <v>1082711.424619141</v>
      </c>
      <c r="E5" s="33">
        <v>196.92162207685985</v>
      </c>
      <c r="F5" s="5">
        <v>14</v>
      </c>
      <c r="G5" s="23">
        <v>96.666666666666671</v>
      </c>
      <c r="H5" s="33">
        <v>341.23408527907327</v>
      </c>
      <c r="I5" s="23">
        <v>37.728680826147844</v>
      </c>
      <c r="J5" s="5">
        <v>5124.14575974318</v>
      </c>
      <c r="K5" s="31"/>
      <c r="L5" s="23">
        <v>1231773.937931777</v>
      </c>
      <c r="M5" s="33">
        <v>210.65676715386167</v>
      </c>
      <c r="N5" s="5">
        <v>14</v>
      </c>
      <c r="O5" s="23">
        <v>96.666666666666671</v>
      </c>
      <c r="P5" s="33">
        <v>2033.6746256459223</v>
      </c>
      <c r="Q5" s="23">
        <v>37.456191884914155</v>
      </c>
      <c r="R5" s="5">
        <v>4873.3069027896254</v>
      </c>
      <c r="S5" s="35"/>
      <c r="T5" s="23">
        <v>1035853.377213927</v>
      </c>
      <c r="U5" s="33">
        <v>233.95659176928277</v>
      </c>
      <c r="V5" s="5">
        <v>14</v>
      </c>
      <c r="W5" s="23">
        <v>96.666666666666671</v>
      </c>
      <c r="X5" s="33">
        <v>10.67256808528996</v>
      </c>
      <c r="Y5" s="23">
        <v>37.637167339457029</v>
      </c>
      <c r="Z5" s="5">
        <v>5077.7152212838746</v>
      </c>
      <c r="AA5" s="35"/>
    </row>
    <row r="6" spans="2:27" x14ac:dyDescent="0.2">
      <c r="B6" s="4">
        <v>3</v>
      </c>
      <c r="C6" s="4">
        <v>183</v>
      </c>
      <c r="D6" s="23">
        <v>1050417.709782372</v>
      </c>
      <c r="E6" s="33">
        <v>217.86547646150356</v>
      </c>
      <c r="F6" s="5">
        <v>14</v>
      </c>
      <c r="G6" s="23">
        <v>96.666666666666671</v>
      </c>
      <c r="H6" s="33">
        <v>371.24558506965866</v>
      </c>
      <c r="I6" s="23">
        <v>37.439649434799328</v>
      </c>
      <c r="J6" s="5">
        <v>4893.5953189958855</v>
      </c>
      <c r="K6" s="31"/>
      <c r="L6" s="23">
        <v>1279827.5756597801</v>
      </c>
      <c r="M6" s="33">
        <v>115.35423653845029</v>
      </c>
      <c r="N6" s="5">
        <v>15</v>
      </c>
      <c r="O6" s="23">
        <v>96.666666666666671</v>
      </c>
      <c r="P6" s="33">
        <v>2118.6307858160494</v>
      </c>
      <c r="Q6" s="23">
        <v>34.312355078933798</v>
      </c>
      <c r="R6" s="5">
        <v>4982.502523779126</v>
      </c>
      <c r="S6" s="35"/>
      <c r="T6" s="23">
        <v>1092986.391864269</v>
      </c>
      <c r="U6" s="33">
        <v>112.95782930763937</v>
      </c>
      <c r="V6" s="5">
        <v>12</v>
      </c>
      <c r="W6" s="23">
        <v>96.666666666666671</v>
      </c>
      <c r="X6" s="33">
        <v>34.837354880709498</v>
      </c>
      <c r="Y6" s="23">
        <v>43.048731249261742</v>
      </c>
      <c r="Z6" s="5">
        <v>5676.8952949489621</v>
      </c>
      <c r="AA6" s="35"/>
    </row>
    <row r="7" spans="2:27" x14ac:dyDescent="0.2">
      <c r="B7" s="4">
        <v>4</v>
      </c>
      <c r="C7" s="4">
        <v>194</v>
      </c>
      <c r="D7" s="23">
        <v>1093225.2305004499</v>
      </c>
      <c r="E7" s="33">
        <v>174.32775238457208</v>
      </c>
      <c r="F7" s="5">
        <v>14</v>
      </c>
      <c r="G7" s="23">
        <v>96.666666666666671</v>
      </c>
      <c r="H7" s="33">
        <v>390.90742838215931</v>
      </c>
      <c r="I7" s="23">
        <v>37.483494527445018</v>
      </c>
      <c r="J7" s="5">
        <v>5159.4165147039748</v>
      </c>
      <c r="K7" s="31"/>
      <c r="L7" s="23">
        <v>1278545.5505813181</v>
      </c>
      <c r="M7" s="33">
        <v>111.12792146159337</v>
      </c>
      <c r="N7" s="5">
        <v>14</v>
      </c>
      <c r="O7" s="23">
        <v>96.666666666666671</v>
      </c>
      <c r="P7" s="33">
        <v>2189.6447107571898</v>
      </c>
      <c r="Q7" s="23">
        <v>37.205496283492593</v>
      </c>
      <c r="R7" s="5">
        <v>5033.395981328792</v>
      </c>
      <c r="S7" s="35"/>
      <c r="T7" s="23">
        <v>1084872.5802170059</v>
      </c>
      <c r="U7" s="33">
        <v>97.791354461537225</v>
      </c>
      <c r="V7" s="5">
        <v>13</v>
      </c>
      <c r="W7" s="23">
        <v>96.666666666666671</v>
      </c>
      <c r="X7" s="33">
        <v>100.39066861114939</v>
      </c>
      <c r="Y7" s="23">
        <v>40.743514321378974</v>
      </c>
      <c r="Z7" s="5">
        <v>5449.5910258073027</v>
      </c>
      <c r="AA7" s="35"/>
    </row>
    <row r="8" spans="2:27" x14ac:dyDescent="0.2">
      <c r="B8" s="4">
        <v>5</v>
      </c>
      <c r="C8" s="4">
        <v>323</v>
      </c>
      <c r="D8" s="23">
        <v>1129378.7609582299</v>
      </c>
      <c r="E8" s="33">
        <v>338.10159884617087</v>
      </c>
      <c r="F8" s="5">
        <v>15</v>
      </c>
      <c r="G8" s="23">
        <v>96.666666666666671</v>
      </c>
      <c r="H8" s="33">
        <v>386.83742233253872</v>
      </c>
      <c r="I8" s="23">
        <v>34.229361819244104</v>
      </c>
      <c r="J8" s="5">
        <v>5229.5433522831599</v>
      </c>
      <c r="K8" s="31"/>
      <c r="L8" s="23">
        <v>1277584.042470379</v>
      </c>
      <c r="M8" s="33">
        <v>182.48454084610921</v>
      </c>
      <c r="N8" s="5">
        <v>14</v>
      </c>
      <c r="O8" s="23">
        <v>96.666666666666671</v>
      </c>
      <c r="P8" s="33">
        <v>2171.1059394018362</v>
      </c>
      <c r="Q8" s="23">
        <v>37.223316025193348</v>
      </c>
      <c r="R8" s="5">
        <v>5034.9776773649137</v>
      </c>
      <c r="S8" s="35"/>
      <c r="T8" s="23">
        <v>1034090.430660062</v>
      </c>
      <c r="U8" s="33">
        <v>110.22718107694976</v>
      </c>
      <c r="V8" s="5">
        <v>14</v>
      </c>
      <c r="W8" s="23">
        <v>96.666666666666671</v>
      </c>
      <c r="X8" s="33">
        <v>33.800823570928372</v>
      </c>
      <c r="Y8" s="23">
        <v>38.670698676857512</v>
      </c>
      <c r="Z8" s="5">
        <v>5079.4920202665498</v>
      </c>
      <c r="AA8" s="35"/>
    </row>
    <row r="9" spans="2:27" x14ac:dyDescent="0.2">
      <c r="B9" s="4">
        <v>6</v>
      </c>
      <c r="C9" s="4">
        <v>356</v>
      </c>
      <c r="D9" s="23">
        <v>1046045.483747479</v>
      </c>
      <c r="E9" s="33">
        <v>205.49383246160752</v>
      </c>
      <c r="F9" s="5">
        <v>14</v>
      </c>
      <c r="G9" s="23">
        <v>96.666666666666671</v>
      </c>
      <c r="H9" s="33">
        <v>351.38906290061749</v>
      </c>
      <c r="I9" s="23">
        <v>37.424531203822959</v>
      </c>
      <c r="J9" s="5">
        <v>4871.4040777261835</v>
      </c>
      <c r="K9" s="31"/>
      <c r="L9" s="23">
        <v>1257935.364311625</v>
      </c>
      <c r="M9" s="33">
        <v>422.10494023076114</v>
      </c>
      <c r="N9" s="5">
        <v>14</v>
      </c>
      <c r="O9" s="23">
        <v>96.666666666666671</v>
      </c>
      <c r="P9" s="33">
        <v>2137.2834530931709</v>
      </c>
      <c r="Q9" s="23">
        <v>38.39089136045542</v>
      </c>
      <c r="R9" s="5">
        <v>5000.2699726329638</v>
      </c>
      <c r="S9" s="35"/>
      <c r="T9" s="23">
        <v>1072903.5036909771</v>
      </c>
      <c r="U9" s="33">
        <v>95.231801461553772</v>
      </c>
      <c r="V9" s="5">
        <v>11</v>
      </c>
      <c r="W9" s="23">
        <v>96.666666666666671</v>
      </c>
      <c r="X9" s="33">
        <v>80.866977300280269</v>
      </c>
      <c r="Y9" s="23">
        <v>46.974589319133251</v>
      </c>
      <c r="Z9" s="5">
        <v>5625.1753389700953</v>
      </c>
      <c r="AA9" s="35"/>
    </row>
    <row r="10" spans="2:27" x14ac:dyDescent="0.2">
      <c r="B10" s="4">
        <v>7</v>
      </c>
      <c r="C10" s="4">
        <v>435</v>
      </c>
      <c r="D10" s="23">
        <v>1106261.1965489159</v>
      </c>
      <c r="E10" s="33">
        <v>163.43257253846298</v>
      </c>
      <c r="F10" s="5">
        <v>14</v>
      </c>
      <c r="G10" s="23">
        <v>96.666666666666671</v>
      </c>
      <c r="H10" s="33">
        <v>458.61522459470422</v>
      </c>
      <c r="I10" s="23">
        <v>38.401762948415197</v>
      </c>
      <c r="J10" s="5">
        <v>5223.9263487252529</v>
      </c>
      <c r="K10" s="31"/>
      <c r="L10" s="23">
        <v>1238193.5575220089</v>
      </c>
      <c r="M10" s="33">
        <v>277.45153646154978</v>
      </c>
      <c r="N10" s="5">
        <v>15</v>
      </c>
      <c r="O10" s="23">
        <v>96.666666666666671</v>
      </c>
      <c r="P10" s="33">
        <v>1972.3352809239987</v>
      </c>
      <c r="Q10" s="23">
        <v>35.206090595947984</v>
      </c>
      <c r="R10" s="5">
        <v>4830.0648846866625</v>
      </c>
      <c r="S10" s="35"/>
      <c r="T10" s="23">
        <v>1098003.5123508959</v>
      </c>
      <c r="U10" s="33">
        <v>121.54926130771993</v>
      </c>
      <c r="V10" s="5">
        <v>13</v>
      </c>
      <c r="W10" s="23">
        <v>96.666666666666671</v>
      </c>
      <c r="X10" s="33">
        <v>25.853192654166566</v>
      </c>
      <c r="Y10" s="23">
        <v>39.929693591171663</v>
      </c>
      <c r="Z10" s="5">
        <v>5582.5696925424063</v>
      </c>
      <c r="AA10" s="35"/>
    </row>
    <row r="11" spans="2:27" x14ac:dyDescent="0.2">
      <c r="B11" s="4">
        <v>8</v>
      </c>
      <c r="C11" s="4">
        <v>785</v>
      </c>
      <c r="D11" s="23">
        <v>1134999.855652645</v>
      </c>
      <c r="E11" s="33">
        <v>165.99049976919423</v>
      </c>
      <c r="F11" s="5">
        <v>12</v>
      </c>
      <c r="G11" s="23">
        <v>96.666666666666671</v>
      </c>
      <c r="H11" s="33">
        <v>529.03309148890014</v>
      </c>
      <c r="I11" s="23">
        <v>43.737179051491232</v>
      </c>
      <c r="J11" s="5">
        <v>5587.2704326917628</v>
      </c>
      <c r="K11" s="31"/>
      <c r="L11" s="23">
        <v>1330200.4176884929</v>
      </c>
      <c r="M11" s="33">
        <v>160.60088923084544</v>
      </c>
      <c r="N11" s="5">
        <v>16</v>
      </c>
      <c r="O11" s="23">
        <v>96.666666666666671</v>
      </c>
      <c r="P11" s="33">
        <v>2262.0632518545744</v>
      </c>
      <c r="Q11" s="23">
        <v>32.845383706679954</v>
      </c>
      <c r="R11" s="5">
        <v>5120.0369428091071</v>
      </c>
      <c r="S11" s="35"/>
      <c r="T11" s="23">
        <v>1044121.2995259369</v>
      </c>
      <c r="U11" s="33">
        <v>106.87180284607723</v>
      </c>
      <c r="V11" s="5">
        <v>12</v>
      </c>
      <c r="W11" s="23">
        <v>96.666666666666671</v>
      </c>
      <c r="X11" s="33">
        <v>19.478488398071644</v>
      </c>
      <c r="Y11" s="23">
        <v>44.367369434601009</v>
      </c>
      <c r="Z11" s="5">
        <v>5378.1851570112067</v>
      </c>
      <c r="AA11" s="35"/>
    </row>
    <row r="12" spans="2:27" x14ac:dyDescent="0.2">
      <c r="B12" s="4">
        <v>9</v>
      </c>
      <c r="C12" s="4">
        <v>800</v>
      </c>
      <c r="D12" s="23">
        <v>1088715.929915909</v>
      </c>
      <c r="E12" s="33">
        <v>133.22303138467336</v>
      </c>
      <c r="F12" s="5">
        <v>14</v>
      </c>
      <c r="G12" s="23">
        <v>96.666666666666671</v>
      </c>
      <c r="H12" s="33">
        <v>321.74700318718203</v>
      </c>
      <c r="I12" s="23">
        <v>37.137340567116851</v>
      </c>
      <c r="J12" s="5">
        <v>5173.6222561572185</v>
      </c>
      <c r="K12" s="31"/>
      <c r="L12" s="23">
        <v>1235658.9459176289</v>
      </c>
      <c r="M12" s="33">
        <v>289.2291483846314</v>
      </c>
      <c r="N12" s="5">
        <v>14</v>
      </c>
      <c r="O12" s="23">
        <v>96.666666666666671</v>
      </c>
      <c r="P12" s="33">
        <v>2039.1654599675314</v>
      </c>
      <c r="Q12" s="23">
        <v>37.407892455931737</v>
      </c>
      <c r="R12" s="5">
        <v>4895.1234968930894</v>
      </c>
      <c r="S12" s="35"/>
      <c r="T12" s="23">
        <v>1036754.148187405</v>
      </c>
      <c r="U12" s="33">
        <v>171.63333692310309</v>
      </c>
      <c r="V12" s="5">
        <v>13</v>
      </c>
      <c r="W12" s="23">
        <v>96.666666666666671</v>
      </c>
      <c r="X12" s="33">
        <v>18.667602695990393</v>
      </c>
      <c r="Y12" s="23">
        <v>40.192517631983904</v>
      </c>
      <c r="Z12" s="5">
        <v>5175.8669977067539</v>
      </c>
      <c r="AA12" s="35"/>
    </row>
    <row r="13" spans="2:27" x14ac:dyDescent="0.2">
      <c r="B13" s="4">
        <v>10</v>
      </c>
      <c r="C13" s="4">
        <v>876</v>
      </c>
      <c r="D13" s="23">
        <v>1078172.497278759</v>
      </c>
      <c r="E13" s="33">
        <v>146.12448830766462</v>
      </c>
      <c r="F13" s="5">
        <v>13</v>
      </c>
      <c r="G13" s="23">
        <v>96.666666666666671</v>
      </c>
      <c r="H13" s="33">
        <v>443.58333674363513</v>
      </c>
      <c r="I13" s="23">
        <v>40.349749483757215</v>
      </c>
      <c r="J13" s="5">
        <v>5150.676543416781</v>
      </c>
      <c r="K13" s="31"/>
      <c r="L13" s="23">
        <v>1237393.610689519</v>
      </c>
      <c r="M13" s="33">
        <v>207.74892899995817</v>
      </c>
      <c r="N13" s="5">
        <v>14</v>
      </c>
      <c r="O13" s="23">
        <v>96.666666666666671</v>
      </c>
      <c r="P13" s="33">
        <v>2061.2928143187069</v>
      </c>
      <c r="Q13" s="23">
        <v>37.902006281507973</v>
      </c>
      <c r="R13" s="5">
        <v>4900.9250914624117</v>
      </c>
      <c r="S13" s="35"/>
      <c r="T13" s="23">
        <v>1047529.505071507</v>
      </c>
      <c r="U13" s="33">
        <v>103.11565138462284</v>
      </c>
      <c r="V13" s="5">
        <v>12</v>
      </c>
      <c r="W13" s="23">
        <v>96.666666666666671</v>
      </c>
      <c r="X13" s="33">
        <v>25.351957323315748</v>
      </c>
      <c r="Y13" s="23">
        <v>43.366945751211212</v>
      </c>
      <c r="Z13" s="5">
        <v>5378.8724627505553</v>
      </c>
      <c r="AA13" s="35"/>
    </row>
    <row r="14" spans="2:27" x14ac:dyDescent="0.2">
      <c r="B14" s="50" t="s">
        <v>3</v>
      </c>
      <c r="C14" s="51"/>
      <c r="D14" s="9">
        <f>MIN(D4:D13)</f>
        <v>1046045.483747479</v>
      </c>
      <c r="E14" s="22">
        <f>INDEX(E4:E13, MATCH($D$14, D4:D13, 0))</f>
        <v>205.49383246160752</v>
      </c>
      <c r="F14" s="9">
        <f>INDEX(F4:F13, MATCH($D$14, D4:D13, 0))</f>
        <v>14</v>
      </c>
      <c r="G14" s="9">
        <f>INDEX(G4:G13, MATCH($D$14, D4:D13, 0))</f>
        <v>96.666666666666671</v>
      </c>
      <c r="H14" s="22">
        <f>INDEX(H4:H13, MATCH($D$14, D4:D13, 0))</f>
        <v>351.38906290061749</v>
      </c>
      <c r="I14" s="22">
        <f>INDEX(I4:I13, MATCH($D$14, D4:D13, 0))</f>
        <v>37.424531203822959</v>
      </c>
      <c r="J14" s="22">
        <f>INDEX(J4:J13, MATCH($D$14, D4:D13, 0))</f>
        <v>4871.4040777261835</v>
      </c>
      <c r="K14" s="32" t="e">
        <f>(D14-$D$15)/$D$15</f>
        <v>#DIV/0!</v>
      </c>
      <c r="L14" s="16">
        <f>MIN(L4:L13)</f>
        <v>1231773.937931777</v>
      </c>
      <c r="M14" s="21">
        <f>INDEX(M4:M13, MATCH($L$14, L4:L13, 0))</f>
        <v>416.61239276926676</v>
      </c>
      <c r="N14" s="16">
        <f>INDEX(N4:N13, MATCH($L$14, L4:L13, 0))</f>
        <v>14</v>
      </c>
      <c r="O14" s="16">
        <f>INDEX(O4:O13, MATCH($L$14, L4:L13, 0))</f>
        <v>96.666666666666671</v>
      </c>
      <c r="P14" s="21">
        <f>INDEX(P4:P13, MATCH($L$14, L4:L13, 0))</f>
        <v>2033.6746256459223</v>
      </c>
      <c r="Q14" s="21">
        <f>INDEX(Q4:Q13, MATCH($L$14, L4:L13, 0))</f>
        <v>37.456191884914155</v>
      </c>
      <c r="R14" s="21">
        <f>INDEX(R4:R13, MATCH($L$14, L4:L13, 0))</f>
        <v>4873.3069027896254</v>
      </c>
      <c r="S14" s="36" t="e">
        <f>(L14-$D$15)/$D$15</f>
        <v>#DIV/0!</v>
      </c>
      <c r="T14" s="38">
        <f>MIN(T4:T13)</f>
        <v>1023557.319989344</v>
      </c>
      <c r="U14" s="39">
        <f>INDEX(U4:U13, MATCH($T$14, T4:T13, 0))</f>
        <v>97.446844230782077</v>
      </c>
      <c r="V14" s="38">
        <f>INDEX(V4:V13, MATCH($T$14, T4:T13, 0))</f>
        <v>13</v>
      </c>
      <c r="W14" s="38">
        <f>INDEX(W4:W13, MATCH($T$14, T4:T13, 0))</f>
        <v>96.666666666666671</v>
      </c>
      <c r="X14" s="39">
        <f>INDEX(X4:X13, MATCH($T$14, T4:T13, 0))</f>
        <v>21.376297250417132</v>
      </c>
      <c r="Y14" s="39">
        <f>INDEX(Y4:Y13, MATCH($T$14, T4:T13, 0))</f>
        <v>40.554521819045895</v>
      </c>
      <c r="Z14" s="39">
        <f>INDEX(Z4:Z13, MATCH($T$14, T4:T13, 0))</f>
        <v>5099.7562089407338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0.17755294303161848</v>
      </c>
      <c r="M15" s="41">
        <f t="shared" ref="M15:R15" si="0">(M14-E14)/E14</f>
        <v>1.0273717599145102</v>
      </c>
      <c r="N15" s="41">
        <f t="shared" si="0"/>
        <v>0</v>
      </c>
      <c r="O15" s="41">
        <f t="shared" si="0"/>
        <v>0</v>
      </c>
      <c r="P15" s="41">
        <f t="shared" si="0"/>
        <v>4.7875296654327046</v>
      </c>
      <c r="Q15" s="41">
        <f t="shared" si="0"/>
        <v>8.4598737974203879E-4</v>
      </c>
      <c r="R15" s="41">
        <f t="shared" si="0"/>
        <v>3.9061121456590434E-4</v>
      </c>
      <c r="T15" s="41">
        <f>(T14-D14)/D14</f>
        <v>-2.1498265713619593E-2</v>
      </c>
      <c r="U15" s="41">
        <f t="shared" ref="U15:Z15" si="1">(U14-E14)/E14</f>
        <v>-0.52579187869792587</v>
      </c>
      <c r="V15" s="41">
        <f t="shared" si="1"/>
        <v>-7.1428571428571425E-2</v>
      </c>
      <c r="W15" s="41">
        <f t="shared" si="1"/>
        <v>0</v>
      </c>
      <c r="X15" s="41">
        <f t="shared" si="1"/>
        <v>-0.93916629881999791</v>
      </c>
      <c r="Y15" s="41">
        <f t="shared" si="1"/>
        <v>8.363473140588612E-2</v>
      </c>
      <c r="Z15" s="41">
        <f t="shared" si="1"/>
        <v>4.6876039755900906E-2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0:C1048576">
    <cfRule type="duplicateValues" dxfId="89" priority="11"/>
    <cfRule type="duplicateValues" dxfId="88" priority="12"/>
  </conditionalFormatting>
  <conditionalFormatting sqref="C2">
    <cfRule type="duplicateValues" dxfId="87" priority="3"/>
    <cfRule type="duplicateValues" dxfId="86" priority="4"/>
  </conditionalFormatting>
  <conditionalFormatting sqref="C4:C13">
    <cfRule type="duplicateValues" dxfId="85" priority="5"/>
    <cfRule type="duplicateValues" dxfId="84" priority="6"/>
  </conditionalFormatting>
  <conditionalFormatting sqref="C14">
    <cfRule type="duplicateValues" dxfId="83" priority="9"/>
    <cfRule type="duplicateValues" dxfId="82" priority="10"/>
  </conditionalFormatting>
  <conditionalFormatting sqref="C15">
    <cfRule type="duplicateValues" dxfId="81" priority="7"/>
    <cfRule type="duplicateValues" dxfId="80" priority="8"/>
  </conditionalFormatting>
  <conditionalFormatting sqref="C17:C39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DEAD-C54D-4644-92BB-97A76528F3AE}">
  <dimension ref="B1:AA17"/>
  <sheetViews>
    <sheetView zoomScale="90" zoomScaleNormal="90" workbookViewId="0">
      <selection activeCell="U18" sqref="U18:U36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3.6836330605094392</v>
      </c>
      <c r="R2" s="1">
        <f>(R14-J14)/J14</f>
        <v>-4.1228366707043308E-2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69</v>
      </c>
      <c r="D4" s="23">
        <v>1318656.474301717</v>
      </c>
      <c r="E4" s="33">
        <v>439.80038330764864</v>
      </c>
      <c r="F4" s="5">
        <v>15</v>
      </c>
      <c r="G4" s="23">
        <v>93.333333333333329</v>
      </c>
      <c r="H4" s="33">
        <v>611.49334131411842</v>
      </c>
      <c r="I4" s="23">
        <v>33.981339648843765</v>
      </c>
      <c r="J4" s="5">
        <v>5812.7765925569047</v>
      </c>
      <c r="K4" s="31"/>
      <c r="L4" s="23">
        <v>1530519.4148440489</v>
      </c>
      <c r="M4" s="33">
        <v>488.65853007694778</v>
      </c>
      <c r="N4" s="5">
        <v>15</v>
      </c>
      <c r="O4" s="23">
        <v>91.333333333333329</v>
      </c>
      <c r="P4" s="33">
        <v>2667.2377067582843</v>
      </c>
      <c r="Q4" s="23">
        <v>32.52058981578805</v>
      </c>
      <c r="R4" s="5">
        <v>5567.85611729842</v>
      </c>
      <c r="S4" s="35"/>
      <c r="T4" s="23">
        <v>1259512.0298410291</v>
      </c>
      <c r="U4" s="33">
        <v>228.51448884609948</v>
      </c>
      <c r="V4" s="5">
        <v>13</v>
      </c>
      <c r="W4" s="23">
        <v>92.666666666666671</v>
      </c>
      <c r="X4" s="33">
        <v>43.400102547121698</v>
      </c>
      <c r="Y4" s="23">
        <v>38.406613322066796</v>
      </c>
      <c r="Z4" s="5">
        <v>6000.8224430002683</v>
      </c>
      <c r="AA4" s="35"/>
    </row>
    <row r="5" spans="2:27" x14ac:dyDescent="0.2">
      <c r="B5" s="4">
        <v>2</v>
      </c>
      <c r="C5" s="4">
        <v>114</v>
      </c>
      <c r="D5" s="23">
        <v>1331858.0465048731</v>
      </c>
      <c r="E5" s="33">
        <v>212.70075661533221</v>
      </c>
      <c r="F5" s="5">
        <v>15</v>
      </c>
      <c r="G5" s="23">
        <v>93.333333333333329</v>
      </c>
      <c r="H5" s="33">
        <v>618.58717806284756</v>
      </c>
      <c r="I5" s="23">
        <v>34.525110804306841</v>
      </c>
      <c r="J5" s="5">
        <v>5927.1238187888921</v>
      </c>
      <c r="K5" s="31"/>
      <c r="L5" s="23">
        <v>1521431.7191644681</v>
      </c>
      <c r="M5" s="33">
        <v>550.5835372308054</v>
      </c>
      <c r="N5" s="5">
        <v>16</v>
      </c>
      <c r="O5" s="23">
        <v>92</v>
      </c>
      <c r="P5" s="33">
        <v>2619.2308630764878</v>
      </c>
      <c r="Q5" s="23">
        <v>31.741914212300177</v>
      </c>
      <c r="R5" s="5">
        <v>5533.2940677431379</v>
      </c>
      <c r="S5" s="35"/>
      <c r="T5" s="23">
        <v>1266803.1794457149</v>
      </c>
      <c r="U5" s="33">
        <v>250.02154207689898</v>
      </c>
      <c r="V5" s="5">
        <v>13</v>
      </c>
      <c r="W5" s="23">
        <v>92.666666666666671</v>
      </c>
      <c r="X5" s="33">
        <v>11.204372437616623</v>
      </c>
      <c r="Y5" s="23">
        <v>38.954578843034412</v>
      </c>
      <c r="Z5" s="5">
        <v>6065.4571704378932</v>
      </c>
      <c r="AA5" s="35"/>
    </row>
    <row r="6" spans="2:27" x14ac:dyDescent="0.2">
      <c r="B6" s="4">
        <v>3</v>
      </c>
      <c r="C6" s="4">
        <v>155</v>
      </c>
      <c r="D6" s="23">
        <v>1298314.612475632</v>
      </c>
      <c r="E6" s="33">
        <v>222.78767107690396</v>
      </c>
      <c r="F6" s="5">
        <v>15</v>
      </c>
      <c r="G6" s="23">
        <v>93.333333333333329</v>
      </c>
      <c r="H6" s="33">
        <v>557.2158028380004</v>
      </c>
      <c r="I6" s="23">
        <v>34.54691388475625</v>
      </c>
      <c r="J6" s="5">
        <v>5750.2115391621046</v>
      </c>
      <c r="K6" s="31"/>
      <c r="L6" s="23">
        <v>1518993.2446218829</v>
      </c>
      <c r="M6" s="33">
        <v>257.97275153848415</v>
      </c>
      <c r="N6" s="5">
        <v>16</v>
      </c>
      <c r="O6" s="23">
        <v>93.333333333333329</v>
      </c>
      <c r="P6" s="33">
        <v>2660.1922430741765</v>
      </c>
      <c r="Q6" s="23">
        <v>31.897266726895353</v>
      </c>
      <c r="R6" s="5">
        <v>5573.6581162455923</v>
      </c>
      <c r="S6" s="35"/>
      <c r="T6" s="23">
        <v>1265788.816864498</v>
      </c>
      <c r="U6" s="33">
        <v>287.85622707693472</v>
      </c>
      <c r="V6" s="5">
        <v>12</v>
      </c>
      <c r="W6" s="23">
        <v>92.666666666666671</v>
      </c>
      <c r="X6" s="33">
        <v>34.240595438106553</v>
      </c>
      <c r="Y6" s="23">
        <v>41.920379998480932</v>
      </c>
      <c r="Z6" s="5">
        <v>6164.4629466577881</v>
      </c>
      <c r="AA6" s="35"/>
    </row>
    <row r="7" spans="2:27" x14ac:dyDescent="0.2">
      <c r="B7" s="4">
        <v>4</v>
      </c>
      <c r="C7" s="4">
        <v>270</v>
      </c>
      <c r="D7" s="23">
        <v>1352309.5085820509</v>
      </c>
      <c r="E7" s="33">
        <v>295.05281261535578</v>
      </c>
      <c r="F7" s="5">
        <v>15</v>
      </c>
      <c r="G7" s="23">
        <v>93.333333333333329</v>
      </c>
      <c r="H7" s="33">
        <v>798.17551819688629</v>
      </c>
      <c r="I7" s="23">
        <v>34.087832887533501</v>
      </c>
      <c r="J7" s="5">
        <v>5904.2385145919625</v>
      </c>
      <c r="K7" s="31"/>
      <c r="L7" s="23">
        <v>1621213.8759447299</v>
      </c>
      <c r="M7" s="33">
        <v>390.72289769233277</v>
      </c>
      <c r="N7" s="5">
        <v>16</v>
      </c>
      <c r="O7" s="23">
        <v>88</v>
      </c>
      <c r="P7" s="33">
        <v>2677.3391375252545</v>
      </c>
      <c r="Q7" s="23">
        <v>28.91005721031263</v>
      </c>
      <c r="R7" s="5">
        <v>5583.1930939191834</v>
      </c>
      <c r="S7" s="35"/>
      <c r="T7" s="23">
        <v>1281330.326120964</v>
      </c>
      <c r="U7" s="33">
        <v>403.62109715387652</v>
      </c>
      <c r="V7" s="5">
        <v>14</v>
      </c>
      <c r="W7" s="23">
        <v>93.333333333333329</v>
      </c>
      <c r="X7" s="33">
        <v>73.19025519846393</v>
      </c>
      <c r="Y7" s="23">
        <v>36.231681352140235</v>
      </c>
      <c r="Z7" s="5">
        <v>6052.8980663129769</v>
      </c>
      <c r="AA7" s="35"/>
    </row>
    <row r="8" spans="2:27" x14ac:dyDescent="0.2">
      <c r="B8" s="4">
        <v>5</v>
      </c>
      <c r="C8" s="4">
        <v>272</v>
      </c>
      <c r="D8" s="23">
        <v>1330395.726383463</v>
      </c>
      <c r="E8" s="33">
        <v>346.17247461538329</v>
      </c>
      <c r="F8" s="5">
        <v>15</v>
      </c>
      <c r="G8" s="23">
        <v>93.333333333333329</v>
      </c>
      <c r="H8" s="33">
        <v>769.00489567171348</v>
      </c>
      <c r="I8" s="23">
        <v>34.446184128575169</v>
      </c>
      <c r="J8" s="5">
        <v>5825.6334466884691</v>
      </c>
      <c r="K8" s="31"/>
      <c r="L8" s="23">
        <v>1581397.814290741</v>
      </c>
      <c r="M8" s="33">
        <v>366.90657423083815</v>
      </c>
      <c r="N8" s="5">
        <v>15</v>
      </c>
      <c r="O8" s="23">
        <v>90</v>
      </c>
      <c r="P8" s="33">
        <v>2803.2574281497232</v>
      </c>
      <c r="Q8" s="23">
        <v>32.686815096814271</v>
      </c>
      <c r="R8" s="5">
        <v>5713.3092800015738</v>
      </c>
      <c r="S8" s="35"/>
      <c r="T8" s="23">
        <v>1283787.679237725</v>
      </c>
      <c r="U8" s="33">
        <v>367.94955969232922</v>
      </c>
      <c r="V8" s="5">
        <v>13</v>
      </c>
      <c r="W8" s="23">
        <v>93.333333333333329</v>
      </c>
      <c r="X8" s="33">
        <v>133.24009534643875</v>
      </c>
      <c r="Y8" s="23">
        <v>39.782652641459194</v>
      </c>
      <c r="Z8" s="5">
        <v>6232.6029317813745</v>
      </c>
      <c r="AA8" s="35"/>
    </row>
    <row r="9" spans="2:27" x14ac:dyDescent="0.2">
      <c r="B9" s="4">
        <v>6</v>
      </c>
      <c r="C9" s="4">
        <v>483</v>
      </c>
      <c r="D9" s="23">
        <v>1323385.3430637461</v>
      </c>
      <c r="E9" s="33">
        <v>244.84482315386859</v>
      </c>
      <c r="F9" s="5">
        <v>15</v>
      </c>
      <c r="G9" s="23">
        <v>93.333333333333329</v>
      </c>
      <c r="H9" s="33">
        <v>624.66099323344724</v>
      </c>
      <c r="I9" s="23">
        <v>34.677709108612028</v>
      </c>
      <c r="J9" s="5">
        <v>5870.1829840585997</v>
      </c>
      <c r="K9" s="31"/>
      <c r="L9" s="23">
        <v>1539385.9676776109</v>
      </c>
      <c r="M9" s="33">
        <v>143.04654546153662</v>
      </c>
      <c r="N9" s="5">
        <v>15</v>
      </c>
      <c r="O9" s="23">
        <v>92.666666666666671</v>
      </c>
      <c r="P9" s="33">
        <v>2786.9410347422699</v>
      </c>
      <c r="Q9" s="23">
        <v>33.75013714166527</v>
      </c>
      <c r="R9" s="5">
        <v>5710.5340232614126</v>
      </c>
      <c r="S9" s="35"/>
      <c r="T9" s="23">
        <v>1283886.2274070319</v>
      </c>
      <c r="U9" s="33">
        <v>151.92341584622713</v>
      </c>
      <c r="V9" s="5">
        <v>13</v>
      </c>
      <c r="W9" s="23">
        <v>92.666666666666671</v>
      </c>
      <c r="X9" s="33">
        <v>28.062682954392187</v>
      </c>
      <c r="Y9" s="23">
        <v>39.530636286581185</v>
      </c>
      <c r="Z9" s="5">
        <v>6184.5617560562041</v>
      </c>
      <c r="AA9" s="35"/>
    </row>
    <row r="10" spans="2:27" x14ac:dyDescent="0.2">
      <c r="B10" s="4">
        <v>7</v>
      </c>
      <c r="C10" s="4">
        <v>530</v>
      </c>
      <c r="D10" s="23">
        <v>1317647.020910942</v>
      </c>
      <c r="E10" s="33">
        <v>190.8173417692216</v>
      </c>
      <c r="F10" s="5">
        <v>14</v>
      </c>
      <c r="G10" s="23">
        <v>93.333333333333329</v>
      </c>
      <c r="H10" s="33">
        <v>664.29440446850401</v>
      </c>
      <c r="I10" s="23">
        <v>37.190397721197243</v>
      </c>
      <c r="J10" s="5">
        <v>5945.0812900184528</v>
      </c>
      <c r="K10" s="31"/>
      <c r="L10" s="23">
        <v>1560036.7570289059</v>
      </c>
      <c r="M10" s="33">
        <v>397.75054938464353</v>
      </c>
      <c r="N10" s="5">
        <v>16</v>
      </c>
      <c r="O10" s="23">
        <v>86.666666666666671</v>
      </c>
      <c r="P10" s="33">
        <v>2324.5895280292043</v>
      </c>
      <c r="Q10" s="23">
        <v>28.993517611592324</v>
      </c>
      <c r="R10" s="5">
        <v>5224.8347710486432</v>
      </c>
      <c r="S10" s="35"/>
      <c r="T10" s="23">
        <v>1274550.236503996</v>
      </c>
      <c r="U10" s="33">
        <v>144.52149207694816</v>
      </c>
      <c r="V10" s="5">
        <v>14</v>
      </c>
      <c r="W10" s="23">
        <v>93.333333333333329</v>
      </c>
      <c r="X10" s="33">
        <v>22.320709463790958</v>
      </c>
      <c r="Y10" s="23">
        <v>37.011099104668531</v>
      </c>
      <c r="Z10" s="5">
        <v>6083.9784736200618</v>
      </c>
      <c r="AA10" s="35"/>
    </row>
    <row r="11" spans="2:27" x14ac:dyDescent="0.2">
      <c r="B11" s="4">
        <v>8</v>
      </c>
      <c r="C11" s="4">
        <v>552</v>
      </c>
      <c r="D11" s="23">
        <v>1311506.1473503071</v>
      </c>
      <c r="E11" s="33">
        <v>208.09396546154932</v>
      </c>
      <c r="F11" s="5">
        <v>13</v>
      </c>
      <c r="G11" s="23">
        <v>92.666666666666671</v>
      </c>
      <c r="H11" s="33">
        <v>583.33842659823233</v>
      </c>
      <c r="I11" s="23">
        <v>38.564171508025964</v>
      </c>
      <c r="J11" s="5">
        <v>5966.8106890680565</v>
      </c>
      <c r="K11" s="31"/>
      <c r="L11" s="23">
        <v>1516223.9057181601</v>
      </c>
      <c r="M11" s="33">
        <v>414.70871915387062</v>
      </c>
      <c r="N11" s="5">
        <v>16</v>
      </c>
      <c r="O11" s="23">
        <v>92</v>
      </c>
      <c r="P11" s="33">
        <v>2609.7943560103681</v>
      </c>
      <c r="Q11" s="23">
        <v>31.230473007481944</v>
      </c>
      <c r="R11" s="5">
        <v>5513.1397091824574</v>
      </c>
      <c r="S11" s="35"/>
      <c r="T11" s="23">
        <v>1261642.3282687771</v>
      </c>
      <c r="U11" s="33">
        <v>116.80235676924123</v>
      </c>
      <c r="V11" s="5">
        <v>14</v>
      </c>
      <c r="W11" s="23">
        <v>93.333333333333329</v>
      </c>
      <c r="X11" s="33">
        <v>69.738411404258414</v>
      </c>
      <c r="Y11" s="23">
        <v>36.791407379815737</v>
      </c>
      <c r="Z11" s="5">
        <v>6001.404282551126</v>
      </c>
      <c r="AA11" s="35"/>
    </row>
    <row r="12" spans="2:27" x14ac:dyDescent="0.2">
      <c r="B12" s="4">
        <v>9</v>
      </c>
      <c r="C12" s="4">
        <v>603</v>
      </c>
      <c r="D12" s="23">
        <v>1329535.156040655</v>
      </c>
      <c r="E12" s="33">
        <v>491.55465099996383</v>
      </c>
      <c r="F12" s="5">
        <v>15</v>
      </c>
      <c r="G12" s="23">
        <v>93.333333333333329</v>
      </c>
      <c r="H12" s="33">
        <v>755.46045363842416</v>
      </c>
      <c r="I12" s="23">
        <v>34.456092298980067</v>
      </c>
      <c r="J12" s="5">
        <v>5826.6500093091863</v>
      </c>
      <c r="K12" s="31"/>
      <c r="L12" s="23">
        <v>1586937.2727165569</v>
      </c>
      <c r="M12" s="33">
        <v>342.86061484617392</v>
      </c>
      <c r="N12" s="5">
        <v>16</v>
      </c>
      <c r="O12" s="23">
        <v>90</v>
      </c>
      <c r="P12" s="33">
        <v>2715.2047874145956</v>
      </c>
      <c r="Q12" s="23">
        <v>30.168953171755366</v>
      </c>
      <c r="R12" s="5">
        <v>5630.4177669449573</v>
      </c>
      <c r="S12" s="35"/>
      <c r="T12" s="23">
        <v>1244457.1618174659</v>
      </c>
      <c r="U12" s="33">
        <v>163.95237507692607</v>
      </c>
      <c r="V12" s="5">
        <v>14</v>
      </c>
      <c r="W12" s="23">
        <v>93.333333333333329</v>
      </c>
      <c r="X12" s="33">
        <v>27.286961476404226</v>
      </c>
      <c r="Y12" s="23">
        <v>36.446376917482837</v>
      </c>
      <c r="Z12" s="5">
        <v>5887.0221353573152</v>
      </c>
      <c r="AA12" s="35"/>
    </row>
    <row r="13" spans="2:27" x14ac:dyDescent="0.2">
      <c r="B13" s="4">
        <v>10</v>
      </c>
      <c r="C13" s="4">
        <v>884</v>
      </c>
      <c r="D13" s="23">
        <v>1329961.296754769</v>
      </c>
      <c r="E13" s="33">
        <v>126.39722792306337</v>
      </c>
      <c r="F13" s="5">
        <v>14</v>
      </c>
      <c r="G13" s="23">
        <v>91.333333333333329</v>
      </c>
      <c r="H13" s="33">
        <v>562.03464641089442</v>
      </c>
      <c r="I13" s="23">
        <v>35.258811173301211</v>
      </c>
      <c r="J13" s="5">
        <v>5787.7386323284072</v>
      </c>
      <c r="K13" s="31"/>
      <c r="L13" s="23">
        <v>1537387.5759489289</v>
      </c>
      <c r="M13" s="33">
        <v>260.3992586153953</v>
      </c>
      <c r="N13" s="5">
        <v>15</v>
      </c>
      <c r="O13" s="23">
        <v>91.333333333333329</v>
      </c>
      <c r="P13" s="33">
        <v>2670.3349104340373</v>
      </c>
      <c r="Q13" s="23">
        <v>32.840727302802321</v>
      </c>
      <c r="R13" s="5">
        <v>5596.7597510191663</v>
      </c>
      <c r="S13" s="35"/>
      <c r="T13" s="23">
        <v>1268294.4556942291</v>
      </c>
      <c r="U13" s="33">
        <v>83.398915846169459</v>
      </c>
      <c r="V13" s="5">
        <v>14</v>
      </c>
      <c r="W13" s="23">
        <v>93.333333333333329</v>
      </c>
      <c r="X13" s="33">
        <v>63.329783535764548</v>
      </c>
      <c r="Y13" s="23">
        <v>36.620428590990763</v>
      </c>
      <c r="Z13" s="5">
        <v>6012.711905333209</v>
      </c>
      <c r="AA13" s="35"/>
    </row>
    <row r="14" spans="2:27" x14ac:dyDescent="0.2">
      <c r="B14" s="50" t="s">
        <v>3</v>
      </c>
      <c r="C14" s="51"/>
      <c r="D14" s="9">
        <f>MIN(D4:D13)</f>
        <v>1298314.612475632</v>
      </c>
      <c r="E14" s="22">
        <f>INDEX(E4:E13, MATCH($D$14, D4:D13, 0))</f>
        <v>222.78767107690396</v>
      </c>
      <c r="F14" s="9">
        <f>INDEX(F4:F13, MATCH($D$14, D4:D13, 0))</f>
        <v>15</v>
      </c>
      <c r="G14" s="9">
        <f>INDEX(G4:G13, MATCH($D$14, D4:D13, 0))</f>
        <v>93.333333333333329</v>
      </c>
      <c r="H14" s="22">
        <f>INDEX(H4:H13, MATCH($D$14, D4:D13, 0))</f>
        <v>557.2158028380004</v>
      </c>
      <c r="I14" s="22">
        <f>INDEX(I4:I13, MATCH($D$14, D4:D13, 0))</f>
        <v>34.54691388475625</v>
      </c>
      <c r="J14" s="22">
        <f>INDEX(J4:J13, MATCH($D$14, D4:D13, 0))</f>
        <v>5750.2115391621046</v>
      </c>
      <c r="K14" s="32" t="e">
        <f>(D14-$D$15)/$D$15</f>
        <v>#DIV/0!</v>
      </c>
      <c r="L14" s="16">
        <f>MIN(L4:L13)</f>
        <v>1516223.9057181601</v>
      </c>
      <c r="M14" s="21">
        <f>INDEX(M4:M13, MATCH($L$14, L4:L13, 0))</f>
        <v>414.70871915387062</v>
      </c>
      <c r="N14" s="16">
        <f>INDEX(N4:N13, MATCH($L$14, L4:L13, 0))</f>
        <v>16</v>
      </c>
      <c r="O14" s="16">
        <f>INDEX(O4:O13, MATCH($L$14, L4:L13, 0))</f>
        <v>92</v>
      </c>
      <c r="P14" s="21">
        <f>INDEX(P4:P13, MATCH($L$14, L4:L13, 0))</f>
        <v>2609.7943560103681</v>
      </c>
      <c r="Q14" s="21">
        <f>INDEX(Q4:Q13, MATCH($L$14, L4:L13, 0))</f>
        <v>31.230473007481944</v>
      </c>
      <c r="R14" s="21">
        <f>INDEX(R4:R13, MATCH($L$14, L4:L13, 0))</f>
        <v>5513.1397091824574</v>
      </c>
      <c r="S14" s="36" t="e">
        <f>(L14-$D$15)/$D$15</f>
        <v>#DIV/0!</v>
      </c>
      <c r="T14" s="38">
        <f>MIN(T4:T13)</f>
        <v>1244457.1618174659</v>
      </c>
      <c r="U14" s="39">
        <f>INDEX(U4:U13, MATCH($T$14, T4:T13, 0))</f>
        <v>163.95237507692607</v>
      </c>
      <c r="V14" s="38">
        <f>INDEX(V4:V13, MATCH($T$14, T4:T13, 0))</f>
        <v>14</v>
      </c>
      <c r="W14" s="38">
        <f>INDEX(W4:W13, MATCH($T$14, T4:T13, 0))</f>
        <v>93.333333333333329</v>
      </c>
      <c r="X14" s="39">
        <f>INDEX(X4:X13, MATCH($T$14, T4:T13, 0))</f>
        <v>27.286961476404226</v>
      </c>
      <c r="Y14" s="39">
        <f>INDEX(Y4:Y13, MATCH($T$14, T4:T13, 0))</f>
        <v>36.446376917482837</v>
      </c>
      <c r="Z14" s="39">
        <f>INDEX(Z4:Z13, MATCH($T$14, T4:T13, 0))</f>
        <v>5887.0221353573152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0.1678401299258411</v>
      </c>
      <c r="M15" s="41">
        <f t="shared" ref="M15:R15" si="0">(M14-E14)/E14</f>
        <v>0.8614527327713638</v>
      </c>
      <c r="N15" s="41">
        <f t="shared" si="0"/>
        <v>6.6666666666666666E-2</v>
      </c>
      <c r="O15" s="41">
        <f t="shared" si="0"/>
        <v>-1.4285714285714235E-2</v>
      </c>
      <c r="P15" s="41">
        <f t="shared" si="0"/>
        <v>3.6836330605094392</v>
      </c>
      <c r="Q15" s="41">
        <f t="shared" si="0"/>
        <v>-9.5998180570846262E-2</v>
      </c>
      <c r="R15" s="41">
        <f t="shared" si="0"/>
        <v>-4.1228366707043308E-2</v>
      </c>
      <c r="T15" s="41">
        <f>(T14-D14)/D14</f>
        <v>-4.1482588380847431E-2</v>
      </c>
      <c r="U15" s="41">
        <f t="shared" ref="U15:Z15" si="1">(U14-E14)/E14</f>
        <v>-0.26408685774927176</v>
      </c>
      <c r="V15" s="41">
        <f t="shared" si="1"/>
        <v>-6.6666666666666666E-2</v>
      </c>
      <c r="W15" s="41">
        <f t="shared" si="1"/>
        <v>0</v>
      </c>
      <c r="X15" s="41">
        <f t="shared" si="1"/>
        <v>-0.95102981405511677</v>
      </c>
      <c r="Y15" s="41">
        <f t="shared" si="1"/>
        <v>5.498213354347465E-2</v>
      </c>
      <c r="Z15" s="41">
        <f t="shared" si="1"/>
        <v>2.3792271860514195E-2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0:C1048576">
    <cfRule type="duplicateValues" dxfId="79" priority="11"/>
    <cfRule type="duplicateValues" dxfId="78" priority="12"/>
  </conditionalFormatting>
  <conditionalFormatting sqref="C2">
    <cfRule type="duplicateValues" dxfId="77" priority="3"/>
    <cfRule type="duplicateValues" dxfId="76" priority="4"/>
  </conditionalFormatting>
  <conditionalFormatting sqref="C4:C13">
    <cfRule type="duplicateValues" dxfId="75" priority="5"/>
    <cfRule type="duplicateValues" dxfId="74" priority="6"/>
  </conditionalFormatting>
  <conditionalFormatting sqref="C14">
    <cfRule type="duplicateValues" dxfId="73" priority="9"/>
    <cfRule type="duplicateValues" dxfId="72" priority="10"/>
  </conditionalFormatting>
  <conditionalFormatting sqref="C15">
    <cfRule type="duplicateValues" dxfId="71" priority="7"/>
    <cfRule type="duplicateValues" dxfId="70" priority="8"/>
  </conditionalFormatting>
  <conditionalFormatting sqref="C17:C39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6D35-3901-4478-9CED-E4E71666CB2D}">
  <dimension ref="B1:AA17"/>
  <sheetViews>
    <sheetView zoomScale="90" zoomScaleNormal="90" workbookViewId="0">
      <selection activeCell="U19" sqref="U19:U38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4.9848038461749482</v>
      </c>
      <c r="R2" s="1">
        <f>(R14-J14)/J14</f>
        <v>-6.6116058579064482E-2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51</v>
      </c>
      <c r="D4" s="23">
        <v>1168643.226288683</v>
      </c>
      <c r="E4" s="33">
        <v>309.76703292314107</v>
      </c>
      <c r="F4" s="5">
        <v>13</v>
      </c>
      <c r="G4" s="23">
        <v>94</v>
      </c>
      <c r="H4" s="33">
        <v>362.73205147026351</v>
      </c>
      <c r="I4" s="23">
        <v>40.263651627371402</v>
      </c>
      <c r="J4" s="5">
        <v>5415.5349556114834</v>
      </c>
      <c r="K4" s="31"/>
      <c r="L4" s="23">
        <v>1393549.5240249659</v>
      </c>
      <c r="M4" s="33">
        <v>498.21743892308751</v>
      </c>
      <c r="N4" s="5">
        <v>14</v>
      </c>
      <c r="O4" s="23">
        <v>92.666666666666671</v>
      </c>
      <c r="P4" s="33">
        <v>2321.7863125621452</v>
      </c>
      <c r="Q4" s="23">
        <v>36.388241718564835</v>
      </c>
      <c r="R4" s="5">
        <v>5225.8330751520743</v>
      </c>
      <c r="S4" s="35"/>
      <c r="T4" s="23">
        <v>1182305.20908859</v>
      </c>
      <c r="U4" s="33">
        <v>184.97949792313963</v>
      </c>
      <c r="V4" s="5">
        <v>11</v>
      </c>
      <c r="W4" s="23">
        <v>94.666666666666671</v>
      </c>
      <c r="X4" s="33">
        <v>46.042345539758934</v>
      </c>
      <c r="Y4" s="23">
        <v>47.159907521117908</v>
      </c>
      <c r="Z4" s="5">
        <v>6089.8029044642954</v>
      </c>
      <c r="AA4" s="35"/>
    </row>
    <row r="5" spans="2:27" x14ac:dyDescent="0.2">
      <c r="B5" s="4">
        <v>2</v>
      </c>
      <c r="C5" s="4">
        <v>157</v>
      </c>
      <c r="D5" s="23">
        <v>1179422.3932702451</v>
      </c>
      <c r="E5" s="33">
        <v>98.198421076925143</v>
      </c>
      <c r="F5" s="5">
        <v>12</v>
      </c>
      <c r="G5" s="23">
        <v>94.666666666666671</v>
      </c>
      <c r="H5" s="33">
        <v>438.2960408125968</v>
      </c>
      <c r="I5" s="23">
        <v>43.915001104564055</v>
      </c>
      <c r="J5" s="5">
        <v>5646.406472561328</v>
      </c>
      <c r="K5" s="31"/>
      <c r="L5" s="23">
        <v>1379199.580969075</v>
      </c>
      <c r="M5" s="33">
        <v>343.83925776928663</v>
      </c>
      <c r="N5" s="5">
        <v>14</v>
      </c>
      <c r="O5" s="23">
        <v>93.333333333333329</v>
      </c>
      <c r="P5" s="33">
        <v>2324.3128920809977</v>
      </c>
      <c r="Q5" s="23">
        <v>36.754684246707235</v>
      </c>
      <c r="R5" s="5">
        <v>5226.2225699151204</v>
      </c>
      <c r="S5" s="35"/>
      <c r="T5" s="23">
        <v>1182305.20908859</v>
      </c>
      <c r="U5" s="33">
        <v>226.82127584613715</v>
      </c>
      <c r="V5" s="5">
        <v>11</v>
      </c>
      <c r="W5" s="23">
        <v>94.666666666666671</v>
      </c>
      <c r="X5" s="33">
        <v>46.042345539758934</v>
      </c>
      <c r="Y5" s="23">
        <v>47.159907521117908</v>
      </c>
      <c r="Z5" s="5">
        <v>6089.8029044642954</v>
      </c>
      <c r="AA5" s="35"/>
    </row>
    <row r="6" spans="2:27" x14ac:dyDescent="0.2">
      <c r="B6" s="4">
        <v>3</v>
      </c>
      <c r="C6" s="4">
        <v>204</v>
      </c>
      <c r="D6" s="23">
        <v>1168814.8782724959</v>
      </c>
      <c r="E6" s="33">
        <v>230.17236007690931</v>
      </c>
      <c r="F6" s="5">
        <v>13</v>
      </c>
      <c r="G6" s="23">
        <v>94</v>
      </c>
      <c r="H6" s="33">
        <v>361.64317955181463</v>
      </c>
      <c r="I6" s="23">
        <v>40.120958464931775</v>
      </c>
      <c r="J6" s="5">
        <v>5405.6134102949354</v>
      </c>
      <c r="K6" s="31"/>
      <c r="L6" s="23">
        <v>1349071.23552028</v>
      </c>
      <c r="M6" s="33">
        <v>270.15353307692112</v>
      </c>
      <c r="N6" s="5">
        <v>15</v>
      </c>
      <c r="O6" s="23">
        <v>94</v>
      </c>
      <c r="P6" s="33">
        <v>2170.8801767701625</v>
      </c>
      <c r="Q6" s="23">
        <v>34.471642064098077</v>
      </c>
      <c r="R6" s="5">
        <v>5057.4811292493032</v>
      </c>
      <c r="S6" s="35"/>
      <c r="T6" s="23">
        <v>1134813.397238008</v>
      </c>
      <c r="U6" s="33">
        <v>251.21516153852167</v>
      </c>
      <c r="V6" s="5">
        <v>12</v>
      </c>
      <c r="W6" s="23">
        <v>94.666666666666671</v>
      </c>
      <c r="X6" s="33">
        <v>16.193449331346208</v>
      </c>
      <c r="Y6" s="23">
        <v>43.90942940287249</v>
      </c>
      <c r="Z6" s="5">
        <v>5646.0272189373973</v>
      </c>
      <c r="AA6" s="35"/>
    </row>
    <row r="7" spans="2:27" x14ac:dyDescent="0.2">
      <c r="B7" s="4">
        <v>4</v>
      </c>
      <c r="C7" s="4">
        <v>223</v>
      </c>
      <c r="D7" s="23">
        <v>1209864.3907835791</v>
      </c>
      <c r="E7" s="33">
        <v>179.55091323076678</v>
      </c>
      <c r="F7" s="5">
        <v>13</v>
      </c>
      <c r="G7" s="23">
        <v>94</v>
      </c>
      <c r="H7" s="33">
        <v>433.02601265982452</v>
      </c>
      <c r="I7" s="23">
        <v>39.336379694786949</v>
      </c>
      <c r="J7" s="5">
        <v>5647.4674768098557</v>
      </c>
      <c r="K7" s="31"/>
      <c r="L7" s="23">
        <v>1409625.7762037001</v>
      </c>
      <c r="M7" s="33">
        <v>396.90002915377801</v>
      </c>
      <c r="N7" s="5">
        <v>14</v>
      </c>
      <c r="O7" s="23">
        <v>93.333333333333329</v>
      </c>
      <c r="P7" s="33">
        <v>2449.9520367707105</v>
      </c>
      <c r="Q7" s="23">
        <v>36.71954376892625</v>
      </c>
      <c r="R7" s="5">
        <v>5349.1770367707168</v>
      </c>
      <c r="S7" s="35"/>
      <c r="T7" s="23">
        <v>1135840.4962298649</v>
      </c>
      <c r="U7" s="33">
        <v>189.70531000003507</v>
      </c>
      <c r="V7" s="5">
        <v>12</v>
      </c>
      <c r="W7" s="23">
        <v>94.666666666666671</v>
      </c>
      <c r="X7" s="33">
        <v>37.011302847475314</v>
      </c>
      <c r="Y7" s="23">
        <v>43.393911268245269</v>
      </c>
      <c r="Z7" s="5">
        <v>5644.7477554310508</v>
      </c>
      <c r="AA7" s="35"/>
    </row>
    <row r="8" spans="2:27" x14ac:dyDescent="0.2">
      <c r="B8" s="4">
        <v>5</v>
      </c>
      <c r="C8" s="4">
        <v>237</v>
      </c>
      <c r="D8" s="23">
        <v>1243711.955503087</v>
      </c>
      <c r="E8" s="33">
        <v>141.27079630772084</v>
      </c>
      <c r="F8" s="5">
        <v>13</v>
      </c>
      <c r="G8" s="23">
        <v>94.666666666666671</v>
      </c>
      <c r="H8" s="33">
        <v>623.91760614343332</v>
      </c>
      <c r="I8" s="23">
        <v>40.118266863383056</v>
      </c>
      <c r="J8" s="5">
        <v>5811.4492872780693</v>
      </c>
      <c r="K8" s="31"/>
      <c r="L8" s="23">
        <v>1423897.7031662909</v>
      </c>
      <c r="M8" s="33">
        <v>116.70644069233768</v>
      </c>
      <c r="N8" s="5">
        <v>13</v>
      </c>
      <c r="O8" s="23">
        <v>90.666666666666671</v>
      </c>
      <c r="P8" s="33">
        <v>2379.6347963252883</v>
      </c>
      <c r="Q8" s="23">
        <v>38.555565816845615</v>
      </c>
      <c r="R8" s="5">
        <v>5287.3590610311703</v>
      </c>
      <c r="S8" s="35"/>
      <c r="T8" s="23">
        <v>1142477.5493705559</v>
      </c>
      <c r="U8" s="33">
        <v>105.55781384616593</v>
      </c>
      <c r="V8" s="5">
        <v>11</v>
      </c>
      <c r="W8" s="23">
        <v>94.666666666666671</v>
      </c>
      <c r="X8" s="33">
        <v>22.097608445836709</v>
      </c>
      <c r="Y8" s="23">
        <v>47.251758066314181</v>
      </c>
      <c r="Z8" s="5">
        <v>5814.7429665650161</v>
      </c>
      <c r="AA8" s="35"/>
    </row>
    <row r="9" spans="2:27" x14ac:dyDescent="0.2">
      <c r="B9" s="4">
        <v>6</v>
      </c>
      <c r="C9" s="4">
        <v>363</v>
      </c>
      <c r="D9" s="23">
        <v>1190772.751406092</v>
      </c>
      <c r="E9" s="33">
        <v>171.87102507692398</v>
      </c>
      <c r="F9" s="5">
        <v>13</v>
      </c>
      <c r="G9" s="23">
        <v>94.666666666666671</v>
      </c>
      <c r="H9" s="33">
        <v>460.59135454137476</v>
      </c>
      <c r="I9" s="23">
        <v>40.837244570789089</v>
      </c>
      <c r="J9" s="5">
        <v>5567.9654675734828</v>
      </c>
      <c r="K9" s="31"/>
      <c r="L9" s="23">
        <v>1367298.759402955</v>
      </c>
      <c r="M9" s="33">
        <v>209.73616215382484</v>
      </c>
      <c r="N9" s="5">
        <v>14</v>
      </c>
      <c r="O9" s="23">
        <v>94</v>
      </c>
      <c r="P9" s="33">
        <v>2311.8678232750462</v>
      </c>
      <c r="Q9" s="23">
        <v>36.805208515970676</v>
      </c>
      <c r="R9" s="5">
        <v>5205.7378181991107</v>
      </c>
      <c r="S9" s="35"/>
      <c r="T9" s="23">
        <v>1134813.397238008</v>
      </c>
      <c r="U9" s="33">
        <v>226.26986053843905</v>
      </c>
      <c r="V9" s="5">
        <v>12</v>
      </c>
      <c r="W9" s="23">
        <v>94.666666666666671</v>
      </c>
      <c r="X9" s="33">
        <v>16.193449331346208</v>
      </c>
      <c r="Y9" s="23">
        <v>43.90942940287249</v>
      </c>
      <c r="Z9" s="5">
        <v>5646.0272189373973</v>
      </c>
      <c r="AA9" s="35"/>
    </row>
    <row r="10" spans="2:27" x14ac:dyDescent="0.2">
      <c r="B10" s="4">
        <v>7</v>
      </c>
      <c r="C10" s="4">
        <v>434</v>
      </c>
      <c r="D10" s="23">
        <v>1211151.1259381061</v>
      </c>
      <c r="E10" s="33">
        <v>215.50041484619629</v>
      </c>
      <c r="F10" s="5">
        <v>14</v>
      </c>
      <c r="G10" s="23">
        <v>94.666666666666671</v>
      </c>
      <c r="H10" s="33">
        <v>520.73937083825979</v>
      </c>
      <c r="I10" s="23">
        <v>37.974113345284842</v>
      </c>
      <c r="J10" s="5">
        <v>5556.6362525577761</v>
      </c>
      <c r="K10" s="31"/>
      <c r="L10" s="23">
        <v>1397716.845570052</v>
      </c>
      <c r="M10" s="33">
        <v>238.07548553844055</v>
      </c>
      <c r="N10" s="5">
        <v>14</v>
      </c>
      <c r="O10" s="23">
        <v>92</v>
      </c>
      <c r="P10" s="33">
        <v>2332.6272983604304</v>
      </c>
      <c r="Q10" s="23">
        <v>36.500548257170195</v>
      </c>
      <c r="R10" s="5">
        <v>5218.3810987850302</v>
      </c>
      <c r="S10" s="35"/>
      <c r="T10" s="23">
        <v>1124595.6215973359</v>
      </c>
      <c r="U10" s="33">
        <v>204.95615053850301</v>
      </c>
      <c r="V10" s="5">
        <v>13</v>
      </c>
      <c r="W10" s="23">
        <v>94.666666666666671</v>
      </c>
      <c r="X10" s="33">
        <v>19.053534955306699</v>
      </c>
      <c r="Y10" s="23">
        <v>40.59155550045125</v>
      </c>
      <c r="Z10" s="5">
        <v>5444.6997672067355</v>
      </c>
      <c r="AA10" s="35"/>
    </row>
    <row r="11" spans="2:27" x14ac:dyDescent="0.2">
      <c r="B11" s="4">
        <v>8</v>
      </c>
      <c r="C11" s="4">
        <v>486</v>
      </c>
      <c r="D11" s="23">
        <v>1221464.7729007881</v>
      </c>
      <c r="E11" s="33">
        <v>148.57329807691991</v>
      </c>
      <c r="F11" s="5">
        <v>12</v>
      </c>
      <c r="G11" s="23">
        <v>93.333333333333329</v>
      </c>
      <c r="H11" s="33">
        <v>497.96427611527832</v>
      </c>
      <c r="I11" s="23">
        <v>43.330760313874919</v>
      </c>
      <c r="J11" s="5">
        <v>5702.8304282870968</v>
      </c>
      <c r="K11" s="31"/>
      <c r="L11" s="23">
        <v>1369482.5109797451</v>
      </c>
      <c r="M11" s="33">
        <v>169.65702353842337</v>
      </c>
      <c r="N11" s="5">
        <v>14</v>
      </c>
      <c r="O11" s="23">
        <v>94.666666666666671</v>
      </c>
      <c r="P11" s="33">
        <v>2388.0332881366185</v>
      </c>
      <c r="Q11" s="23">
        <v>37.608274313791526</v>
      </c>
      <c r="R11" s="5">
        <v>5282.4464521105128</v>
      </c>
      <c r="S11" s="35"/>
      <c r="T11" s="23">
        <v>1157986.945163046</v>
      </c>
      <c r="U11" s="33">
        <v>82.629709846178912</v>
      </c>
      <c r="V11" s="5">
        <v>11</v>
      </c>
      <c r="W11" s="23">
        <v>94.666666666666671</v>
      </c>
      <c r="X11" s="33">
        <v>28.864518324903234</v>
      </c>
      <c r="Y11" s="23">
        <v>47.904064598464316</v>
      </c>
      <c r="Z11" s="5">
        <v>5939.7934119328811</v>
      </c>
      <c r="AA11" s="35"/>
    </row>
    <row r="12" spans="2:27" x14ac:dyDescent="0.2">
      <c r="B12" s="4">
        <v>9</v>
      </c>
      <c r="C12" s="4">
        <v>603</v>
      </c>
      <c r="D12" s="23">
        <v>1171192.273408608</v>
      </c>
      <c r="E12" s="33">
        <v>178.29719907693706</v>
      </c>
      <c r="F12" s="5">
        <v>14</v>
      </c>
      <c r="G12" s="23">
        <v>94.666666666666671</v>
      </c>
      <c r="H12" s="33">
        <v>407.82753733113157</v>
      </c>
      <c r="I12" s="23">
        <v>38.041275864139564</v>
      </c>
      <c r="J12" s="5">
        <v>5383.0256376659336</v>
      </c>
      <c r="K12" s="31"/>
      <c r="L12" s="23">
        <v>1397572.4834384311</v>
      </c>
      <c r="M12" s="33">
        <v>196.85727115389176</v>
      </c>
      <c r="N12" s="5">
        <v>13</v>
      </c>
      <c r="O12" s="23">
        <v>93.333333333333329</v>
      </c>
      <c r="P12" s="33">
        <v>2479.5980678299975</v>
      </c>
      <c r="Q12" s="23">
        <v>39.827329267969006</v>
      </c>
      <c r="R12" s="5">
        <v>5378.0055757474865</v>
      </c>
      <c r="S12" s="35"/>
      <c r="T12" s="23">
        <v>1159073.862149853</v>
      </c>
      <c r="U12" s="33">
        <v>176.83896184621307</v>
      </c>
      <c r="V12" s="5">
        <v>15</v>
      </c>
      <c r="W12" s="23">
        <v>94.666666666666671</v>
      </c>
      <c r="X12" s="33">
        <v>67.877721323717623</v>
      </c>
      <c r="Y12" s="23">
        <v>35.431315235925489</v>
      </c>
      <c r="Z12" s="5">
        <v>5399.3870478690887</v>
      </c>
      <c r="AA12" s="35"/>
    </row>
    <row r="13" spans="2:27" x14ac:dyDescent="0.2">
      <c r="B13" s="4">
        <v>10</v>
      </c>
      <c r="C13" s="4">
        <v>817</v>
      </c>
      <c r="D13" s="23">
        <v>1171164.502807962</v>
      </c>
      <c r="E13" s="33">
        <v>126.49336761544245</v>
      </c>
      <c r="F13" s="5">
        <v>13</v>
      </c>
      <c r="G13" s="23">
        <v>94</v>
      </c>
      <c r="H13" s="33">
        <v>335.11944124890414</v>
      </c>
      <c r="I13" s="23">
        <v>40.259183073031487</v>
      </c>
      <c r="J13" s="5">
        <v>5454.0835218996663</v>
      </c>
      <c r="K13" s="31"/>
      <c r="L13" s="23">
        <v>1392373.965275967</v>
      </c>
      <c r="M13" s="33">
        <v>159.83554476925815</v>
      </c>
      <c r="N13" s="5">
        <v>15</v>
      </c>
      <c r="O13" s="23">
        <v>94</v>
      </c>
      <c r="P13" s="33">
        <v>2370.6463439353829</v>
      </c>
      <c r="Q13" s="23">
        <v>34.69250541321319</v>
      </c>
      <c r="R13" s="5">
        <v>5260.9836844691818</v>
      </c>
      <c r="S13" s="35"/>
      <c r="T13" s="23">
        <v>1182305.20908859</v>
      </c>
      <c r="U13" s="33">
        <v>198.75743269230816</v>
      </c>
      <c r="V13" s="5">
        <v>11</v>
      </c>
      <c r="W13" s="23">
        <v>94.666666666666671</v>
      </c>
      <c r="X13" s="33">
        <v>46.042345539758934</v>
      </c>
      <c r="Y13" s="23">
        <v>47.159907521117908</v>
      </c>
      <c r="Z13" s="5">
        <v>6089.8029044642954</v>
      </c>
      <c r="AA13" s="35"/>
    </row>
    <row r="14" spans="2:27" x14ac:dyDescent="0.2">
      <c r="B14" s="50" t="s">
        <v>3</v>
      </c>
      <c r="C14" s="51"/>
      <c r="D14" s="9">
        <f>MIN(D4:D13)</f>
        <v>1168643.226288683</v>
      </c>
      <c r="E14" s="22">
        <f>INDEX(E4:E13, MATCH($D$14, D4:D13, 0))</f>
        <v>309.76703292314107</v>
      </c>
      <c r="F14" s="9">
        <f>INDEX(F4:F13, MATCH($D$14, D4:D13, 0))</f>
        <v>13</v>
      </c>
      <c r="G14" s="9">
        <f>INDEX(G4:G13, MATCH($D$14, D4:D13, 0))</f>
        <v>94</v>
      </c>
      <c r="H14" s="22">
        <f>INDEX(H4:H13, MATCH($D$14, D4:D13, 0))</f>
        <v>362.73205147026351</v>
      </c>
      <c r="I14" s="22">
        <f>INDEX(I4:I13, MATCH($D$14, D4:D13, 0))</f>
        <v>40.263651627371402</v>
      </c>
      <c r="J14" s="22">
        <f>INDEX(J4:J13, MATCH($D$14, D4:D13, 0))</f>
        <v>5415.5349556114834</v>
      </c>
      <c r="K14" s="32" t="e">
        <f>(D14-$D$15)/$D$15</f>
        <v>#DIV/0!</v>
      </c>
      <c r="L14" s="16">
        <f>MIN(L4:L13)</f>
        <v>1349071.23552028</v>
      </c>
      <c r="M14" s="21">
        <f>INDEX(M4:M13, MATCH($L$14, L4:L13, 0))</f>
        <v>270.15353307692112</v>
      </c>
      <c r="N14" s="16">
        <f>INDEX(N4:N13, MATCH($L$14, L4:L13, 0))</f>
        <v>15</v>
      </c>
      <c r="O14" s="16">
        <f>INDEX(O4:O13, MATCH($L$14, L4:L13, 0))</f>
        <v>94</v>
      </c>
      <c r="P14" s="21">
        <f>INDEX(P4:P13, MATCH($L$14, L4:L13, 0))</f>
        <v>2170.8801767701625</v>
      </c>
      <c r="Q14" s="21">
        <f>INDEX(Q4:Q13, MATCH($L$14, L4:L13, 0))</f>
        <v>34.471642064098077</v>
      </c>
      <c r="R14" s="21">
        <f>INDEX(R4:R13, MATCH($L$14, L4:L13, 0))</f>
        <v>5057.4811292493032</v>
      </c>
      <c r="S14" s="36" t="e">
        <f>(L14-$D$15)/$D$15</f>
        <v>#DIV/0!</v>
      </c>
      <c r="T14" s="38">
        <f>MIN(T4:T13)</f>
        <v>1124595.6215973359</v>
      </c>
      <c r="U14" s="39">
        <f>INDEX(U4:U13, MATCH($T$14, T4:T13, 0))</f>
        <v>204.95615053850301</v>
      </c>
      <c r="V14" s="38">
        <f>INDEX(V4:V13, MATCH($T$14, T4:T13, 0))</f>
        <v>13</v>
      </c>
      <c r="W14" s="38">
        <f>INDEX(W4:W13, MATCH($T$14, T4:T13, 0))</f>
        <v>94.666666666666671</v>
      </c>
      <c r="X14" s="39">
        <f>INDEX(X4:X13, MATCH($T$14, T4:T13, 0))</f>
        <v>19.053534955306699</v>
      </c>
      <c r="Y14" s="39">
        <f>INDEX(Y4:Y13, MATCH($T$14, T4:T13, 0))</f>
        <v>40.59155550045125</v>
      </c>
      <c r="Z14" s="39">
        <f>INDEX(Z4:Z13, MATCH($T$14, T4:T13, 0))</f>
        <v>5444.6997672067355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0.15439101102274894</v>
      </c>
      <c r="M15" s="41">
        <f t="shared" ref="M15:R15" si="0">(M14-E14)/E14</f>
        <v>-0.12788158724446572</v>
      </c>
      <c r="N15" s="41">
        <f t="shared" si="0"/>
        <v>0.15384615384615385</v>
      </c>
      <c r="O15" s="41">
        <f t="shared" si="0"/>
        <v>0</v>
      </c>
      <c r="P15" s="41">
        <f t="shared" si="0"/>
        <v>4.9848038461749482</v>
      </c>
      <c r="Q15" s="41">
        <f t="shared" si="0"/>
        <v>-0.14385206828423611</v>
      </c>
      <c r="R15" s="41">
        <f t="shared" si="0"/>
        <v>-6.6116058579064482E-2</v>
      </c>
      <c r="T15" s="41">
        <f>(T14-D14)/D14</f>
        <v>-3.7691233475276475E-2</v>
      </c>
      <c r="U15" s="41">
        <f t="shared" ref="U15:Z15" si="1">(U14-E14)/E14</f>
        <v>-0.33835389581512887</v>
      </c>
      <c r="V15" s="41">
        <f t="shared" si="1"/>
        <v>0</v>
      </c>
      <c r="W15" s="41">
        <f t="shared" si="1"/>
        <v>7.0921985815603338E-3</v>
      </c>
      <c r="X15" s="41">
        <f t="shared" si="1"/>
        <v>-0.94747214954378334</v>
      </c>
      <c r="Y15" s="41">
        <f t="shared" si="1"/>
        <v>8.1439178968292364E-3</v>
      </c>
      <c r="Z15" s="41">
        <f t="shared" si="1"/>
        <v>5.3853980879639655E-3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0:C1048576">
    <cfRule type="duplicateValues" dxfId="69" priority="11"/>
    <cfRule type="duplicateValues" dxfId="68" priority="12"/>
  </conditionalFormatting>
  <conditionalFormatting sqref="C2">
    <cfRule type="duplicateValues" dxfId="67" priority="3"/>
    <cfRule type="duplicateValues" dxfId="66" priority="4"/>
  </conditionalFormatting>
  <conditionalFormatting sqref="C4:C13">
    <cfRule type="duplicateValues" dxfId="65" priority="5"/>
    <cfRule type="duplicateValues" dxfId="64" priority="6"/>
  </conditionalFormatting>
  <conditionalFormatting sqref="C14">
    <cfRule type="duplicateValues" dxfId="63" priority="9"/>
    <cfRule type="duplicateValues" dxfId="62" priority="10"/>
  </conditionalFormatting>
  <conditionalFormatting sqref="C15">
    <cfRule type="duplicateValues" dxfId="61" priority="7"/>
    <cfRule type="duplicateValues" dxfId="60" priority="8"/>
  </conditionalFormatting>
  <conditionalFormatting sqref="C17:C39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41086-73B8-4522-A718-A32ADBBE88D5}">
  <dimension ref="B1:AA17"/>
  <sheetViews>
    <sheetView zoomScale="90" zoomScaleNormal="90" workbookViewId="0">
      <selection activeCell="U20" sqref="U20:U3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4.9327845189216228</v>
      </c>
      <c r="R2" s="1">
        <f>(R14-J14)/J14</f>
        <v>-6.4067352523505747E-2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</v>
      </c>
      <c r="D4" s="23">
        <v>1281702.7336423241</v>
      </c>
      <c r="E4" s="33">
        <v>144.5523972307833</v>
      </c>
      <c r="F4" s="5">
        <v>11</v>
      </c>
      <c r="G4" s="23">
        <v>92</v>
      </c>
      <c r="H4" s="33">
        <v>592.76653159283774</v>
      </c>
      <c r="I4" s="23">
        <v>41.443088648347867</v>
      </c>
      <c r="J4" s="5">
        <v>5860.5421444969725</v>
      </c>
      <c r="K4" s="31"/>
      <c r="L4" s="23">
        <v>1439274.249400835</v>
      </c>
      <c r="M4" s="33">
        <v>228.04794146150991</v>
      </c>
      <c r="N4" s="5">
        <v>14</v>
      </c>
      <c r="O4" s="23">
        <v>90.666666666666671</v>
      </c>
      <c r="P4" s="33">
        <v>2304.0101351727126</v>
      </c>
      <c r="Q4" s="23">
        <v>31.974414158011296</v>
      </c>
      <c r="R4" s="5">
        <v>5146.6933098372874</v>
      </c>
      <c r="S4" s="35"/>
      <c r="T4" s="23">
        <v>1200154.3917738011</v>
      </c>
      <c r="U4" s="33">
        <v>209.46615253852752</v>
      </c>
      <c r="V4" s="5">
        <v>11</v>
      </c>
      <c r="W4" s="23">
        <v>92.666666666666671</v>
      </c>
      <c r="X4" s="33">
        <v>33.333173055999531</v>
      </c>
      <c r="Y4" s="23">
        <v>41.935705705876018</v>
      </c>
      <c r="Z4" s="5">
        <v>5809.5648643358936</v>
      </c>
      <c r="AA4" s="35"/>
    </row>
    <row r="5" spans="2:27" x14ac:dyDescent="0.2">
      <c r="B5" s="4">
        <v>2</v>
      </c>
      <c r="C5" s="4">
        <v>48</v>
      </c>
      <c r="D5" s="23">
        <v>1239485.4862941881</v>
      </c>
      <c r="E5" s="33">
        <v>177.19669053841454</v>
      </c>
      <c r="F5" s="5">
        <v>12</v>
      </c>
      <c r="G5" s="23">
        <v>92</v>
      </c>
      <c r="H5" s="33">
        <v>488.76502468408506</v>
      </c>
      <c r="I5" s="23">
        <v>38.605788126454136</v>
      </c>
      <c r="J5" s="5">
        <v>5528.7049505883151</v>
      </c>
      <c r="K5" s="31"/>
      <c r="L5" s="23">
        <v>1481340.452549923</v>
      </c>
      <c r="M5" s="33">
        <v>255.63765053852245</v>
      </c>
      <c r="N5" s="5">
        <v>15</v>
      </c>
      <c r="O5" s="23">
        <v>92</v>
      </c>
      <c r="P5" s="33">
        <v>2496.3155469145509</v>
      </c>
      <c r="Q5" s="23">
        <v>30.727826507149473</v>
      </c>
      <c r="R5" s="5">
        <v>5341.5256918420919</v>
      </c>
      <c r="S5" s="35"/>
      <c r="T5" s="23">
        <v>1215830.9723571129</v>
      </c>
      <c r="U5" s="33">
        <v>429.63494115383719</v>
      </c>
      <c r="V5" s="5">
        <v>13</v>
      </c>
      <c r="W5" s="23">
        <v>92.666666666666671</v>
      </c>
      <c r="X5" s="33">
        <v>45.676687932420151</v>
      </c>
      <c r="Y5" s="23">
        <v>35.10325664551862</v>
      </c>
      <c r="Z5" s="5">
        <v>5640.6042877462332</v>
      </c>
      <c r="AA5" s="35"/>
    </row>
    <row r="6" spans="2:27" x14ac:dyDescent="0.2">
      <c r="B6" s="4">
        <v>3</v>
      </c>
      <c r="C6" s="4">
        <v>445</v>
      </c>
      <c r="D6" s="23">
        <v>1210876.1857202931</v>
      </c>
      <c r="E6" s="33">
        <v>111.06697430762532</v>
      </c>
      <c r="F6" s="5">
        <v>12</v>
      </c>
      <c r="G6" s="23">
        <v>92.666666666666671</v>
      </c>
      <c r="H6" s="33">
        <v>395.7095551113469</v>
      </c>
      <c r="I6" s="23">
        <v>38.858003489073702</v>
      </c>
      <c r="J6" s="5">
        <v>5502.549474089722</v>
      </c>
      <c r="K6" s="31"/>
      <c r="L6" s="23">
        <v>1399949.044922113</v>
      </c>
      <c r="M6" s="33">
        <v>302.12545492301263</v>
      </c>
      <c r="N6" s="5">
        <v>14</v>
      </c>
      <c r="O6" s="23">
        <v>92</v>
      </c>
      <c r="P6" s="33">
        <v>2272.2054446753455</v>
      </c>
      <c r="Q6" s="23">
        <v>32.995786428834869</v>
      </c>
      <c r="R6" s="5">
        <v>5116.0947535996029</v>
      </c>
      <c r="S6" s="35"/>
      <c r="T6" s="23">
        <v>1228907.1051623321</v>
      </c>
      <c r="U6" s="33">
        <v>142.04424484614998</v>
      </c>
      <c r="V6" s="5">
        <v>13</v>
      </c>
      <c r="W6" s="23">
        <v>92.666666666666671</v>
      </c>
      <c r="X6" s="33">
        <v>48.520878079437821</v>
      </c>
      <c r="Y6" s="23">
        <v>35.08470430061903</v>
      </c>
      <c r="Z6" s="5">
        <v>5729.1590294912075</v>
      </c>
      <c r="AA6" s="35"/>
    </row>
    <row r="7" spans="2:27" x14ac:dyDescent="0.2">
      <c r="B7" s="4">
        <v>4</v>
      </c>
      <c r="C7" s="4">
        <v>568</v>
      </c>
      <c r="D7" s="23">
        <v>1254769.981569526</v>
      </c>
      <c r="E7" s="33">
        <v>226.45354630765863</v>
      </c>
      <c r="F7" s="5">
        <v>13</v>
      </c>
      <c r="G7" s="23">
        <v>92.666666666666671</v>
      </c>
      <c r="H7" s="33">
        <v>456.81481322441994</v>
      </c>
      <c r="I7" s="23">
        <v>35.2152440558243</v>
      </c>
      <c r="J7" s="5">
        <v>5592.3213535914902</v>
      </c>
      <c r="K7" s="31"/>
      <c r="L7" s="23">
        <v>1426556.852488057</v>
      </c>
      <c r="M7" s="33">
        <v>229.8164676923233</v>
      </c>
      <c r="N7" s="5">
        <v>15</v>
      </c>
      <c r="O7" s="23">
        <v>92</v>
      </c>
      <c r="P7" s="33">
        <v>2292.811237004852</v>
      </c>
      <c r="Q7" s="23">
        <v>31.178475874729919</v>
      </c>
      <c r="R7" s="5">
        <v>5117.7171938902056</v>
      </c>
      <c r="S7" s="35"/>
      <c r="T7" s="23">
        <v>1213574.19178654</v>
      </c>
      <c r="U7" s="33">
        <v>191.65034200002151</v>
      </c>
      <c r="V7" s="5">
        <v>13</v>
      </c>
      <c r="W7" s="23">
        <v>92.666666666666671</v>
      </c>
      <c r="X7" s="33">
        <v>69.345086543142358</v>
      </c>
      <c r="Y7" s="23">
        <v>35.276032043324037</v>
      </c>
      <c r="Z7" s="5">
        <v>5589.2389023727246</v>
      </c>
      <c r="AA7" s="35"/>
    </row>
    <row r="8" spans="2:27" x14ac:dyDescent="0.2">
      <c r="B8" s="4">
        <v>5</v>
      </c>
      <c r="C8" s="4">
        <v>612</v>
      </c>
      <c r="D8" s="23">
        <v>1284308.6324758481</v>
      </c>
      <c r="E8" s="33">
        <v>150.23558484614253</v>
      </c>
      <c r="F8" s="5">
        <v>13</v>
      </c>
      <c r="G8" s="23">
        <v>92.666666666666671</v>
      </c>
      <c r="H8" s="33">
        <v>625.07008847448844</v>
      </c>
      <c r="I8" s="23">
        <v>35.288092697441826</v>
      </c>
      <c r="J8" s="5">
        <v>5692.6336826878842</v>
      </c>
      <c r="K8" s="31"/>
      <c r="L8" s="23">
        <v>1433707.615687307</v>
      </c>
      <c r="M8" s="33">
        <v>246.94043253843964</v>
      </c>
      <c r="N8" s="5">
        <v>14</v>
      </c>
      <c r="O8" s="23">
        <v>91.333333333333329</v>
      </c>
      <c r="P8" s="33">
        <v>2340.5604667895477</v>
      </c>
      <c r="Q8" s="23">
        <v>32.903183761933818</v>
      </c>
      <c r="R8" s="5">
        <v>5182.4796971397591</v>
      </c>
      <c r="S8" s="35"/>
      <c r="T8" s="23">
        <v>1244576.5786256089</v>
      </c>
      <c r="U8" s="33">
        <v>198.9403619230367</v>
      </c>
      <c r="V8" s="5">
        <v>12</v>
      </c>
      <c r="W8" s="23">
        <v>92.666666666666671</v>
      </c>
      <c r="X8" s="33">
        <v>92.705776120728871</v>
      </c>
      <c r="Y8" s="23">
        <v>39.167382838556769</v>
      </c>
      <c r="Z8" s="5">
        <v>5958.5854285586356</v>
      </c>
      <c r="AA8" s="35"/>
    </row>
    <row r="9" spans="2:27" x14ac:dyDescent="0.2">
      <c r="B9" s="4">
        <v>6</v>
      </c>
      <c r="C9" s="4">
        <v>662</v>
      </c>
      <c r="D9" s="23">
        <v>1234967.8278609221</v>
      </c>
      <c r="E9" s="33">
        <v>128.72566730769063</v>
      </c>
      <c r="F9" s="5">
        <v>13</v>
      </c>
      <c r="G9" s="23">
        <v>92</v>
      </c>
      <c r="H9" s="33">
        <v>478.82561724374682</v>
      </c>
      <c r="I9" s="23">
        <v>35.647182140057424</v>
      </c>
      <c r="J9" s="5">
        <v>5377.3523421048058</v>
      </c>
      <c r="K9" s="31"/>
      <c r="L9" s="23">
        <v>1493613.3782116929</v>
      </c>
      <c r="M9" s="33">
        <v>198.94257446159972</v>
      </c>
      <c r="N9" s="5">
        <v>14</v>
      </c>
      <c r="O9" s="23">
        <v>91.333333333333329</v>
      </c>
      <c r="P9" s="33">
        <v>2573.6484923430999</v>
      </c>
      <c r="Q9" s="23">
        <v>32.621391541078786</v>
      </c>
      <c r="R9" s="5">
        <v>5399.1713149714142</v>
      </c>
      <c r="S9" s="35"/>
      <c r="T9" s="23">
        <v>1183504.8418584629</v>
      </c>
      <c r="U9" s="33">
        <v>261.90528130767723</v>
      </c>
      <c r="V9" s="5">
        <v>12</v>
      </c>
      <c r="W9" s="23">
        <v>92.666666666666671</v>
      </c>
      <c r="X9" s="33">
        <v>40.565627157506171</v>
      </c>
      <c r="Y9" s="23">
        <v>39.084139241809396</v>
      </c>
      <c r="Z9" s="5">
        <v>5580.7704273648196</v>
      </c>
      <c r="AA9" s="35"/>
    </row>
    <row r="10" spans="2:27" x14ac:dyDescent="0.2">
      <c r="B10" s="4">
        <v>7</v>
      </c>
      <c r="C10" s="4">
        <v>718</v>
      </c>
      <c r="D10" s="23">
        <v>1300345.0328045429</v>
      </c>
      <c r="E10" s="33">
        <v>121.58971038458938</v>
      </c>
      <c r="F10" s="5">
        <v>12</v>
      </c>
      <c r="G10" s="23">
        <v>91.333333333333329</v>
      </c>
      <c r="H10" s="33">
        <v>546.76674491528581</v>
      </c>
      <c r="I10" s="23">
        <v>36.973246245291058</v>
      </c>
      <c r="J10" s="5">
        <v>5795.3987995766183</v>
      </c>
      <c r="K10" s="31"/>
      <c r="L10" s="23">
        <v>1465562.512714457</v>
      </c>
      <c r="M10" s="33">
        <v>237.491068230727</v>
      </c>
      <c r="N10" s="5">
        <v>14</v>
      </c>
      <c r="O10" s="23">
        <v>92</v>
      </c>
      <c r="P10" s="33">
        <v>2526.5811694753093</v>
      </c>
      <c r="Q10" s="23">
        <v>32.620508670585089</v>
      </c>
      <c r="R10" s="5">
        <v>5363.5494558699093</v>
      </c>
      <c r="S10" s="35"/>
      <c r="T10" s="23">
        <v>1180293.930445387</v>
      </c>
      <c r="U10" s="33">
        <v>109.66363953847369</v>
      </c>
      <c r="V10" s="5">
        <v>12</v>
      </c>
      <c r="W10" s="23">
        <v>92.666666666666671</v>
      </c>
      <c r="X10" s="33">
        <v>9.5109847972363504</v>
      </c>
      <c r="Y10" s="23">
        <v>38.39418120499613</v>
      </c>
      <c r="Z10" s="5">
        <v>5549.2015935700238</v>
      </c>
      <c r="AA10" s="35"/>
    </row>
    <row r="11" spans="2:27" x14ac:dyDescent="0.2">
      <c r="B11" s="4">
        <v>8</v>
      </c>
      <c r="C11" s="4">
        <v>720</v>
      </c>
      <c r="D11" s="23">
        <v>1234202.7726563241</v>
      </c>
      <c r="E11" s="33">
        <v>151.25684261536938</v>
      </c>
      <c r="F11" s="5">
        <v>12</v>
      </c>
      <c r="G11" s="23">
        <v>92.666666666666671</v>
      </c>
      <c r="H11" s="33">
        <v>553.85010705655168</v>
      </c>
      <c r="I11" s="23">
        <v>38.891761396309242</v>
      </c>
      <c r="J11" s="5">
        <v>5524.9167794800851</v>
      </c>
      <c r="K11" s="31"/>
      <c r="L11" s="23">
        <v>1412062.825853603</v>
      </c>
      <c r="M11" s="33">
        <v>351.7534850768817</v>
      </c>
      <c r="N11" s="5">
        <v>14</v>
      </c>
      <c r="O11" s="23">
        <v>92.666666666666671</v>
      </c>
      <c r="P11" s="33">
        <v>2361.0876334864356</v>
      </c>
      <c r="Q11" s="23">
        <v>33.438474021175871</v>
      </c>
      <c r="R11" s="5">
        <v>5187.9511014733371</v>
      </c>
      <c r="S11" s="35"/>
      <c r="T11" s="23">
        <v>1226959.092081683</v>
      </c>
      <c r="U11" s="33">
        <v>132.82108523076977</v>
      </c>
      <c r="V11" s="5">
        <v>13</v>
      </c>
      <c r="W11" s="23">
        <v>92.666666666666671</v>
      </c>
      <c r="X11" s="33">
        <v>52.036182022188314</v>
      </c>
      <c r="Y11" s="23">
        <v>35.495155217200114</v>
      </c>
      <c r="Z11" s="5">
        <v>5711.1979865369012</v>
      </c>
      <c r="AA11" s="35"/>
    </row>
    <row r="12" spans="2:27" x14ac:dyDescent="0.2">
      <c r="B12" s="4">
        <v>9</v>
      </c>
      <c r="C12" s="4">
        <v>740</v>
      </c>
      <c r="D12" s="23">
        <v>1204846.1049447469</v>
      </c>
      <c r="E12" s="33">
        <v>167.72226484617792</v>
      </c>
      <c r="F12" s="5">
        <v>12</v>
      </c>
      <c r="G12" s="23">
        <v>92.666666666666671</v>
      </c>
      <c r="H12" s="33">
        <v>381.05739905978987</v>
      </c>
      <c r="I12" s="23">
        <v>38.403845039915126</v>
      </c>
      <c r="J12" s="5">
        <v>5454.0471054728532</v>
      </c>
      <c r="K12" s="31"/>
      <c r="L12" s="23">
        <v>1398858.9437994161</v>
      </c>
      <c r="M12" s="33">
        <v>333.13220569237063</v>
      </c>
      <c r="N12" s="5">
        <v>14</v>
      </c>
      <c r="O12" s="23">
        <v>92</v>
      </c>
      <c r="P12" s="33">
        <v>2260.7314379624604</v>
      </c>
      <c r="Q12" s="23">
        <v>32.72812549991724</v>
      </c>
      <c r="R12" s="5">
        <v>5104.6207468867178</v>
      </c>
      <c r="S12" s="35"/>
      <c r="T12" s="23">
        <v>1183571.396213467</v>
      </c>
      <c r="U12" s="33">
        <v>131.75812030775253</v>
      </c>
      <c r="V12" s="5">
        <v>12</v>
      </c>
      <c r="W12" s="23">
        <v>92.666666666666671</v>
      </c>
      <c r="X12" s="33">
        <v>40.565627157506171</v>
      </c>
      <c r="Y12" s="23">
        <v>39.103959199867809</v>
      </c>
      <c r="Z12" s="5">
        <v>5583.3192454532045</v>
      </c>
      <c r="AA12" s="35"/>
    </row>
    <row r="13" spans="2:27" x14ac:dyDescent="0.2">
      <c r="B13" s="4">
        <v>10</v>
      </c>
      <c r="C13" s="4">
        <v>867</v>
      </c>
      <c r="D13" s="23">
        <v>1248605.2160460739</v>
      </c>
      <c r="E13" s="33">
        <v>144.23978576920209</v>
      </c>
      <c r="F13" s="5">
        <v>13</v>
      </c>
      <c r="G13" s="23">
        <v>92.666666666666671</v>
      </c>
      <c r="H13" s="33">
        <v>480.96239642334535</v>
      </c>
      <c r="I13" s="23">
        <v>35.62313838826659</v>
      </c>
      <c r="J13" s="5">
        <v>5544.2671744864574</v>
      </c>
      <c r="K13" s="31"/>
      <c r="L13" s="23">
        <v>1483057.3599192239</v>
      </c>
      <c r="M13" s="33">
        <v>229.88576400004183</v>
      </c>
      <c r="N13" s="5">
        <v>13</v>
      </c>
      <c r="O13" s="23">
        <v>89.333333333333329</v>
      </c>
      <c r="P13" s="33">
        <v>2455.8149949762533</v>
      </c>
      <c r="Q13" s="23">
        <v>33.030730096515001</v>
      </c>
      <c r="R13" s="5">
        <v>5293.4398056594428</v>
      </c>
      <c r="S13" s="35"/>
      <c r="T13" s="23">
        <v>1176280.2877909651</v>
      </c>
      <c r="U13" s="33">
        <v>166.97077484613354</v>
      </c>
      <c r="V13" s="5">
        <v>11</v>
      </c>
      <c r="W13" s="23">
        <v>92.666666666666671</v>
      </c>
      <c r="X13" s="33">
        <v>34.054457108186263</v>
      </c>
      <c r="Y13" s="23">
        <v>41.408750535425106</v>
      </c>
      <c r="Z13" s="5">
        <v>5646.4805970191064</v>
      </c>
      <c r="AA13" s="35"/>
    </row>
    <row r="14" spans="2:27" x14ac:dyDescent="0.2">
      <c r="B14" s="50" t="s">
        <v>3</v>
      </c>
      <c r="C14" s="51"/>
      <c r="D14" s="9">
        <f>MIN(D4:D13)</f>
        <v>1204846.1049447469</v>
      </c>
      <c r="E14" s="22">
        <f>INDEX(E4:E13, MATCH($D$14, D4:D13, 0))</f>
        <v>167.72226484617792</v>
      </c>
      <c r="F14" s="9">
        <f>INDEX(F4:F13, MATCH($D$14, D4:D13, 0))</f>
        <v>12</v>
      </c>
      <c r="G14" s="9">
        <f>INDEX(G4:G13, MATCH($D$14, D4:D13, 0))</f>
        <v>92.666666666666671</v>
      </c>
      <c r="H14" s="22">
        <f>INDEX(H4:H13, MATCH($D$14, D4:D13, 0))</f>
        <v>381.05739905978987</v>
      </c>
      <c r="I14" s="22">
        <f>INDEX(I4:I13, MATCH($D$14, D4:D13, 0))</f>
        <v>38.403845039915126</v>
      </c>
      <c r="J14" s="22">
        <f>INDEX(J4:J13, MATCH($D$14, D4:D13, 0))</f>
        <v>5454.0471054728532</v>
      </c>
      <c r="K14" s="32" t="e">
        <f>(D14-$D$15)/$D$15</f>
        <v>#DIV/0!</v>
      </c>
      <c r="L14" s="16">
        <f>MIN(L4:L13)</f>
        <v>1398858.9437994161</v>
      </c>
      <c r="M14" s="21">
        <f>INDEX(M4:M13, MATCH($L$14, L4:L13, 0))</f>
        <v>333.13220569237063</v>
      </c>
      <c r="N14" s="16">
        <f>INDEX(N4:N13, MATCH($L$14, L4:L13, 0))</f>
        <v>14</v>
      </c>
      <c r="O14" s="16">
        <f>INDEX(O4:O13, MATCH($L$14, L4:L13, 0))</f>
        <v>92</v>
      </c>
      <c r="P14" s="21">
        <f>INDEX(P4:P13, MATCH($L$14, L4:L13, 0))</f>
        <v>2260.7314379624604</v>
      </c>
      <c r="Q14" s="21">
        <f>INDEX(Q4:Q13, MATCH($L$14, L4:L13, 0))</f>
        <v>32.72812549991724</v>
      </c>
      <c r="R14" s="21">
        <f>INDEX(R4:R13, MATCH($L$14, L4:L13, 0))</f>
        <v>5104.6207468867178</v>
      </c>
      <c r="S14" s="36" t="e">
        <f>(L14-$D$15)/$D$15</f>
        <v>#DIV/0!</v>
      </c>
      <c r="T14" s="38">
        <f>MIN(T4:T13)</f>
        <v>1176280.2877909651</v>
      </c>
      <c r="U14" s="39">
        <f>INDEX(U4:U13, MATCH($T$14, T4:T13, 0))</f>
        <v>166.97077484613354</v>
      </c>
      <c r="V14" s="38">
        <f>INDEX(V4:V13, MATCH($T$14, T4:T13, 0))</f>
        <v>11</v>
      </c>
      <c r="W14" s="38">
        <f>INDEX(W4:W13, MATCH($T$14, T4:T13, 0))</f>
        <v>92.666666666666671</v>
      </c>
      <c r="X14" s="39">
        <f>INDEX(X4:X13, MATCH($T$14, T4:T13, 0))</f>
        <v>34.054457108186263</v>
      </c>
      <c r="Y14" s="39">
        <f>INDEX(Y4:Y13, MATCH($T$14, T4:T13, 0))</f>
        <v>41.408750535425106</v>
      </c>
      <c r="Z14" s="39">
        <f>INDEX(Z4:Z13, MATCH($T$14, T4:T13, 0))</f>
        <v>5646.4805970191064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0.16102707064282401</v>
      </c>
      <c r="M15" s="41">
        <f t="shared" ref="M15:R15" si="0">(M14-E14)/E14</f>
        <v>0.98621337481874638</v>
      </c>
      <c r="N15" s="41">
        <f t="shared" si="0"/>
        <v>0.16666666666666666</v>
      </c>
      <c r="O15" s="41">
        <f t="shared" si="0"/>
        <v>-7.1942446043165974E-3</v>
      </c>
      <c r="P15" s="41">
        <f t="shared" si="0"/>
        <v>4.9327845189216228</v>
      </c>
      <c r="Q15" s="41">
        <f t="shared" si="0"/>
        <v>-0.14779039791715681</v>
      </c>
      <c r="R15" s="41">
        <f t="shared" si="0"/>
        <v>-6.4067352523505747E-2</v>
      </c>
      <c r="T15" s="41">
        <f>(T14-D14)/D14</f>
        <v>-2.3709100304633416E-2</v>
      </c>
      <c r="U15" s="41">
        <f t="shared" ref="U15:Z15" si="1">(U14-E14)/E14</f>
        <v>-4.480561961964882E-3</v>
      </c>
      <c r="V15" s="41">
        <f t="shared" si="1"/>
        <v>-8.3333333333333329E-2</v>
      </c>
      <c r="W15" s="41">
        <f t="shared" si="1"/>
        <v>0</v>
      </c>
      <c r="X15" s="41">
        <f t="shared" si="1"/>
        <v>-0.91063168648027493</v>
      </c>
      <c r="Y15" s="41">
        <f t="shared" si="1"/>
        <v>7.8244912518182094E-2</v>
      </c>
      <c r="Z15" s="41">
        <f t="shared" si="1"/>
        <v>3.5282697018358386E-2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0:C1048576">
    <cfRule type="duplicateValues" dxfId="59" priority="11"/>
    <cfRule type="duplicateValues" dxfId="58" priority="12"/>
  </conditionalFormatting>
  <conditionalFormatting sqref="C2">
    <cfRule type="duplicateValues" dxfId="57" priority="3"/>
    <cfRule type="duplicateValues" dxfId="56" priority="4"/>
  </conditionalFormatting>
  <conditionalFormatting sqref="C4:C13">
    <cfRule type="duplicateValues" dxfId="55" priority="5"/>
    <cfRule type="duplicateValues" dxfId="54" priority="6"/>
  </conditionalFormatting>
  <conditionalFormatting sqref="C14">
    <cfRule type="duplicateValues" dxfId="53" priority="9"/>
    <cfRule type="duplicateValues" dxfId="52" priority="10"/>
  </conditionalFormatting>
  <conditionalFormatting sqref="C15">
    <cfRule type="duplicateValues" dxfId="51" priority="7"/>
    <cfRule type="duplicateValues" dxfId="50" priority="8"/>
  </conditionalFormatting>
  <conditionalFormatting sqref="C17:C39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.5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50" t="s">
        <v>3</v>
      </c>
      <c r="C14" s="51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66406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66406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50" t="s">
        <v>3</v>
      </c>
      <c r="C14" s="51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50" t="s">
        <v>3</v>
      </c>
      <c r="C14" s="51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results45</vt:lpstr>
      <vt:lpstr>results229</vt:lpstr>
      <vt:lpstr>results268</vt:lpstr>
      <vt:lpstr>results346</vt:lpstr>
      <vt:lpstr>results418</vt:lpstr>
      <vt:lpstr>results464</vt:lpstr>
      <vt:lpstr>results658</vt:lpstr>
      <vt:lpstr>results720</vt:lpstr>
      <vt:lpstr>results846</vt:lpstr>
      <vt:lpstr>results910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2026-10-22T04:27:21Z</dcterms:modified>
</cp:coreProperties>
</file>