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arisa/Documents/Chapter 1/GitHub/Results/Uploaded/Large/ALNS/200-10-5/"/>
    </mc:Choice>
  </mc:AlternateContent>
  <xr:revisionPtr revIDLastSave="0" documentId="13_ncr:1_{B9D36952-6D82-654F-B80E-15D7B661ADA7}" xr6:coauthVersionLast="47" xr6:coauthVersionMax="47" xr10:uidLastSave="{00000000-0000-0000-0000-000000000000}"/>
  <bookViews>
    <workbookView xWindow="0" yWindow="740" windowWidth="34560" windowHeight="21600" tabRatio="838" xr2:uid="{41E620E7-D6DF-9342-B452-EA60AB3B07C5}"/>
  </bookViews>
  <sheets>
    <sheet name="Summary" sheetId="68" r:id="rId1"/>
    <sheet name="results113" sheetId="58" r:id="rId2"/>
    <sheet name="results166" sheetId="69" r:id="rId3"/>
    <sheet name="results168" sheetId="70" r:id="rId4"/>
    <sheet name="results206" sheetId="71" r:id="rId5"/>
    <sheet name="results346" sheetId="72" r:id="rId6"/>
    <sheet name="results486" sheetId="76" r:id="rId7"/>
    <sheet name="results505" sheetId="77" r:id="rId8"/>
    <sheet name="results676" sheetId="73" r:id="rId9"/>
    <sheet name="results699" sheetId="74" r:id="rId10"/>
    <sheet name="results841" sheetId="75" r:id="rId11"/>
    <sheet name="Sample1" sheetId="23" state="hidden" r:id="rId12"/>
    <sheet name="10-2-2_a" sheetId="25" state="hidden" r:id="rId13"/>
    <sheet name="10-2-3_a" sheetId="26" state="hidden" r:id="rId14"/>
    <sheet name="10-3-2_a" sheetId="27" state="hidden" r:id="rId15"/>
    <sheet name="10-3-3_a" sheetId="28" state="hidden" r:id="rId16"/>
    <sheet name="20-2-2_a" sheetId="29" state="hidden" r:id="rId17"/>
    <sheet name="20-2-3_a" sheetId="31" state="hidden" r:id="rId18"/>
    <sheet name="20-3-2_a" sheetId="32" state="hidden" r:id="rId19"/>
    <sheet name="20-3-3_a" sheetId="33" state="hidden" r:id="rId20"/>
    <sheet name="30-2-2_a" sheetId="34" state="hidden" r:id="rId21"/>
    <sheet name="30-2-3_a" sheetId="35" state="hidden" r:id="rId22"/>
    <sheet name="30-3-2_a" sheetId="36" state="hidden" r:id="rId23"/>
    <sheet name="30-3-3_a" sheetId="37" state="hidden" r:id="rId24"/>
    <sheet name="30-3-2b" sheetId="40" state="hidden" r:id="rId25"/>
    <sheet name="30-3-3b" sheetId="38" state="hidden" r:id="rId26"/>
    <sheet name="20-3-3b" sheetId="41" state="hidden" r:id="rId27"/>
    <sheet name="10-3-3b" sheetId="42" state="hidden" r:id="rId2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4" i="75" l="1"/>
  <c r="D14" i="75"/>
  <c r="K14" i="75" s="1"/>
  <c r="K14" i="74"/>
  <c r="D14" i="74"/>
  <c r="J14" i="74" s="1"/>
  <c r="D14" i="73"/>
  <c r="K14" i="73" s="1"/>
  <c r="H14" i="77"/>
  <c r="E14" i="77"/>
  <c r="D14" i="77"/>
  <c r="G14" i="77" s="1"/>
  <c r="D14" i="76"/>
  <c r="G14" i="76" s="1"/>
  <c r="K14" i="72"/>
  <c r="J14" i="72"/>
  <c r="D14" i="72"/>
  <c r="I14" i="72" s="1"/>
  <c r="D14" i="71"/>
  <c r="K14" i="71" s="1"/>
  <c r="K14" i="70"/>
  <c r="D14" i="70"/>
  <c r="J14" i="70" s="1"/>
  <c r="D14" i="69"/>
  <c r="K14" i="69" s="1"/>
  <c r="T14" i="58"/>
  <c r="AA14" i="58" s="1"/>
  <c r="D14" i="58"/>
  <c r="H14" i="58" s="1"/>
  <c r="F14" i="75" l="1"/>
  <c r="G14" i="75"/>
  <c r="H14" i="75"/>
  <c r="I14" i="75"/>
  <c r="J14" i="75"/>
  <c r="E14" i="74"/>
  <c r="G14" i="74"/>
  <c r="H14" i="74"/>
  <c r="F14" i="74"/>
  <c r="I14" i="74"/>
  <c r="E14" i="73"/>
  <c r="F14" i="73"/>
  <c r="G14" i="73"/>
  <c r="H14" i="73"/>
  <c r="I14" i="73"/>
  <c r="J14" i="73"/>
  <c r="F14" i="77"/>
  <c r="I14" i="77"/>
  <c r="J14" i="77"/>
  <c r="K14" i="77"/>
  <c r="I14" i="76"/>
  <c r="K14" i="76"/>
  <c r="F14" i="76"/>
  <c r="H14" i="76"/>
  <c r="J14" i="76"/>
  <c r="E14" i="76"/>
  <c r="E14" i="72"/>
  <c r="F14" i="72"/>
  <c r="G14" i="72"/>
  <c r="H14" i="72"/>
  <c r="E14" i="71"/>
  <c r="F14" i="71"/>
  <c r="G14" i="71"/>
  <c r="H14" i="71"/>
  <c r="I14" i="71"/>
  <c r="J14" i="71"/>
  <c r="E14" i="70"/>
  <c r="G14" i="70"/>
  <c r="H14" i="70"/>
  <c r="F14" i="70"/>
  <c r="I14" i="70"/>
  <c r="F14" i="69"/>
  <c r="E14" i="69"/>
  <c r="G14" i="69"/>
  <c r="H14" i="69"/>
  <c r="I14" i="69"/>
  <c r="J14" i="69"/>
  <c r="F14" i="58"/>
  <c r="G14" i="58"/>
  <c r="I14" i="58"/>
  <c r="J14" i="58"/>
  <c r="K14" i="58"/>
  <c r="Z14" i="58"/>
  <c r="E14" i="58"/>
  <c r="U14" i="58"/>
  <c r="V14" i="58"/>
  <c r="W14" i="58"/>
  <c r="X14" i="58"/>
  <c r="Y14" i="58"/>
  <c r="L14" i="72"/>
  <c r="K7" i="68" a="1"/>
  <c r="L14" i="74" l="1"/>
  <c r="R14" i="74" s="1"/>
  <c r="L14" i="75"/>
  <c r="P14" i="75" s="1"/>
  <c r="L14" i="73"/>
  <c r="S14" i="73" s="1"/>
  <c r="L14" i="77"/>
  <c r="R14" i="77" s="1"/>
  <c r="L14" i="76"/>
  <c r="S14" i="76" s="1"/>
  <c r="L14" i="71"/>
  <c r="S14" i="71" s="1"/>
  <c r="L14" i="70"/>
  <c r="L14" i="69"/>
  <c r="O14" i="69" s="1"/>
  <c r="T14" i="75"/>
  <c r="T14" i="74"/>
  <c r="U14" i="74" s="1"/>
  <c r="T14" i="73"/>
  <c r="U14" i="73" s="1"/>
  <c r="T14" i="77"/>
  <c r="X14" i="77" s="1"/>
  <c r="T14" i="76"/>
  <c r="T14" i="72"/>
  <c r="T14" i="71"/>
  <c r="Y14" i="71" s="1"/>
  <c r="T14" i="70"/>
  <c r="Z14" i="70" s="1"/>
  <c r="T14" i="69"/>
  <c r="AA14" i="75"/>
  <c r="Z14" i="75"/>
  <c r="Y14" i="75"/>
  <c r="X14" i="75"/>
  <c r="W14" i="75"/>
  <c r="V14" i="75"/>
  <c r="U14" i="75"/>
  <c r="AA14" i="74"/>
  <c r="Z14" i="74"/>
  <c r="Y14" i="74"/>
  <c r="W14" i="74"/>
  <c r="V14" i="74"/>
  <c r="X14" i="74"/>
  <c r="AA14" i="76"/>
  <c r="U14" i="76"/>
  <c r="Z14" i="76"/>
  <c r="V14" i="76"/>
  <c r="Y14" i="76"/>
  <c r="X14" i="76"/>
  <c r="W14" i="76"/>
  <c r="R14" i="72"/>
  <c r="Q14" i="72"/>
  <c r="O14" i="72"/>
  <c r="M14" i="72"/>
  <c r="S14" i="72"/>
  <c r="P14" i="72"/>
  <c r="N14" i="72"/>
  <c r="AA14" i="72"/>
  <c r="V14" i="72"/>
  <c r="Y14" i="72"/>
  <c r="X14" i="72"/>
  <c r="U14" i="72"/>
  <c r="Z14" i="72"/>
  <c r="W14" i="72"/>
  <c r="V14" i="71"/>
  <c r="R14" i="70"/>
  <c r="O14" i="70"/>
  <c r="M14" i="70"/>
  <c r="Q14" i="70"/>
  <c r="P14" i="70"/>
  <c r="N14" i="70"/>
  <c r="S14" i="70"/>
  <c r="S14" i="69"/>
  <c r="R14" i="69"/>
  <c r="Q14" i="69"/>
  <c r="P14" i="69"/>
  <c r="AA14" i="69"/>
  <c r="Y14" i="69"/>
  <c r="X14" i="69"/>
  <c r="W14" i="69"/>
  <c r="V14" i="69"/>
  <c r="U14" i="69"/>
  <c r="Z14" i="69"/>
  <c r="K7" i="68"/>
  <c r="S7" i="68" a="1"/>
  <c r="U11" i="68" a="1"/>
  <c r="K5" i="68" a="1"/>
  <c r="D4" i="68" a="1"/>
  <c r="V12" i="68" a="1"/>
  <c r="D11" i="68" a="1"/>
  <c r="C6" i="68" a="1"/>
  <c r="O4" i="68" a="1"/>
  <c r="N7" i="68" a="1"/>
  <c r="X8" i="68" a="1"/>
  <c r="E4" i="68" a="1"/>
  <c r="D12" i="68" a="1"/>
  <c r="X4" i="68" a="1"/>
  <c r="C11" i="68" a="1"/>
  <c r="I7" i="68" a="1"/>
  <c r="F7" i="68" a="1"/>
  <c r="U12" i="68" a="1"/>
  <c r="K6" i="68" a="1"/>
  <c r="K10" i="68" a="1"/>
  <c r="Q4" i="68" a="1"/>
  <c r="K12" i="68" a="1"/>
  <c r="S8" i="68" a="1"/>
  <c r="C7" i="68" a="1"/>
  <c r="H7" i="68" a="1"/>
  <c r="Y4" i="68" a="1"/>
  <c r="C9" i="68" a="1"/>
  <c r="I4" i="68" a="1"/>
  <c r="E12" i="68" a="1"/>
  <c r="H11" i="68" a="1"/>
  <c r="T7" i="68" a="1"/>
  <c r="K4" i="68" a="1"/>
  <c r="D7" i="68" a="1"/>
  <c r="T12" i="68" a="1"/>
  <c r="E7" i="68" a="1"/>
  <c r="I12" i="68" a="1"/>
  <c r="U4" i="68" a="1"/>
  <c r="O7" i="68" a="1"/>
  <c r="T11" i="68" a="1"/>
  <c r="C10" i="68" a="1"/>
  <c r="E11" i="68" a="1"/>
  <c r="Q11" i="68" a="1"/>
  <c r="U8" i="68" a="1"/>
  <c r="C12" i="68" a="1"/>
  <c r="V8" i="68" a="1"/>
  <c r="S6" i="68" a="1"/>
  <c r="S11" i="68" a="1"/>
  <c r="S4" i="68" a="1"/>
  <c r="C8" i="68" a="1"/>
  <c r="F4" i="68" a="1"/>
  <c r="G11" i="68" a="1"/>
  <c r="I8" i="68" a="1"/>
  <c r="N4" i="68" a="1"/>
  <c r="G4" i="68" a="1"/>
  <c r="S12" i="68" a="1"/>
  <c r="W8" i="68" a="1"/>
  <c r="G12" i="68" a="1"/>
  <c r="V4" i="68" a="1"/>
  <c r="S5" i="68" a="1"/>
  <c r="K11" i="68" a="1"/>
  <c r="X12" i="68" a="1"/>
  <c r="C5" i="68" a="1"/>
  <c r="H12" i="68" a="1"/>
  <c r="Y11" i="68" a="1"/>
  <c r="P4" i="68" a="1"/>
  <c r="H4" i="68" a="1"/>
  <c r="S9" i="68" a="1"/>
  <c r="W4" i="68" a="1"/>
  <c r="V7" i="68" a="1"/>
  <c r="Y12" i="68" a="1"/>
  <c r="V11" i="68" a="1"/>
  <c r="Q7" i="68" a="1"/>
  <c r="W12" i="68" a="1"/>
  <c r="C4" i="68" a="1"/>
  <c r="T4" i="68" a="1"/>
  <c r="F9" i="68" a="1"/>
  <c r="F11" i="68" a="1"/>
  <c r="S10" i="68" a="1"/>
  <c r="Y8" i="68" a="1"/>
  <c r="T8" i="68" a="1"/>
  <c r="D8" i="68" a="1"/>
  <c r="O12" i="68" a="1"/>
  <c r="K9" i="68" a="1"/>
  <c r="K8" i="68" a="1"/>
  <c r="F12" i="68" a="1"/>
  <c r="E8" i="68" a="1"/>
  <c r="G7" i="68" a="1"/>
  <c r="N14" i="74" l="1"/>
  <c r="K11" i="68"/>
  <c r="O14" i="74"/>
  <c r="P14" i="74"/>
  <c r="M14" i="74"/>
  <c r="Q14" i="74"/>
  <c r="S14" i="74"/>
  <c r="J2" i="74" s="1"/>
  <c r="N14" i="75"/>
  <c r="R14" i="75"/>
  <c r="O14" i="75"/>
  <c r="Q14" i="75"/>
  <c r="M14" i="75"/>
  <c r="S14" i="75"/>
  <c r="K12" i="68"/>
  <c r="M14" i="73"/>
  <c r="N14" i="73"/>
  <c r="O14" i="73"/>
  <c r="P14" i="73"/>
  <c r="Q14" i="73"/>
  <c r="R14" i="73"/>
  <c r="K10" i="68"/>
  <c r="K9" i="68"/>
  <c r="N14" i="77"/>
  <c r="Q14" i="77"/>
  <c r="P14" i="77"/>
  <c r="P2" i="77" s="1"/>
  <c r="M14" i="77"/>
  <c r="O14" i="77"/>
  <c r="S14" i="77"/>
  <c r="Q14" i="76"/>
  <c r="M14" i="76"/>
  <c r="O14" i="76"/>
  <c r="P14" i="76"/>
  <c r="N14" i="76"/>
  <c r="R14" i="76"/>
  <c r="R2" i="76" s="1"/>
  <c r="K8" i="68"/>
  <c r="N14" i="71"/>
  <c r="R14" i="71"/>
  <c r="P14" i="71"/>
  <c r="Q14" i="71"/>
  <c r="O14" i="71"/>
  <c r="M14" i="71"/>
  <c r="K6" i="68"/>
  <c r="K5" i="68"/>
  <c r="K4" i="68"/>
  <c r="M14" i="69"/>
  <c r="N14" i="69"/>
  <c r="L14" i="58"/>
  <c r="S14" i="58" s="1"/>
  <c r="S12" i="68"/>
  <c r="S11" i="68"/>
  <c r="Y14" i="73"/>
  <c r="AA14" i="73"/>
  <c r="V14" i="73"/>
  <c r="W14" i="73"/>
  <c r="X14" i="73"/>
  <c r="Z14" i="73"/>
  <c r="S10" i="68"/>
  <c r="Z14" i="77"/>
  <c r="U14" i="77"/>
  <c r="V14" i="77"/>
  <c r="Y14" i="77"/>
  <c r="AA14" i="77"/>
  <c r="W14" i="77"/>
  <c r="S9" i="68"/>
  <c r="S8" i="68"/>
  <c r="S7" i="68"/>
  <c r="U14" i="71"/>
  <c r="X14" i="71"/>
  <c r="W14" i="71"/>
  <c r="AA14" i="71"/>
  <c r="Z14" i="71"/>
  <c r="S6" i="68"/>
  <c r="AA14" i="70"/>
  <c r="U14" i="70"/>
  <c r="W14" i="70"/>
  <c r="Y14" i="70"/>
  <c r="S5" i="68"/>
  <c r="V14" i="70"/>
  <c r="X14" i="70"/>
  <c r="S4" i="68"/>
  <c r="Q14" i="58"/>
  <c r="P14" i="58"/>
  <c r="O14" i="58"/>
  <c r="N14" i="58"/>
  <c r="M14" i="58"/>
  <c r="C8" i="68"/>
  <c r="C9" i="68"/>
  <c r="R2" i="77"/>
  <c r="R2" i="73"/>
  <c r="C10" i="68"/>
  <c r="X2" i="74"/>
  <c r="C11" i="68"/>
  <c r="C12" i="68"/>
  <c r="C4" i="68"/>
  <c r="R2" i="70"/>
  <c r="H2" i="70"/>
  <c r="C5" i="68"/>
  <c r="P2" i="71"/>
  <c r="H2" i="71"/>
  <c r="C6" i="68"/>
  <c r="X2" i="72"/>
  <c r="Z2" i="72"/>
  <c r="C7" i="68"/>
  <c r="V8" i="68"/>
  <c r="W8" i="68"/>
  <c r="X8" i="68"/>
  <c r="U8" i="68"/>
  <c r="I8" i="68"/>
  <c r="T8" i="68"/>
  <c r="Y8" i="68"/>
  <c r="E8" i="68"/>
  <c r="D8" i="68"/>
  <c r="J2" i="76"/>
  <c r="F9" i="68"/>
  <c r="J2" i="77"/>
  <c r="J2" i="73"/>
  <c r="Y11" i="68"/>
  <c r="Q11" i="68"/>
  <c r="T11" i="68"/>
  <c r="E11" i="68"/>
  <c r="D11" i="68"/>
  <c r="V11" i="68"/>
  <c r="U11" i="68"/>
  <c r="F11" i="68"/>
  <c r="G11" i="68"/>
  <c r="H11" i="68"/>
  <c r="O12" i="68"/>
  <c r="U12" i="68"/>
  <c r="W12" i="68"/>
  <c r="D12" i="68"/>
  <c r="T12" i="68"/>
  <c r="E12" i="68"/>
  <c r="V12" i="68"/>
  <c r="X12" i="68"/>
  <c r="Y12" i="68"/>
  <c r="H12" i="68"/>
  <c r="I12" i="68"/>
  <c r="F12" i="68"/>
  <c r="G12" i="68"/>
  <c r="J2" i="75"/>
  <c r="F7" i="68"/>
  <c r="I7" i="68"/>
  <c r="O7" i="68"/>
  <c r="D7" i="68"/>
  <c r="E7" i="68"/>
  <c r="T7" i="68"/>
  <c r="H7" i="68"/>
  <c r="G7" i="68"/>
  <c r="Q7" i="68"/>
  <c r="N7" i="68"/>
  <c r="V7" i="68"/>
  <c r="J2" i="72"/>
  <c r="J2" i="71"/>
  <c r="J2" i="70"/>
  <c r="P4" i="68"/>
  <c r="X4" i="68"/>
  <c r="O4" i="68"/>
  <c r="Q4" i="68"/>
  <c r="W4" i="68"/>
  <c r="H4" i="68"/>
  <c r="E4" i="68"/>
  <c r="Y4" i="68"/>
  <c r="U4" i="68"/>
  <c r="I4" i="68"/>
  <c r="D4" i="68"/>
  <c r="F4" i="68"/>
  <c r="G4" i="68"/>
  <c r="N4" i="68"/>
  <c r="T4" i="68"/>
  <c r="V4" i="68"/>
  <c r="Z2" i="69"/>
  <c r="J2" i="69"/>
  <c r="R2" i="72"/>
  <c r="X2" i="76"/>
  <c r="R2" i="75"/>
  <c r="P2" i="76"/>
  <c r="P2" i="74"/>
  <c r="R2" i="74"/>
  <c r="H2" i="74"/>
  <c r="H2" i="69"/>
  <c r="H2" i="75"/>
  <c r="P2" i="69"/>
  <c r="P2" i="75"/>
  <c r="P2" i="72"/>
  <c r="Z2" i="74"/>
  <c r="X2" i="75"/>
  <c r="Z2" i="75"/>
  <c r="X2" i="69"/>
  <c r="R2" i="69"/>
  <c r="P10" i="68" a="1"/>
  <c r="L10" i="68" a="1"/>
  <c r="I5" i="68" a="1"/>
  <c r="L4" i="68" a="1"/>
  <c r="T10" i="68" a="1"/>
  <c r="X5" i="68" a="1"/>
  <c r="U9" i="68" a="1"/>
  <c r="V9" i="68" a="1"/>
  <c r="P6" i="68" a="1"/>
  <c r="N6" i="68" a="1"/>
  <c r="E6" i="68" a="1"/>
  <c r="W7" i="68" a="1"/>
  <c r="W11" i="68" a="1"/>
  <c r="M4" i="68" a="1"/>
  <c r="P9" i="68" a="1"/>
  <c r="I9" i="68" a="1"/>
  <c r="N9" i="68" a="1"/>
  <c r="X6" i="68" a="1"/>
  <c r="H10" i="68" a="1"/>
  <c r="X7" i="68" a="1"/>
  <c r="Y5" i="68" a="1"/>
  <c r="L6" i="68" a="1"/>
  <c r="Q5" i="68" a="1"/>
  <c r="L5" i="68" a="1"/>
  <c r="C3" i="68" a="1"/>
  <c r="M9" i="68" a="1"/>
  <c r="U10" i="68" a="1"/>
  <c r="W10" i="68" a="1"/>
  <c r="V5" i="68" a="1"/>
  <c r="N5" i="68" a="1"/>
  <c r="F6" i="68" a="1"/>
  <c r="U7" i="68" a="1"/>
  <c r="I11" i="68" a="1"/>
  <c r="P7" i="68" a="1"/>
  <c r="O9" i="68" a="1"/>
  <c r="N8" i="68" a="1"/>
  <c r="E9" i="68" a="1"/>
  <c r="G9" i="68" a="1"/>
  <c r="T9" i="68" a="1"/>
  <c r="T6" i="68" a="1"/>
  <c r="E5" i="68" a="1"/>
  <c r="F10" i="68" a="1"/>
  <c r="X10" i="68" a="1"/>
  <c r="Y9" i="68" a="1"/>
  <c r="P8" i="68" a="1"/>
  <c r="G10" i="68" a="1"/>
  <c r="Q10" i="68" a="1"/>
  <c r="F8" i="68" a="1"/>
  <c r="V10" i="68" a="1"/>
  <c r="H5" i="68" a="1"/>
  <c r="P12" i="68" a="1"/>
  <c r="G6" i="68" a="1"/>
  <c r="L8" i="68" a="1"/>
  <c r="V6" i="68" a="1"/>
  <c r="T5" i="68" a="1"/>
  <c r="L9" i="68" a="1"/>
  <c r="N12" i="68" a="1"/>
  <c r="E10" i="68" a="1"/>
  <c r="G5" i="68" a="1"/>
  <c r="D6" i="68" a="1"/>
  <c r="H8" i="68" a="1"/>
  <c r="S3" i="68" a="1"/>
  <c r="D10" i="68" a="1"/>
  <c r="L7" i="68" a="1"/>
  <c r="O8" i="68" a="1"/>
  <c r="F5" i="68" a="1"/>
  <c r="M7" i="68" a="1"/>
  <c r="L11" i="68" a="1"/>
  <c r="I10" i="68" a="1"/>
  <c r="P11" i="68" a="1"/>
  <c r="D5" i="68" a="1"/>
  <c r="M8" i="68" a="1"/>
  <c r="N10" i="68" a="1"/>
  <c r="M12" i="68" a="1"/>
  <c r="D9" i="68" a="1"/>
  <c r="Q6" i="68" a="1"/>
  <c r="U6" i="68" a="1"/>
  <c r="W6" i="68" a="1"/>
  <c r="X9" i="68" a="1"/>
  <c r="U5" i="68" a="1"/>
  <c r="Y7" i="68" a="1"/>
  <c r="P5" i="68" a="1"/>
  <c r="H6" i="68" a="1"/>
  <c r="W5" i="68" a="1"/>
  <c r="L12" i="68" a="1"/>
  <c r="Y6" i="68" a="1"/>
  <c r="O6" i="68" a="1"/>
  <c r="Y10" i="68" a="1"/>
  <c r="N11" i="68" a="1"/>
  <c r="Q8" i="68" a="1"/>
  <c r="M11" i="68" a="1"/>
  <c r="I6" i="68" a="1"/>
  <c r="X11" i="68" a="1"/>
  <c r="M5" i="68" a="1"/>
  <c r="W9" i="68" a="1"/>
  <c r="H9" i="68" a="1"/>
  <c r="O10" i="68" a="1"/>
  <c r="G8" i="68" a="1"/>
  <c r="Q12" i="68" a="1"/>
  <c r="O11" i="68" a="1"/>
  <c r="M10" i="68" a="1"/>
  <c r="M6" i="68" a="1"/>
  <c r="O5" i="68" a="1"/>
  <c r="Q9" i="68" a="1"/>
  <c r="K3" i="68" a="1"/>
  <c r="M11" i="68" l="1"/>
  <c r="O11" i="68"/>
  <c r="P11" i="68"/>
  <c r="L11" i="68"/>
  <c r="N11" i="68"/>
  <c r="P12" i="68"/>
  <c r="N12" i="68"/>
  <c r="L12" i="68"/>
  <c r="Q12" i="68"/>
  <c r="M12" i="68"/>
  <c r="L10" i="68"/>
  <c r="Z2" i="76"/>
  <c r="N8" i="68"/>
  <c r="M8" i="68"/>
  <c r="P8" i="68"/>
  <c r="L8" i="68"/>
  <c r="Q8" i="68"/>
  <c r="O8" i="68"/>
  <c r="H2" i="76"/>
  <c r="M6" i="68"/>
  <c r="M4" i="68"/>
  <c r="L4" i="68"/>
  <c r="R14" i="58"/>
  <c r="K3" i="68"/>
  <c r="K16" i="68" s="1"/>
  <c r="X5" i="68"/>
  <c r="S3" i="68"/>
  <c r="H2" i="77"/>
  <c r="X2" i="77"/>
  <c r="F8" i="68"/>
  <c r="H8" i="68"/>
  <c r="G8" i="68"/>
  <c r="X2" i="73"/>
  <c r="M9" i="68"/>
  <c r="G9" i="68"/>
  <c r="L9" i="68"/>
  <c r="N9" i="68"/>
  <c r="H9" i="68"/>
  <c r="V9" i="68"/>
  <c r="T9" i="68"/>
  <c r="O9" i="68"/>
  <c r="I9" i="68"/>
  <c r="U9" i="68"/>
  <c r="P9" i="68"/>
  <c r="Z2" i="73"/>
  <c r="Y9" i="68"/>
  <c r="X9" i="68"/>
  <c r="Q9" i="68"/>
  <c r="D9" i="68"/>
  <c r="E9" i="68"/>
  <c r="W9" i="68"/>
  <c r="Z2" i="77"/>
  <c r="Q10" i="68"/>
  <c r="M10" i="68"/>
  <c r="D10" i="68"/>
  <c r="V10" i="68"/>
  <c r="P10" i="68"/>
  <c r="O10" i="68"/>
  <c r="Y10" i="68"/>
  <c r="U10" i="68"/>
  <c r="T10" i="68"/>
  <c r="I10" i="68"/>
  <c r="G10" i="68"/>
  <c r="X10" i="68"/>
  <c r="W10" i="68"/>
  <c r="N10" i="68"/>
  <c r="H2" i="73"/>
  <c r="P2" i="73"/>
  <c r="F10" i="68"/>
  <c r="H10" i="68"/>
  <c r="E10" i="68"/>
  <c r="X11" i="68"/>
  <c r="W11" i="68"/>
  <c r="I11" i="68"/>
  <c r="Z2" i="70"/>
  <c r="Z2" i="71"/>
  <c r="X2" i="70"/>
  <c r="O5" i="68"/>
  <c r="N5" i="68"/>
  <c r="D5" i="68"/>
  <c r="E5" i="68"/>
  <c r="G5" i="68"/>
  <c r="V5" i="68"/>
  <c r="H5" i="68"/>
  <c r="P5" i="68"/>
  <c r="U5" i="68"/>
  <c r="L5" i="68"/>
  <c r="M5" i="68"/>
  <c r="F5" i="68"/>
  <c r="T5" i="68"/>
  <c r="W5" i="68"/>
  <c r="I5" i="68"/>
  <c r="Q5" i="68"/>
  <c r="Y5" i="68"/>
  <c r="P2" i="70"/>
  <c r="X2" i="71"/>
  <c r="E6" i="68"/>
  <c r="L6" i="68"/>
  <c r="H6" i="68"/>
  <c r="N6" i="68"/>
  <c r="F6" i="68"/>
  <c r="T6" i="68"/>
  <c r="Q6" i="68"/>
  <c r="G6" i="68"/>
  <c r="D6" i="68"/>
  <c r="P6" i="68"/>
  <c r="W6" i="68"/>
  <c r="X6" i="68"/>
  <c r="I6" i="68"/>
  <c r="Y6" i="68"/>
  <c r="U6" i="68"/>
  <c r="V6" i="68"/>
  <c r="O6" i="68"/>
  <c r="R2" i="71"/>
  <c r="W7" i="68"/>
  <c r="L7" i="68"/>
  <c r="M7" i="68"/>
  <c r="P7" i="68"/>
  <c r="Y7" i="68"/>
  <c r="H2" i="72"/>
  <c r="X7" i="68"/>
  <c r="U7" i="68"/>
  <c r="C3" i="68"/>
  <c r="V3" i="68" a="1"/>
  <c r="E3" i="68" a="1"/>
  <c r="D3" i="68" a="1"/>
  <c r="U3" i="68" a="1"/>
  <c r="Q3" i="68" a="1"/>
  <c r="O3" i="68" a="1"/>
  <c r="G3" i="68" a="1"/>
  <c r="N3" i="68" a="1"/>
  <c r="P3" i="68" a="1"/>
  <c r="M3" i="68" a="1"/>
  <c r="T3" i="68" a="1"/>
  <c r="H3" i="68" a="1"/>
  <c r="L3" i="68" a="1"/>
  <c r="I3" i="68" a="1"/>
  <c r="F3" i="68" a="1"/>
  <c r="W3" i="68" a="1"/>
  <c r="X3" i="68" a="1"/>
  <c r="Y3" i="68" a="1"/>
  <c r="C13" i="68" l="1"/>
  <c r="C16" i="68"/>
  <c r="S13" i="68"/>
  <c r="Z13" i="68" s="1"/>
  <c r="S16" i="68"/>
  <c r="K13" i="68"/>
  <c r="R13" i="68" s="1"/>
  <c r="X3" i="68"/>
  <c r="X13" i="68" s="1"/>
  <c r="M3" i="68"/>
  <c r="M13" i="68" s="1"/>
  <c r="O3" i="68"/>
  <c r="O13" i="68" s="1"/>
  <c r="W3" i="68"/>
  <c r="W13" i="68" s="1"/>
  <c r="E3" i="68"/>
  <c r="E13" i="68" s="1"/>
  <c r="F3" i="68"/>
  <c r="F13" i="68" s="1"/>
  <c r="L3" i="68"/>
  <c r="L13" i="68" s="1"/>
  <c r="L16" i="68" s="1"/>
  <c r="P3" i="68"/>
  <c r="P13" i="68" s="1"/>
  <c r="G3" i="68"/>
  <c r="G13" i="68" s="1"/>
  <c r="Y3" i="68"/>
  <c r="Y13" i="68" s="1"/>
  <c r="Q3" i="68"/>
  <c r="Q13" i="68" s="1"/>
  <c r="H3" i="68"/>
  <c r="H13" i="68" s="1"/>
  <c r="T3" i="68"/>
  <c r="T13" i="68" s="1"/>
  <c r="T16" i="68" s="1"/>
  <c r="I3" i="68"/>
  <c r="I13" i="68" s="1"/>
  <c r="U3" i="68"/>
  <c r="U13" i="68" s="1"/>
  <c r="D3" i="68"/>
  <c r="D13" i="68" s="1"/>
  <c r="D16" i="68" s="1"/>
  <c r="V3" i="68"/>
  <c r="V13" i="68" s="1"/>
  <c r="N3" i="68"/>
  <c r="N13" i="68" s="1"/>
  <c r="J2" i="58"/>
  <c r="J13" i="68"/>
  <c r="R2" i="58"/>
  <c r="H2" i="58"/>
  <c r="Z2" i="58"/>
  <c r="P2" i="58"/>
  <c r="X2" i="58"/>
  <c r="S14" i="68" l="1"/>
  <c r="K14" i="68"/>
  <c r="N14" i="68"/>
  <c r="V14" i="68"/>
  <c r="U14" i="68"/>
  <c r="T14" i="68"/>
  <c r="Q14" i="68"/>
  <c r="Y14" i="68"/>
  <c r="P14" i="68"/>
  <c r="L14" i="68"/>
  <c r="W14" i="68"/>
  <c r="O14" i="68"/>
  <c r="M14" i="68"/>
  <c r="X14" i="68"/>
  <c r="H14" i="34"/>
  <c r="J14" i="34"/>
  <c r="I14" i="34"/>
  <c r="F14" i="34"/>
  <c r="Q14" i="33"/>
  <c r="F14" i="33"/>
  <c r="O14" i="33"/>
  <c r="H14" i="33"/>
  <c r="R14" i="33"/>
  <c r="J14" i="33"/>
  <c r="I14" i="33"/>
  <c r="S14" i="33"/>
  <c r="F14" i="32"/>
  <c r="I14" i="32"/>
  <c r="Q14" i="32"/>
  <c r="R14" i="32"/>
  <c r="J14" i="32"/>
  <c r="O14" i="32"/>
  <c r="H14" i="32"/>
  <c r="S14" i="32"/>
  <c r="J14" i="31"/>
  <c r="H14" i="31"/>
  <c r="I14" i="31"/>
  <c r="F14" i="31"/>
  <c r="S14" i="31"/>
  <c r="O14" i="31"/>
  <c r="Q14" i="31"/>
  <c r="R14" i="31"/>
  <c r="F14" i="29"/>
  <c r="O14" i="29"/>
  <c r="Q14" i="29"/>
  <c r="I14" i="29"/>
  <c r="J14" i="29"/>
  <c r="H14" i="29"/>
  <c r="R14" i="29"/>
  <c r="S14" i="29"/>
  <c r="F14" i="28"/>
  <c r="O14" i="28"/>
  <c r="Q14" i="28"/>
  <c r="I14" i="28"/>
  <c r="S14" i="28"/>
  <c r="R14" i="28"/>
  <c r="J14" i="28"/>
  <c r="H14" i="28"/>
  <c r="J14" i="27"/>
  <c r="Q14" i="27"/>
  <c r="H14" i="27"/>
  <c r="R14" i="27"/>
  <c r="O14" i="27"/>
  <c r="I14" i="27"/>
  <c r="S14" i="27"/>
  <c r="F14" i="27"/>
  <c r="F14" i="42" l="1"/>
  <c r="O14" i="42"/>
  <c r="R14" i="42"/>
  <c r="J14" i="42"/>
  <c r="K14" i="42"/>
  <c r="I14" i="42"/>
  <c r="G14" i="42"/>
  <c r="H14" i="42"/>
  <c r="D14" i="42"/>
  <c r="Q14" i="42"/>
  <c r="S14" i="42"/>
  <c r="E14" i="42"/>
  <c r="F14" i="41"/>
  <c r="O14" i="41"/>
  <c r="H14" i="41"/>
  <c r="I14" i="41"/>
  <c r="Q14" i="41"/>
  <c r="D14" i="41"/>
  <c r="G14" i="41"/>
  <c r="R14" i="41"/>
  <c r="J14" i="41"/>
  <c r="E14" i="41"/>
  <c r="S14" i="41"/>
  <c r="K14" i="41"/>
  <c r="G14" i="40"/>
  <c r="J14" i="40"/>
  <c r="F14" i="40"/>
  <c r="H14" i="40"/>
  <c r="Q14" i="40"/>
  <c r="I14" i="40"/>
  <c r="O14" i="40"/>
  <c r="R14" i="40"/>
  <c r="S14" i="40"/>
  <c r="E14" i="40"/>
  <c r="K14" i="40"/>
  <c r="D14" i="40"/>
  <c r="F14" i="38"/>
  <c r="G14" i="38"/>
  <c r="Q14" i="38"/>
  <c r="R14" i="38"/>
  <c r="J14" i="38"/>
  <c r="O14" i="38"/>
  <c r="H14" i="38"/>
  <c r="K14" i="38"/>
  <c r="D14" i="38"/>
  <c r="S14" i="38"/>
  <c r="I14" i="38"/>
  <c r="E14" i="38"/>
  <c r="O14" i="37"/>
  <c r="S14" i="37"/>
  <c r="H14" i="37"/>
  <c r="I14" i="37"/>
  <c r="J14" i="37"/>
  <c r="F14" i="37"/>
  <c r="Q14" i="37"/>
  <c r="R14" i="37"/>
  <c r="R14" i="36"/>
  <c r="S14" i="36"/>
  <c r="H14" i="36"/>
  <c r="O14" i="36"/>
  <c r="Q14" i="36"/>
  <c r="F14" i="36"/>
  <c r="I14" i="36"/>
  <c r="J14" i="36"/>
  <c r="Q14" i="34"/>
  <c r="I14" i="35"/>
  <c r="S14" i="35"/>
  <c r="H14" i="35"/>
  <c r="R14" i="35"/>
  <c r="R14" i="34"/>
  <c r="S14" i="34"/>
  <c r="F14" i="35"/>
  <c r="J14" i="35"/>
  <c r="O14" i="34"/>
  <c r="O14" i="35"/>
  <c r="Q14" i="35"/>
  <c r="K14" i="34"/>
  <c r="D14" i="34"/>
  <c r="G14" i="34"/>
  <c r="E14" i="34"/>
  <c r="T14" i="33"/>
  <c r="M14" i="33"/>
  <c r="N14" i="33"/>
  <c r="P14" i="33"/>
  <c r="K14" i="33"/>
  <c r="G14" i="33"/>
  <c r="E14" i="33"/>
  <c r="D14" i="33"/>
  <c r="N14" i="32"/>
  <c r="T14" i="32"/>
  <c r="M14" i="32"/>
  <c r="P14" i="32"/>
  <c r="E14" i="32"/>
  <c r="K14" i="32"/>
  <c r="D14" i="32"/>
  <c r="G14" i="32"/>
  <c r="M14" i="31"/>
  <c r="T14" i="31"/>
  <c r="P14" i="31"/>
  <c r="N14" i="31"/>
  <c r="K14" i="31"/>
  <c r="G14" i="31"/>
  <c r="D14" i="31"/>
  <c r="E14" i="31"/>
  <c r="T14" i="29"/>
  <c r="P14" i="29"/>
  <c r="N14" i="29"/>
  <c r="M14" i="29"/>
  <c r="E14" i="29"/>
  <c r="G14" i="29"/>
  <c r="D14" i="29"/>
  <c r="K14" i="29"/>
  <c r="P14" i="28"/>
  <c r="T14" i="28"/>
  <c r="M14" i="28"/>
  <c r="N14" i="28"/>
  <c r="E14" i="28"/>
  <c r="G14" i="28"/>
  <c r="K14" i="28"/>
  <c r="D14" i="28"/>
  <c r="T14" i="27"/>
  <c r="P14" i="27"/>
  <c r="N14" i="27"/>
  <c r="M14" i="27"/>
  <c r="D14" i="27"/>
  <c r="K14" i="27"/>
  <c r="G14" i="27"/>
  <c r="E14" i="27"/>
  <c r="E14" i="25"/>
  <c r="K14" i="25"/>
  <c r="J14" i="25"/>
  <c r="I14" i="25"/>
  <c r="H14" i="25"/>
  <c r="G14" i="25"/>
  <c r="F14" i="25"/>
  <c r="P14" i="42" l="1"/>
  <c r="T14" i="42"/>
  <c r="N14" i="42"/>
  <c r="M14" i="42"/>
  <c r="P14" i="41"/>
  <c r="M14" i="41"/>
  <c r="N14" i="41"/>
  <c r="T14" i="41"/>
  <c r="P14" i="40"/>
  <c r="N14" i="40"/>
  <c r="M14" i="40"/>
  <c r="T14" i="40"/>
  <c r="T14" i="38"/>
  <c r="P14" i="38"/>
  <c r="M14" i="38"/>
  <c r="N14" i="38"/>
  <c r="T14" i="37"/>
  <c r="P14" i="37"/>
  <c r="N14" i="37"/>
  <c r="M14" i="37"/>
  <c r="D14" i="37"/>
  <c r="K14" i="37"/>
  <c r="E14" i="37"/>
  <c r="G14" i="37"/>
  <c r="P14" i="36"/>
  <c r="N14" i="36"/>
  <c r="M14" i="36"/>
  <c r="T14" i="36"/>
  <c r="D14" i="36"/>
  <c r="G14" i="36"/>
  <c r="K14" i="36"/>
  <c r="E14" i="36"/>
  <c r="T14" i="35"/>
  <c r="P14" i="35"/>
  <c r="N14" i="35"/>
  <c r="M14" i="35"/>
  <c r="E14" i="35"/>
  <c r="G14" i="35"/>
  <c r="K14" i="35"/>
  <c r="D14" i="35"/>
  <c r="M14" i="34"/>
  <c r="P14" i="34"/>
  <c r="T14" i="34"/>
  <c r="N14" i="34"/>
  <c r="Q14" i="26"/>
  <c r="S14" i="26"/>
  <c r="R14" i="26"/>
  <c r="H14" i="26"/>
  <c r="O14" i="26"/>
  <c r="I14" i="26"/>
  <c r="J14" i="26"/>
  <c r="F14" i="26"/>
  <c r="N14" i="26"/>
  <c r="M14" i="26"/>
  <c r="T14" i="26"/>
  <c r="P14" i="26"/>
  <c r="S14" i="25"/>
  <c r="R14" i="25"/>
  <c r="Q14" i="25"/>
  <c r="O14" i="25"/>
  <c r="G14" i="26" l="1"/>
  <c r="E14" i="26"/>
  <c r="D14" i="26"/>
  <c r="K14" i="26"/>
  <c r="P14" i="25"/>
  <c r="N14" i="25"/>
  <c r="M14" i="25"/>
  <c r="T14" i="25"/>
  <c r="D14" i="25"/>
  <c r="H4" i="23" a="1"/>
  <c r="I4" i="23" a="1"/>
  <c r="H4" i="23" l="1"/>
  <c r="I4" i="23"/>
  <c r="D12" i="23" a="1"/>
  <c r="D5" i="23" a="1"/>
  <c r="G12" i="23" a="1"/>
  <c r="G6" i="23" a="1"/>
  <c r="F13" i="23" a="1"/>
  <c r="D4" i="23" a="1"/>
  <c r="F10" i="23" a="1"/>
  <c r="G10" i="23" a="1"/>
  <c r="E10" i="23" a="1"/>
  <c r="G9" i="23" a="1"/>
  <c r="D10" i="23" a="1"/>
  <c r="F5" i="23" a="1"/>
  <c r="F6" i="23" a="1"/>
  <c r="G4" i="23" a="1"/>
  <c r="E11" i="23" a="1"/>
  <c r="E5" i="23" a="1"/>
  <c r="G13" i="23" a="1"/>
  <c r="G5" i="23" a="1"/>
  <c r="F7" i="23" a="1"/>
  <c r="F4" i="23" a="1"/>
  <c r="D11" i="23" a="1"/>
  <c r="E13" i="23" a="1"/>
  <c r="D13" i="23" a="1"/>
  <c r="F9" i="23" a="1"/>
  <c r="E8" i="23" a="1"/>
  <c r="E6" i="23" a="1"/>
  <c r="D7" i="23" a="1"/>
  <c r="E12" i="23" a="1"/>
  <c r="G7" i="23" a="1"/>
  <c r="D6" i="23" a="1"/>
  <c r="D8" i="23" a="1"/>
  <c r="E9" i="23" a="1"/>
  <c r="F8" i="23" a="1"/>
  <c r="G11" i="23" a="1"/>
  <c r="F12" i="23" a="1"/>
  <c r="D9" i="23" a="1"/>
  <c r="F11" i="23" a="1"/>
  <c r="G8" i="23" a="1"/>
  <c r="E7" i="23" a="1"/>
  <c r="E4" i="23" a="1"/>
  <c r="G9" i="23" l="1"/>
  <c r="G7" i="23"/>
  <c r="G8" i="23"/>
  <c r="G13" i="23"/>
  <c r="G10" i="23"/>
  <c r="G6" i="23"/>
  <c r="G12" i="23"/>
  <c r="G11" i="23"/>
  <c r="G5" i="23"/>
  <c r="G4" i="23"/>
  <c r="F4" i="23"/>
  <c r="F14" i="23" s="1"/>
  <c r="F6" i="23"/>
  <c r="D11" i="23"/>
  <c r="E5" i="23"/>
  <c r="E13" i="23"/>
  <c r="F5" i="23"/>
  <c r="F9" i="23"/>
  <c r="F11" i="23"/>
  <c r="F13" i="23"/>
  <c r="F8" i="23"/>
  <c r="D9" i="23"/>
  <c r="E9" i="23"/>
  <c r="F7" i="23"/>
  <c r="D6" i="23"/>
  <c r="D10" i="23"/>
  <c r="D12" i="23"/>
  <c r="F12" i="23"/>
  <c r="D7" i="23"/>
  <c r="E11" i="23"/>
  <c r="D8" i="23"/>
  <c r="F10" i="23"/>
  <c r="D5" i="23"/>
  <c r="D13" i="23"/>
  <c r="E7" i="23"/>
  <c r="D4" i="23"/>
  <c r="D14" i="23" s="1"/>
  <c r="E4" i="23"/>
  <c r="E14" i="23" s="1"/>
  <c r="E6" i="23"/>
  <c r="E8" i="23"/>
  <c r="E10" i="23"/>
  <c r="E12" i="2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<sst xmlns="http://schemas.openxmlformats.org/spreadsheetml/2006/main" count="677" uniqueCount="22">
  <si>
    <t>Obj</t>
  </si>
  <si>
    <t>Gap%</t>
  </si>
  <si>
    <t>Run</t>
  </si>
  <si>
    <t>Average</t>
  </si>
  <si>
    <t>Seed</t>
  </si>
  <si>
    <t>Time (sec)</t>
  </si>
  <si>
    <t>Optimality</t>
  </si>
  <si>
    <t>Instance</t>
  </si>
  <si>
    <t>Total Rejection</t>
  </si>
  <si>
    <t>Total Unused Capacity</t>
  </si>
  <si>
    <t>Ave Completion time</t>
  </si>
  <si>
    <t>Ave Tardiness</t>
  </si>
  <si>
    <t># Batches</t>
  </si>
  <si>
    <t>seed</t>
  </si>
  <si>
    <t>N</t>
  </si>
  <si>
    <t>Acceptance Rate (%)</t>
  </si>
  <si>
    <t>Average Batch Utilization (%)</t>
  </si>
  <si>
    <t>MILP</t>
  </si>
  <si>
    <t>BVC</t>
  </si>
  <si>
    <t>TPA</t>
  </si>
  <si>
    <t>BBA</t>
  </si>
  <si>
    <t>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</si>
</sst>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0.00000"/>
    <numFmt numFmtId="165" formatCode="0.0000"/>
    <numFmt numFmtId="166" formatCode="0.000000"/>
    <numFmt numFmtId="167" formatCode="0.000"/>
    <numFmt numFmtId="168" formatCode="0.0000000"/>
    <numFmt numFmtId="169" formatCode="0.0"/>
  </numFmts>
  <fonts count="5" x14ac:knownFonts="1"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  <font>
      <sz val="12"/>
      <color theme="1" tint="4.9989318521683403E-2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1"/>
      <color theme="1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39997558519241921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48">
    <xf numFmtId="0" fontId="0" fillId="0" borderId="0" xfId="0"/>
    <xf numFmtId="0" fontId="0" fillId="0" borderId="0" xfId="0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64" fontId="0" fillId="0" borderId="0" xfId="0" applyNumberFormat="1"/>
    <xf numFmtId="0" fontId="0" fillId="0" borderId="1" xfId="0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" fontId="0" fillId="2" borderId="1" xfId="0" applyNumberFormat="1" applyFill="1" applyBorder="1" applyAlignment="1">
      <alignment horizontal="center" vertical="center"/>
    </xf>
    <xf numFmtId="165" fontId="0" fillId="2" borderId="1" xfId="0" applyNumberFormat="1" applyFill="1" applyBorder="1" applyAlignment="1">
      <alignment horizontal="center" vertical="center"/>
    </xf>
    <xf numFmtId="2" fontId="0" fillId="2" borderId="1" xfId="0" applyNumberFormat="1" applyFill="1" applyBorder="1" applyAlignment="1">
      <alignment horizontal="center" vertical="center"/>
    </xf>
    <xf numFmtId="166" fontId="0" fillId="0" borderId="1" xfId="0" quotePrefix="1" applyNumberFormat="1" applyBorder="1" applyAlignment="1">
      <alignment horizontal="center" vertical="center"/>
    </xf>
    <xf numFmtId="167" fontId="0" fillId="2" borderId="1" xfId="0" applyNumberFormat="1" applyFill="1" applyBorder="1" applyAlignment="1">
      <alignment horizontal="center" vertical="center"/>
    </xf>
    <xf numFmtId="168" fontId="0" fillId="0" borderId="0" xfId="0" applyNumberFormat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1" fontId="0" fillId="4" borderId="1" xfId="0" applyNumberFormat="1" applyFill="1" applyBorder="1" applyAlignment="1">
      <alignment horizontal="center" vertical="center"/>
    </xf>
    <xf numFmtId="167" fontId="0" fillId="4" borderId="1" xfId="0" applyNumberFormat="1" applyFill="1" applyBorder="1" applyAlignment="1">
      <alignment horizontal="center" vertical="center"/>
    </xf>
    <xf numFmtId="2" fontId="0" fillId="4" borderId="1" xfId="0" applyNumberFormat="1" applyFill="1" applyBorder="1" applyAlignment="1">
      <alignment horizontal="center" vertical="center"/>
    </xf>
    <xf numFmtId="169" fontId="0" fillId="0" borderId="1" xfId="0" applyNumberFormat="1" applyBorder="1" applyAlignment="1">
      <alignment horizontal="center" vertical="center"/>
    </xf>
    <xf numFmtId="169" fontId="0" fillId="2" borderId="1" xfId="0" applyNumberFormat="1" applyFill="1" applyBorder="1" applyAlignment="1">
      <alignment horizontal="center" vertical="center"/>
    </xf>
    <xf numFmtId="164" fontId="0" fillId="4" borderId="1" xfId="0" applyNumberFormat="1" applyFill="1" applyBorder="1" applyAlignment="1">
      <alignment horizontal="center" vertical="center"/>
    </xf>
    <xf numFmtId="164" fontId="0" fillId="2" borderId="1" xfId="0" applyNumberFormat="1" applyFill="1" applyBorder="1" applyAlignment="1">
      <alignment horizontal="center" vertical="center"/>
    </xf>
    <xf numFmtId="1" fontId="0" fillId="0" borderId="1" xfId="0" quotePrefix="1" applyNumberForma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166" fontId="2" fillId="0" borderId="1" xfId="0" quotePrefix="1" applyNumberFormat="1" applyFont="1" applyBorder="1" applyAlignment="1">
      <alignment horizontal="center" vertical="center"/>
    </xf>
    <xf numFmtId="165" fontId="2" fillId="0" borderId="1" xfId="0" applyNumberFormat="1" applyFont="1" applyBorder="1" applyAlignment="1">
      <alignment horizontal="center" vertical="center"/>
    </xf>
    <xf numFmtId="1" fontId="2" fillId="0" borderId="1" xfId="0" applyNumberFormat="1" applyFont="1" applyBorder="1" applyAlignment="1">
      <alignment horizontal="center" vertical="center"/>
    </xf>
    <xf numFmtId="10" fontId="0" fillId="0" borderId="0" xfId="1" applyNumberFormat="1" applyFont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10" fontId="0" fillId="0" borderId="1" xfId="1" applyNumberFormat="1" applyFont="1" applyBorder="1" applyAlignment="1">
      <alignment horizontal="center" vertical="center"/>
    </xf>
    <xf numFmtId="10" fontId="0" fillId="2" borderId="1" xfId="1" applyNumberFormat="1" applyFont="1" applyFill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1" fontId="4" fillId="6" borderId="0" xfId="0" applyNumberFormat="1" applyFont="1" applyFill="1" applyAlignment="1">
      <alignment horizontal="center" vertical="center"/>
    </xf>
    <xf numFmtId="10" fontId="0" fillId="0" borderId="1" xfId="0" applyNumberFormat="1" applyBorder="1" applyAlignment="1">
      <alignment horizontal="center" vertical="center"/>
    </xf>
    <xf numFmtId="10" fontId="0" fillId="4" borderId="1" xfId="0" applyNumberFormat="1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1" fontId="0" fillId="7" borderId="1" xfId="0" applyNumberFormat="1" applyFill="1" applyBorder="1" applyAlignment="1">
      <alignment horizontal="center" vertical="center"/>
    </xf>
    <xf numFmtId="164" fontId="0" fillId="7" borderId="1" xfId="0" applyNumberFormat="1" applyFill="1" applyBorder="1" applyAlignment="1">
      <alignment horizontal="center" vertical="center"/>
    </xf>
    <xf numFmtId="10" fontId="0" fillId="7" borderId="1" xfId="0" applyNumberFormat="1" applyFill="1" applyBorder="1" applyAlignment="1">
      <alignment horizontal="center" vertical="center"/>
    </xf>
    <xf numFmtId="165" fontId="0" fillId="4" borderId="1" xfId="0" applyNumberFormat="1" applyFill="1" applyBorder="1" applyAlignment="1">
      <alignment horizontal="center" vertical="center"/>
    </xf>
    <xf numFmtId="10" fontId="0" fillId="4" borderId="1" xfId="1" applyNumberFormat="1" applyFont="1" applyFill="1" applyBorder="1" applyAlignment="1">
      <alignment horizontal="center" vertical="center"/>
    </xf>
    <xf numFmtId="165" fontId="0" fillId="7" borderId="1" xfId="0" applyNumberFormat="1" applyFill="1" applyBorder="1" applyAlignment="1">
      <alignment horizontal="center" vertical="center"/>
    </xf>
    <xf numFmtId="10" fontId="0" fillId="7" borderId="1" xfId="1" applyNumberFormat="1" applyFont="1" applyFill="1" applyBorder="1" applyAlignment="1">
      <alignment horizontal="center" vertical="center"/>
    </xf>
    <xf numFmtId="9" fontId="0" fillId="0" borderId="5" xfId="1" applyFont="1" applyFill="1" applyBorder="1" applyAlignment="1">
      <alignment horizontal="center" vertical="center"/>
    </xf>
    <xf numFmtId="1" fontId="0" fillId="2" borderId="2" xfId="0" applyNumberFormat="1" applyFill="1" applyBorder="1" applyAlignment="1">
      <alignment horizontal="center" vertical="center"/>
    </xf>
    <xf numFmtId="1" fontId="0" fillId="2" borderId="3" xfId="0" applyNumberFormat="1" applyFill="1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9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heetMetadata" Target="metadata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90D5A1-1E8B-9F49-88F1-E1F82C44F487}">
  <dimension ref="B2:Z16"/>
  <sheetViews>
    <sheetView tabSelected="1" zoomScale="85" zoomScaleNormal="85" workbookViewId="0">
      <selection activeCell="O16" sqref="A16:XFD16"/>
    </sheetView>
  </sheetViews>
  <sheetFormatPr baseColWidth="10" defaultColWidth="11.5" defaultRowHeight="16" x14ac:dyDescent="0.2"/>
  <cols>
    <col min="1" max="1" width="3.5" customWidth="1"/>
    <col min="2" max="2" width="11.5" style="1"/>
    <col min="3" max="4" width="9.5" bestFit="1" customWidth="1"/>
    <col min="5" max="5" width="9.1640625" bestFit="1" customWidth="1"/>
    <col min="6" max="6" width="18.33203125" bestFit="1" customWidth="1"/>
    <col min="7" max="7" width="19.33203125" bestFit="1" customWidth="1"/>
    <col min="8" max="8" width="24.83203125" bestFit="1" customWidth="1"/>
    <col min="9" max="9" width="18" bestFit="1" customWidth="1"/>
    <col min="11" max="11" width="8" bestFit="1" customWidth="1"/>
    <col min="12" max="12" width="9.1640625" bestFit="1" customWidth="1"/>
    <col min="13" max="13" width="8.83203125" bestFit="1" customWidth="1"/>
    <col min="14" max="14" width="17.6640625" bestFit="1" customWidth="1"/>
    <col min="15" max="15" width="12.1640625" bestFit="1" customWidth="1"/>
    <col min="16" max="16" width="23.83203125" bestFit="1" customWidth="1"/>
    <col min="17" max="17" width="17.33203125" bestFit="1" customWidth="1"/>
    <col min="18" max="18" width="6.83203125" bestFit="1" customWidth="1"/>
    <col min="19" max="19" width="8" bestFit="1" customWidth="1"/>
    <col min="20" max="20" width="9.1640625" bestFit="1" customWidth="1"/>
    <col min="21" max="21" width="8.83203125" bestFit="1" customWidth="1"/>
    <col min="22" max="22" width="17.6640625" bestFit="1" customWidth="1"/>
    <col min="23" max="23" width="12.1640625" bestFit="1" customWidth="1"/>
    <col min="24" max="24" width="23.83203125" bestFit="1" customWidth="1"/>
    <col min="25" max="25" width="17.33203125" bestFit="1" customWidth="1"/>
    <col min="26" max="26" width="5.83203125" bestFit="1" customWidth="1"/>
  </cols>
  <sheetData>
    <row r="2" spans="2:26" x14ac:dyDescent="0.2">
      <c r="B2" s="30" t="s">
        <v>4</v>
      </c>
      <c r="C2" s="8" t="s">
        <v>0</v>
      </c>
      <c r="D2" s="8" t="s">
        <v>5</v>
      </c>
      <c r="E2" s="8" t="s">
        <v>12</v>
      </c>
      <c r="F2" s="8" t="s">
        <v>15</v>
      </c>
      <c r="G2" s="8" t="s">
        <v>11</v>
      </c>
      <c r="H2" s="8" t="s">
        <v>16</v>
      </c>
      <c r="I2" s="8" t="s">
        <v>10</v>
      </c>
      <c r="J2" s="8" t="s">
        <v>1</v>
      </c>
      <c r="K2" s="15" t="s">
        <v>0</v>
      </c>
      <c r="L2" s="15" t="s">
        <v>5</v>
      </c>
      <c r="M2" s="15" t="s">
        <v>12</v>
      </c>
      <c r="N2" s="15" t="s">
        <v>15</v>
      </c>
      <c r="O2" s="15" t="s">
        <v>11</v>
      </c>
      <c r="P2" s="15" t="s">
        <v>16</v>
      </c>
      <c r="Q2" s="15" t="s">
        <v>10</v>
      </c>
      <c r="R2" s="15" t="s">
        <v>1</v>
      </c>
      <c r="S2" s="37" t="s">
        <v>0</v>
      </c>
      <c r="T2" s="37" t="s">
        <v>5</v>
      </c>
      <c r="U2" s="37" t="s">
        <v>12</v>
      </c>
      <c r="V2" s="37" t="s">
        <v>15</v>
      </c>
      <c r="W2" s="37" t="s">
        <v>11</v>
      </c>
      <c r="X2" s="37" t="s">
        <v>16</v>
      </c>
      <c r="Y2" s="37" t="s">
        <v>10</v>
      </c>
      <c r="Z2" s="37" t="s">
        <v>1</v>
      </c>
    </row>
    <row r="3" spans="2:26" x14ac:dyDescent="0.2">
      <c r="B3" s="4">
        <v>113</v>
      </c>
      <c r="C3" s="5" cm="1">
        <f t="array" aca="1" ref="C3" ca="1">INDIRECT("'results" &amp; $B3 &amp; "'!D$14")</f>
        <v>1825663.7233235</v>
      </c>
      <c r="D3" s="33" cm="1">
        <f t="array" aca="1" ref="D3" ca="1">INDIRECT("'results" &amp; $B3 &amp; "'!E$14")</f>
        <v>905.9375</v>
      </c>
      <c r="E3" s="5" cm="1">
        <f t="array" aca="1" ref="E3" ca="1">INDIRECT("'results" &amp; $B3 &amp; "'!F$14")</f>
        <v>15</v>
      </c>
      <c r="F3" s="5" cm="1">
        <f t="array" aca="1" ref="F3" ca="1">INDIRECT("'results" &amp; $B3 &amp; "'!G$14")</f>
        <v>93.5</v>
      </c>
      <c r="G3" s="5" cm="1">
        <f t="array" aca="1" ref="G3" ca="1">INDIRECT("'results" &amp; $B3 &amp; "'!H$14")</f>
        <v>1111.6560797560653</v>
      </c>
      <c r="H3" s="33" cm="1">
        <f t="array" aca="1" ref="H3" ca="1">INDIRECT("'results" &amp; $B3 &amp; "'!I$14")</f>
        <v>46.011332539834072</v>
      </c>
      <c r="I3" s="5" cm="1">
        <f t="array" aca="1" ref="I3" ca="1">INDIRECT("'results" &amp; $B3 &amp; "'!J$14")</f>
        <v>6405.0361035959768</v>
      </c>
      <c r="J3" s="5"/>
      <c r="K3" s="5" cm="1">
        <f t="array" aca="1" ref="K3" ca="1">INDIRECT("'results" &amp; $B3 &amp; "'!L$14")</f>
        <v>2440904.971294893</v>
      </c>
      <c r="L3" s="5" cm="1">
        <f t="array" aca="1" ref="L3" ca="1">INDIRECT("'results" &amp; $B3 &amp; "'!M$14")</f>
        <v>510.67200000002049</v>
      </c>
      <c r="M3" s="5" cm="1">
        <f t="array" aca="1" ref="M3" ca="1">INDIRECT("'results" &amp; $B3 &amp; "'!N$14")</f>
        <v>26</v>
      </c>
      <c r="N3" s="5" cm="1">
        <f t="array" aca="1" ref="N3" ca="1">INDIRECT("'results" &amp; $B3 &amp; "'!O$14")</f>
        <v>73</v>
      </c>
      <c r="O3" s="5" cm="1">
        <f t="array" aca="1" ref="O3" ca="1">INDIRECT("'results" &amp; $B3 &amp; "'!P$14")</f>
        <v>932.43287889613259</v>
      </c>
      <c r="P3" s="5" cm="1">
        <f t="array" aca="1" ref="P3" ca="1">INDIRECT("'results" &amp; $B3 &amp; "'!Q$14")</f>
        <v>19.23717737377876</v>
      </c>
      <c r="Q3" s="5" cm="1">
        <f t="array" aca="1" ref="Q3" ca="1">INDIRECT("'results" &amp; $B3 &amp; "'!R$14")</f>
        <v>5613.7708029801124</v>
      </c>
      <c r="R3" s="5"/>
      <c r="S3" s="5" cm="1">
        <f t="array" aca="1" ref="S3" ca="1">INDIRECT("'results" &amp; $B3 &amp; "'!T$14")</f>
        <v>2371163.6197744082</v>
      </c>
      <c r="T3" s="5" cm="1">
        <f t="array" aca="1" ref="T3" ca="1">INDIRECT("'results" &amp; $B3 &amp; "'!U$14")</f>
        <v>787.63299999997253</v>
      </c>
      <c r="U3" s="5" cm="1">
        <f t="array" aca="1" ref="U3" ca="1">INDIRECT("'results" &amp; $B3 &amp; "'!V$14")</f>
        <v>14</v>
      </c>
      <c r="V3" s="5" cm="1">
        <f t="array" aca="1" ref="V3" ca="1">INDIRECT("'results" &amp; $B3 &amp; "'!W$14")</f>
        <v>71.5</v>
      </c>
      <c r="W3" s="5" cm="1">
        <f t="array" aca="1" ref="W3" ca="1">INDIRECT("'results" &amp; $B3 &amp; "'!X$14")</f>
        <v>1186.2128312385437</v>
      </c>
      <c r="X3" s="5" cm="1">
        <f t="array" aca="1" ref="X3" ca="1">INDIRECT("'results" &amp; $B3 &amp; "'!Y$14")</f>
        <v>54.281416880877778</v>
      </c>
      <c r="Y3" s="5" cm="1">
        <f t="array" aca="1" ref="Y3" ca="1">INDIRECT("'results" &amp; $B3 &amp; "'!Z$14")</f>
        <v>6687.8416894156526</v>
      </c>
      <c r="Z3" s="5"/>
    </row>
    <row r="4" spans="2:26" x14ac:dyDescent="0.2">
      <c r="B4" s="4">
        <v>166</v>
      </c>
      <c r="C4" s="5" cm="1">
        <f t="array" aca="1" ref="C4" ca="1">INDIRECT("'results" &amp; $B4 &amp; "'!D$14")</f>
        <v>1686424.5192385691</v>
      </c>
      <c r="D4" s="33" cm="1">
        <f t="array" aca="1" ref="D4" ca="1">INDIRECT("'results" &amp; $B4 &amp; "'!E$14")</f>
        <v>254.63300000003076</v>
      </c>
      <c r="E4" s="5" cm="1">
        <f t="array" aca="1" ref="E4" ca="1">INDIRECT("'results" &amp; $B4 &amp; "'!F$14")</f>
        <v>11</v>
      </c>
      <c r="F4" s="5" cm="1">
        <f t="array" aca="1" ref="F4" ca="1">INDIRECT("'results" &amp; $B4 &amp; "'!G$14")</f>
        <v>94.5</v>
      </c>
      <c r="G4" s="5" cm="1">
        <f t="array" aca="1" ref="G4" ca="1">INDIRECT("'results" &amp; $B4 &amp; "'!H$14")</f>
        <v>867.81307189249208</v>
      </c>
      <c r="H4" s="33" cm="1">
        <f t="array" aca="1" ref="H4" ca="1">INDIRECT("'results" &amp; $B4 &amp; "'!I$14")</f>
        <v>50.161912974903451</v>
      </c>
      <c r="I4" s="5" cm="1">
        <f t="array" aca="1" ref="I4" ca="1">INDIRECT("'results" &amp; $B4 &amp; "'!J$14")</f>
        <v>6327.9415650112433</v>
      </c>
      <c r="J4" s="5"/>
      <c r="K4" s="5" cm="1">
        <f t="array" aca="1" ref="K4" ca="1">INDIRECT("'results" &amp; $B4 &amp; "'!L$14")</f>
        <v>2269433.9634908251</v>
      </c>
      <c r="L4" s="5" cm="1">
        <f t="array" aca="1" ref="L4" ca="1">INDIRECT("'results" &amp; $B4 &amp; "'!M$14")</f>
        <v>534.60149999998998</v>
      </c>
      <c r="M4" s="5" cm="1">
        <f t="array" aca="1" ref="M4" ca="1">INDIRECT("'results" &amp; $B4 &amp; "'!N$14")</f>
        <v>20</v>
      </c>
      <c r="N4" s="5" cm="1">
        <f t="array" aca="1" ref="N4" ca="1">INDIRECT("'results" &amp; $B4 &amp; "'!O$14")</f>
        <v>71</v>
      </c>
      <c r="O4" s="5" cm="1">
        <f t="array" aca="1" ref="O4" ca="1">INDIRECT("'results" &amp; $B4 &amp; "'!P$14")</f>
        <v>486.61178543063863</v>
      </c>
      <c r="P4" s="5" cm="1">
        <f t="array" aca="1" ref="P4" ca="1">INDIRECT("'results" &amp; $B4 &amp; "'!Q$14")</f>
        <v>19.752518672137874</v>
      </c>
      <c r="Q4" s="5" cm="1">
        <f t="array" aca="1" ref="Q4" ca="1">INDIRECT("'results" &amp; $B4 &amp; "'!R$14")</f>
        <v>5129.5251316363074</v>
      </c>
      <c r="R4" s="5"/>
      <c r="S4" s="5" cm="1">
        <f t="array" aca="1" ref="S4" ca="1">INDIRECT("'results" &amp; $B4 &amp; "'!T$14")</f>
        <v>2284133.4486513361</v>
      </c>
      <c r="T4" s="5" cm="1">
        <f t="array" aca="1" ref="T4" ca="1">INDIRECT("'results" &amp; $B4 &amp; "'!U$14")</f>
        <v>741.57850000000349</v>
      </c>
      <c r="U4" s="5" cm="1">
        <f t="array" aca="1" ref="U4" ca="1">INDIRECT("'results" &amp; $B4 &amp; "'!V$14")</f>
        <v>15</v>
      </c>
      <c r="V4" s="5" cm="1">
        <f t="array" aca="1" ref="V4" ca="1">INDIRECT("'results" &amp; $B4 &amp; "'!W$14")</f>
        <v>77.5</v>
      </c>
      <c r="W4" s="5" cm="1">
        <f t="array" aca="1" ref="W4" ca="1">INDIRECT("'results" &amp; $B4 &amp; "'!X$14")</f>
        <v>1298.6974456494172</v>
      </c>
      <c r="X4" s="5" cm="1">
        <f t="array" aca="1" ref="X4" ca="1">INDIRECT("'results" &amp; $B4 &amp; "'!Y$14")</f>
        <v>51.19084344513017</v>
      </c>
      <c r="Y4" s="5" cm="1">
        <f t="array" aca="1" ref="Y4" ca="1">INDIRECT("'results" &amp; $B4 &amp; "'!Z$14")</f>
        <v>6895.3266542838783</v>
      </c>
      <c r="Z4" s="5"/>
    </row>
    <row r="5" spans="2:26" x14ac:dyDescent="0.2">
      <c r="B5" s="4">
        <v>168</v>
      </c>
      <c r="C5" s="5" cm="1">
        <f t="array" aca="1" ref="C5" ca="1">INDIRECT("'results" &amp; $B5 &amp; "'!D$14")</f>
        <v>1874502.811618143</v>
      </c>
      <c r="D5" s="33" cm="1">
        <f t="array" aca="1" ref="D5" ca="1">INDIRECT("'results" &amp; $B5 &amp; "'!E$14")</f>
        <v>627.39850000001002</v>
      </c>
      <c r="E5" s="5" cm="1">
        <f t="array" aca="1" ref="E5" ca="1">INDIRECT("'results" &amp; $B5 &amp; "'!F$14")</f>
        <v>14</v>
      </c>
      <c r="F5" s="5" cm="1">
        <f t="array" aca="1" ref="F5" ca="1">INDIRECT("'results" &amp; $B5 &amp; "'!G$14")</f>
        <v>90.5</v>
      </c>
      <c r="G5" s="5" cm="1">
        <f t="array" aca="1" ref="G5" ca="1">INDIRECT("'results" &amp; $B5 &amp; "'!H$14")</f>
        <v>996.35724978454732</v>
      </c>
      <c r="H5" s="33" cm="1">
        <f t="array" aca="1" ref="H5" ca="1">INDIRECT("'results" &amp; $B5 &amp; "'!I$14")</f>
        <v>40.479911460415572</v>
      </c>
      <c r="I5" s="5" cm="1">
        <f t="array" aca="1" ref="I5" ca="1">INDIRECT("'results" &amp; $B5 &amp; "'!J$14")</f>
        <v>6231.0214701000177</v>
      </c>
      <c r="J5" s="5"/>
      <c r="K5" s="5" cm="1">
        <f t="array" aca="1" ref="K5" ca="1">INDIRECT("'results" &amp; $B5 &amp; "'!L$14")</f>
        <v>2334977.7079212959</v>
      </c>
      <c r="L5" s="5" cm="1">
        <f t="array" aca="1" ref="L5" ca="1">INDIRECT("'results" &amp; $B5 &amp; "'!M$14")</f>
        <v>1532.304999999993</v>
      </c>
      <c r="M5" s="5" cm="1">
        <f t="array" aca="1" ref="M5" ca="1">INDIRECT("'results" &amp; $B5 &amp; "'!N$14")</f>
        <v>24</v>
      </c>
      <c r="N5" s="5" cm="1">
        <f t="array" aca="1" ref="N5" ca="1">INDIRECT("'results" &amp; $B5 &amp; "'!O$14")</f>
        <v>77</v>
      </c>
      <c r="O5" s="5" cm="1">
        <f t="array" aca="1" ref="O5" ca="1">INDIRECT("'results" &amp; $B5 &amp; "'!P$14")</f>
        <v>894.97372310300636</v>
      </c>
      <c r="P5" s="5" cm="1">
        <f t="array" aca="1" ref="P5" ca="1">INDIRECT("'results" &amp; $B5 &amp; "'!Q$14")</f>
        <v>19.360653380897574</v>
      </c>
      <c r="Q5" s="5" cm="1">
        <f t="array" aca="1" ref="Q5" ca="1">INDIRECT("'results" &amp; $B5 &amp; "'!R$14")</f>
        <v>5724.5584241327306</v>
      </c>
      <c r="R5" s="5"/>
      <c r="S5" s="5" cm="1">
        <f t="array" aca="1" ref="S5" ca="1">INDIRECT("'results" &amp; $B5 &amp; "'!T$14")</f>
        <v>2526675.2114090831</v>
      </c>
      <c r="T5" s="5" cm="1">
        <f t="array" aca="1" ref="T5" ca="1">INDIRECT("'results" &amp; $B5 &amp; "'!U$14")</f>
        <v>452.65649999998277</v>
      </c>
      <c r="U5" s="5" cm="1">
        <f t="array" aca="1" ref="U5" ca="1">INDIRECT("'results" &amp; $B5 &amp; "'!V$14")</f>
        <v>10</v>
      </c>
      <c r="V5" s="5" cm="1">
        <f t="array" aca="1" ref="V5" ca="1">INDIRECT("'results" &amp; $B5 &amp; "'!W$14")</f>
        <v>63.5</v>
      </c>
      <c r="W5" s="5" cm="1">
        <f t="array" aca="1" ref="W5" ca="1">INDIRECT("'results" &amp; $B5 &amp; "'!X$14")</f>
        <v>926.41837198963799</v>
      </c>
      <c r="X5" s="5" cm="1">
        <f t="array" aca="1" ref="X5" ca="1">INDIRECT("'results" &amp; $B5 &amp; "'!Y$14")</f>
        <v>53.160358336606635</v>
      </c>
      <c r="Y5" s="5" cm="1">
        <f t="array" aca="1" ref="Y5" ca="1">INDIRECT("'results" &amp; $B5 &amp; "'!Z$14")</f>
        <v>6589.6222300880363</v>
      </c>
      <c r="Z5" s="5"/>
    </row>
    <row r="6" spans="2:26" x14ac:dyDescent="0.2">
      <c r="B6" s="4">
        <v>206</v>
      </c>
      <c r="C6" s="5" cm="1">
        <f t="array" aca="1" ref="C6" ca="1">INDIRECT("'results" &amp; $B6 &amp; "'!D$14")</f>
        <v>1823450.6424489061</v>
      </c>
      <c r="D6" s="33" cm="1">
        <f t="array" aca="1" ref="D6" ca="1">INDIRECT("'results" &amp; $B6 &amp; "'!E$14")</f>
        <v>1291.46100000001</v>
      </c>
      <c r="E6" s="5" cm="1">
        <f t="array" aca="1" ref="E6" ca="1">INDIRECT("'results" &amp; $B6 &amp; "'!F$14")</f>
        <v>15</v>
      </c>
      <c r="F6" s="5" cm="1">
        <f t="array" aca="1" ref="F6" ca="1">INDIRECT("'results" &amp; $B6 &amp; "'!G$14")</f>
        <v>94.5</v>
      </c>
      <c r="G6" s="5" cm="1">
        <f t="array" aca="1" ref="G6" ca="1">INDIRECT("'results" &amp; $B6 &amp; "'!H$14")</f>
        <v>1093.9131948155796</v>
      </c>
      <c r="H6" s="33" cm="1">
        <f t="array" aca="1" ref="H6" ca="1">INDIRECT("'results" &amp; $B6 &amp; "'!I$14")</f>
        <v>47.453759418466127</v>
      </c>
      <c r="I6" s="5" cm="1">
        <f t="array" aca="1" ref="I6" ca="1">INDIRECT("'results" &amp; $B6 &amp; "'!J$14")</f>
        <v>6559.1973901180236</v>
      </c>
      <c r="J6" s="5"/>
      <c r="K6" s="5" cm="1">
        <f t="array" aca="1" ref="K6" ca="1">INDIRECT("'results" &amp; $B6 &amp; "'!L$14")</f>
        <v>2372686.539970655</v>
      </c>
      <c r="L6" s="5" cm="1">
        <f t="array" aca="1" ref="L6" ca="1">INDIRECT("'results" &amp; $B6 &amp; "'!M$14")</f>
        <v>1270.929999999993</v>
      </c>
      <c r="M6" s="5" cm="1">
        <f t="array" aca="1" ref="M6" ca="1">INDIRECT("'results" &amp; $B6 &amp; "'!N$14")</f>
        <v>27</v>
      </c>
      <c r="N6" s="5" cm="1">
        <f t="array" aca="1" ref="N6" ca="1">INDIRECT("'results" &amp; $B6 &amp; "'!O$14")</f>
        <v>75.5</v>
      </c>
      <c r="O6" s="5" cm="1">
        <f t="array" aca="1" ref="O6" ca="1">INDIRECT("'results" &amp; $B6 &amp; "'!P$14")</f>
        <v>821.66465685626633</v>
      </c>
      <c r="P6" s="5" cm="1">
        <f t="array" aca="1" ref="P6" ca="1">INDIRECT("'results" &amp; $B6 &amp; "'!Q$14")</f>
        <v>19.515101613720361</v>
      </c>
      <c r="Q6" s="5" cm="1">
        <f t="array" aca="1" ref="Q6" ca="1">INDIRECT("'results" &amp; $B6 &amp; "'!R$14")</f>
        <v>5538.5700911834747</v>
      </c>
      <c r="R6" s="5"/>
      <c r="S6" s="5" cm="1">
        <f t="array" aca="1" ref="S6" ca="1">INDIRECT("'results" &amp; $B6 &amp; "'!T$14")</f>
        <v>2379033.6678542802</v>
      </c>
      <c r="T6" s="5" cm="1">
        <f t="array" aca="1" ref="T6" ca="1">INDIRECT("'results" &amp; $B6 &amp; "'!U$14")</f>
        <v>742.07799999997951</v>
      </c>
      <c r="U6" s="5" cm="1">
        <f t="array" aca="1" ref="U6" ca="1">INDIRECT("'results" &amp; $B6 &amp; "'!V$14")</f>
        <v>13</v>
      </c>
      <c r="V6" s="5" cm="1">
        <f t="array" aca="1" ref="V6" ca="1">INDIRECT("'results" &amp; $B6 &amp; "'!W$14")</f>
        <v>70</v>
      </c>
      <c r="W6" s="5" cm="1">
        <f t="array" aca="1" ref="W6" ca="1">INDIRECT("'results" &amp; $B6 &amp; "'!X$14")</f>
        <v>1025.0422769143729</v>
      </c>
      <c r="X6" s="5" cm="1">
        <f t="array" aca="1" ref="X6" ca="1">INDIRECT("'results" &amp; $B6 &amp; "'!Y$14")</f>
        <v>55.288853775583107</v>
      </c>
      <c r="Y6" s="5" cm="1">
        <f t="array" aca="1" ref="Y6" ca="1">INDIRECT("'results" &amp; $B6 &amp; "'!Z$14")</f>
        <v>6566.875276624387</v>
      </c>
      <c r="Z6" s="5"/>
    </row>
    <row r="7" spans="2:26" x14ac:dyDescent="0.2">
      <c r="B7" s="4">
        <v>346</v>
      </c>
      <c r="C7" s="5" cm="1">
        <f t="array" aca="1" ref="C7" ca="1">INDIRECT("'results" &amp; $B7 &amp; "'!D$14")</f>
        <v>2170376.2221405739</v>
      </c>
      <c r="D7" s="33" cm="1">
        <f t="array" aca="1" ref="D7" ca="1">INDIRECT("'results" &amp; $B7 &amp; "'!E$14")</f>
        <v>691.94549999997253</v>
      </c>
      <c r="E7" s="5" cm="1">
        <f t="array" aca="1" ref="E7" ca="1">INDIRECT("'results" &amp; $B7 &amp; "'!F$14")</f>
        <v>17</v>
      </c>
      <c r="F7" s="5" cm="1">
        <f t="array" aca="1" ref="F7" ca="1">INDIRECT("'results" &amp; $B7 &amp; "'!G$14")</f>
        <v>94</v>
      </c>
      <c r="G7" s="5" cm="1">
        <f t="array" aca="1" ref="G7" ca="1">INDIRECT("'results" &amp; $B7 &amp; "'!H$14")</f>
        <v>1924.1386584384102</v>
      </c>
      <c r="H7" s="33" cm="1">
        <f t="array" aca="1" ref="H7" ca="1">INDIRECT("'results" &amp; $B7 &amp; "'!I$14")</f>
        <v>43.511527946878026</v>
      </c>
      <c r="I7" s="5" cm="1">
        <f t="array" aca="1" ref="I7" ca="1">INDIRECT("'results" &amp; $B7 &amp; "'!J$14")</f>
        <v>7477.448014617682</v>
      </c>
      <c r="J7" s="5"/>
      <c r="K7" s="5" cm="1">
        <f t="array" aca="1" ref="K7" ca="1">INDIRECT("'results" &amp; $B7 &amp; "'!L$14")</f>
        <v>2757029.6984113231</v>
      </c>
      <c r="L7" s="5" cm="1">
        <f t="array" aca="1" ref="L7" ca="1">INDIRECT("'results" &amp; $B7 &amp; "'!M$14")</f>
        <v>438.53899999998976</v>
      </c>
      <c r="M7" s="5" cm="1">
        <f t="array" aca="1" ref="M7" ca="1">INDIRECT("'results" &amp; $B7 &amp; "'!N$14")</f>
        <v>28</v>
      </c>
      <c r="N7" s="5" cm="1">
        <f t="array" aca="1" ref="N7" ca="1">INDIRECT("'results" &amp; $B7 &amp; "'!O$14")</f>
        <v>64</v>
      </c>
      <c r="O7" s="5" cm="1">
        <f t="array" aca="1" ref="O7" ca="1">INDIRECT("'results" &amp; $B7 &amp; "'!P$14")</f>
        <v>903.19375435180177</v>
      </c>
      <c r="P7" s="5" cm="1">
        <f t="array" aca="1" ref="P7" ca="1">INDIRECT("'results" &amp; $B7 &amp; "'!Q$14")</f>
        <v>16.595124354606845</v>
      </c>
      <c r="Q7" s="5" cm="1">
        <f t="array" aca="1" ref="Q7" ca="1">INDIRECT("'results" &amp; $B7 &amp; "'!R$14")</f>
        <v>5673.0665060430028</v>
      </c>
      <c r="R7" s="5"/>
      <c r="S7" s="5" cm="1">
        <f t="array" aca="1" ref="S7" ca="1">INDIRECT("'results" &amp; $B7 &amp; "'!T$14")</f>
        <v>2816925.2871569288</v>
      </c>
      <c r="T7" s="5" cm="1">
        <f t="array" aca="1" ref="T7" ca="1">INDIRECT("'results" &amp; $B7 &amp; "'!U$14")</f>
        <v>1404.9375</v>
      </c>
      <c r="U7" s="5" cm="1">
        <f t="array" aca="1" ref="U7" ca="1">INDIRECT("'results" &amp; $B7 &amp; "'!V$14")</f>
        <v>10</v>
      </c>
      <c r="V7" s="5" cm="1">
        <f t="array" aca="1" ref="V7" ca="1">INDIRECT("'results" &amp; $B7 &amp; "'!W$14")</f>
        <v>53</v>
      </c>
      <c r="W7" s="5" cm="1">
        <f t="array" aca="1" ref="W7" ca="1">INDIRECT("'results" &amp; $B7 &amp; "'!X$14")</f>
        <v>1075.5064554665246</v>
      </c>
      <c r="X7" s="5" cm="1">
        <f t="array" aca="1" ref="X7" ca="1">INDIRECT("'results" &amp; $B7 &amp; "'!Y$14")</f>
        <v>58.159011538799653</v>
      </c>
      <c r="Y7" s="5" cm="1">
        <f t="array" aca="1" ref="Y7" ca="1">INDIRECT("'results" &amp; $B7 &amp; "'!Z$14")</f>
        <v>6919.7232967532727</v>
      </c>
      <c r="Z7" s="5"/>
    </row>
    <row r="8" spans="2:26" x14ac:dyDescent="0.2">
      <c r="B8" s="4">
        <v>486</v>
      </c>
      <c r="C8" s="5" cm="1">
        <f t="array" aca="1" ref="C8" ca="1">INDIRECT("'results" &amp; $B8 &amp; "'!D$14")</f>
        <v>2026342.3352525891</v>
      </c>
      <c r="D8" s="33" cm="1">
        <f t="array" aca="1" ref="D8" ca="1">INDIRECT("'results" &amp; $B8 &amp; "'!E$14")</f>
        <v>1001.3830000000305</v>
      </c>
      <c r="E8" s="5" cm="1">
        <f t="array" aca="1" ref="E8" ca="1">INDIRECT("'results" &amp; $B8 &amp; "'!F$14")</f>
        <v>16</v>
      </c>
      <c r="F8" s="5" cm="1">
        <f t="array" aca="1" ref="F8" ca="1">INDIRECT("'results" &amp; $B8 &amp; "'!G$14")</f>
        <v>88.5</v>
      </c>
      <c r="G8" s="5" cm="1">
        <f t="array" aca="1" ref="G8" ca="1">INDIRECT("'results" &amp; $B8 &amp; "'!H$14")</f>
        <v>1253.3596194204649</v>
      </c>
      <c r="H8" s="33" cm="1">
        <f t="array" aca="1" ref="H8" ca="1">INDIRECT("'results" &amp; $B8 &amp; "'!I$14")</f>
        <v>46.669315973274095</v>
      </c>
      <c r="I8" s="5" cm="1">
        <f t="array" aca="1" ref="I8" ca="1">INDIRECT("'results" &amp; $B8 &amp; "'!J$14")</f>
        <v>6814.6950280732844</v>
      </c>
      <c r="J8" s="5"/>
      <c r="K8" s="5" cm="1">
        <f t="array" aca="1" ref="K8" ca="1">INDIRECT("'results" &amp; $B8 &amp; "'!L$14")</f>
        <v>2611077.3784097838</v>
      </c>
      <c r="L8" s="5" cm="1">
        <f t="array" aca="1" ref="L8" ca="1">INDIRECT("'results" &amp; $B8 &amp; "'!M$14")</f>
        <v>740.58600000001002</v>
      </c>
      <c r="M8" s="5" cm="1">
        <f t="array" aca="1" ref="M8" ca="1">INDIRECT("'results" &amp; $B8 &amp; "'!N$14")</f>
        <v>19</v>
      </c>
      <c r="N8" s="5" cm="1">
        <f t="array" aca="1" ref="N8" ca="1">INDIRECT("'results" &amp; $B8 &amp; "'!O$14")</f>
        <v>57.5</v>
      </c>
      <c r="O8" s="5" cm="1">
        <f t="array" aca="1" ref="O8" ca="1">INDIRECT("'results" &amp; $B8 &amp; "'!P$14")</f>
        <v>379.96126699281211</v>
      </c>
      <c r="P8" s="5" cm="1">
        <f t="array" aca="1" ref="P8" ca="1">INDIRECT("'results" &amp; $B8 &amp; "'!Q$14")</f>
        <v>22.501700420898839</v>
      </c>
      <c r="Q8" s="5" cm="1">
        <f t="array" aca="1" ref="Q8" ca="1">INDIRECT("'results" &amp; $B8 &amp; "'!R$14")</f>
        <v>4985.6371245554128</v>
      </c>
      <c r="R8" s="5"/>
      <c r="S8" s="5" cm="1">
        <f t="array" aca="1" ref="S8" ca="1">INDIRECT("'results" &amp; $B8 &amp; "'!T$14")</f>
        <v>2652074.0006949469</v>
      </c>
      <c r="T8" s="5" cm="1">
        <f t="array" aca="1" ref="T8" ca="1">INDIRECT("'results" &amp; $B8 &amp; "'!U$14")</f>
        <v>576.25</v>
      </c>
      <c r="U8" s="5" cm="1">
        <f t="array" aca="1" ref="U8" ca="1">INDIRECT("'results" &amp; $B8 &amp; "'!V$14")</f>
        <v>10</v>
      </c>
      <c r="V8" s="5" cm="1">
        <f t="array" aca="1" ref="V8" ca="1">INDIRECT("'results" &amp; $B8 &amp; "'!W$14")</f>
        <v>57.5</v>
      </c>
      <c r="W8" s="5" cm="1">
        <f t="array" aca="1" ref="W8" ca="1">INDIRECT("'results" &amp; $B8 &amp; "'!X$14")</f>
        <v>995.5215152453394</v>
      </c>
      <c r="X8" s="5" cm="1">
        <f t="array" aca="1" ref="X8" ca="1">INDIRECT("'results" &amp; $B8 &amp; "'!Y$14")</f>
        <v>64.015082217335504</v>
      </c>
      <c r="Y8" s="5" cm="1">
        <f t="array" aca="1" ref="Y8" ca="1">INDIRECT("'results" &amp; $B8 &amp; "'!Z$14")</f>
        <v>6787.9374214496302</v>
      </c>
      <c r="Z8" s="5"/>
    </row>
    <row r="9" spans="2:26" x14ac:dyDescent="0.2">
      <c r="B9" s="4">
        <v>505</v>
      </c>
      <c r="C9" s="5" cm="1">
        <f t="array" aca="1" ref="C9" ca="1">INDIRECT("'results" &amp; $B9 &amp; "'!D$14")</f>
        <v>1694724.9375272261</v>
      </c>
      <c r="D9" s="33" cm="1">
        <f t="array" aca="1" ref="D9" ca="1">INDIRECT("'results" &amp; $B9 &amp; "'!E$14")</f>
        <v>1224.906000000017</v>
      </c>
      <c r="E9" s="5" cm="1">
        <f t="array" aca="1" ref="E9" ca="1">INDIRECT("'results" &amp; $B9 &amp; "'!F$14")</f>
        <v>13</v>
      </c>
      <c r="F9" s="5" cm="1">
        <f t="array" aca="1" ref="F9" ca="1">INDIRECT("'results" &amp; $B9 &amp; "'!G$14")</f>
        <v>94.5</v>
      </c>
      <c r="G9" s="5" cm="1">
        <f t="array" aca="1" ref="G9" ca="1">INDIRECT("'results" &amp; $B9 &amp; "'!H$14")</f>
        <v>801.62847609869164</v>
      </c>
      <c r="H9" s="33" cm="1">
        <f t="array" aca="1" ref="H9" ca="1">INDIRECT("'results" &amp; $B9 &amp; "'!I$14")</f>
        <v>53.710384324763886</v>
      </c>
      <c r="I9" s="5" cm="1">
        <f t="array" aca="1" ref="I9" ca="1">INDIRECT("'results" &amp; $B9 &amp; "'!J$14")</f>
        <v>6329.1993352075451</v>
      </c>
      <c r="J9" s="5"/>
      <c r="K9" s="5" cm="1">
        <f t="array" aca="1" ref="K9" ca="1">INDIRECT("'results" &amp; $B9 &amp; "'!L$14")</f>
        <v>2390514.8302235878</v>
      </c>
      <c r="L9" s="5" cm="1">
        <f t="array" aca="1" ref="L9" ca="1">INDIRECT("'results" &amp; $B9 &amp; "'!M$14")</f>
        <v>784.531000000017</v>
      </c>
      <c r="M9" s="5" cm="1">
        <f t="array" aca="1" ref="M9" ca="1">INDIRECT("'results" &amp; $B9 &amp; "'!N$14")</f>
        <v>28</v>
      </c>
      <c r="N9" s="5" cm="1">
        <f t="array" aca="1" ref="N9" ca="1">INDIRECT("'results" &amp; $B9 &amp; "'!O$14")</f>
        <v>75.5</v>
      </c>
      <c r="O9" s="5" cm="1">
        <f t="array" aca="1" ref="O9" ca="1">INDIRECT("'results" &amp; $B9 &amp; "'!P$14")</f>
        <v>781.76830618745316</v>
      </c>
      <c r="P9" s="5" cm="1">
        <f t="array" aca="1" ref="P9" ca="1">INDIRECT("'results" &amp; $B9 &amp; "'!Q$14")</f>
        <v>18.687184900557096</v>
      </c>
      <c r="Q9" s="5" cm="1">
        <f t="array" aca="1" ref="Q9" ca="1">INDIRECT("'results" &amp; $B9 &amp; "'!R$14")</f>
        <v>5510.3164055652487</v>
      </c>
      <c r="R9" s="5"/>
      <c r="S9" s="5" cm="1">
        <f t="array" aca="1" ref="S9" ca="1">INDIRECT("'results" &amp; $B9 &amp; "'!T$14")</f>
        <v>2353410.6280698068</v>
      </c>
      <c r="T9" s="5" cm="1">
        <f t="array" aca="1" ref="T9" ca="1">INDIRECT("'results" &amp; $B9 &amp; "'!U$14")</f>
        <v>789.67200000002049</v>
      </c>
      <c r="U9" s="5" cm="1">
        <f t="array" aca="1" ref="U9" ca="1">INDIRECT("'results" &amp; $B9 &amp; "'!V$14")</f>
        <v>16</v>
      </c>
      <c r="V9" s="5" cm="1">
        <f t="array" aca="1" ref="V9" ca="1">INDIRECT("'results" &amp; $B9 &amp; "'!W$14")</f>
        <v>74</v>
      </c>
      <c r="W9" s="5" cm="1">
        <f t="array" aca="1" ref="W9" ca="1">INDIRECT("'results" &amp; $B9 &amp; "'!X$14")</f>
        <v>1294.3625259355761</v>
      </c>
      <c r="X9" s="5" cm="1">
        <f t="array" aca="1" ref="X9" ca="1">INDIRECT("'results" &amp; $B9 &amp; "'!Y$14")</f>
        <v>52.582620441653376</v>
      </c>
      <c r="Y9" s="5" cm="1">
        <f t="array" aca="1" ref="Y9" ca="1">INDIRECT("'results" &amp; $B9 &amp; "'!Z$14")</f>
        <v>6771.5416078102962</v>
      </c>
      <c r="Z9" s="5"/>
    </row>
    <row r="10" spans="2:26" x14ac:dyDescent="0.2">
      <c r="B10" s="4">
        <v>676</v>
      </c>
      <c r="C10" s="5" cm="1">
        <f t="array" aca="1" ref="C10" ca="1">INDIRECT("'results" &amp; $B10 &amp; "'!D$14")</f>
        <v>1513065.256709242</v>
      </c>
      <c r="D10" s="33" cm="1">
        <f t="array" aca="1" ref="D10" ca="1">INDIRECT("'results" &amp; $B10 &amp; "'!E$14")</f>
        <v>676.36749999999302</v>
      </c>
      <c r="E10" s="5" cm="1">
        <f t="array" aca="1" ref="E10" ca="1">INDIRECT("'results" &amp; $B10 &amp; "'!F$14")</f>
        <v>11</v>
      </c>
      <c r="F10" s="5" cm="1">
        <f t="array" aca="1" ref="F10" ca="1">INDIRECT("'results" &amp; $B10 &amp; "'!G$14")</f>
        <v>97</v>
      </c>
      <c r="G10" s="5" cm="1">
        <f t="array" aca="1" ref="G10" ca="1">INDIRECT("'results" &amp; $B10 &amp; "'!H$14")</f>
        <v>549.76669527105366</v>
      </c>
      <c r="H10" s="33" cm="1">
        <f t="array" aca="1" ref="H10" ca="1">INDIRECT("'results" &amp; $B10 &amp; "'!I$14")</f>
        <v>64.326149083315983</v>
      </c>
      <c r="I10" s="5" cm="1">
        <f t="array" aca="1" ref="I10" ca="1">INDIRECT("'results" &amp; $B10 &amp; "'!J$14")</f>
        <v>6071.7462729302561</v>
      </c>
      <c r="J10" s="5"/>
      <c r="K10" s="5" cm="1">
        <f t="array" aca="1" ref="K10" ca="1">INDIRECT("'results" &amp; $B10 &amp; "'!L$14")</f>
        <v>2179800.757253082</v>
      </c>
      <c r="L10" s="5" cm="1">
        <f t="array" aca="1" ref="L10" ca="1">INDIRECT("'results" &amp; $B10 &amp; "'!M$14")</f>
        <v>1299.968500000017</v>
      </c>
      <c r="M10" s="5" cm="1">
        <f t="array" aca="1" ref="M10" ca="1">INDIRECT("'results" &amp; $B10 &amp; "'!N$14")</f>
        <v>36</v>
      </c>
      <c r="N10" s="5" cm="1">
        <f t="array" aca="1" ref="N10" ca="1">INDIRECT("'results" &amp; $B10 &amp; "'!O$14")</f>
        <v>89</v>
      </c>
      <c r="O10" s="5" cm="1">
        <f t="array" aca="1" ref="O10" ca="1">INDIRECT("'results" &amp; $B10 &amp; "'!P$14")</f>
        <v>820.15556699973763</v>
      </c>
      <c r="P10" s="5" cm="1">
        <f t="array" aca="1" ref="P10" ca="1">INDIRECT("'results" &amp; $B10 &amp; "'!Q$14")</f>
        <v>17.588583749294166</v>
      </c>
      <c r="Q10" s="5" cm="1">
        <f t="array" aca="1" ref="Q10" ca="1">INDIRECT("'results" &amp; $B10 &amp; "'!R$14")</f>
        <v>5514.2946481624704</v>
      </c>
      <c r="R10" s="5"/>
      <c r="S10" s="5" cm="1">
        <f t="array" aca="1" ref="S10" ca="1">INDIRECT("'results" &amp; $B10 &amp; "'!T$14")</f>
        <v>2102660.338267507</v>
      </c>
      <c r="T10" s="5" cm="1">
        <f t="array" aca="1" ref="T10" ca="1">INDIRECT("'results" &amp; $B10 &amp; "'!U$14")</f>
        <v>509.531499999983</v>
      </c>
      <c r="U10" s="5" cm="1">
        <f t="array" aca="1" ref="U10" ca="1">INDIRECT("'results" &amp; $B10 &amp; "'!V$14")</f>
        <v>15</v>
      </c>
      <c r="V10" s="5" cm="1">
        <f t="array" aca="1" ref="V10" ca="1">INDIRECT("'results" &amp; $B10 &amp; "'!W$14")</f>
        <v>80</v>
      </c>
      <c r="W10" s="5" cm="1">
        <f t="array" aca="1" ref="W10" ca="1">INDIRECT("'results" &amp; $B10 &amp; "'!X$14")</f>
        <v>1035.4053816243738</v>
      </c>
      <c r="X10" s="5" cm="1">
        <f t="array" aca="1" ref="X10" ca="1">INDIRECT("'results" &amp; $B10 &amp; "'!Y$14")</f>
        <v>64.301818106744832</v>
      </c>
      <c r="Y10" s="5" cm="1">
        <f t="array" aca="1" ref="Y10" ca="1">INDIRECT("'results" &amp; $B10 &amp; "'!Z$14")</f>
        <v>6449.7114329918968</v>
      </c>
      <c r="Z10" s="5"/>
    </row>
    <row r="11" spans="2:26" x14ac:dyDescent="0.2">
      <c r="B11" s="4">
        <v>699</v>
      </c>
      <c r="C11" s="5" cm="1">
        <f t="array" aca="1" ref="C11" ca="1">INDIRECT("'results" &amp; $B11 &amp; "'!D$14")</f>
        <v>1628539.142604612</v>
      </c>
      <c r="D11" s="33" cm="1">
        <f t="array" aca="1" ref="D11" ca="1">INDIRECT("'results" &amp; $B11 &amp; "'!E$14")</f>
        <v>371.95299999997951</v>
      </c>
      <c r="E11" s="5" cm="1">
        <f t="array" aca="1" ref="E11" ca="1">INDIRECT("'results" &amp; $B11 &amp; "'!F$14")</f>
        <v>14</v>
      </c>
      <c r="F11" s="5" cm="1">
        <f t="array" aca="1" ref="F11" ca="1">INDIRECT("'results" &amp; $B11 &amp; "'!G$14")</f>
        <v>97</v>
      </c>
      <c r="G11" s="5" cm="1">
        <f t="array" aca="1" ref="G11" ca="1">INDIRECT("'results" &amp; $B11 &amp; "'!H$14")</f>
        <v>819.99216924920233</v>
      </c>
      <c r="H11" s="33" cm="1">
        <f t="array" aca="1" ref="H11" ca="1">INDIRECT("'results" &amp; $B11 &amp; "'!I$14")</f>
        <v>51.526186142150699</v>
      </c>
      <c r="I11" s="5" cm="1">
        <f t="array" aca="1" ref="I11" ca="1">INDIRECT("'results" &amp; $B11 &amp; "'!J$14")</f>
        <v>6158.2546080176953</v>
      </c>
      <c r="J11" s="5"/>
      <c r="K11" s="5" cm="1">
        <f t="array" aca="1" ref="K11" ca="1">INDIRECT("'results" &amp; $B11 &amp; "'!L$14")</f>
        <v>2282930.1244090181</v>
      </c>
      <c r="L11" s="5" cm="1">
        <f t="array" aca="1" ref="L11" ca="1">INDIRECT("'results" &amp; $B11 &amp; "'!M$14")</f>
        <v>1317.77350000001</v>
      </c>
      <c r="M11" s="5" cm="1">
        <f t="array" aca="1" ref="M11" ca="1">INDIRECT("'results" &amp; $B11 &amp; "'!N$14")</f>
        <v>27</v>
      </c>
      <c r="N11" s="5" cm="1">
        <f t="array" aca="1" ref="N11" ca="1">INDIRECT("'results" &amp; $B11 &amp; "'!O$14")</f>
        <v>78</v>
      </c>
      <c r="O11" s="5" cm="1">
        <f t="array" aca="1" ref="O11" ca="1">INDIRECT("'results" &amp; $B11 &amp; "'!P$14")</f>
        <v>762.06607334923581</v>
      </c>
      <c r="P11" s="5" cm="1">
        <f t="array" aca="1" ref="P11" ca="1">INDIRECT("'results" &amp; $B11 &amp; "'!Q$14")</f>
        <v>20.190107739168955</v>
      </c>
      <c r="Q11" s="5" cm="1">
        <f t="array" aca="1" ref="Q11" ca="1">INDIRECT("'results" &amp; $B11 &amp; "'!R$14")</f>
        <v>5391.2527231597069</v>
      </c>
      <c r="R11" s="5"/>
      <c r="S11" s="5" cm="1">
        <f t="array" aca="1" ref="S11" ca="1">INDIRECT("'results" &amp; $B11 &amp; "'!T$14")</f>
        <v>2268878.4527038261</v>
      </c>
      <c r="T11" s="5" cm="1">
        <f t="array" aca="1" ref="T11" ca="1">INDIRECT("'results" &amp; $B11 &amp; "'!U$14")</f>
        <v>275.71100000001024</v>
      </c>
      <c r="U11" s="5" cm="1">
        <f t="array" aca="1" ref="U11" ca="1">INDIRECT("'results" &amp; $B11 &amp; "'!V$14")</f>
        <v>16</v>
      </c>
      <c r="V11" s="5" cm="1">
        <f t="array" aca="1" ref="V11" ca="1">INDIRECT("'results" &amp; $B11 &amp; "'!W$14")</f>
        <v>78</v>
      </c>
      <c r="W11" s="5" cm="1">
        <f t="array" aca="1" ref="W11" ca="1">INDIRECT("'results" &amp; $B11 &amp; "'!X$14")</f>
        <v>1237.2149987853593</v>
      </c>
      <c r="X11" s="5" cm="1">
        <f t="array" aca="1" ref="X11" ca="1">INDIRECT("'results" &amp; $B11 &amp; "'!Y$14")</f>
        <v>58.162064718248985</v>
      </c>
      <c r="Y11" s="5" cm="1">
        <f t="array" aca="1" ref="Y11" ca="1">INDIRECT("'results" &amp; $B11 &amp; "'!Z$14")</f>
        <v>6831.3660718347555</v>
      </c>
      <c r="Z11" s="5"/>
    </row>
    <row r="12" spans="2:26" x14ac:dyDescent="0.2">
      <c r="B12" s="4">
        <v>841</v>
      </c>
      <c r="C12" s="5" cm="1">
        <f t="array" aca="1" ref="C12" ca="1">INDIRECT("'results" &amp; $B12 &amp; "'!D$14")</f>
        <v>1613559.480770838</v>
      </c>
      <c r="D12" s="33" cm="1">
        <f t="array" aca="1" ref="D12" ca="1">INDIRECT("'results" &amp; $B12 &amp; "'!E$14")</f>
        <v>850.35899999999651</v>
      </c>
      <c r="E12" s="5" cm="1">
        <f t="array" aca="1" ref="E12" ca="1">INDIRECT("'results" &amp; $B12 &amp; "'!F$14")</f>
        <v>12</v>
      </c>
      <c r="F12" s="5" cm="1">
        <f t="array" aca="1" ref="F12" ca="1">INDIRECT("'results" &amp; $B12 &amp; "'!G$14")</f>
        <v>95.5</v>
      </c>
      <c r="G12" s="5" cm="1">
        <f t="array" aca="1" ref="G12" ca="1">INDIRECT("'results" &amp; $B12 &amp; "'!H$14")</f>
        <v>732.64810656478107</v>
      </c>
      <c r="H12" s="33" cm="1">
        <f t="array" aca="1" ref="H12" ca="1">INDIRECT("'results" &amp; $B12 &amp; "'!I$14")</f>
        <v>60.250381790839278</v>
      </c>
      <c r="I12" s="5" cm="1">
        <f t="array" aca="1" ref="I12" ca="1">INDIRECT("'results" &amp; $B12 &amp; "'!J$14")</f>
        <v>6175.3254548127197</v>
      </c>
      <c r="J12" s="5"/>
      <c r="K12" s="5" cm="1">
        <f t="array" aca="1" ref="K12" ca="1">INDIRECT("'results" &amp; $B12 &amp; "'!L$14")</f>
        <v>2137940.1366676991</v>
      </c>
      <c r="L12" s="5" cm="1">
        <f t="array" aca="1" ref="L12" ca="1">INDIRECT("'results" &amp; $B12 &amp; "'!M$14")</f>
        <v>1954.8280000000375</v>
      </c>
      <c r="M12" s="5" cm="1">
        <f t="array" aca="1" ref="M12" ca="1">INDIRECT("'results" &amp; $B12 &amp; "'!N$14")</f>
        <v>25</v>
      </c>
      <c r="N12" s="5" cm="1">
        <f t="array" aca="1" ref="N12" ca="1">INDIRECT("'results" &amp; $B12 &amp; "'!O$14")</f>
        <v>78</v>
      </c>
      <c r="O12" s="5" cm="1">
        <f t="array" aca="1" ref="O12" ca="1">INDIRECT("'results" &amp; $B12 &amp; "'!P$14")</f>
        <v>504.79563079379852</v>
      </c>
      <c r="P12" s="5" cm="1">
        <f t="array" aca="1" ref="P12" ca="1">INDIRECT("'results" &amp; $B12 &amp; "'!Q$14")</f>
        <v>22.44287607306671</v>
      </c>
      <c r="Q12" s="5" cm="1">
        <f t="array" aca="1" ref="Q12" ca="1">INDIRECT("'results" &amp; $B12 &amp; "'!R$14")</f>
        <v>5001.7195405596376</v>
      </c>
      <c r="R12" s="5"/>
      <c r="S12" s="5" cm="1">
        <f t="array" aca="1" ref="S12" ca="1">INDIRECT("'results" &amp; $B12 &amp; "'!T$14")</f>
        <v>2190598.8634517598</v>
      </c>
      <c r="T12" s="5" cm="1">
        <f t="array" aca="1" ref="T12" ca="1">INDIRECT("'results" &amp; $B12 &amp; "'!U$14")</f>
        <v>414.20299999997951</v>
      </c>
      <c r="U12" s="5" cm="1">
        <f t="array" aca="1" ref="U12" ca="1">INDIRECT("'results" &amp; $B12 &amp; "'!V$14")</f>
        <v>14</v>
      </c>
      <c r="V12" s="5" cm="1">
        <f t="array" aca="1" ref="V12" ca="1">INDIRECT("'results" &amp; $B12 &amp; "'!W$14")</f>
        <v>77</v>
      </c>
      <c r="W12" s="5" cm="1">
        <f t="array" aca="1" ref="W12" ca="1">INDIRECT("'results" &amp; $B12 &amp; "'!X$14")</f>
        <v>1072.0166673332933</v>
      </c>
      <c r="X12" s="5" cm="1">
        <f t="array" aca="1" ref="X12" ca="1">INDIRECT("'results" &amp; $B12 &amp; "'!Y$14")</f>
        <v>62.631487494887615</v>
      </c>
      <c r="Y12" s="5" cm="1">
        <f t="array" aca="1" ref="Y12" ca="1">INDIRECT("'results" &amp; $B12 &amp; "'!Z$14")</f>
        <v>6526.4935949029632</v>
      </c>
      <c r="Z12" s="5"/>
    </row>
    <row r="13" spans="2:26" x14ac:dyDescent="0.2">
      <c r="B13" s="8" t="s">
        <v>3</v>
      </c>
      <c r="C13" s="9">
        <f ca="1">AVERAGE(C3:C12)</f>
        <v>1785664.90716342</v>
      </c>
      <c r="D13" s="10">
        <f t="shared" ref="D13:I13" ca="1" si="0">AVERAGE(D3:D12)</f>
        <v>789.63440000000401</v>
      </c>
      <c r="E13" s="9">
        <f t="shared" ca="1" si="0"/>
        <v>13.8</v>
      </c>
      <c r="F13" s="9">
        <f t="shared" ca="1" si="0"/>
        <v>93.95</v>
      </c>
      <c r="G13" s="9">
        <f t="shared" ca="1" si="0"/>
        <v>1015.1273321291288</v>
      </c>
      <c r="H13" s="10">
        <f t="shared" ca="1" si="0"/>
        <v>50.410086165484117</v>
      </c>
      <c r="I13" s="9">
        <f t="shared" ca="1" si="0"/>
        <v>6454.9865242484448</v>
      </c>
      <c r="J13" s="32" t="e">
        <f ca="1">(C13-$D$15)/$D$15</f>
        <v>#DIV/0!</v>
      </c>
      <c r="K13" s="16">
        <f ca="1">AVERAGE(K3:K12)</f>
        <v>2377729.6108052162</v>
      </c>
      <c r="L13" s="41">
        <f t="shared" ref="L13:Q13" ca="1" si="1">AVERAGE(L3:L12)</f>
        <v>1038.4734500000079</v>
      </c>
      <c r="M13" s="16">
        <f t="shared" ca="1" si="1"/>
        <v>26</v>
      </c>
      <c r="N13" s="16">
        <f ca="1">AVERAGE(N3:N12)</f>
        <v>73.849999999999994</v>
      </c>
      <c r="O13" s="16">
        <f t="shared" ca="1" si="1"/>
        <v>728.76236429608832</v>
      </c>
      <c r="P13" s="41">
        <f t="shared" ca="1" si="1"/>
        <v>19.587102827812718</v>
      </c>
      <c r="Q13" s="16">
        <f t="shared" ca="1" si="1"/>
        <v>5408.271139797811</v>
      </c>
      <c r="R13" s="42" t="e">
        <f ca="1">(K13-$D$15)/$D$15</f>
        <v>#DIV/0!</v>
      </c>
      <c r="S13" s="38">
        <f ca="1">AVERAGE(S3:S12)</f>
        <v>2394555.351803388</v>
      </c>
      <c r="T13" s="43">
        <f t="shared" ref="T13:Y13" ca="1" si="2">AVERAGE(T3:T12)</f>
        <v>669.42509999999311</v>
      </c>
      <c r="U13" s="38">
        <f t="shared" ca="1" si="2"/>
        <v>13.3</v>
      </c>
      <c r="V13" s="38">
        <f t="shared" ca="1" si="2"/>
        <v>70.2</v>
      </c>
      <c r="W13" s="38">
        <f t="shared" ca="1" si="2"/>
        <v>1114.6398470182437</v>
      </c>
      <c r="X13" s="43">
        <f t="shared" ca="1" si="2"/>
        <v>57.377355695586765</v>
      </c>
      <c r="Y13" s="38">
        <f t="shared" ca="1" si="2"/>
        <v>6702.6439276154761</v>
      </c>
      <c r="Z13" s="44" t="e">
        <f ca="1">(S13-$D$15)/$D$15</f>
        <v>#DIV/0!</v>
      </c>
    </row>
    <row r="14" spans="2:26" x14ac:dyDescent="0.2">
      <c r="K14" s="45">
        <f ca="1">(K13-C13)/C13</f>
        <v>0.33156540248209732</v>
      </c>
      <c r="L14" s="45">
        <f t="shared" ref="L14:Q14" ca="1" si="3">(L13-D13)/D13</f>
        <v>0.31513197753289707</v>
      </c>
      <c r="M14" s="45">
        <f t="shared" ca="1" si="3"/>
        <v>0.88405797101449268</v>
      </c>
      <c r="N14" s="45">
        <f t="shared" ca="1" si="3"/>
        <v>-0.21394358701436944</v>
      </c>
      <c r="O14" s="45">
        <f t="shared" ca="1" si="3"/>
        <v>-0.28209758398724072</v>
      </c>
      <c r="P14" s="45">
        <f t="shared" ca="1" si="3"/>
        <v>-0.61144476596383912</v>
      </c>
      <c r="Q14" s="45">
        <f t="shared" ca="1" si="3"/>
        <v>-0.16215609134404863</v>
      </c>
      <c r="S14" s="45">
        <f ca="1">(S13-C13)/C13</f>
        <v>0.34098807799678832</v>
      </c>
      <c r="T14" s="45">
        <f t="shared" ref="T14:Y14" ca="1" si="4">(T13-D13)/D13</f>
        <v>-0.15223412252557675</v>
      </c>
      <c r="U14" s="45">
        <f t="shared" ca="1" si="4"/>
        <v>-3.6231884057971016E-2</v>
      </c>
      <c r="V14" s="45">
        <f ca="1">(V13-F13)/F13</f>
        <v>-0.25279403938265033</v>
      </c>
      <c r="W14" s="45">
        <f t="shared" ca="1" si="4"/>
        <v>9.8029588741736715E-2</v>
      </c>
      <c r="X14" s="45">
        <f t="shared" ca="1" si="4"/>
        <v>0.13821181553292305</v>
      </c>
      <c r="Y14" s="45">
        <f t="shared" ca="1" si="4"/>
        <v>3.8366835071877409E-2</v>
      </c>
    </row>
    <row r="16" spans="2:26" x14ac:dyDescent="0.2">
      <c r="B16" s="1" t="s">
        <v>21</v>
      </c>
      <c r="C16">
        <f ca="1">_xlfn.STDEV.S(C3:C12)</f>
        <v>200993.73854228933</v>
      </c>
      <c r="D16">
        <f ca="1">D13/2</f>
        <v>394.817200000002</v>
      </c>
      <c r="J16" s="1" t="s">
        <v>21</v>
      </c>
      <c r="K16">
        <f ca="1">_xlfn.STDEV.S(K3:K12)</f>
        <v>189067.06502663894</v>
      </c>
      <c r="L16">
        <f ca="1">L13/2</f>
        <v>519.23672500000396</v>
      </c>
      <c r="R16" s="1" t="s">
        <v>21</v>
      </c>
      <c r="S16">
        <f ca="1">_xlfn.STDEV.S(S3:S12)</f>
        <v>215879.9784709611</v>
      </c>
      <c r="T16">
        <f ca="1">T13/2</f>
        <v>334.71254999999655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45AFEC-F5C9-C34A-8FE4-AA407CE81AD5}">
  <dimension ref="B1:AA35"/>
  <sheetViews>
    <sheetView zoomScale="85" zoomScaleNormal="85" workbookViewId="0">
      <selection activeCell="U20" sqref="U20:U29"/>
    </sheetView>
  </sheetViews>
  <sheetFormatPr baseColWidth="10" defaultColWidth="10.83203125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8.33203125" style="1" bestFit="1" customWidth="1"/>
    <col min="8" max="8" width="19.33203125" style="1" bestFit="1" customWidth="1"/>
    <col min="9" max="9" width="24.83203125" style="1" bestFit="1" customWidth="1"/>
    <col min="10" max="10" width="18.6640625" style="1" bestFit="1" customWidth="1"/>
    <col min="11" max="11" width="12.6640625" style="1" customWidth="1"/>
    <col min="12" max="12" width="12.6640625" style="1" bestFit="1" customWidth="1"/>
    <col min="13" max="14" width="10.83203125" style="1"/>
    <col min="15" max="15" width="18.33203125" style="1" bestFit="1" customWidth="1"/>
    <col min="16" max="16" width="19.33203125" style="1" bestFit="1" customWidth="1"/>
    <col min="17" max="17" width="24.83203125" style="1" bestFit="1" customWidth="1"/>
    <col min="18" max="18" width="18" style="1" bestFit="1" customWidth="1"/>
    <col min="19" max="19" width="10.83203125" style="1"/>
    <col min="20" max="20" width="12.6640625" style="1" bestFit="1" customWidth="1"/>
    <col min="21" max="22" width="10.83203125" style="1"/>
    <col min="23" max="23" width="18.33203125" style="1" bestFit="1" customWidth="1"/>
    <col min="24" max="24" width="19.33203125" style="1" bestFit="1" customWidth="1"/>
    <col min="25" max="25" width="24.83203125" style="1" bestFit="1" customWidth="1"/>
    <col min="26" max="26" width="18" style="1" bestFit="1" customWidth="1"/>
    <col min="27" max="16384" width="10.83203125" style="1"/>
  </cols>
  <sheetData>
    <row r="1" spans="2:27" x14ac:dyDescent="0.2">
      <c r="D1" s="1" t="s">
        <v>14</v>
      </c>
    </row>
    <row r="2" spans="2:27" x14ac:dyDescent="0.2">
      <c r="B2" s="1" t="s">
        <v>18</v>
      </c>
      <c r="D2" s="29">
        <v>200</v>
      </c>
      <c r="H2" s="28">
        <f>(Q14-H14)/H14</f>
        <v>-0.98269502796404451</v>
      </c>
      <c r="J2" s="28" t="e">
        <f>(S14-J14)/J14</f>
        <v>#DIV/0!</v>
      </c>
      <c r="K2" s="28"/>
      <c r="L2" s="1" t="s">
        <v>19</v>
      </c>
      <c r="P2" s="1">
        <f>(P14-H14)/H14</f>
        <v>-0.16122180602768826</v>
      </c>
      <c r="R2" s="1">
        <f>(R14-J14)/J14</f>
        <v>-0.12353799226387258</v>
      </c>
      <c r="T2" s="1" t="s">
        <v>20</v>
      </c>
      <c r="X2" s="1">
        <f>(X14-P14)/P14</f>
        <v>0.27216967364219324</v>
      </c>
      <c r="Z2" s="1">
        <f>(Z14-R14)/R14</f>
        <v>0.19132788354404523</v>
      </c>
    </row>
    <row r="3" spans="2:27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15</v>
      </c>
      <c r="H3" s="8" t="s">
        <v>11</v>
      </c>
      <c r="I3" s="8" t="s">
        <v>16</v>
      </c>
      <c r="J3" s="8" t="s">
        <v>10</v>
      </c>
      <c r="K3" s="8" t="s">
        <v>1</v>
      </c>
      <c r="L3" s="15" t="s">
        <v>0</v>
      </c>
      <c r="M3" s="15" t="s">
        <v>5</v>
      </c>
      <c r="N3" s="15" t="s">
        <v>12</v>
      </c>
      <c r="O3" s="15" t="s">
        <v>15</v>
      </c>
      <c r="P3" s="15" t="s">
        <v>11</v>
      </c>
      <c r="Q3" s="15" t="s">
        <v>16</v>
      </c>
      <c r="R3" s="15" t="s">
        <v>10</v>
      </c>
      <c r="S3" s="15" t="s">
        <v>1</v>
      </c>
      <c r="T3" s="37" t="s">
        <v>0</v>
      </c>
      <c r="U3" s="37" t="s">
        <v>5</v>
      </c>
      <c r="V3" s="37" t="s">
        <v>12</v>
      </c>
      <c r="W3" s="37" t="s">
        <v>15</v>
      </c>
      <c r="X3" s="37" t="s">
        <v>11</v>
      </c>
      <c r="Y3" s="37" t="s">
        <v>16</v>
      </c>
      <c r="Z3" s="37" t="s">
        <v>10</v>
      </c>
      <c r="AA3" s="37" t="s">
        <v>1</v>
      </c>
    </row>
    <row r="4" spans="2:27" x14ac:dyDescent="0.2">
      <c r="B4" s="4">
        <v>1</v>
      </c>
      <c r="C4" s="4">
        <v>62</v>
      </c>
      <c r="D4" s="23">
        <v>1963043.203724345</v>
      </c>
      <c r="E4" s="33">
        <v>173.73450000002049</v>
      </c>
      <c r="F4" s="5">
        <v>15</v>
      </c>
      <c r="G4" s="23">
        <v>90.5</v>
      </c>
      <c r="H4" s="33">
        <v>1190.5296396867611</v>
      </c>
      <c r="I4" s="23">
        <v>43.988742863643246</v>
      </c>
      <c r="J4" s="5">
        <v>6704.2870160387174</v>
      </c>
      <c r="K4" s="31"/>
      <c r="L4" s="23">
        <v>2500471.0284333988</v>
      </c>
      <c r="M4" s="33">
        <v>807.33600000001002</v>
      </c>
      <c r="N4" s="5">
        <v>23</v>
      </c>
      <c r="O4" s="5">
        <v>70</v>
      </c>
      <c r="P4" s="33">
        <v>1013.68932105052</v>
      </c>
      <c r="Q4" s="5">
        <v>21.449737798556857</v>
      </c>
      <c r="R4" s="5">
        <v>5775.765815213178</v>
      </c>
      <c r="S4" s="31"/>
      <c r="T4" s="23">
        <v>2499423.1242017741</v>
      </c>
      <c r="U4" s="33">
        <v>520.10899999999651</v>
      </c>
      <c r="V4" s="5">
        <v>10</v>
      </c>
      <c r="W4" s="5">
        <v>63</v>
      </c>
      <c r="X4" s="33">
        <v>916.40961021999044</v>
      </c>
      <c r="Y4" s="5">
        <v>63.020350388608541</v>
      </c>
      <c r="Z4" s="5">
        <v>6624.9262860483896</v>
      </c>
      <c r="AA4" s="35"/>
    </row>
    <row r="5" spans="2:27" x14ac:dyDescent="0.2">
      <c r="B5" s="4">
        <v>2</v>
      </c>
      <c r="C5" s="4">
        <v>311</v>
      </c>
      <c r="D5" s="23">
        <v>1927923.9324943409</v>
      </c>
      <c r="E5" s="33">
        <v>332.20300000003772</v>
      </c>
      <c r="F5" s="5">
        <v>14</v>
      </c>
      <c r="G5" s="23">
        <v>92</v>
      </c>
      <c r="H5" s="33">
        <v>1288.643114237613</v>
      </c>
      <c r="I5" s="23">
        <v>47.829253513345797</v>
      </c>
      <c r="J5" s="5">
        <v>6788.5685478208406</v>
      </c>
      <c r="K5" s="31"/>
      <c r="L5" s="23">
        <v>2451741.7363868388</v>
      </c>
      <c r="M5" s="33">
        <v>438.89100000000326</v>
      </c>
      <c r="N5" s="5">
        <v>23</v>
      </c>
      <c r="O5" s="5">
        <v>70</v>
      </c>
      <c r="P5" s="33">
        <v>807.5493345202168</v>
      </c>
      <c r="Q5" s="5">
        <v>20.377340358445828</v>
      </c>
      <c r="R5" s="5">
        <v>5620.8947586973054</v>
      </c>
      <c r="S5" s="31"/>
      <c r="T5" s="23">
        <v>2605305.7155395681</v>
      </c>
      <c r="U5" s="33">
        <v>576.69549999997253</v>
      </c>
      <c r="V5" s="5">
        <v>10</v>
      </c>
      <c r="W5" s="5">
        <v>61</v>
      </c>
      <c r="X5" s="33">
        <v>1130.8364662672529</v>
      </c>
      <c r="Y5" s="5">
        <v>55.369225869818045</v>
      </c>
      <c r="Z5" s="5">
        <v>6788.4937139799922</v>
      </c>
      <c r="AA5" s="35"/>
    </row>
    <row r="6" spans="2:27" x14ac:dyDescent="0.2">
      <c r="B6" s="4">
        <v>3</v>
      </c>
      <c r="C6" s="4">
        <v>333</v>
      </c>
      <c r="D6" s="23">
        <v>1825663.7233235</v>
      </c>
      <c r="E6" s="33">
        <v>905.9375</v>
      </c>
      <c r="F6" s="5">
        <v>15</v>
      </c>
      <c r="G6" s="23">
        <v>93.5</v>
      </c>
      <c r="H6" s="33">
        <v>1111.6560797560653</v>
      </c>
      <c r="I6" s="23">
        <v>46.011332539834072</v>
      </c>
      <c r="J6" s="5">
        <v>6405.0361035959768</v>
      </c>
      <c r="K6" s="31"/>
      <c r="L6" s="23">
        <v>2440904.971294893</v>
      </c>
      <c r="M6" s="33">
        <v>510.67200000002049</v>
      </c>
      <c r="N6" s="5">
        <v>26</v>
      </c>
      <c r="O6" s="5">
        <v>73</v>
      </c>
      <c r="P6" s="33">
        <v>932.43287889613259</v>
      </c>
      <c r="Q6" s="5">
        <v>19.23717737377876</v>
      </c>
      <c r="R6" s="5">
        <v>5613.7708029801124</v>
      </c>
      <c r="S6" s="31"/>
      <c r="T6" s="23">
        <v>2719743.4300115891</v>
      </c>
      <c r="U6" s="33">
        <v>290.9375</v>
      </c>
      <c r="V6" s="5">
        <v>10</v>
      </c>
      <c r="W6" s="5">
        <v>58.5</v>
      </c>
      <c r="X6" s="33">
        <v>1362.7488435745288</v>
      </c>
      <c r="Y6" s="5">
        <v>58.880079259675675</v>
      </c>
      <c r="Z6" s="5">
        <v>7150.2571605861176</v>
      </c>
      <c r="AA6" s="35"/>
    </row>
    <row r="7" spans="2:27" x14ac:dyDescent="0.2">
      <c r="B7" s="4">
        <v>4</v>
      </c>
      <c r="C7" s="4">
        <v>432</v>
      </c>
      <c r="D7" s="23">
        <v>2002929.6034906199</v>
      </c>
      <c r="E7" s="33">
        <v>412.48450000002049</v>
      </c>
      <c r="F7" s="5">
        <v>15</v>
      </c>
      <c r="G7" s="23">
        <v>88</v>
      </c>
      <c r="H7" s="33">
        <v>1220.6348820803903</v>
      </c>
      <c r="I7" s="23">
        <v>41.808151952890142</v>
      </c>
      <c r="J7" s="5">
        <v>6595.2698011211896</v>
      </c>
      <c r="K7" s="31"/>
      <c r="L7" s="23">
        <v>2841074.7156996098</v>
      </c>
      <c r="M7" s="33">
        <v>613.14049999997951</v>
      </c>
      <c r="N7" s="5">
        <v>31</v>
      </c>
      <c r="O7" s="5">
        <v>61.5</v>
      </c>
      <c r="P7" s="33">
        <v>596.77954299471503</v>
      </c>
      <c r="Q7" s="5">
        <v>13.073653541068072</v>
      </c>
      <c r="R7" s="5">
        <v>5451.0829330716433</v>
      </c>
      <c r="S7" s="31"/>
      <c r="T7" s="23">
        <v>2733912.3326056758</v>
      </c>
      <c r="U7" s="33">
        <v>380.2895000000135</v>
      </c>
      <c r="V7" s="5">
        <v>20</v>
      </c>
      <c r="W7" s="5">
        <v>83</v>
      </c>
      <c r="X7" s="33">
        <v>3002.2522207929196</v>
      </c>
      <c r="Y7" s="5">
        <v>55.580376002785535</v>
      </c>
      <c r="Z7" s="5">
        <v>8672.6252403259459</v>
      </c>
      <c r="AA7" s="35"/>
    </row>
    <row r="8" spans="2:27" x14ac:dyDescent="0.2">
      <c r="B8" s="4">
        <v>5</v>
      </c>
      <c r="C8" s="4">
        <v>614</v>
      </c>
      <c r="D8" s="23">
        <v>2091364.800212811</v>
      </c>
      <c r="E8" s="33">
        <v>285.53900000004796</v>
      </c>
      <c r="F8" s="5">
        <v>15</v>
      </c>
      <c r="G8" s="23">
        <v>92</v>
      </c>
      <c r="H8" s="33">
        <v>1707.9018665964206</v>
      </c>
      <c r="I8" s="23">
        <v>45.700875547431309</v>
      </c>
      <c r="J8" s="5">
        <v>7158.9776757416294</v>
      </c>
      <c r="K8" s="31"/>
      <c r="L8" s="23">
        <v>2702421.580300163</v>
      </c>
      <c r="M8" s="33">
        <v>580.39850000001002</v>
      </c>
      <c r="N8" s="5">
        <v>44</v>
      </c>
      <c r="O8" s="5">
        <v>87.5</v>
      </c>
      <c r="P8" s="33">
        <v>1728.6165992385193</v>
      </c>
      <c r="Q8" s="5">
        <v>14.399394195704168</v>
      </c>
      <c r="R8" s="5">
        <v>6741.1072469450783</v>
      </c>
      <c r="S8" s="31"/>
      <c r="T8" s="23">
        <v>2574447.7634008499</v>
      </c>
      <c r="U8" s="33">
        <v>608.54649999999651</v>
      </c>
      <c r="V8" s="5">
        <v>10</v>
      </c>
      <c r="W8" s="5">
        <v>62</v>
      </c>
      <c r="X8" s="33">
        <v>1217.7444365594874</v>
      </c>
      <c r="Y8" s="5">
        <v>63.77206286689686</v>
      </c>
      <c r="Z8" s="5">
        <v>6836.964850746147</v>
      </c>
      <c r="AA8" s="35"/>
    </row>
    <row r="9" spans="2:27" x14ac:dyDescent="0.2">
      <c r="B9" s="4">
        <v>6</v>
      </c>
      <c r="C9" s="4">
        <v>627</v>
      </c>
      <c r="D9" s="23">
        <v>1872420.16085289</v>
      </c>
      <c r="E9" s="33">
        <v>1001.4920000000275</v>
      </c>
      <c r="F9" s="5">
        <v>14</v>
      </c>
      <c r="G9" s="23">
        <v>91</v>
      </c>
      <c r="H9" s="33">
        <v>1079.5420173848777</v>
      </c>
      <c r="I9" s="23">
        <v>45.979578751408724</v>
      </c>
      <c r="J9" s="5">
        <v>6481.6606028872266</v>
      </c>
      <c r="K9" s="31"/>
      <c r="L9" s="23">
        <v>2475979.621098388</v>
      </c>
      <c r="M9" s="33">
        <v>976.843500000017</v>
      </c>
      <c r="N9" s="5">
        <v>22</v>
      </c>
      <c r="O9" s="5">
        <v>68.5</v>
      </c>
      <c r="P9" s="33">
        <v>703.59977312750766</v>
      </c>
      <c r="Q9" s="5">
        <v>19.922133486480323</v>
      </c>
      <c r="R9" s="5">
        <v>5595.7989496699674</v>
      </c>
      <c r="S9" s="31"/>
      <c r="T9" s="23">
        <v>2969178.2839803239</v>
      </c>
      <c r="U9" s="33">
        <v>415.36700000002747</v>
      </c>
      <c r="V9" s="5">
        <v>10</v>
      </c>
      <c r="W9" s="5">
        <v>51.5</v>
      </c>
      <c r="X9" s="33">
        <v>1677.5233632717236</v>
      </c>
      <c r="Y9" s="5">
        <v>49.846116369806765</v>
      </c>
      <c r="Z9" s="5">
        <v>7599.9469559020927</v>
      </c>
      <c r="AA9" s="35"/>
    </row>
    <row r="10" spans="2:27" x14ac:dyDescent="0.2">
      <c r="B10" s="4">
        <v>7</v>
      </c>
      <c r="C10" s="4">
        <v>718</v>
      </c>
      <c r="D10" s="23">
        <v>1843331.244259581</v>
      </c>
      <c r="E10" s="33">
        <v>526.39049999997951</v>
      </c>
      <c r="F10" s="5">
        <v>13</v>
      </c>
      <c r="G10" s="23">
        <v>89.5</v>
      </c>
      <c r="H10" s="33">
        <v>930.24930296620164</v>
      </c>
      <c r="I10" s="23">
        <v>49.086170666035549</v>
      </c>
      <c r="J10" s="5">
        <v>6219.6335594680359</v>
      </c>
      <c r="K10" s="31"/>
      <c r="L10" s="23">
        <v>2471596.8324593119</v>
      </c>
      <c r="M10" s="33">
        <v>843.07000000000698</v>
      </c>
      <c r="N10" s="5">
        <v>27</v>
      </c>
      <c r="O10" s="5">
        <v>75.5</v>
      </c>
      <c r="P10" s="33">
        <v>1086.5401575280866</v>
      </c>
      <c r="Q10" s="5">
        <v>18.874998267052316</v>
      </c>
      <c r="R10" s="5">
        <v>5883.8076461708497</v>
      </c>
      <c r="S10" s="31"/>
      <c r="T10" s="23">
        <v>2459806.9693792881</v>
      </c>
      <c r="U10" s="33">
        <v>661.281499999983</v>
      </c>
      <c r="V10" s="5">
        <v>10</v>
      </c>
      <c r="W10" s="5">
        <v>66</v>
      </c>
      <c r="X10" s="33">
        <v>1082.7092261302662</v>
      </c>
      <c r="Y10" s="5">
        <v>65.043158549414585</v>
      </c>
      <c r="Z10" s="5">
        <v>6741.5652914682341</v>
      </c>
      <c r="AA10" s="35"/>
    </row>
    <row r="11" spans="2:27" x14ac:dyDescent="0.2">
      <c r="B11" s="4">
        <v>8</v>
      </c>
      <c r="C11" s="4">
        <v>738</v>
      </c>
      <c r="D11" s="23">
        <v>1977336.3915444119</v>
      </c>
      <c r="E11" s="33">
        <v>447.875</v>
      </c>
      <c r="F11" s="5">
        <v>16</v>
      </c>
      <c r="G11" s="23">
        <v>91</v>
      </c>
      <c r="H11" s="33">
        <v>1282.9338720298558</v>
      </c>
      <c r="I11" s="23">
        <v>41.523555959752954</v>
      </c>
      <c r="J11" s="5">
        <v>6625.5970811085026</v>
      </c>
      <c r="K11" s="31"/>
      <c r="L11" s="23">
        <v>2625835.3675708268</v>
      </c>
      <c r="M11" s="33">
        <v>739.01549999997951</v>
      </c>
      <c r="N11" s="5">
        <v>40</v>
      </c>
      <c r="O11" s="5">
        <v>83.5</v>
      </c>
      <c r="P11" s="33">
        <v>1438.4171755824289</v>
      </c>
      <c r="Q11" s="5">
        <v>14.429141146751158</v>
      </c>
      <c r="R11" s="5">
        <v>6296.7340088284636</v>
      </c>
      <c r="S11" s="31"/>
      <c r="T11" s="23">
        <v>2371163.6197744082</v>
      </c>
      <c r="U11" s="33">
        <v>787.63299999997253</v>
      </c>
      <c r="V11" s="5">
        <v>14</v>
      </c>
      <c r="W11" s="5">
        <v>71.5</v>
      </c>
      <c r="X11" s="33">
        <v>1186.2128312385437</v>
      </c>
      <c r="Y11" s="5">
        <v>54.281416880877778</v>
      </c>
      <c r="Z11" s="5">
        <v>6687.8416894156526</v>
      </c>
      <c r="AA11" s="35"/>
    </row>
    <row r="12" spans="2:27" x14ac:dyDescent="0.2">
      <c r="B12" s="4">
        <v>9</v>
      </c>
      <c r="C12" s="4">
        <v>928</v>
      </c>
      <c r="D12" s="23">
        <v>2021510.465508895</v>
      </c>
      <c r="E12" s="33">
        <v>590.843500000017</v>
      </c>
      <c r="F12" s="5">
        <v>13</v>
      </c>
      <c r="G12" s="23">
        <v>89</v>
      </c>
      <c r="H12" s="33">
        <v>1388.7636706131334</v>
      </c>
      <c r="I12" s="23">
        <v>49.847612991406059</v>
      </c>
      <c r="J12" s="5">
        <v>6802.939285072036</v>
      </c>
      <c r="K12" s="31"/>
      <c r="L12" s="23">
        <v>2884105.8082562862</v>
      </c>
      <c r="M12" s="33">
        <v>731.35149999998998</v>
      </c>
      <c r="N12" s="5">
        <v>49</v>
      </c>
      <c r="O12" s="5">
        <v>89</v>
      </c>
      <c r="P12" s="33">
        <v>2198.0915549871679</v>
      </c>
      <c r="Q12" s="5">
        <v>13.291785498391851</v>
      </c>
      <c r="R12" s="5">
        <v>7016.046761341725</v>
      </c>
      <c r="S12" s="31"/>
      <c r="T12" s="23">
        <v>2933686.4526925799</v>
      </c>
      <c r="U12" s="33">
        <v>313.61700000002747</v>
      </c>
      <c r="V12" s="5">
        <v>25</v>
      </c>
      <c r="W12" s="5">
        <v>89</v>
      </c>
      <c r="X12" s="33">
        <v>3823.0440025718972</v>
      </c>
      <c r="Y12" s="5">
        <v>52.733348875456912</v>
      </c>
      <c r="Z12" s="5">
        <v>9453.0804982965255</v>
      </c>
      <c r="AA12" s="35"/>
    </row>
    <row r="13" spans="2:27" x14ac:dyDescent="0.2">
      <c r="B13" s="4">
        <v>10</v>
      </c>
      <c r="C13" s="4">
        <v>45</v>
      </c>
      <c r="D13" s="23">
        <v>2007742.4924237521</v>
      </c>
      <c r="E13" s="33">
        <v>262.46850000001723</v>
      </c>
      <c r="F13" s="5">
        <v>15</v>
      </c>
      <c r="G13" s="23">
        <v>93.5</v>
      </c>
      <c r="H13" s="33">
        <v>1580.3353246956306</v>
      </c>
      <c r="I13" s="23">
        <v>45.694500745760664</v>
      </c>
      <c r="J13" s="5">
        <v>6979.7972930238047</v>
      </c>
      <c r="K13" s="31"/>
      <c r="L13" s="23">
        <v>2504886.60968378</v>
      </c>
      <c r="M13" s="33">
        <v>324.5625</v>
      </c>
      <c r="N13" s="5">
        <v>25</v>
      </c>
      <c r="O13" s="5">
        <v>69</v>
      </c>
      <c r="P13" s="33">
        <v>801.70277828671772</v>
      </c>
      <c r="Q13" s="5">
        <v>18.748577787012938</v>
      </c>
      <c r="R13" s="5">
        <v>5484.6278124432556</v>
      </c>
      <c r="S13" s="31"/>
      <c r="T13" s="23">
        <v>2477421.9766154159</v>
      </c>
      <c r="U13" s="33">
        <v>569.3125</v>
      </c>
      <c r="V13" s="5">
        <v>10</v>
      </c>
      <c r="W13" s="5">
        <v>66</v>
      </c>
      <c r="X13" s="33">
        <v>1133.3826391175046</v>
      </c>
      <c r="Y13" s="5">
        <v>65.21003557359586</v>
      </c>
      <c r="Z13" s="5">
        <v>6878.3479129278285</v>
      </c>
      <c r="AA13" s="35"/>
    </row>
    <row r="14" spans="2:27" x14ac:dyDescent="0.2">
      <c r="B14" s="46" t="s">
        <v>3</v>
      </c>
      <c r="C14" s="47"/>
      <c r="D14" s="9">
        <f>MIN(D4:D13)</f>
        <v>1825663.7233235</v>
      </c>
      <c r="E14" s="22">
        <f>INDEX(E4:E13, MATCH($D$14, D4:D13, 0))</f>
        <v>905.9375</v>
      </c>
      <c r="F14" s="9">
        <f>INDEX(F4:F13, MATCH($D$14, D4:D13, 0))</f>
        <v>15</v>
      </c>
      <c r="G14" s="9">
        <f>INDEX(G4:G13, MATCH($D$14, D4:D13, 0))</f>
        <v>93.5</v>
      </c>
      <c r="H14" s="22">
        <f>INDEX(H4:H13, MATCH($D$14, D4:D13, 0))</f>
        <v>1111.6560797560653</v>
      </c>
      <c r="I14" s="22">
        <f>INDEX(I4:I13, MATCH($D$14, D4:D13, 0))</f>
        <v>46.011332539834072</v>
      </c>
      <c r="J14" s="22">
        <f>INDEX(J4:J13, MATCH($D$14, D4:D13, 0))</f>
        <v>6405.0361035959768</v>
      </c>
      <c r="K14" s="32" t="e">
        <f>(D14-$D$15)/$D$15</f>
        <v>#DIV/0!</v>
      </c>
      <c r="L14" s="16">
        <f>MIN(L4:L13)</f>
        <v>2440904.971294893</v>
      </c>
      <c r="M14" s="21">
        <f>INDEX(M4:M13, MATCH($L$14, L4:L13, 0))</f>
        <v>510.67200000002049</v>
      </c>
      <c r="N14" s="16">
        <f>INDEX(N4:N13, MATCH($L$14, L4:L13, 0))</f>
        <v>26</v>
      </c>
      <c r="O14" s="16">
        <f>INDEX(O4:O13, MATCH($L$14, L4:L13, 0))</f>
        <v>73</v>
      </c>
      <c r="P14" s="21">
        <f>INDEX(P4:P13, MATCH($L$14, L4:L13, 0))</f>
        <v>932.43287889613259</v>
      </c>
      <c r="Q14" s="21">
        <f>INDEX(Q4:Q13, MATCH($L$14, L4:L13, 0))</f>
        <v>19.23717737377876</v>
      </c>
      <c r="R14" s="21">
        <f>INDEX(R4:R13, MATCH($L$14, L4:L13, 0))</f>
        <v>5613.7708029801124</v>
      </c>
      <c r="S14" s="36" t="e">
        <f>(L14-$D$15)/$D$15</f>
        <v>#DIV/0!</v>
      </c>
      <c r="T14" s="38">
        <f>MIN(T4:T13)</f>
        <v>2371163.6197744082</v>
      </c>
      <c r="U14" s="39">
        <f>INDEX(U4:U13, MATCH($T$14, T4:T13, 0))</f>
        <v>787.63299999997253</v>
      </c>
      <c r="V14" s="38">
        <f>INDEX(V4:V13, MATCH($T$14, T4:T13, 0))</f>
        <v>14</v>
      </c>
      <c r="W14" s="38">
        <f>INDEX(W4:W13, MATCH($T$14, T4:T13, 0))</f>
        <v>71.5</v>
      </c>
      <c r="X14" s="39">
        <f>INDEX(X4:X13, MATCH($T$14, T4:T13, 0))</f>
        <v>1186.2128312385437</v>
      </c>
      <c r="Y14" s="39">
        <f>INDEX(Y4:Y13, MATCH($T$14, T4:T13, 0))</f>
        <v>54.281416880877778</v>
      </c>
      <c r="Z14" s="39">
        <f>INDEX(Z4:Z13, MATCH($T$14, T4:T13, 0))</f>
        <v>6687.8416894156526</v>
      </c>
      <c r="AA14" s="40" t="e">
        <f>(T14-$D$15)/$D$15</f>
        <v>#DIV/0!</v>
      </c>
    </row>
    <row r="15" spans="2:27" x14ac:dyDescent="0.2">
      <c r="C15" s="1" t="s">
        <v>17</v>
      </c>
      <c r="D15" s="34"/>
      <c r="E15" s="3"/>
      <c r="F15" s="3"/>
      <c r="G15" s="3"/>
      <c r="H15" s="3"/>
      <c r="I15" s="3"/>
      <c r="J15" s="3"/>
      <c r="K15" s="3"/>
      <c r="L15" s="34"/>
      <c r="T15" s="34"/>
    </row>
    <row r="16" spans="2:27" x14ac:dyDescent="0.2">
      <c r="D16" s="2"/>
    </row>
    <row r="17" spans="4:4" x14ac:dyDescent="0.2">
      <c r="D17" s="2"/>
    </row>
    <row r="33" s="1" customFormat="1" x14ac:dyDescent="0.2"/>
    <row r="34" s="1" customFormat="1" x14ac:dyDescent="0.2"/>
    <row r="35" s="1" customFormat="1" x14ac:dyDescent="0.2"/>
  </sheetData>
  <mergeCells count="1">
    <mergeCell ref="B14:C14"/>
  </mergeCells>
  <conditionalFormatting sqref="C1:C13 C15:C1048576">
    <cfRule type="duplicateValues" dxfId="89" priority="5"/>
    <cfRule type="duplicateValues" dxfId="88" priority="6"/>
  </conditionalFormatting>
  <conditionalFormatting sqref="C14">
    <cfRule type="duplicateValues" dxfId="87" priority="1"/>
    <cfRule type="duplicateValues" dxfId="86" priority="2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E899A4-A0D3-445F-ADFE-8F8FFD90577C}">
  <dimension ref="B1:AA35"/>
  <sheetViews>
    <sheetView zoomScale="85" zoomScaleNormal="85" workbookViewId="0">
      <selection activeCell="U20" sqref="U20:U29"/>
    </sheetView>
  </sheetViews>
  <sheetFormatPr baseColWidth="10" defaultColWidth="10.83203125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8.33203125" style="1" bestFit="1" customWidth="1"/>
    <col min="8" max="8" width="19.33203125" style="1" bestFit="1" customWidth="1"/>
    <col min="9" max="9" width="24.83203125" style="1" bestFit="1" customWidth="1"/>
    <col min="10" max="10" width="18.6640625" style="1" bestFit="1" customWidth="1"/>
    <col min="11" max="11" width="12.6640625" style="1" customWidth="1"/>
    <col min="12" max="12" width="12.6640625" style="1" bestFit="1" customWidth="1"/>
    <col min="13" max="14" width="10.83203125" style="1"/>
    <col min="15" max="15" width="18.33203125" style="1" bestFit="1" customWidth="1"/>
    <col min="16" max="16" width="19.33203125" style="1" bestFit="1" customWidth="1"/>
    <col min="17" max="17" width="24.83203125" style="1" bestFit="1" customWidth="1"/>
    <col min="18" max="18" width="18" style="1" bestFit="1" customWidth="1"/>
    <col min="19" max="19" width="10.83203125" style="1"/>
    <col min="20" max="20" width="12.6640625" style="1" bestFit="1" customWidth="1"/>
    <col min="21" max="22" width="10.83203125" style="1"/>
    <col min="23" max="23" width="18.33203125" style="1" bestFit="1" customWidth="1"/>
    <col min="24" max="24" width="19.33203125" style="1" bestFit="1" customWidth="1"/>
    <col min="25" max="25" width="24.83203125" style="1" bestFit="1" customWidth="1"/>
    <col min="26" max="26" width="18" style="1" bestFit="1" customWidth="1"/>
    <col min="27" max="16384" width="10.83203125" style="1"/>
  </cols>
  <sheetData>
    <row r="1" spans="2:27" x14ac:dyDescent="0.2">
      <c r="D1" s="1" t="s">
        <v>14</v>
      </c>
    </row>
    <row r="2" spans="2:27" x14ac:dyDescent="0.2">
      <c r="B2" s="1" t="s">
        <v>18</v>
      </c>
      <c r="D2" s="29">
        <v>200</v>
      </c>
      <c r="H2" s="28">
        <f>(Q14-H14)/H14</f>
        <v>-0.97723874033256686</v>
      </c>
      <c r="J2" s="28" t="e">
        <f>(S14-J14)/J14</f>
        <v>#DIV/0!</v>
      </c>
      <c r="K2" s="28"/>
      <c r="L2" s="1" t="s">
        <v>19</v>
      </c>
      <c r="P2" s="1">
        <f>(P14-H14)/H14</f>
        <v>-0.43926658725080608</v>
      </c>
      <c r="R2" s="1">
        <f>(R14-J14)/J14</f>
        <v>-0.18938487675064467</v>
      </c>
      <c r="T2" s="1" t="s">
        <v>20</v>
      </c>
      <c r="X2" s="1">
        <f>(X14-P14)/P14</f>
        <v>1.6688573613154563</v>
      </c>
      <c r="Z2" s="1">
        <f>(Z14-R14)/R14</f>
        <v>0.34424268861790019</v>
      </c>
    </row>
    <row r="3" spans="2:27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15</v>
      </c>
      <c r="H3" s="8" t="s">
        <v>11</v>
      </c>
      <c r="I3" s="8" t="s">
        <v>16</v>
      </c>
      <c r="J3" s="8" t="s">
        <v>10</v>
      </c>
      <c r="K3" s="8" t="s">
        <v>1</v>
      </c>
      <c r="L3" s="15" t="s">
        <v>0</v>
      </c>
      <c r="M3" s="15" t="s">
        <v>5</v>
      </c>
      <c r="N3" s="15" t="s">
        <v>12</v>
      </c>
      <c r="O3" s="15" t="s">
        <v>15</v>
      </c>
      <c r="P3" s="15" t="s">
        <v>11</v>
      </c>
      <c r="Q3" s="15" t="s">
        <v>16</v>
      </c>
      <c r="R3" s="15" t="s">
        <v>10</v>
      </c>
      <c r="S3" s="15" t="s">
        <v>1</v>
      </c>
      <c r="T3" s="37" t="s">
        <v>0</v>
      </c>
      <c r="U3" s="37" t="s">
        <v>5</v>
      </c>
      <c r="V3" s="37" t="s">
        <v>12</v>
      </c>
      <c r="W3" s="37" t="s">
        <v>15</v>
      </c>
      <c r="X3" s="37" t="s">
        <v>11</v>
      </c>
      <c r="Y3" s="37" t="s">
        <v>16</v>
      </c>
      <c r="Z3" s="37" t="s">
        <v>10</v>
      </c>
      <c r="AA3" s="37" t="s">
        <v>1</v>
      </c>
    </row>
    <row r="4" spans="2:27" x14ac:dyDescent="0.2">
      <c r="B4" s="4">
        <v>1</v>
      </c>
      <c r="C4" s="4">
        <v>803</v>
      </c>
      <c r="D4" s="23">
        <v>1829893.0555103819</v>
      </c>
      <c r="E4" s="33">
        <v>156.75</v>
      </c>
      <c r="F4" s="5">
        <v>12</v>
      </c>
      <c r="G4" s="23">
        <v>92</v>
      </c>
      <c r="H4" s="33">
        <v>918.83541271117747</v>
      </c>
      <c r="I4" s="23">
        <v>43.542596446318896</v>
      </c>
      <c r="J4" s="5">
        <v>6567.3800440008335</v>
      </c>
      <c r="K4" s="31"/>
      <c r="L4" s="23">
        <v>2269433.9634908251</v>
      </c>
      <c r="M4" s="33">
        <v>534.60149999998998</v>
      </c>
      <c r="N4" s="5">
        <v>20</v>
      </c>
      <c r="O4" s="5">
        <v>71</v>
      </c>
      <c r="P4" s="33">
        <v>486.61178543063863</v>
      </c>
      <c r="Q4" s="5">
        <v>19.752518672137874</v>
      </c>
      <c r="R4" s="5">
        <v>5129.5251316363074</v>
      </c>
      <c r="S4" s="31"/>
      <c r="T4" s="23">
        <v>2793370.1124829939</v>
      </c>
      <c r="U4" s="33">
        <v>162.92200000002049</v>
      </c>
      <c r="V4" s="5">
        <v>13</v>
      </c>
      <c r="W4" s="5">
        <v>61.5</v>
      </c>
      <c r="X4" s="33">
        <v>1805.2344654615847</v>
      </c>
      <c r="Y4" s="5">
        <v>47.609064282723196</v>
      </c>
      <c r="Z4" s="5">
        <v>7376.7609642916814</v>
      </c>
      <c r="AA4" s="35"/>
    </row>
    <row r="5" spans="2:27" x14ac:dyDescent="0.2">
      <c r="B5" s="4">
        <v>2</v>
      </c>
      <c r="C5" s="4">
        <v>436</v>
      </c>
      <c r="D5" s="23">
        <v>1782736.9568295821</v>
      </c>
      <c r="E5" s="33">
        <v>408.5625</v>
      </c>
      <c r="F5" s="5">
        <v>13</v>
      </c>
      <c r="G5" s="23">
        <v>96</v>
      </c>
      <c r="H5" s="33">
        <v>1113.3727078868649</v>
      </c>
      <c r="I5" s="23">
        <v>44.273840097811913</v>
      </c>
      <c r="J5" s="5">
        <v>6668.3841608912735</v>
      </c>
      <c r="K5" s="31"/>
      <c r="L5" s="23">
        <v>2333026.8109617122</v>
      </c>
      <c r="M5" s="33">
        <v>462.03899999998976</v>
      </c>
      <c r="N5" s="5">
        <v>21</v>
      </c>
      <c r="O5" s="5">
        <v>70</v>
      </c>
      <c r="P5" s="33">
        <v>563.94927477093461</v>
      </c>
      <c r="Q5" s="5">
        <v>17.907541506688034</v>
      </c>
      <c r="R5" s="5">
        <v>5266.2018796128641</v>
      </c>
      <c r="S5" s="31"/>
      <c r="T5" s="23">
        <v>2461803.3266162332</v>
      </c>
      <c r="U5" s="33">
        <v>245.19500000000701</v>
      </c>
      <c r="V5" s="5">
        <v>13</v>
      </c>
      <c r="W5" s="5">
        <v>69.5</v>
      </c>
      <c r="X5" s="33">
        <v>1313.0938880075053</v>
      </c>
      <c r="Y5" s="5">
        <v>47.972562590731904</v>
      </c>
      <c r="Z5" s="5">
        <v>6943.1559057646746</v>
      </c>
      <c r="AA5" s="35"/>
    </row>
    <row r="6" spans="2:27" x14ac:dyDescent="0.2">
      <c r="B6" s="4">
        <v>3</v>
      </c>
      <c r="C6" s="4">
        <v>670</v>
      </c>
      <c r="D6" s="23">
        <v>1695075.0349196659</v>
      </c>
      <c r="E6" s="33">
        <v>423.79700000002049</v>
      </c>
      <c r="F6" s="5">
        <v>13</v>
      </c>
      <c r="G6" s="23">
        <v>95.5</v>
      </c>
      <c r="H6" s="33">
        <v>839.58143583016533</v>
      </c>
      <c r="I6" s="23">
        <v>43.500857283140284</v>
      </c>
      <c r="J6" s="5">
        <v>6345.1116004209489</v>
      </c>
      <c r="K6" s="31"/>
      <c r="L6" s="23">
        <v>2362355.5409143148</v>
      </c>
      <c r="M6" s="33">
        <v>915.32049999997253</v>
      </c>
      <c r="N6" s="5">
        <v>28</v>
      </c>
      <c r="O6" s="5">
        <v>76</v>
      </c>
      <c r="P6" s="33">
        <v>681.20488470481098</v>
      </c>
      <c r="Q6" s="5">
        <v>14.861305861895238</v>
      </c>
      <c r="R6" s="5">
        <v>5379.0393342428351</v>
      </c>
      <c r="S6" s="31"/>
      <c r="T6" s="23">
        <v>2320449.4644286511</v>
      </c>
      <c r="U6" s="33">
        <v>380.5625</v>
      </c>
      <c r="V6" s="5">
        <v>13</v>
      </c>
      <c r="W6" s="5">
        <v>74</v>
      </c>
      <c r="X6" s="33">
        <v>1150.5325194772727</v>
      </c>
      <c r="Y6" s="5">
        <v>52.261907249641169</v>
      </c>
      <c r="Z6" s="5">
        <v>6855.5739557407669</v>
      </c>
      <c r="AA6" s="35"/>
    </row>
    <row r="7" spans="2:27" x14ac:dyDescent="0.2">
      <c r="B7" s="4">
        <v>4</v>
      </c>
      <c r="C7" s="4">
        <v>891</v>
      </c>
      <c r="D7" s="23">
        <v>1704324.5259829171</v>
      </c>
      <c r="E7" s="33">
        <v>605</v>
      </c>
      <c r="F7" s="5">
        <v>15</v>
      </c>
      <c r="G7" s="23">
        <v>95.5</v>
      </c>
      <c r="H7" s="33">
        <v>853.814337094807</v>
      </c>
      <c r="I7" s="23">
        <v>38.034838235988282</v>
      </c>
      <c r="J7" s="5">
        <v>6165.2137451896633</v>
      </c>
      <c r="K7" s="31"/>
      <c r="L7" s="23">
        <v>2688191.1493173782</v>
      </c>
      <c r="M7" s="33">
        <v>610.24200000002747</v>
      </c>
      <c r="N7" s="5">
        <v>29</v>
      </c>
      <c r="O7" s="5">
        <v>75.5</v>
      </c>
      <c r="P7" s="33">
        <v>1580.3381903967827</v>
      </c>
      <c r="Q7" s="5">
        <v>14.853844125140443</v>
      </c>
      <c r="R7" s="5">
        <v>6649.4373392856578</v>
      </c>
      <c r="S7" s="31"/>
      <c r="T7" s="23">
        <v>2383756.7411291511</v>
      </c>
      <c r="U7" s="33">
        <v>689.406499999983</v>
      </c>
      <c r="V7" s="5">
        <v>12</v>
      </c>
      <c r="W7" s="5">
        <v>72.5</v>
      </c>
      <c r="X7" s="33">
        <v>1291.4269940875936</v>
      </c>
      <c r="Y7" s="5">
        <v>53.174201653986295</v>
      </c>
      <c r="Z7" s="5">
        <v>7030.2193222093038</v>
      </c>
      <c r="AA7" s="35"/>
    </row>
    <row r="8" spans="2:27" x14ac:dyDescent="0.2">
      <c r="B8" s="4">
        <v>5</v>
      </c>
      <c r="C8" s="4">
        <v>264</v>
      </c>
      <c r="D8" s="23">
        <v>1686424.5192385691</v>
      </c>
      <c r="E8" s="33">
        <v>254.63300000003076</v>
      </c>
      <c r="F8" s="5">
        <v>11</v>
      </c>
      <c r="G8" s="23">
        <v>94.5</v>
      </c>
      <c r="H8" s="33">
        <v>867.81307189249208</v>
      </c>
      <c r="I8" s="23">
        <v>50.161912974903451</v>
      </c>
      <c r="J8" s="5">
        <v>6327.9415650112433</v>
      </c>
      <c r="K8" s="31"/>
      <c r="L8" s="23">
        <v>2524280.980327622</v>
      </c>
      <c r="M8" s="33">
        <v>481.75750000000698</v>
      </c>
      <c r="N8" s="5">
        <v>31</v>
      </c>
      <c r="O8" s="5">
        <v>79.5</v>
      </c>
      <c r="P8" s="33">
        <v>1283.8186941072254</v>
      </c>
      <c r="Q8" s="5">
        <v>14.216901465919955</v>
      </c>
      <c r="R8" s="5">
        <v>6282.671867114228</v>
      </c>
      <c r="S8" s="31"/>
      <c r="T8" s="23">
        <v>2577964.5582333822</v>
      </c>
      <c r="U8" s="33">
        <v>501.88250000000698</v>
      </c>
      <c r="V8" s="5">
        <v>13</v>
      </c>
      <c r="W8" s="5">
        <v>64</v>
      </c>
      <c r="X8" s="33">
        <v>1218.7623798602199</v>
      </c>
      <c r="Y8" s="5">
        <v>45.500539076156663</v>
      </c>
      <c r="Z8" s="5">
        <v>6745.4796937259189</v>
      </c>
      <c r="AA8" s="35"/>
    </row>
    <row r="9" spans="2:27" x14ac:dyDescent="0.2">
      <c r="B9" s="4">
        <v>6</v>
      </c>
      <c r="C9" s="4">
        <v>565</v>
      </c>
      <c r="D9" s="23">
        <v>1714621.9100975001</v>
      </c>
      <c r="E9" s="33">
        <v>651.10899999999651</v>
      </c>
      <c r="F9" s="5">
        <v>13</v>
      </c>
      <c r="G9" s="23">
        <v>94.5</v>
      </c>
      <c r="H9" s="33">
        <v>813.41423985551057</v>
      </c>
      <c r="I9" s="23">
        <v>41.812451243647644</v>
      </c>
      <c r="J9" s="5">
        <v>6298.8241678559725</v>
      </c>
      <c r="K9" s="31"/>
      <c r="L9" s="23">
        <v>2363297.9538438781</v>
      </c>
      <c r="M9" s="33">
        <v>417.13250000000698</v>
      </c>
      <c r="N9" s="5">
        <v>26</v>
      </c>
      <c r="O9" s="5">
        <v>75</v>
      </c>
      <c r="P9" s="33">
        <v>717.64088184434513</v>
      </c>
      <c r="Q9" s="5">
        <v>15.860393221090495</v>
      </c>
      <c r="R9" s="5">
        <v>5504.4586802038129</v>
      </c>
      <c r="S9" s="31"/>
      <c r="T9" s="23">
        <v>2284133.4486513361</v>
      </c>
      <c r="U9" s="33">
        <v>741.57850000000349</v>
      </c>
      <c r="V9" s="5">
        <v>15</v>
      </c>
      <c r="W9" s="5">
        <v>77.5</v>
      </c>
      <c r="X9" s="33">
        <v>1298.6974456494172</v>
      </c>
      <c r="Y9" s="5">
        <v>51.19084344513017</v>
      </c>
      <c r="Z9" s="5">
        <v>6895.3266542838783</v>
      </c>
      <c r="AA9" s="35"/>
    </row>
    <row r="10" spans="2:27" x14ac:dyDescent="0.2">
      <c r="B10" s="4">
        <v>7</v>
      </c>
      <c r="C10" s="4">
        <v>909</v>
      </c>
      <c r="D10" s="23">
        <v>1738129.832784557</v>
      </c>
      <c r="E10" s="33">
        <v>507.14849999995198</v>
      </c>
      <c r="F10" s="5">
        <v>11</v>
      </c>
      <c r="G10" s="23">
        <v>93.5</v>
      </c>
      <c r="H10" s="33">
        <v>805.25189944587612</v>
      </c>
      <c r="I10" s="23">
        <v>49.560645576941099</v>
      </c>
      <c r="J10" s="5">
        <v>6484.5097077089704</v>
      </c>
      <c r="K10" s="31"/>
      <c r="L10" s="23">
        <v>2349624.597699001</v>
      </c>
      <c r="M10" s="33">
        <v>594.39850000001002</v>
      </c>
      <c r="N10" s="5">
        <v>29</v>
      </c>
      <c r="O10" s="5">
        <v>77</v>
      </c>
      <c r="P10" s="33">
        <v>728.98269278153612</v>
      </c>
      <c r="Q10" s="5">
        <v>15.062737017728503</v>
      </c>
      <c r="R10" s="5">
        <v>5395.6195398435302</v>
      </c>
      <c r="S10" s="31"/>
      <c r="T10" s="23">
        <v>2310403.894567722</v>
      </c>
      <c r="U10" s="33">
        <v>653.39100000000349</v>
      </c>
      <c r="V10" s="5">
        <v>14</v>
      </c>
      <c r="W10" s="5">
        <v>75</v>
      </c>
      <c r="X10" s="33">
        <v>1232.942482555703</v>
      </c>
      <c r="Y10" s="5">
        <v>48.547933531264484</v>
      </c>
      <c r="Z10" s="5">
        <v>6822.7089149926978</v>
      </c>
      <c r="AA10" s="35"/>
    </row>
    <row r="11" spans="2:27" x14ac:dyDescent="0.2">
      <c r="B11" s="4">
        <v>8</v>
      </c>
      <c r="C11" s="4">
        <v>284</v>
      </c>
      <c r="D11" s="23">
        <v>2024117.977665883</v>
      </c>
      <c r="E11" s="33">
        <v>467.25</v>
      </c>
      <c r="F11" s="5">
        <v>14</v>
      </c>
      <c r="G11" s="23">
        <v>88.5</v>
      </c>
      <c r="H11" s="33">
        <v>1256.8796647744571</v>
      </c>
      <c r="I11" s="23">
        <v>36.642977006828467</v>
      </c>
      <c r="J11" s="5">
        <v>6736.0158558546136</v>
      </c>
      <c r="K11" s="31"/>
      <c r="L11" s="23">
        <v>2356142.5398208229</v>
      </c>
      <c r="M11" s="33">
        <v>341.22649999998976</v>
      </c>
      <c r="N11" s="5">
        <v>34</v>
      </c>
      <c r="O11" s="5">
        <v>86.5</v>
      </c>
      <c r="P11" s="33">
        <v>1197.6650900982559</v>
      </c>
      <c r="Q11" s="5">
        <v>14.568903694582437</v>
      </c>
      <c r="R11" s="5">
        <v>5977.6737188446032</v>
      </c>
      <c r="S11" s="31"/>
      <c r="T11" s="23">
        <v>2299290.678409148</v>
      </c>
      <c r="U11" s="33">
        <v>479.04649999999674</v>
      </c>
      <c r="V11" s="5">
        <v>14</v>
      </c>
      <c r="W11" s="5">
        <v>74.5</v>
      </c>
      <c r="X11" s="33">
        <v>1173.9717807953036</v>
      </c>
      <c r="Y11" s="5">
        <v>49.50411072257959</v>
      </c>
      <c r="Z11" s="5">
        <v>6647.7826010953668</v>
      </c>
      <c r="AA11" s="35"/>
    </row>
    <row r="12" spans="2:27" x14ac:dyDescent="0.2">
      <c r="B12" s="4">
        <v>9</v>
      </c>
      <c r="C12" s="4">
        <v>812</v>
      </c>
      <c r="D12" s="23">
        <v>2035453.9213287709</v>
      </c>
      <c r="E12" s="33">
        <v>682.35149999998998</v>
      </c>
      <c r="F12" s="5">
        <v>13</v>
      </c>
      <c r="G12" s="23">
        <v>90</v>
      </c>
      <c r="H12" s="33">
        <v>1437.1735278480044</v>
      </c>
      <c r="I12" s="23">
        <v>41.299035959515201</v>
      </c>
      <c r="J12" s="5">
        <v>6958.934266842236</v>
      </c>
      <c r="K12" s="31"/>
      <c r="L12" s="23">
        <v>2845324.2573782462</v>
      </c>
      <c r="M12" s="33">
        <v>633.25</v>
      </c>
      <c r="N12" s="5">
        <v>41</v>
      </c>
      <c r="O12" s="5">
        <v>89</v>
      </c>
      <c r="P12" s="33">
        <v>2312.7618159701947</v>
      </c>
      <c r="Q12" s="5">
        <v>12.996364080608165</v>
      </c>
      <c r="R12" s="5">
        <v>7524.1977032179348</v>
      </c>
      <c r="S12" s="31"/>
      <c r="T12" s="23">
        <v>2994798.2363218381</v>
      </c>
      <c r="U12" s="33">
        <v>251.04700000002049</v>
      </c>
      <c r="V12" s="5">
        <v>23</v>
      </c>
      <c r="W12" s="5">
        <v>89</v>
      </c>
      <c r="X12" s="33">
        <v>4020.8054475957028</v>
      </c>
      <c r="Y12" s="5">
        <v>45.071913449602732</v>
      </c>
      <c r="Z12" s="5">
        <v>9727.9259636198894</v>
      </c>
      <c r="AA12" s="35"/>
    </row>
    <row r="13" spans="2:27" x14ac:dyDescent="0.2">
      <c r="B13" s="4">
        <v>10</v>
      </c>
      <c r="C13" s="4">
        <v>938</v>
      </c>
      <c r="D13" s="23">
        <v>1841227.0290336169</v>
      </c>
      <c r="E13" s="33">
        <v>421.30450000002747</v>
      </c>
      <c r="F13" s="5">
        <v>12</v>
      </c>
      <c r="G13" s="23">
        <v>94.5</v>
      </c>
      <c r="H13" s="33">
        <v>1186.3916385769403</v>
      </c>
      <c r="I13" s="23">
        <v>47.39938279148037</v>
      </c>
      <c r="J13" s="5">
        <v>6786.191732157693</v>
      </c>
      <c r="K13" s="31"/>
      <c r="L13" s="23">
        <v>2424543.287995195</v>
      </c>
      <c r="M13" s="33">
        <v>688.58600000001002</v>
      </c>
      <c r="N13" s="5">
        <v>29</v>
      </c>
      <c r="O13" s="5">
        <v>76</v>
      </c>
      <c r="P13" s="33">
        <v>894.0873934021871</v>
      </c>
      <c r="Q13" s="5">
        <v>14.473816781533989</v>
      </c>
      <c r="R13" s="5">
        <v>5580.4597082885011</v>
      </c>
      <c r="S13" s="31"/>
      <c r="T13" s="23">
        <v>2364575.6365015241</v>
      </c>
      <c r="U13" s="33">
        <v>595.95299999997951</v>
      </c>
      <c r="V13" s="5">
        <v>12</v>
      </c>
      <c r="W13" s="5">
        <v>72</v>
      </c>
      <c r="X13" s="33">
        <v>1144.5752311888391</v>
      </c>
      <c r="Y13" s="5">
        <v>54.416547198195993</v>
      </c>
      <c r="Z13" s="5">
        <v>6874.3937404454337</v>
      </c>
      <c r="AA13" s="35"/>
    </row>
    <row r="14" spans="2:27" x14ac:dyDescent="0.2">
      <c r="B14" s="46" t="s">
        <v>3</v>
      </c>
      <c r="C14" s="47"/>
      <c r="D14" s="9">
        <f>MIN(D4:D13)</f>
        <v>1686424.5192385691</v>
      </c>
      <c r="E14" s="22">
        <f>INDEX(E4:E13, MATCH($D$14, D4:D13, 0))</f>
        <v>254.63300000003076</v>
      </c>
      <c r="F14" s="9">
        <f>INDEX(F4:F13, MATCH($D$14, D4:D13, 0))</f>
        <v>11</v>
      </c>
      <c r="G14" s="9">
        <f>INDEX(G4:G13, MATCH($D$14, D4:D13, 0))</f>
        <v>94.5</v>
      </c>
      <c r="H14" s="22">
        <f>INDEX(H4:H13, MATCH($D$14, D4:D13, 0))</f>
        <v>867.81307189249208</v>
      </c>
      <c r="I14" s="22">
        <f>INDEX(I4:I13, MATCH($D$14, D4:D13, 0))</f>
        <v>50.161912974903451</v>
      </c>
      <c r="J14" s="22">
        <f>INDEX(J4:J13, MATCH($D$14, D4:D13, 0))</f>
        <v>6327.9415650112433</v>
      </c>
      <c r="K14" s="32" t="e">
        <f>(D14-$D$15)/$D$15</f>
        <v>#DIV/0!</v>
      </c>
      <c r="L14" s="16">
        <f>MIN(L4:L13)</f>
        <v>2269433.9634908251</v>
      </c>
      <c r="M14" s="21">
        <f>INDEX(M4:M13, MATCH($L$14, L4:L13, 0))</f>
        <v>534.60149999998998</v>
      </c>
      <c r="N14" s="16">
        <f>INDEX(N4:N13, MATCH($L$14, L4:L13, 0))</f>
        <v>20</v>
      </c>
      <c r="O14" s="16">
        <f>INDEX(O4:O13, MATCH($L$14, L4:L13, 0))</f>
        <v>71</v>
      </c>
      <c r="P14" s="21">
        <f>INDEX(P4:P13, MATCH($L$14, L4:L13, 0))</f>
        <v>486.61178543063863</v>
      </c>
      <c r="Q14" s="21">
        <f>INDEX(Q4:Q13, MATCH($L$14, L4:L13, 0))</f>
        <v>19.752518672137874</v>
      </c>
      <c r="R14" s="21">
        <f>INDEX(R4:R13, MATCH($L$14, L4:L13, 0))</f>
        <v>5129.5251316363074</v>
      </c>
      <c r="S14" s="36" t="e">
        <f>(L14-$D$15)/$D$15</f>
        <v>#DIV/0!</v>
      </c>
      <c r="T14" s="38">
        <f>MIN(T4:T13)</f>
        <v>2284133.4486513361</v>
      </c>
      <c r="U14" s="39">
        <f>INDEX(U4:U13, MATCH($T$14, T4:T13, 0))</f>
        <v>741.57850000000349</v>
      </c>
      <c r="V14" s="38">
        <f>INDEX(V4:V13, MATCH($T$14, T4:T13, 0))</f>
        <v>15</v>
      </c>
      <c r="W14" s="38">
        <f>INDEX(W4:W13, MATCH($T$14, T4:T13, 0))</f>
        <v>77.5</v>
      </c>
      <c r="X14" s="39">
        <f>INDEX(X4:X13, MATCH($T$14, T4:T13, 0))</f>
        <v>1298.6974456494172</v>
      </c>
      <c r="Y14" s="39">
        <f>INDEX(Y4:Y13, MATCH($T$14, T4:T13, 0))</f>
        <v>51.19084344513017</v>
      </c>
      <c r="Z14" s="39">
        <f>INDEX(Z4:Z13, MATCH($T$14, T4:T13, 0))</f>
        <v>6895.3266542838783</v>
      </c>
      <c r="AA14" s="40" t="e">
        <f>(T14-$D$15)/$D$15</f>
        <v>#DIV/0!</v>
      </c>
    </row>
    <row r="15" spans="2:27" x14ac:dyDescent="0.2">
      <c r="C15" s="1" t="s">
        <v>17</v>
      </c>
      <c r="D15" s="34"/>
      <c r="E15" s="3"/>
      <c r="F15" s="3"/>
      <c r="G15" s="3"/>
      <c r="H15" s="3"/>
      <c r="I15" s="3"/>
      <c r="J15" s="3"/>
      <c r="K15" s="3"/>
      <c r="L15" s="34"/>
      <c r="T15" s="34"/>
    </row>
    <row r="16" spans="2:27" x14ac:dyDescent="0.2">
      <c r="D16" s="2"/>
    </row>
    <row r="17" spans="4:4" x14ac:dyDescent="0.2">
      <c r="D17" s="2"/>
    </row>
    <row r="33" s="1" customFormat="1" x14ac:dyDescent="0.2"/>
    <row r="34" s="1" customFormat="1" x14ac:dyDescent="0.2"/>
    <row r="35" s="1" customFormat="1" x14ac:dyDescent="0.2"/>
  </sheetData>
  <mergeCells count="1">
    <mergeCell ref="B14:C14"/>
  </mergeCells>
  <conditionalFormatting sqref="C1:C13 C15:C16 C36:C1048576">
    <cfRule type="duplicateValues" dxfId="85" priority="7"/>
    <cfRule type="duplicateValues" dxfId="84" priority="8"/>
  </conditionalFormatting>
  <conditionalFormatting sqref="C14">
    <cfRule type="duplicateValues" dxfId="83" priority="3"/>
    <cfRule type="duplicateValues" dxfId="82" priority="4"/>
  </conditionalFormatting>
  <conditionalFormatting sqref="C17:C35">
    <cfRule type="duplicateValues" dxfId="17" priority="1"/>
    <cfRule type="duplicateValues" dxfId="16" priority="2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FEC588-381B-42A1-9185-76D703C103A0}">
  <dimension ref="B1:AA17"/>
  <sheetViews>
    <sheetView zoomScale="85" zoomScaleNormal="85" workbookViewId="0">
      <selection activeCell="U20" sqref="U20:U34"/>
    </sheetView>
  </sheetViews>
  <sheetFormatPr baseColWidth="10" defaultColWidth="10.83203125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8.33203125" style="1" bestFit="1" customWidth="1"/>
    <col min="8" max="8" width="19.33203125" style="1" bestFit="1" customWidth="1"/>
    <col min="9" max="9" width="24.83203125" style="1" bestFit="1" customWidth="1"/>
    <col min="10" max="10" width="18.6640625" style="1" bestFit="1" customWidth="1"/>
    <col min="11" max="11" width="12.6640625" style="1" customWidth="1"/>
    <col min="12" max="12" width="12.6640625" style="1" bestFit="1" customWidth="1"/>
    <col min="13" max="14" width="10.83203125" style="1"/>
    <col min="15" max="15" width="18.33203125" style="1" bestFit="1" customWidth="1"/>
    <col min="16" max="16" width="19.33203125" style="1" bestFit="1" customWidth="1"/>
    <col min="17" max="17" width="24.83203125" style="1" bestFit="1" customWidth="1"/>
    <col min="18" max="18" width="18" style="1" bestFit="1" customWidth="1"/>
    <col min="19" max="19" width="10.83203125" style="1"/>
    <col min="20" max="20" width="12.6640625" style="1" bestFit="1" customWidth="1"/>
    <col min="21" max="22" width="10.83203125" style="1"/>
    <col min="23" max="23" width="18.33203125" style="1" bestFit="1" customWidth="1"/>
    <col min="24" max="24" width="19.33203125" style="1" bestFit="1" customWidth="1"/>
    <col min="25" max="25" width="24.83203125" style="1" bestFit="1" customWidth="1"/>
    <col min="26" max="26" width="18" style="1" bestFit="1" customWidth="1"/>
    <col min="27" max="16384" width="10.83203125" style="1"/>
  </cols>
  <sheetData>
    <row r="1" spans="2:27" x14ac:dyDescent="0.2">
      <c r="D1" s="1" t="s">
        <v>14</v>
      </c>
    </row>
    <row r="2" spans="2:27" x14ac:dyDescent="0.2">
      <c r="B2" s="1" t="s">
        <v>18</v>
      </c>
      <c r="D2" s="29">
        <v>200</v>
      </c>
      <c r="H2" s="28">
        <f>(Q14-H14)/H14</f>
        <v>-0.98056856274686199</v>
      </c>
      <c r="J2" s="28" t="e">
        <f>(S14-J14)/J14</f>
        <v>#DIV/0!</v>
      </c>
      <c r="K2" s="28"/>
      <c r="L2" s="1" t="s">
        <v>19</v>
      </c>
      <c r="P2" s="1">
        <f>(P14-H14)/H14</f>
        <v>-0.10175419178559113</v>
      </c>
      <c r="R2" s="1">
        <f>(R14-J14)/J14</f>
        <v>-8.1280902079632483E-2</v>
      </c>
      <c r="T2" s="1" t="s">
        <v>20</v>
      </c>
      <c r="X2" s="1">
        <f>(X14-P14)/P14</f>
        <v>3.5134717450260297E-2</v>
      </c>
      <c r="Z2" s="1">
        <f>(Z14-R14)/R14</f>
        <v>0.15111450383814762</v>
      </c>
    </row>
    <row r="3" spans="2:27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15</v>
      </c>
      <c r="H3" s="8" t="s">
        <v>11</v>
      </c>
      <c r="I3" s="8" t="s">
        <v>16</v>
      </c>
      <c r="J3" s="8" t="s">
        <v>10</v>
      </c>
      <c r="K3" s="8" t="s">
        <v>1</v>
      </c>
      <c r="L3" s="15" t="s">
        <v>0</v>
      </c>
      <c r="M3" s="15" t="s">
        <v>5</v>
      </c>
      <c r="N3" s="15" t="s">
        <v>12</v>
      </c>
      <c r="O3" s="15" t="s">
        <v>15</v>
      </c>
      <c r="P3" s="15" t="s">
        <v>11</v>
      </c>
      <c r="Q3" s="15" t="s">
        <v>16</v>
      </c>
      <c r="R3" s="15" t="s">
        <v>10</v>
      </c>
      <c r="S3" s="15" t="s">
        <v>1</v>
      </c>
      <c r="T3" s="37" t="s">
        <v>0</v>
      </c>
      <c r="U3" s="37" t="s">
        <v>5</v>
      </c>
      <c r="V3" s="37" t="s">
        <v>12</v>
      </c>
      <c r="W3" s="37" t="s">
        <v>15</v>
      </c>
      <c r="X3" s="37" t="s">
        <v>11</v>
      </c>
      <c r="Y3" s="37" t="s">
        <v>16</v>
      </c>
      <c r="Z3" s="37" t="s">
        <v>10</v>
      </c>
      <c r="AA3" s="37" t="s">
        <v>1</v>
      </c>
    </row>
    <row r="4" spans="2:27" x14ac:dyDescent="0.2">
      <c r="B4" s="4">
        <v>1</v>
      </c>
      <c r="C4" s="4">
        <v>853</v>
      </c>
      <c r="D4" s="23">
        <v>2179254.5764265391</v>
      </c>
      <c r="E4" s="33">
        <v>479.29699999996228</v>
      </c>
      <c r="F4" s="5">
        <v>14</v>
      </c>
      <c r="G4" s="23">
        <v>89</v>
      </c>
      <c r="H4" s="33">
        <v>1689.8648919822465</v>
      </c>
      <c r="I4" s="23">
        <v>41.059954296375118</v>
      </c>
      <c r="J4" s="5">
        <v>7156.832273482506</v>
      </c>
      <c r="K4" s="31"/>
      <c r="L4" s="23">
        <v>2345043.9681630768</v>
      </c>
      <c r="M4" s="33">
        <v>560.67199999996251</v>
      </c>
      <c r="N4" s="5">
        <v>26</v>
      </c>
      <c r="O4" s="5">
        <v>76</v>
      </c>
      <c r="P4" s="33">
        <v>726.58901527006969</v>
      </c>
      <c r="Q4" s="5">
        <v>17.508384880413438</v>
      </c>
      <c r="R4" s="5">
        <v>5483.9310078394419</v>
      </c>
      <c r="S4" s="31"/>
      <c r="T4" s="23">
        <v>2625173.7585709561</v>
      </c>
      <c r="U4" s="33">
        <v>238.25800000003076</v>
      </c>
      <c r="V4" s="5">
        <v>10</v>
      </c>
      <c r="W4" s="5">
        <v>59.5</v>
      </c>
      <c r="X4" s="33">
        <v>953.34783575254562</v>
      </c>
      <c r="Y4" s="5">
        <v>56.48372129089995</v>
      </c>
      <c r="Z4" s="5">
        <v>6582.8231404430035</v>
      </c>
      <c r="AA4" s="35"/>
    </row>
    <row r="5" spans="2:27" x14ac:dyDescent="0.2">
      <c r="B5" s="4">
        <v>2</v>
      </c>
      <c r="C5" s="4">
        <v>247</v>
      </c>
      <c r="D5" s="23">
        <v>2005706.5860068109</v>
      </c>
      <c r="E5" s="33">
        <v>806.53899999998998</v>
      </c>
      <c r="F5" s="5">
        <v>12</v>
      </c>
      <c r="G5" s="23">
        <v>86.5</v>
      </c>
      <c r="H5" s="33">
        <v>1097.2825231339405</v>
      </c>
      <c r="I5" s="23">
        <v>44.897816501284495</v>
      </c>
      <c r="J5" s="5">
        <v>6459.8566719333512</v>
      </c>
      <c r="K5" s="31"/>
      <c r="L5" s="23">
        <v>2413673.185130157</v>
      </c>
      <c r="M5" s="33">
        <v>433.79700000002049</v>
      </c>
      <c r="N5" s="5">
        <v>22</v>
      </c>
      <c r="O5" s="5">
        <v>69</v>
      </c>
      <c r="P5" s="33">
        <v>697.46836001796567</v>
      </c>
      <c r="Q5" s="5">
        <v>19.13036535640633</v>
      </c>
      <c r="R5" s="5">
        <v>5184.1688682684917</v>
      </c>
      <c r="S5" s="31"/>
      <c r="T5" s="23">
        <v>2538880.661736649</v>
      </c>
      <c r="U5" s="33">
        <v>252.86700000002745</v>
      </c>
      <c r="V5" s="5">
        <v>12</v>
      </c>
      <c r="W5" s="5">
        <v>67</v>
      </c>
      <c r="X5" s="33">
        <v>1372.2305326189089</v>
      </c>
      <c r="Y5" s="5">
        <v>54.122245839373335</v>
      </c>
      <c r="Z5" s="5">
        <v>6901.0247129855597</v>
      </c>
      <c r="AA5" s="35"/>
    </row>
    <row r="6" spans="2:27" x14ac:dyDescent="0.2">
      <c r="B6" s="4">
        <v>3</v>
      </c>
      <c r="C6" s="4">
        <v>868</v>
      </c>
      <c r="D6" s="23">
        <v>1930687.995299218</v>
      </c>
      <c r="E6" s="33">
        <v>829.28900000004796</v>
      </c>
      <c r="F6" s="5">
        <v>12</v>
      </c>
      <c r="G6" s="23">
        <v>86.5</v>
      </c>
      <c r="H6" s="33">
        <v>882.67311603124097</v>
      </c>
      <c r="I6" s="23">
        <v>44.407978359041756</v>
      </c>
      <c r="J6" s="5">
        <v>6200.578446976293</v>
      </c>
      <c r="K6" s="31"/>
      <c r="L6" s="23">
        <v>2460046.1626226902</v>
      </c>
      <c r="M6" s="33">
        <v>628.14050000003749</v>
      </c>
      <c r="N6" s="5">
        <v>27</v>
      </c>
      <c r="O6" s="5">
        <v>71.5</v>
      </c>
      <c r="P6" s="33">
        <v>627.95373421423847</v>
      </c>
      <c r="Q6" s="5">
        <v>14.922180149249852</v>
      </c>
      <c r="R6" s="5">
        <v>5296.954989777747</v>
      </c>
      <c r="S6" s="31"/>
      <c r="T6" s="23">
        <v>2529358.5960726999</v>
      </c>
      <c r="U6" s="33">
        <v>353.05450000002747</v>
      </c>
      <c r="V6" s="5">
        <v>13</v>
      </c>
      <c r="W6" s="5">
        <v>67.5</v>
      </c>
      <c r="X6" s="33">
        <v>1289.4033693354158</v>
      </c>
      <c r="Y6" s="5">
        <v>47.405457664010278</v>
      </c>
      <c r="Z6" s="5">
        <v>6806.512129272257</v>
      </c>
      <c r="AA6" s="35"/>
    </row>
    <row r="7" spans="2:27" x14ac:dyDescent="0.2">
      <c r="B7" s="4">
        <v>4</v>
      </c>
      <c r="C7" s="4">
        <v>731</v>
      </c>
      <c r="D7" s="23">
        <v>1888969.9540531591</v>
      </c>
      <c r="E7" s="33">
        <v>667.60149999998998</v>
      </c>
      <c r="F7" s="5">
        <v>12</v>
      </c>
      <c r="G7" s="23">
        <v>93.5</v>
      </c>
      <c r="H7" s="33">
        <v>1322.5409890872065</v>
      </c>
      <c r="I7" s="23">
        <v>50.151332833211683</v>
      </c>
      <c r="J7" s="5">
        <v>6711.1155386217524</v>
      </c>
      <c r="K7" s="31"/>
      <c r="L7" s="23">
        <v>2525280.1512297289</v>
      </c>
      <c r="M7" s="33">
        <v>508.47649999998998</v>
      </c>
      <c r="N7" s="5">
        <v>29</v>
      </c>
      <c r="O7" s="5">
        <v>72</v>
      </c>
      <c r="P7" s="33">
        <v>845.11483423239406</v>
      </c>
      <c r="Q7" s="5">
        <v>14.645333690355306</v>
      </c>
      <c r="R7" s="5">
        <v>5456.2336078146936</v>
      </c>
      <c r="S7" s="31"/>
      <c r="T7" s="23">
        <v>2529101.9883450652</v>
      </c>
      <c r="U7" s="33">
        <v>354.20350000000326</v>
      </c>
      <c r="V7" s="5">
        <v>10</v>
      </c>
      <c r="W7" s="5">
        <v>64.5</v>
      </c>
      <c r="X7" s="33">
        <v>1056.6041216238521</v>
      </c>
      <c r="Y7" s="5">
        <v>55.272402547942839</v>
      </c>
      <c r="Z7" s="5">
        <v>6725.8446378422368</v>
      </c>
      <c r="AA7" s="35"/>
    </row>
    <row r="8" spans="2:27" x14ac:dyDescent="0.2">
      <c r="B8" s="4">
        <v>5</v>
      </c>
      <c r="C8" s="4">
        <v>931</v>
      </c>
      <c r="D8" s="23">
        <v>1874502.811618143</v>
      </c>
      <c r="E8" s="33">
        <v>627.39850000001002</v>
      </c>
      <c r="F8" s="5">
        <v>14</v>
      </c>
      <c r="G8" s="23">
        <v>90.5</v>
      </c>
      <c r="H8" s="33">
        <v>996.35724978454732</v>
      </c>
      <c r="I8" s="23">
        <v>40.479911460415572</v>
      </c>
      <c r="J8" s="5">
        <v>6231.0214701000177</v>
      </c>
      <c r="K8" s="31"/>
      <c r="L8" s="23">
        <v>2449816.8901927741</v>
      </c>
      <c r="M8" s="33">
        <v>504.32049999997253</v>
      </c>
      <c r="N8" s="5">
        <v>22</v>
      </c>
      <c r="O8" s="5">
        <v>70</v>
      </c>
      <c r="P8" s="33">
        <v>718.0312217197843</v>
      </c>
      <c r="Q8" s="5">
        <v>18.253226921973532</v>
      </c>
      <c r="R8" s="5">
        <v>5502.0870449562162</v>
      </c>
      <c r="S8" s="31"/>
      <c r="T8" s="23">
        <v>2526675.2114090831</v>
      </c>
      <c r="U8" s="33">
        <v>452.65649999998277</v>
      </c>
      <c r="V8" s="5">
        <v>10</v>
      </c>
      <c r="W8" s="5">
        <v>63.5</v>
      </c>
      <c r="X8" s="33">
        <v>926.41837198963799</v>
      </c>
      <c r="Y8" s="5">
        <v>53.160358336606635</v>
      </c>
      <c r="Z8" s="5">
        <v>6589.6222300880363</v>
      </c>
      <c r="AA8" s="35"/>
    </row>
    <row r="9" spans="2:27" x14ac:dyDescent="0.2">
      <c r="B9" s="4">
        <v>6</v>
      </c>
      <c r="C9" s="4">
        <v>279</v>
      </c>
      <c r="D9" s="23">
        <v>1922256.3854679</v>
      </c>
      <c r="E9" s="33">
        <v>570.1875</v>
      </c>
      <c r="F9" s="5">
        <v>11</v>
      </c>
      <c r="G9" s="23">
        <v>86</v>
      </c>
      <c r="H9" s="33">
        <v>781.13715996806468</v>
      </c>
      <c r="I9" s="23">
        <v>47.698928008816509</v>
      </c>
      <c r="J9" s="5">
        <v>6294.473382157661</v>
      </c>
      <c r="K9" s="31"/>
      <c r="L9" s="23">
        <v>2439465.2671679081</v>
      </c>
      <c r="M9" s="33">
        <v>333.40650000004098</v>
      </c>
      <c r="N9" s="5">
        <v>29</v>
      </c>
      <c r="O9" s="5">
        <v>75</v>
      </c>
      <c r="P9" s="33">
        <v>785.68200156146293</v>
      </c>
      <c r="Q9" s="5">
        <v>15.543129337524096</v>
      </c>
      <c r="R9" s="5">
        <v>5458.8758465906994</v>
      </c>
      <c r="S9" s="31"/>
      <c r="T9" s="23">
        <v>2768735.762428883</v>
      </c>
      <c r="U9" s="33">
        <v>388.71899999998277</v>
      </c>
      <c r="V9" s="5">
        <v>13</v>
      </c>
      <c r="W9" s="5">
        <v>55.5</v>
      </c>
      <c r="X9" s="33">
        <v>1026.566243248106</v>
      </c>
      <c r="Y9" s="5">
        <v>38.619143202505661</v>
      </c>
      <c r="Z9" s="5">
        <v>6335.2467443340738</v>
      </c>
      <c r="AA9" s="35"/>
    </row>
    <row r="10" spans="2:27" x14ac:dyDescent="0.2">
      <c r="B10" s="4">
        <v>7</v>
      </c>
      <c r="C10" s="4">
        <v>443</v>
      </c>
      <c r="D10" s="23">
        <v>2179101.3581850212</v>
      </c>
      <c r="E10" s="33">
        <v>388.92149999999674</v>
      </c>
      <c r="F10" s="5">
        <v>11</v>
      </c>
      <c r="G10" s="23">
        <v>84</v>
      </c>
      <c r="H10" s="33">
        <v>1342.9105799220981</v>
      </c>
      <c r="I10" s="23">
        <v>48.255606958114164</v>
      </c>
      <c r="J10" s="5">
        <v>7060.3385960912301</v>
      </c>
      <c r="K10" s="31"/>
      <c r="L10" s="23">
        <v>2589146.0613842639</v>
      </c>
      <c r="M10" s="33">
        <v>932.05450000002747</v>
      </c>
      <c r="N10" s="5">
        <v>28</v>
      </c>
      <c r="O10" s="5">
        <v>69.5</v>
      </c>
      <c r="P10" s="33">
        <v>727.09278021677028</v>
      </c>
      <c r="Q10" s="5">
        <v>15.368596033452357</v>
      </c>
      <c r="R10" s="5">
        <v>5461.3344176357268</v>
      </c>
      <c r="S10" s="31"/>
      <c r="T10" s="23">
        <v>2727256.5906446832</v>
      </c>
      <c r="U10" s="33">
        <v>349.70300000003772</v>
      </c>
      <c r="V10" s="5">
        <v>10</v>
      </c>
      <c r="W10" s="5">
        <v>61.5</v>
      </c>
      <c r="X10" s="33">
        <v>1573.1918569587542</v>
      </c>
      <c r="Y10" s="5">
        <v>58.45350932678307</v>
      </c>
      <c r="Z10" s="5">
        <v>7353.0520025025908</v>
      </c>
      <c r="AA10" s="35"/>
    </row>
    <row r="11" spans="2:27" x14ac:dyDescent="0.2">
      <c r="B11" s="4">
        <v>8</v>
      </c>
      <c r="C11" s="4">
        <v>61</v>
      </c>
      <c r="D11" s="23">
        <v>1972905.7564147769</v>
      </c>
      <c r="E11" s="33">
        <v>777.47649999998998</v>
      </c>
      <c r="F11" s="5">
        <v>12</v>
      </c>
      <c r="G11" s="23">
        <v>89</v>
      </c>
      <c r="H11" s="33">
        <v>1095.4246161643482</v>
      </c>
      <c r="I11" s="23">
        <v>46.306001298340867</v>
      </c>
      <c r="J11" s="5">
        <v>6673.9984695068715</v>
      </c>
      <c r="K11" s="31"/>
      <c r="L11" s="23">
        <v>2558472.015828575</v>
      </c>
      <c r="M11" s="33">
        <v>490.14050000003772</v>
      </c>
      <c r="N11" s="5">
        <v>29</v>
      </c>
      <c r="O11" s="5">
        <v>74</v>
      </c>
      <c r="P11" s="33">
        <v>968.65081856390793</v>
      </c>
      <c r="Q11" s="5">
        <v>15.403176087820862</v>
      </c>
      <c r="R11" s="5">
        <v>5807.5056563601465</v>
      </c>
      <c r="S11" s="31"/>
      <c r="T11" s="23">
        <v>2942760.7629611338</v>
      </c>
      <c r="U11" s="33">
        <v>480.8125</v>
      </c>
      <c r="V11" s="5">
        <v>22</v>
      </c>
      <c r="W11" s="5">
        <v>82.5</v>
      </c>
      <c r="X11" s="33">
        <v>3655.9709321674191</v>
      </c>
      <c r="Y11" s="5">
        <v>51.045762684918422</v>
      </c>
      <c r="Z11" s="5">
        <v>9045.2193378856737</v>
      </c>
      <c r="AA11" s="35"/>
    </row>
    <row r="12" spans="2:27" x14ac:dyDescent="0.2">
      <c r="B12" s="4">
        <v>9</v>
      </c>
      <c r="C12" s="4">
        <v>549</v>
      </c>
      <c r="D12" s="23">
        <v>1964029.194381122</v>
      </c>
      <c r="E12" s="33">
        <v>357.9375</v>
      </c>
      <c r="F12" s="5">
        <v>13</v>
      </c>
      <c r="G12" s="23">
        <v>87.5</v>
      </c>
      <c r="H12" s="33">
        <v>999.64112412232009</v>
      </c>
      <c r="I12" s="23">
        <v>41.217276458956498</v>
      </c>
      <c r="J12" s="5">
        <v>6442.9108339460072</v>
      </c>
      <c r="K12" s="31"/>
      <c r="L12" s="23">
        <v>2334977.7079212959</v>
      </c>
      <c r="M12" s="33">
        <v>1532.304999999993</v>
      </c>
      <c r="N12" s="5">
        <v>24</v>
      </c>
      <c r="O12" s="5">
        <v>77</v>
      </c>
      <c r="P12" s="33">
        <v>894.97372310300636</v>
      </c>
      <c r="Q12" s="5">
        <v>19.360653380897574</v>
      </c>
      <c r="R12" s="5">
        <v>5724.5584241327306</v>
      </c>
      <c r="S12" s="31"/>
      <c r="T12" s="23">
        <v>2559807.9217067291</v>
      </c>
      <c r="U12" s="33">
        <v>455.54649999999674</v>
      </c>
      <c r="V12" s="5">
        <v>10</v>
      </c>
      <c r="W12" s="5">
        <v>62</v>
      </c>
      <c r="X12" s="33">
        <v>934.76700478177816</v>
      </c>
      <c r="Y12" s="5">
        <v>52.640656524704141</v>
      </c>
      <c r="Z12" s="5">
        <v>6524.8915467333936</v>
      </c>
      <c r="AA12" s="35"/>
    </row>
    <row r="13" spans="2:27" x14ac:dyDescent="0.2">
      <c r="B13" s="4">
        <v>10</v>
      </c>
      <c r="C13" s="4">
        <v>148</v>
      </c>
      <c r="D13" s="23">
        <v>1984218.221194796</v>
      </c>
      <c r="E13" s="33">
        <v>247</v>
      </c>
      <c r="F13" s="5">
        <v>14</v>
      </c>
      <c r="G13" s="23">
        <v>87</v>
      </c>
      <c r="H13" s="33">
        <v>1045.1385453052976</v>
      </c>
      <c r="I13" s="23">
        <v>39.096179718478432</v>
      </c>
      <c r="J13" s="5">
        <v>6350.4733849869817</v>
      </c>
      <c r="K13" s="31"/>
      <c r="L13" s="23">
        <v>2501086.6112023862</v>
      </c>
      <c r="M13" s="33">
        <v>502.46100000001002</v>
      </c>
      <c r="N13" s="5">
        <v>29</v>
      </c>
      <c r="O13" s="5">
        <v>70.5</v>
      </c>
      <c r="P13" s="33">
        <v>612.18498578313211</v>
      </c>
      <c r="Q13" s="5">
        <v>14.597901837843226</v>
      </c>
      <c r="R13" s="5">
        <v>5180.2966040286037</v>
      </c>
      <c r="S13" s="31"/>
      <c r="T13" s="23">
        <v>2682097.288075001</v>
      </c>
      <c r="U13" s="33">
        <v>476.58600000001024</v>
      </c>
      <c r="V13" s="5">
        <v>10</v>
      </c>
      <c r="W13" s="5">
        <v>59</v>
      </c>
      <c r="X13" s="33">
        <v>1210.5114920594085</v>
      </c>
      <c r="Y13" s="5">
        <v>56.458588603527133</v>
      </c>
      <c r="Z13" s="5">
        <v>6794.9974809369041</v>
      </c>
      <c r="AA13" s="35"/>
    </row>
    <row r="14" spans="2:27" x14ac:dyDescent="0.2">
      <c r="B14" s="46" t="s">
        <v>3</v>
      </c>
      <c r="C14" s="47"/>
      <c r="D14" s="9">
        <f>MIN(D4:D13)</f>
        <v>1874502.811618143</v>
      </c>
      <c r="E14" s="22">
        <f>INDEX(E4:E13, MATCH($D$14, D4:D13, 0))</f>
        <v>627.39850000001002</v>
      </c>
      <c r="F14" s="9">
        <f>INDEX(F4:F13, MATCH($D$14, D4:D13, 0))</f>
        <v>14</v>
      </c>
      <c r="G14" s="9">
        <f>INDEX(G4:G13, MATCH($D$14, D4:D13, 0))</f>
        <v>90.5</v>
      </c>
      <c r="H14" s="22">
        <f>INDEX(H4:H13, MATCH($D$14, D4:D13, 0))</f>
        <v>996.35724978454732</v>
      </c>
      <c r="I14" s="22">
        <f>INDEX(I4:I13, MATCH($D$14, D4:D13, 0))</f>
        <v>40.479911460415572</v>
      </c>
      <c r="J14" s="22">
        <f>INDEX(J4:J13, MATCH($D$14, D4:D13, 0))</f>
        <v>6231.0214701000177</v>
      </c>
      <c r="K14" s="32" t="e">
        <f>(D14-$D$15)/$D$15</f>
        <v>#DIV/0!</v>
      </c>
      <c r="L14" s="16">
        <f>MIN(L4:L13)</f>
        <v>2334977.7079212959</v>
      </c>
      <c r="M14" s="21">
        <f>INDEX(M4:M13, MATCH($L$14, L4:L13, 0))</f>
        <v>1532.304999999993</v>
      </c>
      <c r="N14" s="16">
        <f>INDEX(N4:N13, MATCH($L$14, L4:L13, 0))</f>
        <v>24</v>
      </c>
      <c r="O14" s="16">
        <f>INDEX(O4:O13, MATCH($L$14, L4:L13, 0))</f>
        <v>77</v>
      </c>
      <c r="P14" s="21">
        <f>INDEX(P4:P13, MATCH($L$14, L4:L13, 0))</f>
        <v>894.97372310300636</v>
      </c>
      <c r="Q14" s="21">
        <f>INDEX(Q4:Q13, MATCH($L$14, L4:L13, 0))</f>
        <v>19.360653380897574</v>
      </c>
      <c r="R14" s="21">
        <f>INDEX(R4:R13, MATCH($L$14, L4:L13, 0))</f>
        <v>5724.5584241327306</v>
      </c>
      <c r="S14" s="36" t="e">
        <f>(L14-$D$15)/$D$15</f>
        <v>#DIV/0!</v>
      </c>
      <c r="T14" s="38">
        <f>MIN(T4:T13)</f>
        <v>2526675.2114090831</v>
      </c>
      <c r="U14" s="39">
        <f>INDEX(U4:U13, MATCH($T$14, T4:T13, 0))</f>
        <v>452.65649999998277</v>
      </c>
      <c r="V14" s="38">
        <f>INDEX(V4:V13, MATCH($T$14, T4:T13, 0))</f>
        <v>10</v>
      </c>
      <c r="W14" s="38">
        <f>INDEX(W4:W13, MATCH($T$14, T4:T13, 0))</f>
        <v>63.5</v>
      </c>
      <c r="X14" s="39">
        <f>INDEX(X4:X13, MATCH($T$14, T4:T13, 0))</f>
        <v>926.41837198963799</v>
      </c>
      <c r="Y14" s="39">
        <f>INDEX(Y4:Y13, MATCH($T$14, T4:T13, 0))</f>
        <v>53.160358336606635</v>
      </c>
      <c r="Z14" s="39">
        <f>INDEX(Z4:Z13, MATCH($T$14, T4:T13, 0))</f>
        <v>6589.6222300880363</v>
      </c>
      <c r="AA14" s="40" t="e">
        <f>(T14-$D$15)/$D$15</f>
        <v>#DIV/0!</v>
      </c>
    </row>
    <row r="15" spans="2:27" x14ac:dyDescent="0.2">
      <c r="C15" s="1" t="s">
        <v>17</v>
      </c>
      <c r="D15" s="34"/>
      <c r="E15" s="3"/>
      <c r="F15" s="3"/>
      <c r="G15" s="3"/>
      <c r="H15" s="3"/>
      <c r="I15" s="3"/>
      <c r="J15" s="3"/>
      <c r="K15" s="3"/>
      <c r="L15" s="34"/>
      <c r="T15" s="34"/>
    </row>
    <row r="16" spans="2:27" x14ac:dyDescent="0.2">
      <c r="D16" s="2"/>
    </row>
    <row r="17" spans="4:4" x14ac:dyDescent="0.2">
      <c r="D17" s="2"/>
    </row>
  </sheetData>
  <mergeCells count="1">
    <mergeCell ref="B14:C14"/>
  </mergeCells>
  <conditionalFormatting sqref="C1:C13 C15:C16 C36:C1048576">
    <cfRule type="duplicateValues" dxfId="81" priority="7"/>
    <cfRule type="duplicateValues" dxfId="80" priority="8"/>
  </conditionalFormatting>
  <conditionalFormatting sqref="C14">
    <cfRule type="duplicateValues" dxfId="79" priority="3"/>
    <cfRule type="duplicateValues" dxfId="78" priority="4"/>
  </conditionalFormatting>
  <conditionalFormatting sqref="C17:C35">
    <cfRule type="duplicateValues" dxfId="15" priority="1"/>
    <cfRule type="duplicateValues" dxfId="14" priority="2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3E4EF9-323F-4828-9670-A712A9B96B0B}">
  <dimension ref="B1:AA17"/>
  <sheetViews>
    <sheetView zoomScale="85" zoomScaleNormal="85" workbookViewId="0">
      <selection activeCell="U20" sqref="U20:U30"/>
    </sheetView>
  </sheetViews>
  <sheetFormatPr baseColWidth="10" defaultColWidth="10.83203125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8.33203125" style="1" bestFit="1" customWidth="1"/>
    <col min="8" max="8" width="19.33203125" style="1" bestFit="1" customWidth="1"/>
    <col min="9" max="9" width="24.83203125" style="1" bestFit="1" customWidth="1"/>
    <col min="10" max="10" width="18.6640625" style="1" bestFit="1" customWidth="1"/>
    <col min="11" max="11" width="12.6640625" style="1" customWidth="1"/>
    <col min="12" max="12" width="12.6640625" style="1" bestFit="1" customWidth="1"/>
    <col min="13" max="14" width="10.83203125" style="1"/>
    <col min="15" max="15" width="18.33203125" style="1" bestFit="1" customWidth="1"/>
    <col min="16" max="16" width="19.33203125" style="1" bestFit="1" customWidth="1"/>
    <col min="17" max="17" width="24.83203125" style="1" bestFit="1" customWidth="1"/>
    <col min="18" max="18" width="18" style="1" bestFit="1" customWidth="1"/>
    <col min="19" max="19" width="10.83203125" style="1"/>
    <col min="20" max="20" width="12.6640625" style="1" bestFit="1" customWidth="1"/>
    <col min="21" max="22" width="10.83203125" style="1"/>
    <col min="23" max="23" width="18.33203125" style="1" bestFit="1" customWidth="1"/>
    <col min="24" max="24" width="19.33203125" style="1" bestFit="1" customWidth="1"/>
    <col min="25" max="25" width="24.83203125" style="1" bestFit="1" customWidth="1"/>
    <col min="26" max="26" width="18" style="1" bestFit="1" customWidth="1"/>
    <col min="27" max="16384" width="10.83203125" style="1"/>
  </cols>
  <sheetData>
    <row r="1" spans="2:27" x14ac:dyDescent="0.2">
      <c r="D1" s="1" t="s">
        <v>14</v>
      </c>
    </row>
    <row r="2" spans="2:27" x14ac:dyDescent="0.2">
      <c r="B2" s="1" t="s">
        <v>18</v>
      </c>
      <c r="D2" s="29">
        <v>200</v>
      </c>
      <c r="H2" s="28">
        <f>(Q14-H14)/H14</f>
        <v>-0.98216028318681137</v>
      </c>
      <c r="J2" s="28" t="e">
        <f>(S14-J14)/J14</f>
        <v>#DIV/0!</v>
      </c>
      <c r="K2" s="28"/>
      <c r="L2" s="1" t="s">
        <v>19</v>
      </c>
      <c r="P2" s="1">
        <f>(P14-H14)/H14</f>
        <v>-0.24887581505515255</v>
      </c>
      <c r="R2" s="1">
        <f>(R14-J14)/J14</f>
        <v>-0.15560246753241622</v>
      </c>
      <c r="T2" s="1" t="s">
        <v>20</v>
      </c>
      <c r="X2" s="1">
        <f>(X14-P14)/P14</f>
        <v>0.24751900712906455</v>
      </c>
      <c r="Z2" s="1">
        <f>(Z14-R14)/R14</f>
        <v>0.18566257508915723</v>
      </c>
    </row>
    <row r="3" spans="2:27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15</v>
      </c>
      <c r="H3" s="8" t="s">
        <v>11</v>
      </c>
      <c r="I3" s="8" t="s">
        <v>16</v>
      </c>
      <c r="J3" s="8" t="s">
        <v>10</v>
      </c>
      <c r="K3" s="8" t="s">
        <v>1</v>
      </c>
      <c r="L3" s="15" t="s">
        <v>0</v>
      </c>
      <c r="M3" s="15" t="s">
        <v>5</v>
      </c>
      <c r="N3" s="15" t="s">
        <v>12</v>
      </c>
      <c r="O3" s="15" t="s">
        <v>15</v>
      </c>
      <c r="P3" s="15" t="s">
        <v>11</v>
      </c>
      <c r="Q3" s="15" t="s">
        <v>16</v>
      </c>
      <c r="R3" s="15" t="s">
        <v>10</v>
      </c>
      <c r="S3" s="15" t="s">
        <v>1</v>
      </c>
      <c r="T3" s="37" t="s">
        <v>0</v>
      </c>
      <c r="U3" s="37" t="s">
        <v>5</v>
      </c>
      <c r="V3" s="37" t="s">
        <v>12</v>
      </c>
      <c r="W3" s="37" t="s">
        <v>15</v>
      </c>
      <c r="X3" s="37" t="s">
        <v>11</v>
      </c>
      <c r="Y3" s="37" t="s">
        <v>16</v>
      </c>
      <c r="Z3" s="37" t="s">
        <v>10</v>
      </c>
      <c r="AA3" s="37" t="s">
        <v>1</v>
      </c>
    </row>
    <row r="4" spans="2:27" x14ac:dyDescent="0.2">
      <c r="B4" s="4">
        <v>1</v>
      </c>
      <c r="C4" s="4">
        <v>3</v>
      </c>
      <c r="D4" s="23">
        <v>1846734.396062654</v>
      </c>
      <c r="E4" s="33">
        <v>1073.9535000000035</v>
      </c>
      <c r="F4" s="5">
        <v>14</v>
      </c>
      <c r="G4" s="23">
        <v>93.5</v>
      </c>
      <c r="H4" s="33">
        <v>1075.0106338799794</v>
      </c>
      <c r="I4" s="23">
        <v>49.433260339471531</v>
      </c>
      <c r="J4" s="5">
        <v>6581.2097953930052</v>
      </c>
      <c r="K4" s="31"/>
      <c r="L4" s="23">
        <v>2779205.9190014531</v>
      </c>
      <c r="M4" s="33">
        <v>560.80449999996949</v>
      </c>
      <c r="N4" s="5">
        <v>40</v>
      </c>
      <c r="O4" s="5">
        <v>88.5</v>
      </c>
      <c r="P4" s="33">
        <v>2290.3105133077743</v>
      </c>
      <c r="Q4" s="5">
        <v>16.629620159413413</v>
      </c>
      <c r="R4" s="5">
        <v>7312.7679594365291</v>
      </c>
      <c r="S4" s="31"/>
      <c r="T4" s="23">
        <v>2797164.219894107</v>
      </c>
      <c r="U4" s="33">
        <v>235.60950000002049</v>
      </c>
      <c r="V4" s="5">
        <v>21</v>
      </c>
      <c r="W4" s="5">
        <v>83</v>
      </c>
      <c r="X4" s="33">
        <v>3199.1991951674313</v>
      </c>
      <c r="Y4" s="5">
        <v>56.849261870261522</v>
      </c>
      <c r="Z4" s="5">
        <v>8832.0864795330672</v>
      </c>
      <c r="AA4" s="35"/>
    </row>
    <row r="5" spans="2:27" x14ac:dyDescent="0.2">
      <c r="B5" s="4">
        <v>2</v>
      </c>
      <c r="C5" s="4">
        <v>514</v>
      </c>
      <c r="D5" s="23">
        <v>1971691.7478087661</v>
      </c>
      <c r="E5" s="33">
        <v>381.05449999996927</v>
      </c>
      <c r="F5" s="5">
        <v>11</v>
      </c>
      <c r="G5" s="23">
        <v>85.5</v>
      </c>
      <c r="H5" s="33">
        <v>971.72377843305219</v>
      </c>
      <c r="I5" s="23">
        <v>55.561708299058118</v>
      </c>
      <c r="J5" s="5">
        <v>6582.2880517292133</v>
      </c>
      <c r="K5" s="31"/>
      <c r="L5" s="23">
        <v>2637881.631774886</v>
      </c>
      <c r="M5" s="33">
        <v>360.125</v>
      </c>
      <c r="N5" s="5">
        <v>31</v>
      </c>
      <c r="O5" s="5">
        <v>73.5</v>
      </c>
      <c r="P5" s="33">
        <v>1207.4618065636444</v>
      </c>
      <c r="Q5" s="5">
        <v>16.410341949692356</v>
      </c>
      <c r="R5" s="5">
        <v>6039.9981138054281</v>
      </c>
      <c r="S5" s="31"/>
      <c r="T5" s="23">
        <v>2937404.4721646779</v>
      </c>
      <c r="U5" s="33">
        <v>396.16399999998976</v>
      </c>
      <c r="V5" s="5">
        <v>17</v>
      </c>
      <c r="W5" s="5">
        <v>60.5</v>
      </c>
      <c r="X5" s="33">
        <v>2058.6561777972829</v>
      </c>
      <c r="Y5" s="5">
        <v>37.663202703560422</v>
      </c>
      <c r="Z5" s="5">
        <v>7654.1911066435714</v>
      </c>
      <c r="AA5" s="35"/>
    </row>
    <row r="6" spans="2:27" x14ac:dyDescent="0.2">
      <c r="B6" s="4">
        <v>3</v>
      </c>
      <c r="C6" s="4">
        <v>786</v>
      </c>
      <c r="D6" s="23">
        <v>1823450.6424489061</v>
      </c>
      <c r="E6" s="33">
        <v>1291.46100000001</v>
      </c>
      <c r="F6" s="5">
        <v>15</v>
      </c>
      <c r="G6" s="23">
        <v>94.5</v>
      </c>
      <c r="H6" s="33">
        <v>1093.9131948155796</v>
      </c>
      <c r="I6" s="23">
        <v>47.453759418466127</v>
      </c>
      <c r="J6" s="5">
        <v>6559.1973901180236</v>
      </c>
      <c r="K6" s="31"/>
      <c r="L6" s="23">
        <v>2815107.090613273</v>
      </c>
      <c r="M6" s="33">
        <v>341.21900000004098</v>
      </c>
      <c r="N6" s="5">
        <v>36</v>
      </c>
      <c r="O6" s="5">
        <v>84.5</v>
      </c>
      <c r="P6" s="33">
        <v>2162.5315134017978</v>
      </c>
      <c r="Q6" s="5">
        <v>16.947867375687039</v>
      </c>
      <c r="R6" s="5">
        <v>7425.7780794432747</v>
      </c>
      <c r="S6" s="31"/>
      <c r="T6" s="23">
        <v>3338622.620171858</v>
      </c>
      <c r="U6" s="33">
        <v>197.53899999998976</v>
      </c>
      <c r="V6" s="5">
        <v>26</v>
      </c>
      <c r="W6" s="5">
        <v>89</v>
      </c>
      <c r="X6" s="33">
        <v>4922.6203834615944</v>
      </c>
      <c r="Y6" s="5">
        <v>53.327330239874954</v>
      </c>
      <c r="Z6" s="5">
        <v>10606.070006507833</v>
      </c>
      <c r="AA6" s="35"/>
    </row>
    <row r="7" spans="2:27" x14ac:dyDescent="0.2">
      <c r="B7" s="4">
        <v>4</v>
      </c>
      <c r="C7" s="4">
        <v>84</v>
      </c>
      <c r="D7" s="23">
        <v>2092083.2660843639</v>
      </c>
      <c r="E7" s="33">
        <v>335.39850000001024</v>
      </c>
      <c r="F7" s="5">
        <v>16</v>
      </c>
      <c r="G7" s="23">
        <v>89</v>
      </c>
      <c r="H7" s="33">
        <v>1404.5214212386079</v>
      </c>
      <c r="I7" s="23">
        <v>41.17852111796433</v>
      </c>
      <c r="J7" s="5">
        <v>6842.6429963100081</v>
      </c>
      <c r="K7" s="31"/>
      <c r="L7" s="23">
        <v>2646450.8208040758</v>
      </c>
      <c r="M7" s="33">
        <v>691.24249999999302</v>
      </c>
      <c r="N7" s="5">
        <v>21</v>
      </c>
      <c r="O7" s="5">
        <v>65.5</v>
      </c>
      <c r="P7" s="33">
        <v>1146.3534449913177</v>
      </c>
      <c r="Q7" s="5">
        <v>21.677607577987803</v>
      </c>
      <c r="R7" s="5">
        <v>6062.047710212536</v>
      </c>
      <c r="S7" s="31"/>
      <c r="T7" s="23">
        <v>2543607.0982966512</v>
      </c>
      <c r="U7" s="33">
        <v>263.88300000003073</v>
      </c>
      <c r="V7" s="5">
        <v>10</v>
      </c>
      <c r="W7" s="5">
        <v>63</v>
      </c>
      <c r="X7" s="33">
        <v>1115.731127257869</v>
      </c>
      <c r="Y7" s="5">
        <v>64.59957660494203</v>
      </c>
      <c r="Z7" s="5">
        <v>6767.3680892079074</v>
      </c>
      <c r="AA7" s="35"/>
    </row>
    <row r="8" spans="2:27" x14ac:dyDescent="0.2">
      <c r="B8" s="4">
        <v>5</v>
      </c>
      <c r="C8" s="4">
        <v>239</v>
      </c>
      <c r="D8" s="23">
        <v>1880622.3774036581</v>
      </c>
      <c r="E8" s="33">
        <v>998.843999999983</v>
      </c>
      <c r="F8" s="5">
        <v>13</v>
      </c>
      <c r="G8" s="23">
        <v>91.5</v>
      </c>
      <c r="H8" s="33">
        <v>1047.9010714677806</v>
      </c>
      <c r="I8" s="23">
        <v>51.41652297418478</v>
      </c>
      <c r="J8" s="5">
        <v>6622.6464582007393</v>
      </c>
      <c r="K8" s="31"/>
      <c r="L8" s="23">
        <v>2481225.1637569852</v>
      </c>
      <c r="M8" s="33">
        <v>859.875</v>
      </c>
      <c r="N8" s="5">
        <v>24</v>
      </c>
      <c r="O8" s="5">
        <v>73.5</v>
      </c>
      <c r="P8" s="33">
        <v>974.89577207083278</v>
      </c>
      <c r="Q8" s="5">
        <v>21.457231677080902</v>
      </c>
      <c r="R8" s="5">
        <v>6104.6941268282435</v>
      </c>
      <c r="S8" s="31"/>
      <c r="T8" s="23">
        <v>2861091.2378322491</v>
      </c>
      <c r="U8" s="33">
        <v>683.17950000002747</v>
      </c>
      <c r="V8" s="5">
        <v>16</v>
      </c>
      <c r="W8" s="5">
        <v>54.5</v>
      </c>
      <c r="X8" s="33">
        <v>1119.2877849362042</v>
      </c>
      <c r="Y8" s="5">
        <v>36.960254073560833</v>
      </c>
      <c r="Z8" s="5">
        <v>6644.4405076135654</v>
      </c>
      <c r="AA8" s="35"/>
    </row>
    <row r="9" spans="2:27" x14ac:dyDescent="0.2">
      <c r="B9" s="4">
        <v>6</v>
      </c>
      <c r="C9" s="4">
        <v>993</v>
      </c>
      <c r="D9" s="23">
        <v>1858260.4859285939</v>
      </c>
      <c r="E9" s="33">
        <v>550.96100000001002</v>
      </c>
      <c r="F9" s="5">
        <v>14</v>
      </c>
      <c r="G9" s="23">
        <v>94</v>
      </c>
      <c r="H9" s="33">
        <v>1178.0514453040303</v>
      </c>
      <c r="I9" s="23">
        <v>50.123412773298199</v>
      </c>
      <c r="J9" s="5">
        <v>6689.2908715361746</v>
      </c>
      <c r="K9" s="31"/>
      <c r="L9" s="23">
        <v>2573760.906820456</v>
      </c>
      <c r="M9" s="33">
        <v>469.03100000001723</v>
      </c>
      <c r="N9" s="5">
        <v>19</v>
      </c>
      <c r="O9" s="5">
        <v>65.5</v>
      </c>
      <c r="P9" s="33">
        <v>1025.4419116438044</v>
      </c>
      <c r="Q9" s="5">
        <v>23.11213521741567</v>
      </c>
      <c r="R9" s="5">
        <v>5900.3721892343137</v>
      </c>
      <c r="S9" s="31"/>
      <c r="T9" s="23">
        <v>2712317.7542171529</v>
      </c>
      <c r="U9" s="33">
        <v>705.25750000000698</v>
      </c>
      <c r="V9" s="5">
        <v>26</v>
      </c>
      <c r="W9" s="5">
        <v>77</v>
      </c>
      <c r="X9" s="33">
        <v>2248.0435058921116</v>
      </c>
      <c r="Y9" s="5">
        <v>40.250843639194599</v>
      </c>
      <c r="Z9" s="5">
        <v>7656.5032936084917</v>
      </c>
      <c r="AA9" s="35"/>
    </row>
    <row r="10" spans="2:27" x14ac:dyDescent="0.2">
      <c r="B10" s="4">
        <v>7</v>
      </c>
      <c r="C10" s="4">
        <v>103</v>
      </c>
      <c r="D10" s="23">
        <v>1856205.8723619981</v>
      </c>
      <c r="E10" s="33">
        <v>455.1875</v>
      </c>
      <c r="F10" s="5">
        <v>14</v>
      </c>
      <c r="G10" s="23">
        <v>94</v>
      </c>
      <c r="H10" s="33">
        <v>1177.3991292324965</v>
      </c>
      <c r="I10" s="23">
        <v>49.412518888755919</v>
      </c>
      <c r="J10" s="5">
        <v>6666.8838438982257</v>
      </c>
      <c r="K10" s="31"/>
      <c r="L10" s="23">
        <v>2447573.0893766978</v>
      </c>
      <c r="M10" s="33">
        <v>676.57850000000349</v>
      </c>
      <c r="N10" s="5">
        <v>25</v>
      </c>
      <c r="O10" s="5">
        <v>69.5</v>
      </c>
      <c r="P10" s="33">
        <v>512.75387646239903</v>
      </c>
      <c r="Q10" s="5">
        <v>19.865316571359511</v>
      </c>
      <c r="R10" s="5">
        <v>5289.5768027008626</v>
      </c>
      <c r="S10" s="31"/>
      <c r="T10" s="23">
        <v>2379033.6678542802</v>
      </c>
      <c r="U10" s="33">
        <v>742.07799999997951</v>
      </c>
      <c r="V10" s="5">
        <v>13</v>
      </c>
      <c r="W10" s="5">
        <v>70</v>
      </c>
      <c r="X10" s="33">
        <v>1025.0422769143729</v>
      </c>
      <c r="Y10" s="5">
        <v>55.288853775583107</v>
      </c>
      <c r="Z10" s="5">
        <v>6566.875276624387</v>
      </c>
      <c r="AA10" s="35"/>
    </row>
    <row r="11" spans="2:27" x14ac:dyDescent="0.2">
      <c r="B11" s="4">
        <v>8</v>
      </c>
      <c r="C11" s="4">
        <v>799</v>
      </c>
      <c r="D11" s="23">
        <v>2013862.7834700609</v>
      </c>
      <c r="E11" s="33">
        <v>377.125</v>
      </c>
      <c r="F11" s="5">
        <v>11</v>
      </c>
      <c r="G11" s="23">
        <v>85.5</v>
      </c>
      <c r="H11" s="33">
        <v>1036.4960268802067</v>
      </c>
      <c r="I11" s="23">
        <v>55.872603705301955</v>
      </c>
      <c r="J11" s="5">
        <v>6745.0055676137945</v>
      </c>
      <c r="K11" s="31"/>
      <c r="L11" s="23">
        <v>2408338.656198964</v>
      </c>
      <c r="M11" s="33">
        <v>1165.08600000001</v>
      </c>
      <c r="N11" s="5">
        <v>24</v>
      </c>
      <c r="O11" s="5">
        <v>74.5</v>
      </c>
      <c r="P11" s="33">
        <v>895.25383130979901</v>
      </c>
      <c r="Q11" s="5">
        <v>21.782350393047128</v>
      </c>
      <c r="R11" s="5">
        <v>5814.263253872532</v>
      </c>
      <c r="S11" s="31"/>
      <c r="T11" s="23">
        <v>2502511.2237513438</v>
      </c>
      <c r="U11" s="33">
        <v>237.8125</v>
      </c>
      <c r="V11" s="5">
        <v>10</v>
      </c>
      <c r="W11" s="5">
        <v>66.5</v>
      </c>
      <c r="X11" s="33">
        <v>1279.1276865759489</v>
      </c>
      <c r="Y11" s="5">
        <v>70.387229884190774</v>
      </c>
      <c r="Z11" s="5">
        <v>7064.5775926039587</v>
      </c>
      <c r="AA11" s="35"/>
    </row>
    <row r="12" spans="2:27" x14ac:dyDescent="0.2">
      <c r="B12" s="4">
        <v>9</v>
      </c>
      <c r="C12" s="4">
        <v>871</v>
      </c>
      <c r="D12" s="23">
        <v>1847253.406091108</v>
      </c>
      <c r="E12" s="33">
        <v>762.77350000001002</v>
      </c>
      <c r="F12" s="5">
        <v>13</v>
      </c>
      <c r="G12" s="23">
        <v>92.5</v>
      </c>
      <c r="H12" s="33">
        <v>1067.4488052994943</v>
      </c>
      <c r="I12" s="23">
        <v>52.199419870430361</v>
      </c>
      <c r="J12" s="5">
        <v>6614.0381761494018</v>
      </c>
      <c r="K12" s="31"/>
      <c r="L12" s="23">
        <v>2430310.1373748281</v>
      </c>
      <c r="M12" s="33">
        <v>650.42999999999302</v>
      </c>
      <c r="N12" s="5">
        <v>27</v>
      </c>
      <c r="O12" s="5">
        <v>73</v>
      </c>
      <c r="P12" s="33">
        <v>746.79335859771493</v>
      </c>
      <c r="Q12" s="5">
        <v>18.622885055137527</v>
      </c>
      <c r="R12" s="5">
        <v>5419.4002315661055</v>
      </c>
      <c r="S12" s="31"/>
      <c r="T12" s="23">
        <v>2499710.1883885092</v>
      </c>
      <c r="U12" s="33">
        <v>367.84400000004098</v>
      </c>
      <c r="V12" s="5">
        <v>10</v>
      </c>
      <c r="W12" s="5">
        <v>65</v>
      </c>
      <c r="X12" s="33">
        <v>1081.0568302120701</v>
      </c>
      <c r="Y12" s="5">
        <v>65.444693643285106</v>
      </c>
      <c r="Z12" s="5">
        <v>6836.9911020355021</v>
      </c>
      <c r="AA12" s="35"/>
    </row>
    <row r="13" spans="2:27" x14ac:dyDescent="0.2">
      <c r="B13" s="4">
        <v>10</v>
      </c>
      <c r="C13" s="4">
        <v>874</v>
      </c>
      <c r="D13" s="23">
        <v>1893205.3025403719</v>
      </c>
      <c r="E13" s="33">
        <v>565.906499999983</v>
      </c>
      <c r="F13" s="5">
        <v>13</v>
      </c>
      <c r="G13" s="23">
        <v>92</v>
      </c>
      <c r="H13" s="33">
        <v>1170.4986814130898</v>
      </c>
      <c r="I13" s="23">
        <v>52.080991201913207</v>
      </c>
      <c r="J13" s="5">
        <v>6709.7247396549283</v>
      </c>
      <c r="K13" s="31"/>
      <c r="L13" s="23">
        <v>2372686.539970655</v>
      </c>
      <c r="M13" s="33">
        <v>1270.929999999993</v>
      </c>
      <c r="N13" s="5">
        <v>27</v>
      </c>
      <c r="O13" s="5">
        <v>75.5</v>
      </c>
      <c r="P13" s="33">
        <v>821.66465685626633</v>
      </c>
      <c r="Q13" s="5">
        <v>19.515101613720361</v>
      </c>
      <c r="R13" s="5">
        <v>5538.5700911834747</v>
      </c>
      <c r="S13" s="31"/>
      <c r="T13" s="23">
        <v>2421075.4399495819</v>
      </c>
      <c r="U13" s="33">
        <v>907.26550000003749</v>
      </c>
      <c r="V13" s="5">
        <v>10</v>
      </c>
      <c r="W13" s="5">
        <v>65.5</v>
      </c>
      <c r="X13" s="33">
        <v>804.62682293283081</v>
      </c>
      <c r="Y13" s="5">
        <v>65.297019219024378</v>
      </c>
      <c r="Z13" s="5">
        <v>6532.4171909210345</v>
      </c>
      <c r="AA13" s="35"/>
    </row>
    <row r="14" spans="2:27" x14ac:dyDescent="0.2">
      <c r="B14" s="46" t="s">
        <v>3</v>
      </c>
      <c r="C14" s="47"/>
      <c r="D14" s="9">
        <f>MIN(D4:D13)</f>
        <v>1823450.6424489061</v>
      </c>
      <c r="E14" s="22">
        <f>INDEX(E4:E13, MATCH($D$14, D4:D13, 0))</f>
        <v>1291.46100000001</v>
      </c>
      <c r="F14" s="9">
        <f>INDEX(F4:F13, MATCH($D$14, D4:D13, 0))</f>
        <v>15</v>
      </c>
      <c r="G14" s="9">
        <f>INDEX(G4:G13, MATCH($D$14, D4:D13, 0))</f>
        <v>94.5</v>
      </c>
      <c r="H14" s="22">
        <f>INDEX(H4:H13, MATCH($D$14, D4:D13, 0))</f>
        <v>1093.9131948155796</v>
      </c>
      <c r="I14" s="22">
        <f>INDEX(I4:I13, MATCH($D$14, D4:D13, 0))</f>
        <v>47.453759418466127</v>
      </c>
      <c r="J14" s="22">
        <f>INDEX(J4:J13, MATCH($D$14, D4:D13, 0))</f>
        <v>6559.1973901180236</v>
      </c>
      <c r="K14" s="32" t="e">
        <f>(D14-$D$15)/$D$15</f>
        <v>#DIV/0!</v>
      </c>
      <c r="L14" s="16">
        <f>MIN(L4:L13)</f>
        <v>2372686.539970655</v>
      </c>
      <c r="M14" s="21">
        <f>INDEX(M4:M13, MATCH($L$14, L4:L13, 0))</f>
        <v>1270.929999999993</v>
      </c>
      <c r="N14" s="16">
        <f>INDEX(N4:N13, MATCH($L$14, L4:L13, 0))</f>
        <v>27</v>
      </c>
      <c r="O14" s="16">
        <f>INDEX(O4:O13, MATCH($L$14, L4:L13, 0))</f>
        <v>75.5</v>
      </c>
      <c r="P14" s="21">
        <f>INDEX(P4:P13, MATCH($L$14, L4:L13, 0))</f>
        <v>821.66465685626633</v>
      </c>
      <c r="Q14" s="21">
        <f>INDEX(Q4:Q13, MATCH($L$14, L4:L13, 0))</f>
        <v>19.515101613720361</v>
      </c>
      <c r="R14" s="21">
        <f>INDEX(R4:R13, MATCH($L$14, L4:L13, 0))</f>
        <v>5538.5700911834747</v>
      </c>
      <c r="S14" s="36" t="e">
        <f>(L14-$D$15)/$D$15</f>
        <v>#DIV/0!</v>
      </c>
      <c r="T14" s="38">
        <f>MIN(T4:T13)</f>
        <v>2379033.6678542802</v>
      </c>
      <c r="U14" s="39">
        <f>INDEX(U4:U13, MATCH($T$14, T4:T13, 0))</f>
        <v>742.07799999997951</v>
      </c>
      <c r="V14" s="38">
        <f>INDEX(V4:V13, MATCH($T$14, T4:T13, 0))</f>
        <v>13</v>
      </c>
      <c r="W14" s="38">
        <f>INDEX(W4:W13, MATCH($T$14, T4:T13, 0))</f>
        <v>70</v>
      </c>
      <c r="X14" s="39">
        <f>INDEX(X4:X13, MATCH($T$14, T4:T13, 0))</f>
        <v>1025.0422769143729</v>
      </c>
      <c r="Y14" s="39">
        <f>INDEX(Y4:Y13, MATCH($T$14, T4:T13, 0))</f>
        <v>55.288853775583107</v>
      </c>
      <c r="Z14" s="39">
        <f>INDEX(Z4:Z13, MATCH($T$14, T4:T13, 0))</f>
        <v>6566.875276624387</v>
      </c>
      <c r="AA14" s="40" t="e">
        <f>(T14-$D$15)/$D$15</f>
        <v>#DIV/0!</v>
      </c>
    </row>
    <row r="15" spans="2:27" x14ac:dyDescent="0.2">
      <c r="C15" s="1" t="s">
        <v>17</v>
      </c>
      <c r="D15" s="34"/>
      <c r="E15" s="3"/>
      <c r="F15" s="3"/>
      <c r="G15" s="3"/>
      <c r="H15" s="3"/>
      <c r="I15" s="3"/>
      <c r="J15" s="3"/>
      <c r="K15" s="3"/>
      <c r="L15" s="34"/>
      <c r="T15" s="34"/>
    </row>
    <row r="16" spans="2:27" x14ac:dyDescent="0.2">
      <c r="D16" s="2"/>
    </row>
    <row r="17" spans="4:4" x14ac:dyDescent="0.2">
      <c r="D17" s="2"/>
    </row>
  </sheetData>
  <mergeCells count="1">
    <mergeCell ref="B14:C14"/>
  </mergeCells>
  <conditionalFormatting sqref="C1:C13 C15:C16 C36:C1048576">
    <cfRule type="duplicateValues" dxfId="77" priority="7"/>
    <cfRule type="duplicateValues" dxfId="76" priority="8"/>
  </conditionalFormatting>
  <conditionalFormatting sqref="C14">
    <cfRule type="duplicateValues" dxfId="75" priority="3"/>
    <cfRule type="duplicateValues" dxfId="74" priority="4"/>
  </conditionalFormatting>
  <conditionalFormatting sqref="C17:C35">
    <cfRule type="duplicateValues" dxfId="13" priority="1"/>
    <cfRule type="duplicateValues" dxfId="12" priority="2"/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D9587F-5F72-4A10-B01E-62E376CA5A25}">
  <dimension ref="B1:AA17"/>
  <sheetViews>
    <sheetView zoomScale="85" zoomScaleNormal="85" workbookViewId="0">
      <selection activeCell="U20" sqref="U20:U29"/>
    </sheetView>
  </sheetViews>
  <sheetFormatPr baseColWidth="10" defaultColWidth="10.83203125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8.33203125" style="1" bestFit="1" customWidth="1"/>
    <col min="8" max="8" width="19.33203125" style="1" bestFit="1" customWidth="1"/>
    <col min="9" max="9" width="24.83203125" style="1" bestFit="1" customWidth="1"/>
    <col min="10" max="10" width="18.6640625" style="1" bestFit="1" customWidth="1"/>
    <col min="11" max="11" width="12.6640625" style="1" customWidth="1"/>
    <col min="12" max="12" width="12.6640625" style="1" bestFit="1" customWidth="1"/>
    <col min="13" max="14" width="10.83203125" style="1"/>
    <col min="15" max="15" width="18.33203125" style="1" bestFit="1" customWidth="1"/>
    <col min="16" max="16" width="19.33203125" style="1" bestFit="1" customWidth="1"/>
    <col min="17" max="17" width="24.83203125" style="1" bestFit="1" customWidth="1"/>
    <col min="18" max="18" width="18" style="1" bestFit="1" customWidth="1"/>
    <col min="19" max="19" width="10.83203125" style="1"/>
    <col min="20" max="20" width="12.6640625" style="1" bestFit="1" customWidth="1"/>
    <col min="21" max="22" width="10.83203125" style="1"/>
    <col min="23" max="23" width="18.33203125" style="1" bestFit="1" customWidth="1"/>
    <col min="24" max="24" width="19.33203125" style="1" bestFit="1" customWidth="1"/>
    <col min="25" max="25" width="24.83203125" style="1" bestFit="1" customWidth="1"/>
    <col min="26" max="26" width="18" style="1" bestFit="1" customWidth="1"/>
    <col min="27" max="16384" width="10.83203125" style="1"/>
  </cols>
  <sheetData>
    <row r="1" spans="2:27" x14ac:dyDescent="0.2">
      <c r="D1" s="1" t="s">
        <v>14</v>
      </c>
    </row>
    <row r="2" spans="2:27" x14ac:dyDescent="0.2">
      <c r="B2" s="1" t="s">
        <v>18</v>
      </c>
      <c r="D2" s="29">
        <v>200</v>
      </c>
      <c r="H2" s="28">
        <f>(Q14-H14)/H14</f>
        <v>-0.99137529705469607</v>
      </c>
      <c r="J2" s="28">
        <f>(S14-J14)/J14</f>
        <v>-0.99994775523320434</v>
      </c>
      <c r="K2" s="28"/>
      <c r="L2" s="1" t="s">
        <v>19</v>
      </c>
      <c r="P2" s="1">
        <f>(P14-H14)/H14</f>
        <v>-0.53059840547831694</v>
      </c>
      <c r="R2" s="1">
        <f>(R14-J14)/J14</f>
        <v>-0.24130980316376513</v>
      </c>
      <c r="T2" s="1" t="s">
        <v>20</v>
      </c>
      <c r="X2" s="1">
        <f>(X14-P14)/P14</f>
        <v>0.19078154635644826</v>
      </c>
      <c r="Z2" s="1">
        <f>(Z14-R14)/R14</f>
        <v>0.21975007509295361</v>
      </c>
    </row>
    <row r="3" spans="2:27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15</v>
      </c>
      <c r="H3" s="8" t="s">
        <v>11</v>
      </c>
      <c r="I3" s="8" t="s">
        <v>16</v>
      </c>
      <c r="J3" s="8" t="s">
        <v>10</v>
      </c>
      <c r="K3" s="8" t="s">
        <v>1</v>
      </c>
      <c r="L3" s="15" t="s">
        <v>0</v>
      </c>
      <c r="M3" s="15" t="s">
        <v>5</v>
      </c>
      <c r="N3" s="15" t="s">
        <v>12</v>
      </c>
      <c r="O3" s="15" t="s">
        <v>15</v>
      </c>
      <c r="P3" s="15" t="s">
        <v>11</v>
      </c>
      <c r="Q3" s="15" t="s">
        <v>16</v>
      </c>
      <c r="R3" s="15" t="s">
        <v>10</v>
      </c>
      <c r="S3" s="15" t="s">
        <v>1</v>
      </c>
      <c r="T3" s="37" t="s">
        <v>0</v>
      </c>
      <c r="U3" s="37" t="s">
        <v>5</v>
      </c>
      <c r="V3" s="37" t="s">
        <v>12</v>
      </c>
      <c r="W3" s="37" t="s">
        <v>15</v>
      </c>
      <c r="X3" s="37" t="s">
        <v>11</v>
      </c>
      <c r="Y3" s="37" t="s">
        <v>16</v>
      </c>
      <c r="Z3" s="37" t="s">
        <v>10</v>
      </c>
      <c r="AA3" s="37" t="s">
        <v>1</v>
      </c>
    </row>
    <row r="4" spans="2:27" x14ac:dyDescent="0.2">
      <c r="B4" s="4">
        <v>1</v>
      </c>
      <c r="C4" s="4">
        <v>500</v>
      </c>
      <c r="D4" s="23">
        <v>2170637.1579976338</v>
      </c>
      <c r="E4" s="33">
        <v>546.53899999998998</v>
      </c>
      <c r="F4" s="5">
        <v>13</v>
      </c>
      <c r="G4" s="23">
        <v>81.5</v>
      </c>
      <c r="H4" s="33">
        <v>1179.1414415112515</v>
      </c>
      <c r="I4" s="23">
        <v>45.589680573011229</v>
      </c>
      <c r="J4" s="5">
        <v>6866.9811096338408</v>
      </c>
      <c r="K4" s="31"/>
      <c r="L4" s="23">
        <v>2840685.6711929799</v>
      </c>
      <c r="M4" s="33">
        <v>1381.343500000017</v>
      </c>
      <c r="N4" s="5">
        <v>26</v>
      </c>
      <c r="O4" s="5">
        <v>59.5</v>
      </c>
      <c r="P4" s="33">
        <v>800.17387073813109</v>
      </c>
      <c r="Q4" s="5">
        <v>15.11145884373366</v>
      </c>
      <c r="R4" s="5">
        <v>5536.1925327555437</v>
      </c>
      <c r="S4" s="31"/>
      <c r="T4" s="23">
        <v>2961339.0503965239</v>
      </c>
      <c r="U4" s="33">
        <v>200.27350000001024</v>
      </c>
      <c r="V4" s="5">
        <v>10</v>
      </c>
      <c r="W4" s="5">
        <v>50.5</v>
      </c>
      <c r="X4" s="33">
        <v>1719.2301217303063</v>
      </c>
      <c r="Y4" s="5">
        <v>64.265722262981825</v>
      </c>
      <c r="Z4" s="5">
        <v>7564.0549713503178</v>
      </c>
      <c r="AA4" s="35"/>
    </row>
    <row r="5" spans="2:27" x14ac:dyDescent="0.2">
      <c r="B5" s="4">
        <v>2</v>
      </c>
      <c r="C5" s="4">
        <v>185</v>
      </c>
      <c r="D5" s="23">
        <v>2199680.8670476871</v>
      </c>
      <c r="E5" s="33">
        <v>653.531000000017</v>
      </c>
      <c r="F5" s="5">
        <v>11</v>
      </c>
      <c r="G5" s="23">
        <v>80.5</v>
      </c>
      <c r="H5" s="33">
        <v>1233.7091710576713</v>
      </c>
      <c r="I5" s="23">
        <v>53.797125562089896</v>
      </c>
      <c r="J5" s="5">
        <v>6991.9500118430797</v>
      </c>
      <c r="K5" s="31"/>
      <c r="L5" s="23">
        <v>2800653.5737464051</v>
      </c>
      <c r="M5" s="33">
        <v>819.82800000003749</v>
      </c>
      <c r="N5" s="5">
        <v>16</v>
      </c>
      <c r="O5" s="5">
        <v>52.5</v>
      </c>
      <c r="P5" s="33">
        <v>717.98509017142146</v>
      </c>
      <c r="Q5" s="5">
        <v>22.730872544338737</v>
      </c>
      <c r="R5" s="5">
        <v>5442.3255921603577</v>
      </c>
      <c r="S5" s="31"/>
      <c r="T5" s="23">
        <v>2855008.5214907168</v>
      </c>
      <c r="U5" s="33">
        <v>210.44549999997255</v>
      </c>
      <c r="V5" s="5">
        <v>10</v>
      </c>
      <c r="W5" s="5">
        <v>52.5</v>
      </c>
      <c r="X5" s="33">
        <v>1239.1713606352982</v>
      </c>
      <c r="Y5" s="5">
        <v>56.47042159782135</v>
      </c>
      <c r="Z5" s="5">
        <v>7021.7182392209088</v>
      </c>
      <c r="AA5" s="35"/>
    </row>
    <row r="6" spans="2:27" x14ac:dyDescent="0.2">
      <c r="B6" s="4">
        <v>3</v>
      </c>
      <c r="C6" s="4">
        <v>104</v>
      </c>
      <c r="D6" s="23">
        <v>2170817.1452097921</v>
      </c>
      <c r="E6" s="33">
        <v>545.70350000000349</v>
      </c>
      <c r="F6" s="5">
        <v>15</v>
      </c>
      <c r="G6" s="23">
        <v>85.5</v>
      </c>
      <c r="H6" s="33">
        <v>1406.3159382513718</v>
      </c>
      <c r="I6" s="23">
        <v>43.729806829765906</v>
      </c>
      <c r="J6" s="5">
        <v>7044.4953434052632</v>
      </c>
      <c r="K6" s="31"/>
      <c r="L6" s="23">
        <v>2757029.6984113231</v>
      </c>
      <c r="M6" s="33">
        <v>438.53899999998976</v>
      </c>
      <c r="N6" s="5">
        <v>28</v>
      </c>
      <c r="O6" s="5">
        <v>64</v>
      </c>
      <c r="P6" s="33">
        <v>903.19375435180177</v>
      </c>
      <c r="Q6" s="5">
        <v>16.595124354606845</v>
      </c>
      <c r="R6" s="5">
        <v>5673.0665060430028</v>
      </c>
      <c r="S6" s="31"/>
      <c r="T6" s="23">
        <v>2820910.4665000602</v>
      </c>
      <c r="U6" s="33">
        <v>403.8520000000135</v>
      </c>
      <c r="V6" s="5">
        <v>10</v>
      </c>
      <c r="W6" s="5">
        <v>52.5</v>
      </c>
      <c r="X6" s="33">
        <v>1111.9566816074303</v>
      </c>
      <c r="Y6" s="5">
        <v>55.978977820242349</v>
      </c>
      <c r="Z6" s="5">
        <v>6901.3715207016558</v>
      </c>
      <c r="AA6" s="35"/>
    </row>
    <row r="7" spans="2:27" x14ac:dyDescent="0.2">
      <c r="B7" s="4">
        <v>4</v>
      </c>
      <c r="C7" s="4">
        <v>63</v>
      </c>
      <c r="D7" s="23">
        <v>2265975.9007363501</v>
      </c>
      <c r="E7" s="33">
        <v>305.75</v>
      </c>
      <c r="F7" s="5">
        <v>15</v>
      </c>
      <c r="G7" s="23">
        <v>90</v>
      </c>
      <c r="H7" s="33">
        <v>2005.2067981722976</v>
      </c>
      <c r="I7" s="23">
        <v>45.89230155792648</v>
      </c>
      <c r="J7" s="5">
        <v>7613.7187616343235</v>
      </c>
      <c r="K7" s="31"/>
      <c r="L7" s="23">
        <v>2872719.7097446881</v>
      </c>
      <c r="M7" s="33">
        <v>600.32800000003749</v>
      </c>
      <c r="N7" s="5">
        <v>22</v>
      </c>
      <c r="O7" s="5">
        <v>59</v>
      </c>
      <c r="P7" s="33">
        <v>1273.3589332713132</v>
      </c>
      <c r="Q7" s="5">
        <v>18.912684204762002</v>
      </c>
      <c r="R7" s="5">
        <v>6197.6898026152485</v>
      </c>
      <c r="S7" s="31"/>
      <c r="T7" s="23">
        <v>3046301.8695803778</v>
      </c>
      <c r="U7" s="33">
        <v>258.78899999998976</v>
      </c>
      <c r="V7" s="5">
        <v>24</v>
      </c>
      <c r="W7" s="5">
        <v>58.5</v>
      </c>
      <c r="X7" s="33">
        <v>1977.5158890357077</v>
      </c>
      <c r="Y7" s="5">
        <v>31.616548027398636</v>
      </c>
      <c r="Z7" s="5">
        <v>7408.7947350672403</v>
      </c>
      <c r="AA7" s="35"/>
    </row>
    <row r="8" spans="2:27" x14ac:dyDescent="0.2">
      <c r="B8" s="4">
        <v>5</v>
      </c>
      <c r="C8" s="4">
        <v>857</v>
      </c>
      <c r="D8" s="23">
        <v>2295893.4411728559</v>
      </c>
      <c r="E8" s="33">
        <v>835.375</v>
      </c>
      <c r="F8" s="5">
        <v>14</v>
      </c>
      <c r="G8" s="23">
        <v>78.5</v>
      </c>
      <c r="H8" s="33">
        <v>1298.1399753535536</v>
      </c>
      <c r="I8" s="23">
        <v>38.608533491802802</v>
      </c>
      <c r="J8" s="5">
        <v>6940.9434457409261</v>
      </c>
      <c r="K8" s="31"/>
      <c r="L8" s="23">
        <v>2779455.5448164549</v>
      </c>
      <c r="M8" s="33">
        <v>1035.52350000001</v>
      </c>
      <c r="N8" s="5">
        <v>18</v>
      </c>
      <c r="O8" s="5">
        <v>56.5</v>
      </c>
      <c r="P8" s="33">
        <v>809.49718996304284</v>
      </c>
      <c r="Q8" s="5">
        <v>20.695894103095174</v>
      </c>
      <c r="R8" s="5">
        <v>5707.4908984571211</v>
      </c>
      <c r="S8" s="31"/>
      <c r="T8" s="23">
        <v>2846711.1162611558</v>
      </c>
      <c r="U8" s="33">
        <v>307.71100000001024</v>
      </c>
      <c r="V8" s="5">
        <v>10</v>
      </c>
      <c r="W8" s="5">
        <v>53.5</v>
      </c>
      <c r="X8" s="33">
        <v>1384.6522746869878</v>
      </c>
      <c r="Y8" s="5">
        <v>57.568377691385265</v>
      </c>
      <c r="Z8" s="5">
        <v>7177.8114667623449</v>
      </c>
      <c r="AA8" s="35"/>
    </row>
    <row r="9" spans="2:27" x14ac:dyDescent="0.2">
      <c r="B9" s="4">
        <v>6</v>
      </c>
      <c r="C9" s="4">
        <v>576</v>
      </c>
      <c r="D9" s="23">
        <v>2464477.9006798551</v>
      </c>
      <c r="E9" s="33">
        <v>652.75799999997253</v>
      </c>
      <c r="F9" s="5">
        <v>10</v>
      </c>
      <c r="G9" s="23">
        <v>69.5</v>
      </c>
      <c r="H9" s="33">
        <v>1237.0366994047495</v>
      </c>
      <c r="I9" s="23">
        <v>51.191693281886259</v>
      </c>
      <c r="J9" s="5">
        <v>7028.2042047652303</v>
      </c>
      <c r="K9" s="31"/>
      <c r="L9" s="23">
        <v>2956407.0222288799</v>
      </c>
      <c r="M9" s="33">
        <v>1352.2030000000375</v>
      </c>
      <c r="N9" s="5">
        <v>32</v>
      </c>
      <c r="O9" s="5">
        <v>62</v>
      </c>
      <c r="P9" s="33">
        <v>1114.5164087613887</v>
      </c>
      <c r="Q9" s="5">
        <v>14.492508654736861</v>
      </c>
      <c r="R9" s="5">
        <v>6015.9219402357166</v>
      </c>
      <c r="S9" s="31"/>
      <c r="T9" s="23">
        <v>3201754.3412091918</v>
      </c>
      <c r="U9" s="33">
        <v>594.44500000000698</v>
      </c>
      <c r="V9" s="5">
        <v>10</v>
      </c>
      <c r="W9" s="5">
        <v>47</v>
      </c>
      <c r="X9" s="33">
        <v>2535.25209149171</v>
      </c>
      <c r="Y9" s="5">
        <v>62.865156244843078</v>
      </c>
      <c r="Z9" s="5">
        <v>8566.767581504706</v>
      </c>
      <c r="AA9" s="35"/>
    </row>
    <row r="10" spans="2:27" x14ac:dyDescent="0.2">
      <c r="B10" s="4">
        <v>7</v>
      </c>
      <c r="C10" s="4">
        <v>978</v>
      </c>
      <c r="D10" s="23">
        <v>2282110.2082878272</v>
      </c>
      <c r="E10" s="33">
        <v>220.76549999997951</v>
      </c>
      <c r="F10" s="5">
        <v>12</v>
      </c>
      <c r="G10" s="23">
        <v>76</v>
      </c>
      <c r="H10" s="33">
        <v>1010.6388772354347</v>
      </c>
      <c r="I10" s="23">
        <v>44.41157872928008</v>
      </c>
      <c r="J10" s="5">
        <v>6766.4797306130004</v>
      </c>
      <c r="K10" s="31"/>
      <c r="L10" s="23">
        <v>2779479.876811598</v>
      </c>
      <c r="M10" s="33">
        <v>768.11699999996949</v>
      </c>
      <c r="N10" s="5">
        <v>23</v>
      </c>
      <c r="O10" s="5">
        <v>61</v>
      </c>
      <c r="P10" s="33">
        <v>980.90441282827987</v>
      </c>
      <c r="Q10" s="5">
        <v>18.243574441906162</v>
      </c>
      <c r="R10" s="5">
        <v>5830.3378134955265</v>
      </c>
      <c r="S10" s="31"/>
      <c r="T10" s="23">
        <v>2836704.3750790842</v>
      </c>
      <c r="U10" s="33">
        <v>969.95299999997951</v>
      </c>
      <c r="V10" s="5">
        <v>10</v>
      </c>
      <c r="W10" s="5">
        <v>51.5</v>
      </c>
      <c r="X10" s="33">
        <v>1032.9648338970653</v>
      </c>
      <c r="Y10" s="5">
        <v>55.024066190607968</v>
      </c>
      <c r="Z10" s="5">
        <v>6832.0956189524513</v>
      </c>
      <c r="AA10" s="35"/>
    </row>
    <row r="11" spans="2:27" x14ac:dyDescent="0.2">
      <c r="B11" s="4">
        <v>8</v>
      </c>
      <c r="C11" s="4">
        <v>2</v>
      </c>
      <c r="D11" s="23">
        <v>2170376.2221405739</v>
      </c>
      <c r="E11" s="33">
        <v>691.94549999997253</v>
      </c>
      <c r="F11" s="5">
        <v>17</v>
      </c>
      <c r="G11" s="23">
        <v>94</v>
      </c>
      <c r="H11" s="33">
        <v>1924.1386584384102</v>
      </c>
      <c r="I11" s="23">
        <v>43.511527946878026</v>
      </c>
      <c r="J11" s="5">
        <v>7477.448014617682</v>
      </c>
      <c r="K11" s="31"/>
      <c r="L11" s="23">
        <v>2759994.2159473561</v>
      </c>
      <c r="M11" s="33">
        <v>639.29700000002049</v>
      </c>
      <c r="N11" s="5">
        <v>20</v>
      </c>
      <c r="O11" s="5">
        <v>58.5</v>
      </c>
      <c r="P11" s="33">
        <v>847.53371706392534</v>
      </c>
      <c r="Q11" s="5">
        <v>19.168146019126485</v>
      </c>
      <c r="R11" s="5">
        <v>5726.4506865685144</v>
      </c>
      <c r="S11" s="31"/>
      <c r="T11" s="23">
        <v>2816925.2871569288</v>
      </c>
      <c r="U11" s="33">
        <v>1404.9375</v>
      </c>
      <c r="V11" s="5">
        <v>10</v>
      </c>
      <c r="W11" s="5">
        <v>53</v>
      </c>
      <c r="X11" s="33">
        <v>1075.5064554665246</v>
      </c>
      <c r="Y11" s="5">
        <v>58.159011538799653</v>
      </c>
      <c r="Z11" s="5">
        <v>6919.7232967532727</v>
      </c>
      <c r="AA11" s="35"/>
    </row>
    <row r="12" spans="2:27" x14ac:dyDescent="0.2">
      <c r="B12" s="4">
        <v>9</v>
      </c>
      <c r="C12" s="4">
        <v>324</v>
      </c>
      <c r="D12" s="23">
        <v>2209805.0534024802</v>
      </c>
      <c r="E12" s="33">
        <v>550.875</v>
      </c>
      <c r="F12" s="5">
        <v>16</v>
      </c>
      <c r="G12" s="23">
        <v>84</v>
      </c>
      <c r="H12" s="33">
        <v>1391.6879164063462</v>
      </c>
      <c r="I12" s="23">
        <v>37.921554687026116</v>
      </c>
      <c r="J12" s="5">
        <v>6945.4855573303112</v>
      </c>
      <c r="K12" s="31"/>
      <c r="L12" s="23">
        <v>2853674.9845126448</v>
      </c>
      <c r="M12" s="33">
        <v>825.10899999999651</v>
      </c>
      <c r="N12" s="5">
        <v>27</v>
      </c>
      <c r="O12" s="5">
        <v>59.5</v>
      </c>
      <c r="P12" s="33">
        <v>854.8301980295862</v>
      </c>
      <c r="Q12" s="5">
        <v>15.182299431525811</v>
      </c>
      <c r="R12" s="5">
        <v>5604.3176031864623</v>
      </c>
      <c r="S12" s="31"/>
      <c r="T12" s="23">
        <v>3120387.3992967298</v>
      </c>
      <c r="U12" s="33">
        <v>598.51600000000349</v>
      </c>
      <c r="V12" s="5">
        <v>10</v>
      </c>
      <c r="W12" s="5">
        <v>35.5</v>
      </c>
      <c r="X12" s="33">
        <v>320.54356453699239</v>
      </c>
      <c r="Y12" s="5">
        <v>39.835968134482286</v>
      </c>
      <c r="Z12" s="5">
        <v>5439.3885390009564</v>
      </c>
      <c r="AA12" s="35"/>
    </row>
    <row r="13" spans="2:27" x14ac:dyDescent="0.2">
      <c r="B13" s="4">
        <v>10</v>
      </c>
      <c r="C13" s="4">
        <v>418</v>
      </c>
      <c r="D13" s="23">
        <v>2329232.6305933292</v>
      </c>
      <c r="E13" s="33">
        <v>352.33600000001024</v>
      </c>
      <c r="F13" s="5">
        <v>21</v>
      </c>
      <c r="G13" s="23">
        <v>90</v>
      </c>
      <c r="H13" s="33">
        <v>1949.0195949977856</v>
      </c>
      <c r="I13" s="23">
        <v>33.408104149476976</v>
      </c>
      <c r="J13" s="5">
        <v>7420.7361504682895</v>
      </c>
      <c r="K13" s="31"/>
      <c r="L13" s="23">
        <v>2854984.2232092302</v>
      </c>
      <c r="M13" s="33">
        <v>684.218500000017</v>
      </c>
      <c r="N13" s="5">
        <v>22</v>
      </c>
      <c r="O13" s="5">
        <v>56.5</v>
      </c>
      <c r="P13" s="33">
        <v>1010.8877202361172</v>
      </c>
      <c r="Q13" s="5">
        <v>17.362286961788367</v>
      </c>
      <c r="R13" s="5">
        <v>5688.2916902599572</v>
      </c>
      <c r="S13" s="31"/>
      <c r="T13" s="23">
        <v>3607400.1788336942</v>
      </c>
      <c r="U13" s="33">
        <v>377.42149999999674</v>
      </c>
      <c r="V13" s="5">
        <v>19</v>
      </c>
      <c r="W13" s="5">
        <v>52</v>
      </c>
      <c r="X13" s="33">
        <v>4590.8943640937759</v>
      </c>
      <c r="Y13" s="5">
        <v>43.750219298585414</v>
      </c>
      <c r="Z13" s="5">
        <v>10296.815002883593</v>
      </c>
      <c r="AA13" s="35"/>
    </row>
    <row r="14" spans="2:27" x14ac:dyDescent="0.2">
      <c r="B14" s="46" t="s">
        <v>3</v>
      </c>
      <c r="C14" s="47"/>
      <c r="D14" s="9">
        <f>MIN(D4:D13)</f>
        <v>2170376.2221405739</v>
      </c>
      <c r="E14" s="22">
        <f>INDEX(E4:E13, MATCH($D$14, D4:D13, 0))</f>
        <v>691.94549999997253</v>
      </c>
      <c r="F14" s="9">
        <f>INDEX(F4:F13, MATCH($D$14, D4:D13, 0))</f>
        <v>17</v>
      </c>
      <c r="G14" s="9">
        <f>INDEX(G4:G13, MATCH($D$14, D4:D13, 0))</f>
        <v>94</v>
      </c>
      <c r="H14" s="22">
        <f>INDEX(H4:H13, MATCH($D$14, D4:D13, 0))</f>
        <v>1924.1386584384102</v>
      </c>
      <c r="I14" s="22">
        <f>INDEX(I4:I13, MATCH($D$14, D4:D13, 0))</f>
        <v>43.511527946878026</v>
      </c>
      <c r="J14" s="22">
        <f>INDEX(J4:J13, MATCH($D$14, D4:D13, 0))</f>
        <v>7477.448014617682</v>
      </c>
      <c r="K14" s="32">
        <f>(D14-$D$15)/$D$15</f>
        <v>9.474701455297771E-2</v>
      </c>
      <c r="L14" s="16">
        <f>MIN(L4:L13)</f>
        <v>2757029.6984113231</v>
      </c>
      <c r="M14" s="21">
        <f>INDEX(M4:M13, MATCH($L$14, L4:L13, 0))</f>
        <v>438.53899999998976</v>
      </c>
      <c r="N14" s="16">
        <f>INDEX(N4:N13, MATCH($L$14, L4:L13, 0))</f>
        <v>28</v>
      </c>
      <c r="O14" s="16">
        <f>INDEX(O4:O13, MATCH($L$14, L4:L13, 0))</f>
        <v>64</v>
      </c>
      <c r="P14" s="21">
        <f>INDEX(P4:P13, MATCH($L$14, L4:L13, 0))</f>
        <v>903.19375435180177</v>
      </c>
      <c r="Q14" s="21">
        <f>INDEX(Q4:Q13, MATCH($L$14, L4:L13, 0))</f>
        <v>16.595124354606845</v>
      </c>
      <c r="R14" s="21">
        <f>INDEX(R4:R13, MATCH($L$14, L4:L13, 0))</f>
        <v>5673.0665060430028</v>
      </c>
      <c r="S14" s="36">
        <f>(L14-$D$15)/$D$15</f>
        <v>0.39065752775013696</v>
      </c>
      <c r="T14" s="38">
        <f>MIN(T4:T13)</f>
        <v>2816925.2871569288</v>
      </c>
      <c r="U14" s="39">
        <f>INDEX(U4:U13, MATCH($T$14, T4:T13, 0))</f>
        <v>1404.9375</v>
      </c>
      <c r="V14" s="38">
        <f>INDEX(V4:V13, MATCH($T$14, T4:T13, 0))</f>
        <v>10</v>
      </c>
      <c r="W14" s="38">
        <f>INDEX(W4:W13, MATCH($T$14, T4:T13, 0))</f>
        <v>53</v>
      </c>
      <c r="X14" s="39">
        <f>INDEX(X4:X13, MATCH($T$14, T4:T13, 0))</f>
        <v>1075.5064554665246</v>
      </c>
      <c r="Y14" s="39">
        <f>INDEX(Y4:Y13, MATCH($T$14, T4:T13, 0))</f>
        <v>58.159011538799653</v>
      </c>
      <c r="Z14" s="39">
        <f>INDEX(Z4:Z13, MATCH($T$14, T4:T13, 0))</f>
        <v>6919.7232967532727</v>
      </c>
      <c r="AA14" s="40">
        <f>(T14-$D$15)/$D$15</f>
        <v>0.42086911793217208</v>
      </c>
    </row>
    <row r="15" spans="2:27" x14ac:dyDescent="0.2">
      <c r="C15" s="1" t="s">
        <v>17</v>
      </c>
      <c r="D15" s="34">
        <v>1982536.780908064</v>
      </c>
      <c r="E15" s="3"/>
      <c r="F15" s="3"/>
      <c r="G15" s="3"/>
      <c r="H15" s="3"/>
      <c r="I15" s="3"/>
      <c r="J15" s="3"/>
      <c r="K15" s="3"/>
      <c r="L15" s="34"/>
      <c r="T15" s="34"/>
    </row>
    <row r="16" spans="2:27" x14ac:dyDescent="0.2">
      <c r="D16" s="2"/>
    </row>
    <row r="17" spans="4:4" x14ac:dyDescent="0.2">
      <c r="D17" s="2"/>
    </row>
  </sheetData>
  <mergeCells count="1">
    <mergeCell ref="B14:C14"/>
  </mergeCells>
  <conditionalFormatting sqref="C1:C13 C15:C16 C36:C1048576">
    <cfRule type="duplicateValues" dxfId="73" priority="7"/>
    <cfRule type="duplicateValues" dxfId="72" priority="8"/>
  </conditionalFormatting>
  <conditionalFormatting sqref="C14">
    <cfRule type="duplicateValues" dxfId="71" priority="3"/>
    <cfRule type="duplicateValues" dxfId="70" priority="4"/>
  </conditionalFormatting>
  <conditionalFormatting sqref="C17:C35">
    <cfRule type="duplicateValues" dxfId="11" priority="1"/>
    <cfRule type="duplicateValues" dxfId="10" priority="2"/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8EF251-0A2E-4C66-B4D5-6D0B5F6ADF8D}">
  <dimension ref="B1:AA17"/>
  <sheetViews>
    <sheetView zoomScale="85" zoomScaleNormal="85" workbookViewId="0">
      <selection activeCell="U20" sqref="U20:U32"/>
    </sheetView>
  </sheetViews>
  <sheetFormatPr baseColWidth="10" defaultColWidth="10.83203125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8.33203125" style="1" bestFit="1" customWidth="1"/>
    <col min="8" max="8" width="19.33203125" style="1" bestFit="1" customWidth="1"/>
    <col min="9" max="9" width="24.83203125" style="1" bestFit="1" customWidth="1"/>
    <col min="10" max="10" width="18.6640625" style="1" bestFit="1" customWidth="1"/>
    <col min="11" max="11" width="12.6640625" style="1" customWidth="1"/>
    <col min="12" max="12" width="12.6640625" style="1" bestFit="1" customWidth="1"/>
    <col min="13" max="14" width="10.83203125" style="1"/>
    <col min="15" max="15" width="18.33203125" style="1" bestFit="1" customWidth="1"/>
    <col min="16" max="16" width="19.33203125" style="1" bestFit="1" customWidth="1"/>
    <col min="17" max="17" width="24.83203125" style="1" bestFit="1" customWidth="1"/>
    <col min="18" max="18" width="18" style="1" bestFit="1" customWidth="1"/>
    <col min="19" max="19" width="10.83203125" style="1"/>
    <col min="20" max="20" width="12.6640625" style="1" bestFit="1" customWidth="1"/>
    <col min="21" max="22" width="10.83203125" style="1"/>
    <col min="23" max="23" width="18.33203125" style="1" bestFit="1" customWidth="1"/>
    <col min="24" max="24" width="19.33203125" style="1" bestFit="1" customWidth="1"/>
    <col min="25" max="25" width="24.83203125" style="1" bestFit="1" customWidth="1"/>
    <col min="26" max="26" width="18" style="1" bestFit="1" customWidth="1"/>
    <col min="27" max="16384" width="10.83203125" style="1"/>
  </cols>
  <sheetData>
    <row r="1" spans="2:27" x14ac:dyDescent="0.2">
      <c r="D1" s="1" t="s">
        <v>14</v>
      </c>
    </row>
    <row r="2" spans="2:27" x14ac:dyDescent="0.2">
      <c r="B2" s="1" t="s">
        <v>18</v>
      </c>
      <c r="D2" s="29">
        <v>200</v>
      </c>
      <c r="H2" s="28">
        <f>(Q14-H14)/H14</f>
        <v>-0.9820468921511103</v>
      </c>
      <c r="J2" s="28" t="e">
        <f>(S14-J14)/J14</f>
        <v>#DIV/0!</v>
      </c>
      <c r="K2" s="28"/>
      <c r="L2" s="1" t="s">
        <v>19</v>
      </c>
      <c r="P2" s="1">
        <f>(P14-H14)/H14</f>
        <v>-0.69684577266937908</v>
      </c>
      <c r="R2" s="1">
        <f>(R14-J14)/J14</f>
        <v>-0.2683990840357533</v>
      </c>
      <c r="T2" s="1" t="s">
        <v>20</v>
      </c>
      <c r="X2" s="1">
        <f>(X14-P14)/P14</f>
        <v>1.6200605212324763</v>
      </c>
      <c r="Z2" s="1">
        <f>(Z14-R14)/R14</f>
        <v>0.36149849093859493</v>
      </c>
    </row>
    <row r="3" spans="2:27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15</v>
      </c>
      <c r="H3" s="8" t="s">
        <v>11</v>
      </c>
      <c r="I3" s="8" t="s">
        <v>16</v>
      </c>
      <c r="J3" s="8" t="s">
        <v>10</v>
      </c>
      <c r="K3" s="8" t="s">
        <v>1</v>
      </c>
      <c r="L3" s="15" t="s">
        <v>0</v>
      </c>
      <c r="M3" s="15" t="s">
        <v>5</v>
      </c>
      <c r="N3" s="15" t="s">
        <v>12</v>
      </c>
      <c r="O3" s="15" t="s">
        <v>15</v>
      </c>
      <c r="P3" s="15" t="s">
        <v>11</v>
      </c>
      <c r="Q3" s="15" t="s">
        <v>16</v>
      </c>
      <c r="R3" s="15" t="s">
        <v>10</v>
      </c>
      <c r="S3" s="15" t="s">
        <v>1</v>
      </c>
      <c r="T3" s="37" t="s">
        <v>0</v>
      </c>
      <c r="U3" s="37" t="s">
        <v>5</v>
      </c>
      <c r="V3" s="37" t="s">
        <v>12</v>
      </c>
      <c r="W3" s="37" t="s">
        <v>15</v>
      </c>
      <c r="X3" s="37" t="s">
        <v>11</v>
      </c>
      <c r="Y3" s="37" t="s">
        <v>16</v>
      </c>
      <c r="Z3" s="37" t="s">
        <v>10</v>
      </c>
      <c r="AA3" s="37" t="s">
        <v>1</v>
      </c>
    </row>
    <row r="4" spans="2:27" x14ac:dyDescent="0.2">
      <c r="B4" s="4">
        <v>1</v>
      </c>
      <c r="C4" s="4">
        <v>438</v>
      </c>
      <c r="D4" s="23">
        <v>2161925.812118669</v>
      </c>
      <c r="E4" s="33">
        <v>662.49249999999302</v>
      </c>
      <c r="F4" s="5">
        <v>13</v>
      </c>
      <c r="G4" s="23">
        <v>89</v>
      </c>
      <c r="H4" s="33">
        <v>1809.1059072958162</v>
      </c>
      <c r="I4" s="23">
        <v>57.041999256020844</v>
      </c>
      <c r="J4" s="5">
        <v>7427.4845209565365</v>
      </c>
      <c r="K4" s="31"/>
      <c r="L4" s="23">
        <v>2877432.2830330702</v>
      </c>
      <c r="M4" s="33">
        <v>410.66400000004796</v>
      </c>
      <c r="N4" s="5">
        <v>43</v>
      </c>
      <c r="O4" s="5">
        <v>89</v>
      </c>
      <c r="P4" s="33">
        <v>2567.2974925269209</v>
      </c>
      <c r="Q4" s="5">
        <v>17.359786460298842</v>
      </c>
      <c r="R4" s="5">
        <v>7470.1743019318792</v>
      </c>
      <c r="S4" s="31"/>
      <c r="T4" s="23">
        <v>3486881.3817043649</v>
      </c>
      <c r="U4" s="33">
        <v>458.55449999996927</v>
      </c>
      <c r="V4" s="5">
        <v>29</v>
      </c>
      <c r="W4" s="5">
        <v>89</v>
      </c>
      <c r="X4" s="33">
        <v>5589.1814021447599</v>
      </c>
      <c r="Y4" s="5">
        <v>55.083544696047959</v>
      </c>
      <c r="Z4" s="5">
        <v>11157.50146001396</v>
      </c>
      <c r="AA4" s="35"/>
    </row>
    <row r="5" spans="2:27" x14ac:dyDescent="0.2">
      <c r="B5" s="4">
        <v>2</v>
      </c>
      <c r="C5" s="4">
        <v>524</v>
      </c>
      <c r="D5" s="23">
        <v>2028994.1182543079</v>
      </c>
      <c r="E5" s="33">
        <v>675.97649999998998</v>
      </c>
      <c r="F5" s="5">
        <v>13</v>
      </c>
      <c r="G5" s="23">
        <v>84</v>
      </c>
      <c r="H5" s="33">
        <v>1106.5317347165947</v>
      </c>
      <c r="I5" s="23">
        <v>52.535057502885259</v>
      </c>
      <c r="J5" s="5">
        <v>6608.9132318235006</v>
      </c>
      <c r="K5" s="31"/>
      <c r="L5" s="23">
        <v>2641374.3460576581</v>
      </c>
      <c r="M5" s="33">
        <v>711.14050000003749</v>
      </c>
      <c r="N5" s="5">
        <v>18</v>
      </c>
      <c r="O5" s="5">
        <v>58.5</v>
      </c>
      <c r="P5" s="33">
        <v>549.57916838627034</v>
      </c>
      <c r="Q5" s="5">
        <v>23.315574159222422</v>
      </c>
      <c r="R5" s="5">
        <v>5473.3676828409689</v>
      </c>
      <c r="S5" s="31"/>
      <c r="T5" s="23">
        <v>2659844.2950459272</v>
      </c>
      <c r="U5" s="33">
        <v>542.8125</v>
      </c>
      <c r="V5" s="5">
        <v>10</v>
      </c>
      <c r="W5" s="5">
        <v>57</v>
      </c>
      <c r="X5" s="33">
        <v>960.22084169299274</v>
      </c>
      <c r="Y5" s="5">
        <v>63.724617641507336</v>
      </c>
      <c r="Z5" s="5">
        <v>6732.8381572843891</v>
      </c>
      <c r="AA5" s="35"/>
    </row>
    <row r="6" spans="2:27" x14ac:dyDescent="0.2">
      <c r="B6" s="4">
        <v>3</v>
      </c>
      <c r="C6" s="4">
        <v>841</v>
      </c>
      <c r="D6" s="23">
        <v>2027826.192385559</v>
      </c>
      <c r="E6" s="33">
        <v>994.23450000002049</v>
      </c>
      <c r="F6" s="5">
        <v>14</v>
      </c>
      <c r="G6" s="23">
        <v>87.5</v>
      </c>
      <c r="H6" s="33">
        <v>1329.2761594024043</v>
      </c>
      <c r="I6" s="23">
        <v>50.884890681838293</v>
      </c>
      <c r="J6" s="5">
        <v>6860.6325315275017</v>
      </c>
      <c r="K6" s="31"/>
      <c r="L6" s="23">
        <v>2724303.8932502512</v>
      </c>
      <c r="M6" s="33">
        <v>386.1479999999865</v>
      </c>
      <c r="N6" s="5">
        <v>25</v>
      </c>
      <c r="O6" s="5">
        <v>61</v>
      </c>
      <c r="P6" s="33">
        <v>672.49490463103257</v>
      </c>
      <c r="Q6" s="5">
        <v>19.104824775307108</v>
      </c>
      <c r="R6" s="5">
        <v>5501.5849333671367</v>
      </c>
      <c r="S6" s="31"/>
      <c r="T6" s="23">
        <v>3041822.1502789352</v>
      </c>
      <c r="U6" s="33">
        <v>588.281499999983</v>
      </c>
      <c r="V6" s="5">
        <v>10</v>
      </c>
      <c r="W6" s="5">
        <v>50.5</v>
      </c>
      <c r="X6" s="33">
        <v>2279.0357896884752</v>
      </c>
      <c r="Y6" s="5">
        <v>70.332253286053756</v>
      </c>
      <c r="Z6" s="5">
        <v>8135.5886774216506</v>
      </c>
      <c r="AA6" s="35"/>
    </row>
    <row r="7" spans="2:27" x14ac:dyDescent="0.2">
      <c r="B7" s="4">
        <v>4</v>
      </c>
      <c r="C7" s="4">
        <v>747</v>
      </c>
      <c r="D7" s="23">
        <v>2070829.061870638</v>
      </c>
      <c r="E7" s="33">
        <v>532.67949999996949</v>
      </c>
      <c r="F7" s="5">
        <v>12</v>
      </c>
      <c r="G7" s="23">
        <v>84</v>
      </c>
      <c r="H7" s="33">
        <v>1272.9804404095437</v>
      </c>
      <c r="I7" s="23">
        <v>57.342007350906833</v>
      </c>
      <c r="J7" s="5">
        <v>6871.6039020629669</v>
      </c>
      <c r="K7" s="31"/>
      <c r="L7" s="23">
        <v>2807637.2603656161</v>
      </c>
      <c r="M7" s="33">
        <v>459.39049999997951</v>
      </c>
      <c r="N7" s="5">
        <v>32</v>
      </c>
      <c r="O7" s="5">
        <v>70</v>
      </c>
      <c r="P7" s="33">
        <v>1500.7590386500585</v>
      </c>
      <c r="Q7" s="5">
        <v>16.474727155579362</v>
      </c>
      <c r="R7" s="5">
        <v>6362.49848661958</v>
      </c>
      <c r="S7" s="31"/>
      <c r="T7" s="23">
        <v>2742359.1702221069</v>
      </c>
      <c r="U7" s="33">
        <v>590.75750000000698</v>
      </c>
      <c r="V7" s="5">
        <v>10</v>
      </c>
      <c r="W7" s="5">
        <v>52.5</v>
      </c>
      <c r="X7" s="33">
        <v>798.38111825070575</v>
      </c>
      <c r="Y7" s="5">
        <v>58.810939889582151</v>
      </c>
      <c r="Z7" s="5">
        <v>6521.1845677513311</v>
      </c>
      <c r="AA7" s="35"/>
    </row>
    <row r="8" spans="2:27" x14ac:dyDescent="0.2">
      <c r="B8" s="4">
        <v>5</v>
      </c>
      <c r="C8" s="4">
        <v>558</v>
      </c>
      <c r="D8" s="23">
        <v>2026342.3352525891</v>
      </c>
      <c r="E8" s="33">
        <v>1001.3830000000305</v>
      </c>
      <c r="F8" s="5">
        <v>16</v>
      </c>
      <c r="G8" s="23">
        <v>88.5</v>
      </c>
      <c r="H8" s="33">
        <v>1253.3596194204649</v>
      </c>
      <c r="I8" s="23">
        <v>46.669315973274095</v>
      </c>
      <c r="J8" s="5">
        <v>6814.6950280732844</v>
      </c>
      <c r="K8" s="31"/>
      <c r="L8" s="23">
        <v>2828035.781549172</v>
      </c>
      <c r="M8" s="33">
        <v>708.39050000003749</v>
      </c>
      <c r="N8" s="5">
        <v>22</v>
      </c>
      <c r="O8" s="5">
        <v>56</v>
      </c>
      <c r="P8" s="33">
        <v>739.06620115318151</v>
      </c>
      <c r="Q8" s="5">
        <v>19.007915721484633</v>
      </c>
      <c r="R8" s="5">
        <v>5599.1854428814759</v>
      </c>
      <c r="S8" s="31"/>
      <c r="T8" s="23">
        <v>2856957.2874268009</v>
      </c>
      <c r="U8" s="33">
        <v>158.96850000001726</v>
      </c>
      <c r="V8" s="5">
        <v>10</v>
      </c>
      <c r="W8" s="5">
        <v>54</v>
      </c>
      <c r="X8" s="33">
        <v>1614.4560315885567</v>
      </c>
      <c r="Y8" s="5">
        <v>66.933455977791724</v>
      </c>
      <c r="Z8" s="5">
        <v>7518.9147030527347</v>
      </c>
      <c r="AA8" s="35"/>
    </row>
    <row r="9" spans="2:27" x14ac:dyDescent="0.2">
      <c r="B9" s="4">
        <v>6</v>
      </c>
      <c r="C9" s="4">
        <v>587</v>
      </c>
      <c r="D9" s="23">
        <v>2034404.4389799479</v>
      </c>
      <c r="E9" s="33">
        <v>1156.031000000017</v>
      </c>
      <c r="F9" s="5">
        <v>13</v>
      </c>
      <c r="G9" s="23">
        <v>87</v>
      </c>
      <c r="H9" s="33">
        <v>1321.6215637217008</v>
      </c>
      <c r="I9" s="23">
        <v>56.2990016713416</v>
      </c>
      <c r="J9" s="5">
        <v>6996.1068829404758</v>
      </c>
      <c r="K9" s="31"/>
      <c r="L9" s="23">
        <v>2625099.3181845481</v>
      </c>
      <c r="M9" s="33">
        <v>604.36749999999302</v>
      </c>
      <c r="N9" s="5">
        <v>23</v>
      </c>
      <c r="O9" s="5">
        <v>63</v>
      </c>
      <c r="P9" s="33">
        <v>829.53296265884569</v>
      </c>
      <c r="Q9" s="5">
        <v>21.112559732791485</v>
      </c>
      <c r="R9" s="5">
        <v>5472.0616486520876</v>
      </c>
      <c r="S9" s="31"/>
      <c r="T9" s="23">
        <v>2681160.8195507061</v>
      </c>
      <c r="U9" s="33">
        <v>279.3125</v>
      </c>
      <c r="V9" s="5">
        <v>12</v>
      </c>
      <c r="W9" s="5">
        <v>58</v>
      </c>
      <c r="X9" s="33">
        <v>1179.5184783216555</v>
      </c>
      <c r="Y9" s="5">
        <v>57.185970355609335</v>
      </c>
      <c r="Z9" s="5">
        <v>6860.3694939612342</v>
      </c>
      <c r="AA9" s="35"/>
    </row>
    <row r="10" spans="2:27" x14ac:dyDescent="0.2">
      <c r="B10" s="4">
        <v>7</v>
      </c>
      <c r="C10" s="4">
        <v>982</v>
      </c>
      <c r="D10" s="23">
        <v>2059055.2551315241</v>
      </c>
      <c r="E10" s="33">
        <v>493.22649999998976</v>
      </c>
      <c r="F10" s="5">
        <v>16</v>
      </c>
      <c r="G10" s="23">
        <v>91</v>
      </c>
      <c r="H10" s="33">
        <v>1543.1260039664385</v>
      </c>
      <c r="I10" s="23">
        <v>49.138990164220829</v>
      </c>
      <c r="J10" s="5">
        <v>7093.6980441483174</v>
      </c>
      <c r="K10" s="31"/>
      <c r="L10" s="23">
        <v>2611077.3784097838</v>
      </c>
      <c r="M10" s="33">
        <v>740.58600000001002</v>
      </c>
      <c r="N10" s="5">
        <v>19</v>
      </c>
      <c r="O10" s="5">
        <v>57.5</v>
      </c>
      <c r="P10" s="33">
        <v>379.96126699281211</v>
      </c>
      <c r="Q10" s="5">
        <v>22.501700420898839</v>
      </c>
      <c r="R10" s="5">
        <v>4985.6371245554128</v>
      </c>
      <c r="S10" s="31"/>
      <c r="T10" s="23">
        <v>2934715.9280905849</v>
      </c>
      <c r="U10" s="33">
        <v>221.08600000001024</v>
      </c>
      <c r="V10" s="5">
        <v>19</v>
      </c>
      <c r="W10" s="5">
        <v>67</v>
      </c>
      <c r="X10" s="33">
        <v>2763.0088244394929</v>
      </c>
      <c r="Y10" s="5">
        <v>50.240122597625785</v>
      </c>
      <c r="Z10" s="5">
        <v>8524.6447247202832</v>
      </c>
      <c r="AA10" s="35"/>
    </row>
    <row r="11" spans="2:27" x14ac:dyDescent="0.2">
      <c r="B11" s="4">
        <v>8</v>
      </c>
      <c r="C11" s="4">
        <v>805</v>
      </c>
      <c r="D11" s="23">
        <v>2062137.471930379</v>
      </c>
      <c r="E11" s="33">
        <v>406.21100000001024</v>
      </c>
      <c r="F11" s="5">
        <v>12</v>
      </c>
      <c r="G11" s="23">
        <v>83.5</v>
      </c>
      <c r="H11" s="33">
        <v>1196.5833644455251</v>
      </c>
      <c r="I11" s="23">
        <v>57.165412756035003</v>
      </c>
      <c r="J11" s="5">
        <v>6769.5963120255337</v>
      </c>
      <c r="K11" s="31"/>
      <c r="L11" s="23">
        <v>2656327.8636389999</v>
      </c>
      <c r="M11" s="33">
        <v>543.23450000002049</v>
      </c>
      <c r="N11" s="5">
        <v>21</v>
      </c>
      <c r="O11" s="5">
        <v>59</v>
      </c>
      <c r="P11" s="33">
        <v>649.09702309039949</v>
      </c>
      <c r="Q11" s="5">
        <v>21.410897512584938</v>
      </c>
      <c r="R11" s="5">
        <v>5203.8771737442212</v>
      </c>
      <c r="S11" s="31"/>
      <c r="T11" s="23">
        <v>2652074.0006949469</v>
      </c>
      <c r="U11" s="33">
        <v>576.25</v>
      </c>
      <c r="V11" s="5">
        <v>10</v>
      </c>
      <c r="W11" s="5">
        <v>57.5</v>
      </c>
      <c r="X11" s="33">
        <v>995.5215152453394</v>
      </c>
      <c r="Y11" s="5">
        <v>64.015082217335504</v>
      </c>
      <c r="Z11" s="5">
        <v>6787.9374214496302</v>
      </c>
      <c r="AA11" s="35"/>
    </row>
    <row r="12" spans="2:27" x14ac:dyDescent="0.2">
      <c r="B12" s="4">
        <v>9</v>
      </c>
      <c r="C12" s="4">
        <v>725</v>
      </c>
      <c r="D12" s="23">
        <v>2130398.449589822</v>
      </c>
      <c r="E12" s="33">
        <v>531.17149999999651</v>
      </c>
      <c r="F12" s="5">
        <v>14</v>
      </c>
      <c r="G12" s="23">
        <v>84</v>
      </c>
      <c r="H12" s="33">
        <v>1344.1696399451007</v>
      </c>
      <c r="I12" s="23">
        <v>46.808967486745814</v>
      </c>
      <c r="J12" s="5">
        <v>6910.7222629269254</v>
      </c>
      <c r="K12" s="31"/>
      <c r="L12" s="23">
        <v>2737919.1623355099</v>
      </c>
      <c r="M12" s="33">
        <v>742.42999999999302</v>
      </c>
      <c r="N12" s="5">
        <v>40</v>
      </c>
      <c r="O12" s="5">
        <v>83.5</v>
      </c>
      <c r="P12" s="33">
        <v>1861.5812265005457</v>
      </c>
      <c r="Q12" s="5">
        <v>17.126020622021834</v>
      </c>
      <c r="R12" s="5">
        <v>6874.982632468329</v>
      </c>
      <c r="S12" s="31"/>
      <c r="T12" s="23">
        <v>2685796.015800749</v>
      </c>
      <c r="U12" s="33">
        <v>1288.28899999999</v>
      </c>
      <c r="V12" s="5">
        <v>10</v>
      </c>
      <c r="W12" s="5">
        <v>56</v>
      </c>
      <c r="X12" s="33">
        <v>1017.6336832501025</v>
      </c>
      <c r="Y12" s="5">
        <v>62.986561925539867</v>
      </c>
      <c r="Z12" s="5">
        <v>6769.5253872685189</v>
      </c>
      <c r="AA12" s="35"/>
    </row>
    <row r="13" spans="2:27" x14ac:dyDescent="0.2">
      <c r="B13" s="4">
        <v>10</v>
      </c>
      <c r="C13" s="4">
        <v>916</v>
      </c>
      <c r="D13" s="23">
        <v>2112247.7713237479</v>
      </c>
      <c r="E13" s="33">
        <v>500.39049999997951</v>
      </c>
      <c r="F13" s="5">
        <v>10</v>
      </c>
      <c r="G13" s="23">
        <v>78.5</v>
      </c>
      <c r="H13" s="33">
        <v>941.20924793992799</v>
      </c>
      <c r="I13" s="23">
        <v>61.787183631261904</v>
      </c>
      <c r="J13" s="5">
        <v>6684.4046379547954</v>
      </c>
      <c r="K13" s="31"/>
      <c r="L13" s="23">
        <v>2908123.684445695</v>
      </c>
      <c r="M13" s="33">
        <v>1101.031000000017</v>
      </c>
      <c r="N13" s="5">
        <v>26</v>
      </c>
      <c r="O13" s="5">
        <v>59</v>
      </c>
      <c r="P13" s="33">
        <v>1118.8771099001644</v>
      </c>
      <c r="Q13" s="5">
        <v>18.025689560572665</v>
      </c>
      <c r="R13" s="5">
        <v>6187.1287308197243</v>
      </c>
      <c r="S13" s="31"/>
      <c r="T13" s="23">
        <v>2731497.9902968118</v>
      </c>
      <c r="U13" s="33">
        <v>733.67200000002049</v>
      </c>
      <c r="V13" s="5">
        <v>10</v>
      </c>
      <c r="W13" s="5">
        <v>56</v>
      </c>
      <c r="X13" s="33">
        <v>1185.858697538293</v>
      </c>
      <c r="Y13" s="5">
        <v>65.485104440623019</v>
      </c>
      <c r="Z13" s="5">
        <v>7015.006904738816</v>
      </c>
      <c r="AA13" s="35"/>
    </row>
    <row r="14" spans="2:27" x14ac:dyDescent="0.2">
      <c r="B14" s="46" t="s">
        <v>3</v>
      </c>
      <c r="C14" s="47"/>
      <c r="D14" s="9">
        <f>MIN(D4:D13)</f>
        <v>2026342.3352525891</v>
      </c>
      <c r="E14" s="22">
        <f>INDEX(E4:E13, MATCH($D$14, D4:D13, 0))</f>
        <v>1001.3830000000305</v>
      </c>
      <c r="F14" s="9">
        <f>INDEX(F4:F13, MATCH($D$14, D4:D13, 0))</f>
        <v>16</v>
      </c>
      <c r="G14" s="9">
        <f>INDEX(G4:G13, MATCH($D$14, D4:D13, 0))</f>
        <v>88.5</v>
      </c>
      <c r="H14" s="22">
        <f>INDEX(H4:H13, MATCH($D$14, D4:D13, 0))</f>
        <v>1253.3596194204649</v>
      </c>
      <c r="I14" s="22">
        <f>INDEX(I4:I13, MATCH($D$14, D4:D13, 0))</f>
        <v>46.669315973274095</v>
      </c>
      <c r="J14" s="22">
        <f>INDEX(J4:J13, MATCH($D$14, D4:D13, 0))</f>
        <v>6814.6950280732844</v>
      </c>
      <c r="K14" s="32" t="e">
        <f>(D14-$D$15)/$D$15</f>
        <v>#DIV/0!</v>
      </c>
      <c r="L14" s="16">
        <f>MIN(L4:L13)</f>
        <v>2611077.3784097838</v>
      </c>
      <c r="M14" s="21">
        <f>INDEX(M4:M13, MATCH($L$14, L4:L13, 0))</f>
        <v>740.58600000001002</v>
      </c>
      <c r="N14" s="16">
        <f>INDEX(N4:N13, MATCH($L$14, L4:L13, 0))</f>
        <v>19</v>
      </c>
      <c r="O14" s="16">
        <f>INDEX(O4:O13, MATCH($L$14, L4:L13, 0))</f>
        <v>57.5</v>
      </c>
      <c r="P14" s="21">
        <f>INDEX(P4:P13, MATCH($L$14, L4:L13, 0))</f>
        <v>379.96126699281211</v>
      </c>
      <c r="Q14" s="21">
        <f>INDEX(Q4:Q13, MATCH($L$14, L4:L13, 0))</f>
        <v>22.501700420898839</v>
      </c>
      <c r="R14" s="21">
        <f>INDEX(R4:R13, MATCH($L$14, L4:L13, 0))</f>
        <v>4985.6371245554128</v>
      </c>
      <c r="S14" s="36" t="e">
        <f>(L14-$D$15)/$D$15</f>
        <v>#DIV/0!</v>
      </c>
      <c r="T14" s="38">
        <f>MIN(T4:T13)</f>
        <v>2652074.0006949469</v>
      </c>
      <c r="U14" s="39">
        <f>INDEX(U4:U13, MATCH($T$14, T4:T13, 0))</f>
        <v>576.25</v>
      </c>
      <c r="V14" s="38">
        <f>INDEX(V4:V13, MATCH($T$14, T4:T13, 0))</f>
        <v>10</v>
      </c>
      <c r="W14" s="38">
        <f>INDEX(W4:W13, MATCH($T$14, T4:T13, 0))</f>
        <v>57.5</v>
      </c>
      <c r="X14" s="39">
        <f>INDEX(X4:X13, MATCH($T$14, T4:T13, 0))</f>
        <v>995.5215152453394</v>
      </c>
      <c r="Y14" s="39">
        <f>INDEX(Y4:Y13, MATCH($T$14, T4:T13, 0))</f>
        <v>64.015082217335504</v>
      </c>
      <c r="Z14" s="39">
        <f>INDEX(Z4:Z13, MATCH($T$14, T4:T13, 0))</f>
        <v>6787.9374214496302</v>
      </c>
      <c r="AA14" s="40" t="e">
        <f>(T14-$D$15)/$D$15</f>
        <v>#DIV/0!</v>
      </c>
    </row>
    <row r="15" spans="2:27" x14ac:dyDescent="0.2">
      <c r="C15" s="1" t="s">
        <v>17</v>
      </c>
      <c r="D15" s="34"/>
      <c r="E15" s="3"/>
      <c r="F15" s="3"/>
      <c r="G15" s="3"/>
      <c r="H15" s="3"/>
      <c r="I15" s="3"/>
      <c r="J15" s="3"/>
      <c r="K15" s="3"/>
      <c r="L15" s="34"/>
      <c r="T15" s="34"/>
    </row>
    <row r="16" spans="2:27" x14ac:dyDescent="0.2">
      <c r="D16" s="2"/>
    </row>
    <row r="17" spans="4:4" x14ac:dyDescent="0.2">
      <c r="D17" s="2"/>
    </row>
  </sheetData>
  <mergeCells count="1">
    <mergeCell ref="B14:C14"/>
  </mergeCells>
  <conditionalFormatting sqref="C1:C13 C15:C16 C36:C1048576">
    <cfRule type="duplicateValues" dxfId="69" priority="7"/>
    <cfRule type="duplicateValues" dxfId="68" priority="8"/>
  </conditionalFormatting>
  <conditionalFormatting sqref="C14">
    <cfRule type="duplicateValues" dxfId="67" priority="3"/>
    <cfRule type="duplicateValues" dxfId="66" priority="4"/>
  </conditionalFormatting>
  <conditionalFormatting sqref="C17:C35">
    <cfRule type="duplicateValues" dxfId="9" priority="1"/>
    <cfRule type="duplicateValues" dxfId="8" priority="2"/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71F4D5-B8BF-435A-B542-5CB8DAB85400}">
  <dimension ref="B1:AA17"/>
  <sheetViews>
    <sheetView zoomScale="85" zoomScaleNormal="85" workbookViewId="0">
      <selection activeCell="U20" sqref="U20:U31"/>
    </sheetView>
  </sheetViews>
  <sheetFormatPr baseColWidth="10" defaultColWidth="10.83203125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8.33203125" style="1" bestFit="1" customWidth="1"/>
    <col min="8" max="8" width="19.33203125" style="1" bestFit="1" customWidth="1"/>
    <col min="9" max="9" width="24.83203125" style="1" bestFit="1" customWidth="1"/>
    <col min="10" max="10" width="18.6640625" style="1" bestFit="1" customWidth="1"/>
    <col min="11" max="11" width="12.6640625" style="1" customWidth="1"/>
    <col min="12" max="12" width="12.6640625" style="1" bestFit="1" customWidth="1"/>
    <col min="13" max="14" width="10.83203125" style="1"/>
    <col min="15" max="15" width="18.33203125" style="1" bestFit="1" customWidth="1"/>
    <col min="16" max="16" width="19.33203125" style="1" bestFit="1" customWidth="1"/>
    <col min="17" max="17" width="24.83203125" style="1" bestFit="1" customWidth="1"/>
    <col min="18" max="18" width="18" style="1" bestFit="1" customWidth="1"/>
    <col min="19" max="19" width="10.83203125" style="1"/>
    <col min="20" max="20" width="12.6640625" style="1" bestFit="1" customWidth="1"/>
    <col min="21" max="22" width="10.83203125" style="1"/>
    <col min="23" max="23" width="18.33203125" style="1" bestFit="1" customWidth="1"/>
    <col min="24" max="24" width="19.33203125" style="1" bestFit="1" customWidth="1"/>
    <col min="25" max="25" width="24.83203125" style="1" bestFit="1" customWidth="1"/>
    <col min="26" max="26" width="18" style="1" bestFit="1" customWidth="1"/>
    <col min="27" max="16384" width="10.83203125" style="1"/>
  </cols>
  <sheetData>
    <row r="1" spans="2:27" x14ac:dyDescent="0.2">
      <c r="D1" s="1" t="s">
        <v>14</v>
      </c>
    </row>
    <row r="2" spans="2:27" x14ac:dyDescent="0.2">
      <c r="B2" s="1" t="s">
        <v>18</v>
      </c>
      <c r="D2" s="29">
        <v>200</v>
      </c>
      <c r="H2" s="28">
        <f>(Q14-H14)/H14</f>
        <v>-0.97668847170761375</v>
      </c>
      <c r="J2" s="28" t="e">
        <f>(S14-J14)/J14</f>
        <v>#DIV/0!</v>
      </c>
      <c r="K2" s="28"/>
      <c r="L2" s="1" t="s">
        <v>19</v>
      </c>
      <c r="P2" s="1">
        <f>(P14-H14)/H14</f>
        <v>-2.4774780965731821E-2</v>
      </c>
      <c r="R2" s="1">
        <f>(R14-J14)/J14</f>
        <v>-0.12938175688148773</v>
      </c>
      <c r="T2" s="1" t="s">
        <v>20</v>
      </c>
      <c r="X2" s="1">
        <f>(X14-P14)/P14</f>
        <v>0.65568559852209274</v>
      </c>
      <c r="Z2" s="1">
        <f>(Z14-R14)/R14</f>
        <v>0.22888435244321889</v>
      </c>
    </row>
    <row r="3" spans="2:27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15</v>
      </c>
      <c r="H3" s="8" t="s">
        <v>11</v>
      </c>
      <c r="I3" s="8" t="s">
        <v>16</v>
      </c>
      <c r="J3" s="8" t="s">
        <v>10</v>
      </c>
      <c r="K3" s="8" t="s">
        <v>1</v>
      </c>
      <c r="L3" s="15" t="s">
        <v>0</v>
      </c>
      <c r="M3" s="15" t="s">
        <v>5</v>
      </c>
      <c r="N3" s="15" t="s">
        <v>12</v>
      </c>
      <c r="O3" s="15" t="s">
        <v>15</v>
      </c>
      <c r="P3" s="15" t="s">
        <v>11</v>
      </c>
      <c r="Q3" s="15" t="s">
        <v>16</v>
      </c>
      <c r="R3" s="15" t="s">
        <v>10</v>
      </c>
      <c r="S3" s="15" t="s">
        <v>1</v>
      </c>
      <c r="T3" s="37" t="s">
        <v>0</v>
      </c>
      <c r="U3" s="37" t="s">
        <v>5</v>
      </c>
      <c r="V3" s="37" t="s">
        <v>12</v>
      </c>
      <c r="W3" s="37" t="s">
        <v>15</v>
      </c>
      <c r="X3" s="37" t="s">
        <v>11</v>
      </c>
      <c r="Y3" s="37" t="s">
        <v>16</v>
      </c>
      <c r="Z3" s="37" t="s">
        <v>10</v>
      </c>
      <c r="AA3" s="37" t="s">
        <v>1</v>
      </c>
    </row>
    <row r="4" spans="2:27" x14ac:dyDescent="0.2">
      <c r="B4" s="4">
        <v>1</v>
      </c>
      <c r="C4" s="4">
        <v>369</v>
      </c>
      <c r="D4" s="23">
        <v>1706415.191524073</v>
      </c>
      <c r="E4" s="33">
        <v>674.42149999999651</v>
      </c>
      <c r="F4" s="5">
        <v>13</v>
      </c>
      <c r="G4" s="23">
        <v>96</v>
      </c>
      <c r="H4" s="33">
        <v>945.56457567550308</v>
      </c>
      <c r="I4" s="23">
        <v>54.587418967186906</v>
      </c>
      <c r="J4" s="5">
        <v>6474.0110980110903</v>
      </c>
      <c r="K4" s="31"/>
      <c r="L4" s="23">
        <v>2795477.3415041082</v>
      </c>
      <c r="M4" s="33">
        <v>526.69550000003051</v>
      </c>
      <c r="N4" s="5">
        <v>28</v>
      </c>
      <c r="O4" s="5">
        <v>66.5</v>
      </c>
      <c r="P4" s="33">
        <v>1136.5153795248907</v>
      </c>
      <c r="Q4" s="5">
        <v>15.506715778009271</v>
      </c>
      <c r="R4" s="5">
        <v>6279.2004037548031</v>
      </c>
      <c r="S4" s="31"/>
      <c r="T4" s="23">
        <v>3224262.1576140989</v>
      </c>
      <c r="U4" s="33">
        <v>232.58600000001024</v>
      </c>
      <c r="V4" s="5">
        <v>14</v>
      </c>
      <c r="W4" s="5">
        <v>52.5</v>
      </c>
      <c r="X4" s="33">
        <v>2811.6353344754843</v>
      </c>
      <c r="Y4" s="5">
        <v>53.344652315013583</v>
      </c>
      <c r="Z4" s="5">
        <v>8769.6198124893435</v>
      </c>
      <c r="AA4" s="35"/>
    </row>
    <row r="5" spans="2:27" x14ac:dyDescent="0.2">
      <c r="B5" s="4">
        <v>2</v>
      </c>
      <c r="C5" s="4">
        <v>933</v>
      </c>
      <c r="D5" s="23">
        <v>1739493.3306032349</v>
      </c>
      <c r="E5" s="33">
        <v>842.57050000003051</v>
      </c>
      <c r="F5" s="5">
        <v>11</v>
      </c>
      <c r="G5" s="23">
        <v>93</v>
      </c>
      <c r="H5" s="33">
        <v>838.21131695807185</v>
      </c>
      <c r="I5" s="23">
        <v>61.189358035882087</v>
      </c>
      <c r="J5" s="5">
        <v>6507.7138121564794</v>
      </c>
      <c r="K5" s="31"/>
      <c r="L5" s="23">
        <v>2559482.912017663</v>
      </c>
      <c r="M5" s="33">
        <v>671.718999999983</v>
      </c>
      <c r="N5" s="5">
        <v>21</v>
      </c>
      <c r="O5" s="5">
        <v>62.5</v>
      </c>
      <c r="P5" s="33">
        <v>480.29131587136777</v>
      </c>
      <c r="Q5" s="5">
        <v>19.527419166270086</v>
      </c>
      <c r="R5" s="5">
        <v>5254.6561574643729</v>
      </c>
      <c r="S5" s="31"/>
      <c r="T5" s="23">
        <v>2422416.3065543282</v>
      </c>
      <c r="U5" s="33">
        <v>268.61749999999302</v>
      </c>
      <c r="V5" s="5">
        <v>11</v>
      </c>
      <c r="W5" s="5">
        <v>67.5</v>
      </c>
      <c r="X5" s="33">
        <v>1103.1949728061538</v>
      </c>
      <c r="Y5" s="5">
        <v>68.664624377097482</v>
      </c>
      <c r="Z5" s="5">
        <v>6764.2799120603186</v>
      </c>
      <c r="AA5" s="35"/>
    </row>
    <row r="6" spans="2:27" x14ac:dyDescent="0.2">
      <c r="B6" s="4">
        <v>3</v>
      </c>
      <c r="C6" s="4">
        <v>896</v>
      </c>
      <c r="D6" s="23">
        <v>1716802.486089675</v>
      </c>
      <c r="E6" s="33">
        <v>584.51549999997951</v>
      </c>
      <c r="F6" s="5">
        <v>13</v>
      </c>
      <c r="G6" s="23">
        <v>95</v>
      </c>
      <c r="H6" s="33">
        <v>919.03814030977173</v>
      </c>
      <c r="I6" s="23">
        <v>53.291712139196093</v>
      </c>
      <c r="J6" s="5">
        <v>6413.2990298068762</v>
      </c>
      <c r="K6" s="31"/>
      <c r="L6" s="23">
        <v>2487193.28996041</v>
      </c>
      <c r="M6" s="33">
        <v>813.24200000002747</v>
      </c>
      <c r="N6" s="5">
        <v>27</v>
      </c>
      <c r="O6" s="5">
        <v>69.5</v>
      </c>
      <c r="P6" s="33">
        <v>612.37137415458028</v>
      </c>
      <c r="Q6" s="5">
        <v>17.723122793886439</v>
      </c>
      <c r="R6" s="5">
        <v>5292.5862166882716</v>
      </c>
      <c r="S6" s="31"/>
      <c r="T6" s="23">
        <v>2454508.0514113158</v>
      </c>
      <c r="U6" s="33">
        <v>568.48399999999651</v>
      </c>
      <c r="V6" s="5">
        <v>16</v>
      </c>
      <c r="W6" s="5">
        <v>71.5</v>
      </c>
      <c r="X6" s="33">
        <v>1435.1649454531312</v>
      </c>
      <c r="Y6" s="5">
        <v>50.72579619538292</v>
      </c>
      <c r="Z6" s="5">
        <v>6892.1852404718702</v>
      </c>
      <c r="AA6" s="35"/>
    </row>
    <row r="7" spans="2:27" x14ac:dyDescent="0.2">
      <c r="B7" s="4">
        <v>4</v>
      </c>
      <c r="C7" s="4">
        <v>1</v>
      </c>
      <c r="D7" s="23">
        <v>1694724.9375272261</v>
      </c>
      <c r="E7" s="33">
        <v>1224.906000000017</v>
      </c>
      <c r="F7" s="5">
        <v>13</v>
      </c>
      <c r="G7" s="23">
        <v>94.5</v>
      </c>
      <c r="H7" s="33">
        <v>801.62847609869164</v>
      </c>
      <c r="I7" s="23">
        <v>53.710384324763886</v>
      </c>
      <c r="J7" s="5">
        <v>6329.1993352075451</v>
      </c>
      <c r="K7" s="31"/>
      <c r="L7" s="23">
        <v>2528100.4522831002</v>
      </c>
      <c r="M7" s="33">
        <v>651.6479999999865</v>
      </c>
      <c r="N7" s="5">
        <v>30</v>
      </c>
      <c r="O7" s="5">
        <v>70</v>
      </c>
      <c r="P7" s="33">
        <v>617.22483490744037</v>
      </c>
      <c r="Q7" s="5">
        <v>15.643254430394766</v>
      </c>
      <c r="R7" s="5">
        <v>5177.0278808492367</v>
      </c>
      <c r="S7" s="31"/>
      <c r="T7" s="23">
        <v>2359811.841077853</v>
      </c>
      <c r="U7" s="33">
        <v>447.78149999998277</v>
      </c>
      <c r="V7" s="5">
        <v>12</v>
      </c>
      <c r="W7" s="5">
        <v>70</v>
      </c>
      <c r="X7" s="33">
        <v>1063.1538208444847</v>
      </c>
      <c r="Y7" s="5">
        <v>66.740289055424668</v>
      </c>
      <c r="Z7" s="5">
        <v>6702.3621853383584</v>
      </c>
      <c r="AA7" s="35"/>
    </row>
    <row r="8" spans="2:27" x14ac:dyDescent="0.2">
      <c r="B8" s="4">
        <v>5</v>
      </c>
      <c r="C8" s="4">
        <v>364</v>
      </c>
      <c r="D8" s="23">
        <v>1841241.5097706879</v>
      </c>
      <c r="E8" s="33">
        <v>232.46850000001726</v>
      </c>
      <c r="F8" s="5">
        <v>12</v>
      </c>
      <c r="G8" s="23">
        <v>92.5</v>
      </c>
      <c r="H8" s="33">
        <v>1045.6592874487467</v>
      </c>
      <c r="I8" s="23">
        <v>56.563156197958072</v>
      </c>
      <c r="J8" s="5">
        <v>6723.9867895243979</v>
      </c>
      <c r="K8" s="31"/>
      <c r="L8" s="23">
        <v>2671449.6592947729</v>
      </c>
      <c r="M8" s="33">
        <v>475.45299999997951</v>
      </c>
      <c r="N8" s="5">
        <v>34</v>
      </c>
      <c r="O8" s="5">
        <v>72.5</v>
      </c>
      <c r="P8" s="33">
        <v>946.42819911264496</v>
      </c>
      <c r="Q8" s="5">
        <v>14.035115529243084</v>
      </c>
      <c r="R8" s="5">
        <v>5838.0150895103434</v>
      </c>
      <c r="S8" s="31"/>
      <c r="T8" s="23">
        <v>2599079.6442750902</v>
      </c>
      <c r="U8" s="33">
        <v>661.70350000000349</v>
      </c>
      <c r="V8" s="5">
        <v>20</v>
      </c>
      <c r="W8" s="5">
        <v>90</v>
      </c>
      <c r="X8" s="33">
        <v>3114.8421191446123</v>
      </c>
      <c r="Y8" s="5">
        <v>65.414096166133746</v>
      </c>
      <c r="Z8" s="5">
        <v>8760.4557919347135</v>
      </c>
      <c r="AA8" s="35"/>
    </row>
    <row r="9" spans="2:27" x14ac:dyDescent="0.2">
      <c r="B9" s="4">
        <v>6</v>
      </c>
      <c r="C9" s="4">
        <v>610</v>
      </c>
      <c r="D9" s="23">
        <v>1782491.99574641</v>
      </c>
      <c r="E9" s="33">
        <v>497.94500000000698</v>
      </c>
      <c r="F9" s="5">
        <v>14</v>
      </c>
      <c r="G9" s="23">
        <v>93</v>
      </c>
      <c r="H9" s="33">
        <v>847.91154002677695</v>
      </c>
      <c r="I9" s="23">
        <v>48.143653137328599</v>
      </c>
      <c r="J9" s="5">
        <v>6419.8297218800453</v>
      </c>
      <c r="K9" s="31"/>
      <c r="L9" s="23">
        <v>2720646.4733698689</v>
      </c>
      <c r="M9" s="33">
        <v>425.60150000004796</v>
      </c>
      <c r="N9" s="5">
        <v>28</v>
      </c>
      <c r="O9" s="5">
        <v>63</v>
      </c>
      <c r="P9" s="33">
        <v>715.40774236777338</v>
      </c>
      <c r="Q9" s="5">
        <v>14.737677905963469</v>
      </c>
      <c r="R9" s="5">
        <v>5368.0786410981509</v>
      </c>
      <c r="S9" s="31"/>
      <c r="T9" s="23">
        <v>2477678.6712010619</v>
      </c>
      <c r="U9" s="33">
        <v>422.8354999999865</v>
      </c>
      <c r="V9" s="5">
        <v>13</v>
      </c>
      <c r="W9" s="5">
        <v>70</v>
      </c>
      <c r="X9" s="33">
        <v>1426.2455245784276</v>
      </c>
      <c r="Y9" s="5">
        <v>61.318855853634687</v>
      </c>
      <c r="Z9" s="5">
        <v>7093.4739378045651</v>
      </c>
      <c r="AA9" s="35"/>
    </row>
    <row r="10" spans="2:27" x14ac:dyDescent="0.2">
      <c r="B10" s="4">
        <v>7</v>
      </c>
      <c r="C10" s="4">
        <v>515</v>
      </c>
      <c r="D10" s="23">
        <v>2007276.059532094</v>
      </c>
      <c r="E10" s="33">
        <v>391.33600000001024</v>
      </c>
      <c r="F10" s="5">
        <v>16</v>
      </c>
      <c r="G10" s="23">
        <v>90.5</v>
      </c>
      <c r="H10" s="33">
        <v>1228.2528871432432</v>
      </c>
      <c r="I10" s="23">
        <v>39.868348168468792</v>
      </c>
      <c r="J10" s="5">
        <v>6708.0416658016266</v>
      </c>
      <c r="K10" s="31"/>
      <c r="L10" s="23">
        <v>2638830.569845085</v>
      </c>
      <c r="M10" s="33">
        <v>679.39100000000349</v>
      </c>
      <c r="N10" s="5">
        <v>35</v>
      </c>
      <c r="O10" s="5">
        <v>75.5</v>
      </c>
      <c r="P10" s="33">
        <v>1194.4442625260181</v>
      </c>
      <c r="Q10" s="5">
        <v>15.072121675592978</v>
      </c>
      <c r="R10" s="5">
        <v>5885.3729079276236</v>
      </c>
      <c r="S10" s="31"/>
      <c r="T10" s="23">
        <v>2353410.6280698068</v>
      </c>
      <c r="U10" s="33">
        <v>789.67200000002049</v>
      </c>
      <c r="V10" s="5">
        <v>16</v>
      </c>
      <c r="W10" s="5">
        <v>74</v>
      </c>
      <c r="X10" s="33">
        <v>1294.3625259355761</v>
      </c>
      <c r="Y10" s="5">
        <v>52.582620441653376</v>
      </c>
      <c r="Z10" s="5">
        <v>6771.5416078102962</v>
      </c>
      <c r="AA10" s="35"/>
    </row>
    <row r="11" spans="2:27" x14ac:dyDescent="0.2">
      <c r="B11" s="4">
        <v>8</v>
      </c>
      <c r="C11" s="4">
        <v>93</v>
      </c>
      <c r="D11" s="23">
        <v>1869744.4679618699</v>
      </c>
      <c r="E11" s="33">
        <v>374.13300000003073</v>
      </c>
      <c r="F11" s="5">
        <v>14</v>
      </c>
      <c r="G11" s="23">
        <v>94</v>
      </c>
      <c r="H11" s="33">
        <v>1180.2978200379391</v>
      </c>
      <c r="I11" s="23">
        <v>50.067219315527765</v>
      </c>
      <c r="J11" s="5">
        <v>6783.9836613140897</v>
      </c>
      <c r="K11" s="31"/>
      <c r="L11" s="23">
        <v>2479452.2963805711</v>
      </c>
      <c r="M11" s="33">
        <v>918.66399999998998</v>
      </c>
      <c r="N11" s="5">
        <v>24</v>
      </c>
      <c r="O11" s="5">
        <v>72</v>
      </c>
      <c r="P11" s="33">
        <v>948.57110038082703</v>
      </c>
      <c r="Q11" s="5">
        <v>20.134213703256297</v>
      </c>
      <c r="R11" s="5">
        <v>5880.1273938400445</v>
      </c>
      <c r="S11" s="31"/>
      <c r="T11" s="23">
        <v>2529489.1579205189</v>
      </c>
      <c r="U11" s="33">
        <v>526.74249999999302</v>
      </c>
      <c r="V11" s="5">
        <v>10</v>
      </c>
      <c r="W11" s="5">
        <v>66.5</v>
      </c>
      <c r="X11" s="33">
        <v>1370.0620021722045</v>
      </c>
      <c r="Y11" s="5">
        <v>70.492267821122297</v>
      </c>
      <c r="Z11" s="5">
        <v>7144.4951664588107</v>
      </c>
      <c r="AA11" s="35"/>
    </row>
    <row r="12" spans="2:27" x14ac:dyDescent="0.2">
      <c r="B12" s="4">
        <v>9</v>
      </c>
      <c r="C12" s="4">
        <v>916</v>
      </c>
      <c r="D12" s="23">
        <v>2097110.6113386441</v>
      </c>
      <c r="E12" s="33">
        <v>403.46100000001024</v>
      </c>
      <c r="F12" s="5">
        <v>10</v>
      </c>
      <c r="G12" s="23">
        <v>84</v>
      </c>
      <c r="H12" s="33">
        <v>1172.0399252243533</v>
      </c>
      <c r="I12" s="23">
        <v>59.518847854304703</v>
      </c>
      <c r="J12" s="5">
        <v>6998.418509096</v>
      </c>
      <c r="K12" s="31"/>
      <c r="L12" s="23">
        <v>2390514.8302235878</v>
      </c>
      <c r="M12" s="33">
        <v>784.531000000017</v>
      </c>
      <c r="N12" s="5">
        <v>28</v>
      </c>
      <c r="O12" s="5">
        <v>75.5</v>
      </c>
      <c r="P12" s="33">
        <v>781.76830618745316</v>
      </c>
      <c r="Q12" s="5">
        <v>18.687184900557096</v>
      </c>
      <c r="R12" s="5">
        <v>5510.3164055652487</v>
      </c>
      <c r="S12" s="31"/>
      <c r="T12" s="23">
        <v>2470151.3574585631</v>
      </c>
      <c r="U12" s="33">
        <v>825.4604999999865</v>
      </c>
      <c r="V12" s="5">
        <v>10</v>
      </c>
      <c r="W12" s="5">
        <v>64.5</v>
      </c>
      <c r="X12" s="33">
        <v>976.61686750200522</v>
      </c>
      <c r="Y12" s="5">
        <v>64.634851275395818</v>
      </c>
      <c r="Z12" s="5">
        <v>6616.2721413832987</v>
      </c>
      <c r="AA12" s="35"/>
    </row>
    <row r="13" spans="2:27" x14ac:dyDescent="0.2">
      <c r="B13" s="4">
        <v>10</v>
      </c>
      <c r="C13" s="4">
        <v>792</v>
      </c>
      <c r="D13" s="23">
        <v>2000487.0358824099</v>
      </c>
      <c r="E13" s="33">
        <v>327.21099999995204</v>
      </c>
      <c r="F13" s="5">
        <v>15</v>
      </c>
      <c r="G13" s="23">
        <v>91</v>
      </c>
      <c r="H13" s="33">
        <v>1291.7558069353547</v>
      </c>
      <c r="I13" s="23">
        <v>44.572235425313671</v>
      </c>
      <c r="J13" s="5">
        <v>6864.9151901095165</v>
      </c>
      <c r="K13" s="31"/>
      <c r="L13" s="23">
        <v>2812307.8175890511</v>
      </c>
      <c r="M13" s="33">
        <v>536.5625</v>
      </c>
      <c r="N13" s="5">
        <v>40</v>
      </c>
      <c r="O13" s="5">
        <v>78.5</v>
      </c>
      <c r="P13" s="33">
        <v>1622.6949100168576</v>
      </c>
      <c r="Q13" s="5">
        <v>13.871853146622934</v>
      </c>
      <c r="R13" s="5">
        <v>6513.8817595615128</v>
      </c>
      <c r="S13" s="31"/>
      <c r="T13" s="23">
        <v>2567505.1574412701</v>
      </c>
      <c r="U13" s="33">
        <v>1150.6954999999725</v>
      </c>
      <c r="V13" s="5">
        <v>18</v>
      </c>
      <c r="W13" s="5">
        <v>79.5</v>
      </c>
      <c r="X13" s="33">
        <v>2332.6174984951958</v>
      </c>
      <c r="Y13" s="5">
        <v>58.866010768667643</v>
      </c>
      <c r="Z13" s="5">
        <v>7948.4251108357475</v>
      </c>
      <c r="AA13" s="35"/>
    </row>
    <row r="14" spans="2:27" x14ac:dyDescent="0.2">
      <c r="B14" s="46" t="s">
        <v>3</v>
      </c>
      <c r="C14" s="47"/>
      <c r="D14" s="9">
        <f>MIN(D4:D13)</f>
        <v>1694724.9375272261</v>
      </c>
      <c r="E14" s="22">
        <f>INDEX(E4:E13, MATCH($D$14, D4:D13, 0))</f>
        <v>1224.906000000017</v>
      </c>
      <c r="F14" s="9">
        <f>INDEX(F4:F13, MATCH($D$14, D4:D13, 0))</f>
        <v>13</v>
      </c>
      <c r="G14" s="9">
        <f>INDEX(G4:G13, MATCH($D$14, D4:D13, 0))</f>
        <v>94.5</v>
      </c>
      <c r="H14" s="22">
        <f>INDEX(H4:H13, MATCH($D$14, D4:D13, 0))</f>
        <v>801.62847609869164</v>
      </c>
      <c r="I14" s="22">
        <f>INDEX(I4:I13, MATCH($D$14, D4:D13, 0))</f>
        <v>53.710384324763886</v>
      </c>
      <c r="J14" s="22">
        <f>INDEX(J4:J13, MATCH($D$14, D4:D13, 0))</f>
        <v>6329.1993352075451</v>
      </c>
      <c r="K14" s="32" t="e">
        <f>(D14-$D$15)/$D$15</f>
        <v>#DIV/0!</v>
      </c>
      <c r="L14" s="16">
        <f>MIN(L4:L13)</f>
        <v>2390514.8302235878</v>
      </c>
      <c r="M14" s="21">
        <f>INDEX(M4:M13, MATCH($L$14, L4:L13, 0))</f>
        <v>784.531000000017</v>
      </c>
      <c r="N14" s="16">
        <f>INDEX(N4:N13, MATCH($L$14, L4:L13, 0))</f>
        <v>28</v>
      </c>
      <c r="O14" s="16">
        <f>INDEX(O4:O13, MATCH($L$14, L4:L13, 0))</f>
        <v>75.5</v>
      </c>
      <c r="P14" s="21">
        <f>INDEX(P4:P13, MATCH($L$14, L4:L13, 0))</f>
        <v>781.76830618745316</v>
      </c>
      <c r="Q14" s="21">
        <f>INDEX(Q4:Q13, MATCH($L$14, L4:L13, 0))</f>
        <v>18.687184900557096</v>
      </c>
      <c r="R14" s="21">
        <f>INDEX(R4:R13, MATCH($L$14, L4:L13, 0))</f>
        <v>5510.3164055652487</v>
      </c>
      <c r="S14" s="36" t="e">
        <f>(L14-$D$15)/$D$15</f>
        <v>#DIV/0!</v>
      </c>
      <c r="T14" s="38">
        <f>MIN(T4:T13)</f>
        <v>2353410.6280698068</v>
      </c>
      <c r="U14" s="39">
        <f>INDEX(U4:U13, MATCH($T$14, T4:T13, 0))</f>
        <v>789.67200000002049</v>
      </c>
      <c r="V14" s="38">
        <f>INDEX(V4:V13, MATCH($T$14, T4:T13, 0))</f>
        <v>16</v>
      </c>
      <c r="W14" s="38">
        <f>INDEX(W4:W13, MATCH($T$14, T4:T13, 0))</f>
        <v>74</v>
      </c>
      <c r="X14" s="39">
        <f>INDEX(X4:X13, MATCH($T$14, T4:T13, 0))</f>
        <v>1294.3625259355761</v>
      </c>
      <c r="Y14" s="39">
        <f>INDEX(Y4:Y13, MATCH($T$14, T4:T13, 0))</f>
        <v>52.582620441653376</v>
      </c>
      <c r="Z14" s="39">
        <f>INDEX(Z4:Z13, MATCH($T$14, T4:T13, 0))</f>
        <v>6771.5416078102962</v>
      </c>
      <c r="AA14" s="40" t="e">
        <f>(T14-$D$15)/$D$15</f>
        <v>#DIV/0!</v>
      </c>
    </row>
    <row r="15" spans="2:27" x14ac:dyDescent="0.2">
      <c r="C15" s="1" t="s">
        <v>17</v>
      </c>
      <c r="D15" s="34"/>
      <c r="E15" s="3"/>
      <c r="F15" s="3"/>
      <c r="G15" s="3"/>
      <c r="H15" s="3"/>
      <c r="I15" s="3"/>
      <c r="J15" s="3"/>
      <c r="K15" s="3"/>
      <c r="L15" s="34"/>
      <c r="T15" s="34"/>
    </row>
    <row r="16" spans="2:27" x14ac:dyDescent="0.2">
      <c r="D16" s="2"/>
    </row>
    <row r="17" spans="4:4" x14ac:dyDescent="0.2">
      <c r="D17" s="2"/>
    </row>
  </sheetData>
  <mergeCells count="1">
    <mergeCell ref="B14:C14"/>
  </mergeCells>
  <conditionalFormatting sqref="C1:C13 C15:C16 C36:C1048576">
    <cfRule type="duplicateValues" dxfId="65" priority="7"/>
    <cfRule type="duplicateValues" dxfId="64" priority="8"/>
  </conditionalFormatting>
  <conditionalFormatting sqref="C14">
    <cfRule type="duplicateValues" dxfId="63" priority="3"/>
    <cfRule type="duplicateValues" dxfId="62" priority="4"/>
  </conditionalFormatting>
  <conditionalFormatting sqref="C17:C35">
    <cfRule type="duplicateValues" dxfId="7" priority="1"/>
    <cfRule type="duplicateValues" dxfId="6" priority="2"/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3870EF-7167-4EED-8B83-A960B9095853}">
  <dimension ref="B1:AA17"/>
  <sheetViews>
    <sheetView zoomScale="85" zoomScaleNormal="85" workbookViewId="0">
      <selection activeCell="U19" sqref="U19:U32"/>
    </sheetView>
  </sheetViews>
  <sheetFormatPr baseColWidth="10" defaultColWidth="10.83203125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8.33203125" style="1" bestFit="1" customWidth="1"/>
    <col min="8" max="8" width="19.33203125" style="1" bestFit="1" customWidth="1"/>
    <col min="9" max="9" width="24.83203125" style="1" bestFit="1" customWidth="1"/>
    <col min="10" max="10" width="18.6640625" style="1" bestFit="1" customWidth="1"/>
    <col min="11" max="11" width="12.6640625" style="1" customWidth="1"/>
    <col min="12" max="12" width="12.6640625" style="1" bestFit="1" customWidth="1"/>
    <col min="13" max="14" width="10.83203125" style="1"/>
    <col min="15" max="15" width="18.33203125" style="1" bestFit="1" customWidth="1"/>
    <col min="16" max="16" width="19.33203125" style="1" bestFit="1" customWidth="1"/>
    <col min="17" max="17" width="24.83203125" style="1" bestFit="1" customWidth="1"/>
    <col min="18" max="18" width="18" style="1" bestFit="1" customWidth="1"/>
    <col min="19" max="19" width="10.83203125" style="1"/>
    <col min="20" max="20" width="12.6640625" style="1" bestFit="1" customWidth="1"/>
    <col min="21" max="22" width="10.83203125" style="1"/>
    <col min="23" max="23" width="18.33203125" style="1" bestFit="1" customWidth="1"/>
    <col min="24" max="24" width="19.33203125" style="1" bestFit="1" customWidth="1"/>
    <col min="25" max="25" width="24.83203125" style="1" bestFit="1" customWidth="1"/>
    <col min="26" max="26" width="18" style="1" bestFit="1" customWidth="1"/>
    <col min="27" max="16384" width="10.83203125" style="1"/>
  </cols>
  <sheetData>
    <row r="1" spans="2:27" x14ac:dyDescent="0.2">
      <c r="D1" s="1" t="s">
        <v>14</v>
      </c>
    </row>
    <row r="2" spans="2:27" x14ac:dyDescent="0.2">
      <c r="B2" s="1" t="s">
        <v>18</v>
      </c>
      <c r="D2" s="29">
        <v>200</v>
      </c>
      <c r="H2" s="28">
        <f>(Q14-H14)/H14</f>
        <v>-0.96800718577428135</v>
      </c>
      <c r="J2" s="28" t="e">
        <f>(S14-J14)/J14</f>
        <v>#DIV/0!</v>
      </c>
      <c r="K2" s="28"/>
      <c r="L2" s="1" t="s">
        <v>19</v>
      </c>
      <c r="P2" s="1">
        <f>(P14-H14)/H14</f>
        <v>0.49182475776451512</v>
      </c>
      <c r="R2" s="1">
        <f>(R14-J14)/J14</f>
        <v>-9.1810757516841465E-2</v>
      </c>
      <c r="T2" s="1" t="s">
        <v>20</v>
      </c>
      <c r="X2" s="1">
        <f>(X14-P14)/P14</f>
        <v>0.26244998300999772</v>
      </c>
      <c r="Z2" s="1">
        <f>(Z14-R14)/R14</f>
        <v>0.16963489340221158</v>
      </c>
    </row>
    <row r="3" spans="2:27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15</v>
      </c>
      <c r="H3" s="8" t="s">
        <v>11</v>
      </c>
      <c r="I3" s="8" t="s">
        <v>16</v>
      </c>
      <c r="J3" s="8" t="s">
        <v>10</v>
      </c>
      <c r="K3" s="8" t="s">
        <v>1</v>
      </c>
      <c r="L3" s="15" t="s">
        <v>0</v>
      </c>
      <c r="M3" s="15" t="s">
        <v>5</v>
      </c>
      <c r="N3" s="15" t="s">
        <v>12</v>
      </c>
      <c r="O3" s="15" t="s">
        <v>15</v>
      </c>
      <c r="P3" s="15" t="s">
        <v>11</v>
      </c>
      <c r="Q3" s="15" t="s">
        <v>16</v>
      </c>
      <c r="R3" s="15" t="s">
        <v>10</v>
      </c>
      <c r="S3" s="15" t="s">
        <v>1</v>
      </c>
      <c r="T3" s="37" t="s">
        <v>0</v>
      </c>
      <c r="U3" s="37" t="s">
        <v>5</v>
      </c>
      <c r="V3" s="37" t="s">
        <v>12</v>
      </c>
      <c r="W3" s="37" t="s">
        <v>15</v>
      </c>
      <c r="X3" s="37" t="s">
        <v>11</v>
      </c>
      <c r="Y3" s="37" t="s">
        <v>16</v>
      </c>
      <c r="Z3" s="37" t="s">
        <v>10</v>
      </c>
      <c r="AA3" s="37" t="s">
        <v>1</v>
      </c>
    </row>
    <row r="4" spans="2:27" x14ac:dyDescent="0.2">
      <c r="B4" s="4">
        <v>1</v>
      </c>
      <c r="C4" s="4">
        <v>102</v>
      </c>
      <c r="D4" s="23">
        <v>1771664.996961527</v>
      </c>
      <c r="E4" s="33">
        <v>281.59399999998277</v>
      </c>
      <c r="F4" s="5">
        <v>12</v>
      </c>
      <c r="G4" s="23">
        <v>97</v>
      </c>
      <c r="H4" s="33">
        <v>1154.6315447286897</v>
      </c>
      <c r="I4" s="23">
        <v>58.276734412398163</v>
      </c>
      <c r="J4" s="5">
        <v>6788.0292032078187</v>
      </c>
      <c r="K4" s="31"/>
      <c r="L4" s="23">
        <v>2394892.7295246599</v>
      </c>
      <c r="M4" s="33">
        <v>493.52350000001024</v>
      </c>
      <c r="N4" s="5">
        <v>39</v>
      </c>
      <c r="O4" s="5">
        <v>89</v>
      </c>
      <c r="P4" s="33">
        <v>1261.2245104024548</v>
      </c>
      <c r="Q4" s="5">
        <v>16.670997769226535</v>
      </c>
      <c r="R4" s="5">
        <v>6049.0958703453407</v>
      </c>
      <c r="S4" s="31"/>
      <c r="T4" s="23">
        <v>2836040.674764548</v>
      </c>
      <c r="U4" s="33">
        <v>216.54700000002049</v>
      </c>
      <c r="V4" s="5">
        <v>23</v>
      </c>
      <c r="W4" s="5">
        <v>89</v>
      </c>
      <c r="X4" s="33">
        <v>3587.1023577549763</v>
      </c>
      <c r="Y4" s="5">
        <v>60.469280311082123</v>
      </c>
      <c r="Z4" s="5">
        <v>9185.6060717161417</v>
      </c>
      <c r="AA4" s="35"/>
    </row>
    <row r="5" spans="2:27" x14ac:dyDescent="0.2">
      <c r="B5" s="4">
        <v>2</v>
      </c>
      <c r="C5" s="4">
        <v>77</v>
      </c>
      <c r="D5" s="23">
        <v>1631258.8679370231</v>
      </c>
      <c r="E5" s="33">
        <v>389.30499999999302</v>
      </c>
      <c r="F5" s="5">
        <v>14</v>
      </c>
      <c r="G5" s="23">
        <v>95.5</v>
      </c>
      <c r="H5" s="33">
        <v>714.49240675277451</v>
      </c>
      <c r="I5" s="23">
        <v>49.293832232579526</v>
      </c>
      <c r="J5" s="5">
        <v>6045.2050174588703</v>
      </c>
      <c r="K5" s="31"/>
      <c r="L5" s="23">
        <v>2179800.757253082</v>
      </c>
      <c r="M5" s="33">
        <v>1299.968500000017</v>
      </c>
      <c r="N5" s="5">
        <v>36</v>
      </c>
      <c r="O5" s="5">
        <v>89</v>
      </c>
      <c r="P5" s="33">
        <v>820.15556699973763</v>
      </c>
      <c r="Q5" s="5">
        <v>17.588583749294166</v>
      </c>
      <c r="R5" s="5">
        <v>5514.2946481624704</v>
      </c>
      <c r="S5" s="31"/>
      <c r="T5" s="23">
        <v>2385096.4153212099</v>
      </c>
      <c r="U5" s="33">
        <v>279.02350000001024</v>
      </c>
      <c r="V5" s="5">
        <v>17</v>
      </c>
      <c r="W5" s="5">
        <v>76</v>
      </c>
      <c r="X5" s="33">
        <v>1462.8221154530115</v>
      </c>
      <c r="Y5" s="5">
        <v>51.312696682642347</v>
      </c>
      <c r="Z5" s="5">
        <v>6895.4152607176111</v>
      </c>
      <c r="AA5" s="35"/>
    </row>
    <row r="6" spans="2:27" x14ac:dyDescent="0.2">
      <c r="B6" s="4">
        <v>3</v>
      </c>
      <c r="C6" s="4">
        <v>649</v>
      </c>
      <c r="D6" s="23">
        <v>1600000.6064988479</v>
      </c>
      <c r="E6" s="33">
        <v>568.63300000003051</v>
      </c>
      <c r="F6" s="5">
        <v>12</v>
      </c>
      <c r="G6" s="23">
        <v>94.5</v>
      </c>
      <c r="H6" s="33">
        <v>575.61818331799395</v>
      </c>
      <c r="I6" s="23">
        <v>56.947442382665947</v>
      </c>
      <c r="J6" s="5">
        <v>6027.7008398507724</v>
      </c>
      <c r="K6" s="31"/>
      <c r="L6" s="23">
        <v>2293092.8133000331</v>
      </c>
      <c r="M6" s="33">
        <v>991.02350000001002</v>
      </c>
      <c r="N6" s="5">
        <v>35</v>
      </c>
      <c r="O6" s="5">
        <v>86.5</v>
      </c>
      <c r="P6" s="33">
        <v>1025.7317050985055</v>
      </c>
      <c r="Q6" s="5">
        <v>16.806291994970458</v>
      </c>
      <c r="R6" s="5">
        <v>5671.9148461108844</v>
      </c>
      <c r="S6" s="31"/>
      <c r="T6" s="23">
        <v>2469010.8682031059</v>
      </c>
      <c r="U6" s="33">
        <v>428.4375</v>
      </c>
      <c r="V6" s="5">
        <v>13</v>
      </c>
      <c r="W6" s="5">
        <v>68</v>
      </c>
      <c r="X6" s="33">
        <v>1285.8005031594191</v>
      </c>
      <c r="Y6" s="5">
        <v>61.489176008616553</v>
      </c>
      <c r="Z6" s="5">
        <v>6873.8358944202701</v>
      </c>
      <c r="AA6" s="35"/>
    </row>
    <row r="7" spans="2:27" x14ac:dyDescent="0.2">
      <c r="B7" s="4">
        <v>4</v>
      </c>
      <c r="C7" s="4">
        <v>175</v>
      </c>
      <c r="D7" s="23">
        <v>1664328.67716418</v>
      </c>
      <c r="E7" s="33">
        <v>329.44549999997253</v>
      </c>
      <c r="F7" s="5">
        <v>17</v>
      </c>
      <c r="G7" s="23">
        <v>94</v>
      </c>
      <c r="H7" s="33">
        <v>634.08608084053276</v>
      </c>
      <c r="I7" s="23">
        <v>40.090318529168684</v>
      </c>
      <c r="J7" s="5">
        <v>5742.6452373212296</v>
      </c>
      <c r="K7" s="31"/>
      <c r="L7" s="23">
        <v>2580393.7113057221</v>
      </c>
      <c r="M7" s="33">
        <v>429.89049999997951</v>
      </c>
      <c r="N7" s="5">
        <v>41</v>
      </c>
      <c r="O7" s="5">
        <v>89</v>
      </c>
      <c r="P7" s="33">
        <v>1578.2398831710623</v>
      </c>
      <c r="Q7" s="5">
        <v>15.394824716200253</v>
      </c>
      <c r="R7" s="5">
        <v>6587.3144790612432</v>
      </c>
      <c r="S7" s="31"/>
      <c r="T7" s="23">
        <v>2484472.1238389602</v>
      </c>
      <c r="U7" s="33">
        <v>316.55450000002747</v>
      </c>
      <c r="V7" s="5">
        <v>23</v>
      </c>
      <c r="W7" s="5">
        <v>76.5</v>
      </c>
      <c r="X7" s="33">
        <v>1544.3563524180972</v>
      </c>
      <c r="Y7" s="5">
        <v>40.588682257034705</v>
      </c>
      <c r="Z7" s="5">
        <v>6904.6107868947956</v>
      </c>
      <c r="AA7" s="35"/>
    </row>
    <row r="8" spans="2:27" x14ac:dyDescent="0.2">
      <c r="B8" s="4">
        <v>5</v>
      </c>
      <c r="C8" s="4">
        <v>271</v>
      </c>
      <c r="D8" s="23">
        <v>1559970.5957972179</v>
      </c>
      <c r="E8" s="33">
        <v>600.01600000000349</v>
      </c>
      <c r="F8" s="5">
        <v>13</v>
      </c>
      <c r="G8" s="23">
        <v>97.5</v>
      </c>
      <c r="H8" s="33">
        <v>727.67930654165434</v>
      </c>
      <c r="I8" s="23">
        <v>54.424091147819347</v>
      </c>
      <c r="J8" s="5">
        <v>6042.7724632950349</v>
      </c>
      <c r="K8" s="31"/>
      <c r="L8" s="23">
        <v>2564541.3590467102</v>
      </c>
      <c r="M8" s="33">
        <v>276.125</v>
      </c>
      <c r="N8" s="5">
        <v>40</v>
      </c>
      <c r="O8" s="5">
        <v>89</v>
      </c>
      <c r="P8" s="33">
        <v>1692.1112244302712</v>
      </c>
      <c r="Q8" s="5">
        <v>16.010367923751062</v>
      </c>
      <c r="R8" s="5">
        <v>6563.5554522131151</v>
      </c>
      <c r="S8" s="31"/>
      <c r="T8" s="23">
        <v>2102660.338267507</v>
      </c>
      <c r="U8" s="33">
        <v>509.531499999983</v>
      </c>
      <c r="V8" s="5">
        <v>15</v>
      </c>
      <c r="W8" s="5">
        <v>80</v>
      </c>
      <c r="X8" s="33">
        <v>1035.4053816243738</v>
      </c>
      <c r="Y8" s="5">
        <v>64.301818106744832</v>
      </c>
      <c r="Z8" s="5">
        <v>6449.7114329918968</v>
      </c>
      <c r="AA8" s="35"/>
    </row>
    <row r="9" spans="2:27" x14ac:dyDescent="0.2">
      <c r="B9" s="4">
        <v>6</v>
      </c>
      <c r="C9" s="4">
        <v>15</v>
      </c>
      <c r="D9" s="23">
        <v>1513065.256709242</v>
      </c>
      <c r="E9" s="33">
        <v>676.36749999999302</v>
      </c>
      <c r="F9" s="5">
        <v>11</v>
      </c>
      <c r="G9" s="23">
        <v>97</v>
      </c>
      <c r="H9" s="33">
        <v>549.76669527105366</v>
      </c>
      <c r="I9" s="23">
        <v>64.326149083315983</v>
      </c>
      <c r="J9" s="5">
        <v>6071.7462729302561</v>
      </c>
      <c r="K9" s="31"/>
      <c r="L9" s="23">
        <v>2233518.3653856632</v>
      </c>
      <c r="M9" s="33">
        <v>456.40600000001723</v>
      </c>
      <c r="N9" s="5">
        <v>34</v>
      </c>
      <c r="O9" s="5">
        <v>86</v>
      </c>
      <c r="P9" s="33">
        <v>858.13066839621308</v>
      </c>
      <c r="Q9" s="5">
        <v>17.875483100780396</v>
      </c>
      <c r="R9" s="5">
        <v>5601.5028761460817</v>
      </c>
      <c r="S9" s="31"/>
      <c r="T9" s="23">
        <v>2107479.7534912662</v>
      </c>
      <c r="U9" s="33">
        <v>708.03899999998998</v>
      </c>
      <c r="V9" s="5">
        <v>19</v>
      </c>
      <c r="W9" s="5">
        <v>87</v>
      </c>
      <c r="X9" s="33">
        <v>1454.0632307656333</v>
      </c>
      <c r="Y9" s="5">
        <v>59.811581552522334</v>
      </c>
      <c r="Z9" s="5">
        <v>6927.4235295749504</v>
      </c>
      <c r="AA9" s="35"/>
    </row>
    <row r="10" spans="2:27" x14ac:dyDescent="0.2">
      <c r="B10" s="4">
        <v>7</v>
      </c>
      <c r="C10" s="4">
        <v>538</v>
      </c>
      <c r="D10" s="23">
        <v>1542034.097472169</v>
      </c>
      <c r="E10" s="33">
        <v>1170.382500000007</v>
      </c>
      <c r="F10" s="5">
        <v>12</v>
      </c>
      <c r="G10" s="23">
        <v>97.5</v>
      </c>
      <c r="H10" s="33">
        <v>627.47085341096852</v>
      </c>
      <c r="I10" s="23">
        <v>59.096136579752816</v>
      </c>
      <c r="J10" s="5">
        <v>6111.5632585950234</v>
      </c>
      <c r="K10" s="31"/>
      <c r="L10" s="23">
        <v>2294489.267292175</v>
      </c>
      <c r="M10" s="33">
        <v>1167.0854999999865</v>
      </c>
      <c r="N10" s="5">
        <v>31</v>
      </c>
      <c r="O10" s="5">
        <v>81.5</v>
      </c>
      <c r="P10" s="33">
        <v>777.58434959930378</v>
      </c>
      <c r="Q10" s="5">
        <v>17.765936951387967</v>
      </c>
      <c r="R10" s="5">
        <v>5586.3394172085964</v>
      </c>
      <c r="S10" s="31"/>
      <c r="T10" s="23">
        <v>2360213.6292576641</v>
      </c>
      <c r="U10" s="33">
        <v>323.49199999996927</v>
      </c>
      <c r="V10" s="5">
        <v>17</v>
      </c>
      <c r="W10" s="5">
        <v>78</v>
      </c>
      <c r="X10" s="33">
        <v>1616.4326695379714</v>
      </c>
      <c r="Y10" s="5">
        <v>61.447113746942051</v>
      </c>
      <c r="Z10" s="5">
        <v>7179.8869728331038</v>
      </c>
      <c r="AA10" s="35"/>
    </row>
    <row r="11" spans="2:27" x14ac:dyDescent="0.2">
      <c r="B11" s="4">
        <v>8</v>
      </c>
      <c r="C11" s="4">
        <v>8</v>
      </c>
      <c r="D11" s="23">
        <v>1598757.018321699</v>
      </c>
      <c r="E11" s="33">
        <v>470.54699999996228</v>
      </c>
      <c r="F11" s="5">
        <v>12</v>
      </c>
      <c r="G11" s="23">
        <v>96.5</v>
      </c>
      <c r="H11" s="33">
        <v>776.29261078581385</v>
      </c>
      <c r="I11" s="23">
        <v>58.499982979519132</v>
      </c>
      <c r="J11" s="5">
        <v>6157.1105518703789</v>
      </c>
      <c r="K11" s="31"/>
      <c r="L11" s="23">
        <v>2278384.0133378739</v>
      </c>
      <c r="M11" s="33">
        <v>693.32000000000698</v>
      </c>
      <c r="N11" s="5">
        <v>36</v>
      </c>
      <c r="O11" s="5">
        <v>81.5</v>
      </c>
      <c r="P11" s="33">
        <v>578.68063895343164</v>
      </c>
      <c r="Q11" s="5">
        <v>15.646795411999086</v>
      </c>
      <c r="R11" s="5">
        <v>5109.0867719531579</v>
      </c>
      <c r="S11" s="31"/>
      <c r="T11" s="23">
        <v>2175577.2039511688</v>
      </c>
      <c r="U11" s="33">
        <v>547.57850000000349</v>
      </c>
      <c r="V11" s="5">
        <v>14</v>
      </c>
      <c r="W11" s="5">
        <v>76</v>
      </c>
      <c r="X11" s="33">
        <v>927.09308013024236</v>
      </c>
      <c r="Y11" s="5">
        <v>60.797228664261411</v>
      </c>
      <c r="Z11" s="5">
        <v>6357.2118136360832</v>
      </c>
      <c r="AA11" s="35"/>
    </row>
    <row r="12" spans="2:27" x14ac:dyDescent="0.2">
      <c r="B12" s="4">
        <v>9</v>
      </c>
      <c r="C12" s="4">
        <v>703</v>
      </c>
      <c r="D12" s="23">
        <v>1613114.2279089601</v>
      </c>
      <c r="E12" s="33">
        <v>581.57800000003749</v>
      </c>
      <c r="F12" s="5">
        <v>13</v>
      </c>
      <c r="G12" s="23">
        <v>97.5</v>
      </c>
      <c r="H12" s="33">
        <v>854.78103539794608</v>
      </c>
      <c r="I12" s="23">
        <v>54.077088641424027</v>
      </c>
      <c r="J12" s="5">
        <v>6216.1048920291414</v>
      </c>
      <c r="K12" s="31"/>
      <c r="L12" s="23">
        <v>2192312.4024361898</v>
      </c>
      <c r="M12" s="33">
        <v>605.73399999999651</v>
      </c>
      <c r="N12" s="5">
        <v>29</v>
      </c>
      <c r="O12" s="5">
        <v>81.5</v>
      </c>
      <c r="P12" s="33">
        <v>615.31354973600651</v>
      </c>
      <c r="Q12" s="5">
        <v>19.434464258790392</v>
      </c>
      <c r="R12" s="5">
        <v>5324.9117891615815</v>
      </c>
      <c r="S12" s="31"/>
      <c r="T12" s="23">
        <v>2207521.5768369501</v>
      </c>
      <c r="U12" s="33">
        <v>729.24199999996949</v>
      </c>
      <c r="V12" s="5">
        <v>13</v>
      </c>
      <c r="W12" s="5">
        <v>74</v>
      </c>
      <c r="X12" s="33">
        <v>865.94734719177825</v>
      </c>
      <c r="Y12" s="5">
        <v>61.603993277207302</v>
      </c>
      <c r="Z12" s="5">
        <v>6311.5711149242115</v>
      </c>
      <c r="AA12" s="35"/>
    </row>
    <row r="13" spans="2:27" x14ac:dyDescent="0.2">
      <c r="B13" s="4">
        <v>10</v>
      </c>
      <c r="C13" s="4">
        <v>256</v>
      </c>
      <c r="D13" s="23">
        <v>1568685.3544159799</v>
      </c>
      <c r="E13" s="33">
        <v>495.76600000000326</v>
      </c>
      <c r="F13" s="5">
        <v>11</v>
      </c>
      <c r="G13" s="23">
        <v>97.5</v>
      </c>
      <c r="H13" s="33">
        <v>705.26372326904584</v>
      </c>
      <c r="I13" s="23">
        <v>65.458173834913026</v>
      </c>
      <c r="J13" s="5">
        <v>6279.2782117081833</v>
      </c>
      <c r="K13" s="31"/>
      <c r="L13" s="23">
        <v>2203874.3117139209</v>
      </c>
      <c r="M13" s="33">
        <v>278.92200000002049</v>
      </c>
      <c r="N13" s="5">
        <v>33</v>
      </c>
      <c r="O13" s="5">
        <v>84</v>
      </c>
      <c r="P13" s="33">
        <v>678.23657273636184</v>
      </c>
      <c r="Q13" s="5">
        <v>17.667745949343686</v>
      </c>
      <c r="R13" s="5">
        <v>5272.8403781628622</v>
      </c>
      <c r="S13" s="31"/>
      <c r="T13" s="23">
        <v>2227207.496327234</v>
      </c>
      <c r="U13" s="33">
        <v>415.10150000004796</v>
      </c>
      <c r="V13" s="5">
        <v>15</v>
      </c>
      <c r="W13" s="5">
        <v>77</v>
      </c>
      <c r="X13" s="33">
        <v>1145.434162981031</v>
      </c>
      <c r="Y13" s="5">
        <v>61.176777235182868</v>
      </c>
      <c r="Z13" s="5">
        <v>6664.9614722863707</v>
      </c>
      <c r="AA13" s="35"/>
    </row>
    <row r="14" spans="2:27" x14ac:dyDescent="0.2">
      <c r="B14" s="46" t="s">
        <v>3</v>
      </c>
      <c r="C14" s="47"/>
      <c r="D14" s="9">
        <f>MIN(D4:D13)</f>
        <v>1513065.256709242</v>
      </c>
      <c r="E14" s="22">
        <f>INDEX(E4:E13, MATCH($D$14, D4:D13, 0))</f>
        <v>676.36749999999302</v>
      </c>
      <c r="F14" s="9">
        <f>INDEX(F4:F13, MATCH($D$14, D4:D13, 0))</f>
        <v>11</v>
      </c>
      <c r="G14" s="9">
        <f>INDEX(G4:G13, MATCH($D$14, D4:D13, 0))</f>
        <v>97</v>
      </c>
      <c r="H14" s="22">
        <f>INDEX(H4:H13, MATCH($D$14, D4:D13, 0))</f>
        <v>549.76669527105366</v>
      </c>
      <c r="I14" s="22">
        <f>INDEX(I4:I13, MATCH($D$14, D4:D13, 0))</f>
        <v>64.326149083315983</v>
      </c>
      <c r="J14" s="22">
        <f>INDEX(J4:J13, MATCH($D$14, D4:D13, 0))</f>
        <v>6071.7462729302561</v>
      </c>
      <c r="K14" s="32" t="e">
        <f>(D14-$D$15)/$D$15</f>
        <v>#DIV/0!</v>
      </c>
      <c r="L14" s="16">
        <f>MIN(L4:L13)</f>
        <v>2179800.757253082</v>
      </c>
      <c r="M14" s="21">
        <f>INDEX(M4:M13, MATCH($L$14, L4:L13, 0))</f>
        <v>1299.968500000017</v>
      </c>
      <c r="N14" s="16">
        <f>INDEX(N4:N13, MATCH($L$14, L4:L13, 0))</f>
        <v>36</v>
      </c>
      <c r="O14" s="16">
        <f>INDEX(O4:O13, MATCH($L$14, L4:L13, 0))</f>
        <v>89</v>
      </c>
      <c r="P14" s="21">
        <f>INDEX(P4:P13, MATCH($L$14, L4:L13, 0))</f>
        <v>820.15556699973763</v>
      </c>
      <c r="Q14" s="21">
        <f>INDEX(Q4:Q13, MATCH($L$14, L4:L13, 0))</f>
        <v>17.588583749294166</v>
      </c>
      <c r="R14" s="21">
        <f>INDEX(R4:R13, MATCH($L$14, L4:L13, 0))</f>
        <v>5514.2946481624704</v>
      </c>
      <c r="S14" s="36" t="e">
        <f>(L14-$D$15)/$D$15</f>
        <v>#DIV/0!</v>
      </c>
      <c r="T14" s="38">
        <f>MIN(T4:T13)</f>
        <v>2102660.338267507</v>
      </c>
      <c r="U14" s="39">
        <f>INDEX(U4:U13, MATCH($T$14, T4:T13, 0))</f>
        <v>509.531499999983</v>
      </c>
      <c r="V14" s="38">
        <f>INDEX(V4:V13, MATCH($T$14, T4:T13, 0))</f>
        <v>15</v>
      </c>
      <c r="W14" s="38">
        <f>INDEX(W4:W13, MATCH($T$14, T4:T13, 0))</f>
        <v>80</v>
      </c>
      <c r="X14" s="39">
        <f>INDEX(X4:X13, MATCH($T$14, T4:T13, 0))</f>
        <v>1035.4053816243738</v>
      </c>
      <c r="Y14" s="39">
        <f>INDEX(Y4:Y13, MATCH($T$14, T4:T13, 0))</f>
        <v>64.301818106744832</v>
      </c>
      <c r="Z14" s="39">
        <f>INDEX(Z4:Z13, MATCH($T$14, T4:T13, 0))</f>
        <v>6449.7114329918968</v>
      </c>
      <c r="AA14" s="40" t="e">
        <f>(T14-$D$15)/$D$15</f>
        <v>#DIV/0!</v>
      </c>
    </row>
    <row r="15" spans="2:27" x14ac:dyDescent="0.2">
      <c r="C15" s="1" t="s">
        <v>17</v>
      </c>
      <c r="D15" s="34"/>
      <c r="E15" s="3"/>
      <c r="F15" s="3"/>
      <c r="G15" s="3"/>
      <c r="H15" s="3"/>
      <c r="I15" s="3"/>
      <c r="J15" s="3"/>
      <c r="K15" s="3"/>
      <c r="L15" s="34"/>
      <c r="T15" s="34"/>
    </row>
    <row r="16" spans="2:27" x14ac:dyDescent="0.2">
      <c r="D16" s="2"/>
    </row>
    <row r="17" spans="4:4" x14ac:dyDescent="0.2">
      <c r="D17" s="2"/>
    </row>
  </sheetData>
  <mergeCells count="1">
    <mergeCell ref="B14:C14"/>
  </mergeCells>
  <conditionalFormatting sqref="C1:C13 C15:C16 C36:C1048576">
    <cfRule type="duplicateValues" dxfId="61" priority="7"/>
    <cfRule type="duplicateValues" dxfId="60" priority="8"/>
  </conditionalFormatting>
  <conditionalFormatting sqref="C14">
    <cfRule type="duplicateValues" dxfId="59" priority="3"/>
    <cfRule type="duplicateValues" dxfId="58" priority="4"/>
  </conditionalFormatting>
  <conditionalFormatting sqref="C17:C35">
    <cfRule type="duplicateValues" dxfId="5" priority="1"/>
    <cfRule type="duplicateValues" dxfId="4" priority="2"/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076548-8CF0-4A19-AF0B-F21F9D903840}">
  <dimension ref="B1:AA17"/>
  <sheetViews>
    <sheetView zoomScale="85" zoomScaleNormal="85" workbookViewId="0">
      <selection activeCell="U20" sqref="U20:U30"/>
    </sheetView>
  </sheetViews>
  <sheetFormatPr baseColWidth="10" defaultColWidth="10.83203125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8.33203125" style="1" bestFit="1" customWidth="1"/>
    <col min="8" max="8" width="19.33203125" style="1" bestFit="1" customWidth="1"/>
    <col min="9" max="9" width="24.83203125" style="1" bestFit="1" customWidth="1"/>
    <col min="10" max="10" width="18.6640625" style="1" bestFit="1" customWidth="1"/>
    <col min="11" max="11" width="12.6640625" style="1" customWidth="1"/>
    <col min="12" max="12" width="12.6640625" style="1" bestFit="1" customWidth="1"/>
    <col min="13" max="14" width="10.83203125" style="1"/>
    <col min="15" max="15" width="18.33203125" style="1" bestFit="1" customWidth="1"/>
    <col min="16" max="16" width="19.33203125" style="1" bestFit="1" customWidth="1"/>
    <col min="17" max="17" width="24.83203125" style="1" bestFit="1" customWidth="1"/>
    <col min="18" max="18" width="18" style="1" bestFit="1" customWidth="1"/>
    <col min="19" max="19" width="10.83203125" style="1"/>
    <col min="20" max="20" width="12.6640625" style="1" bestFit="1" customWidth="1"/>
    <col min="21" max="22" width="10.83203125" style="1"/>
    <col min="23" max="23" width="18.33203125" style="1" bestFit="1" customWidth="1"/>
    <col min="24" max="24" width="19.33203125" style="1" bestFit="1" customWidth="1"/>
    <col min="25" max="25" width="24.83203125" style="1" bestFit="1" customWidth="1"/>
    <col min="26" max="26" width="18" style="1" bestFit="1" customWidth="1"/>
    <col min="27" max="16384" width="10.83203125" style="1"/>
  </cols>
  <sheetData>
    <row r="1" spans="2:27" x14ac:dyDescent="0.2">
      <c r="D1" s="1" t="s">
        <v>14</v>
      </c>
    </row>
    <row r="2" spans="2:27" x14ac:dyDescent="0.2">
      <c r="B2" s="1" t="s">
        <v>18</v>
      </c>
      <c r="D2" s="29">
        <v>200</v>
      </c>
      <c r="H2" s="28">
        <f>(Q14-H14)/H14</f>
        <v>-0.97537768225560573</v>
      </c>
      <c r="J2" s="28" t="e">
        <f>(S14-J14)/J14</f>
        <v>#DIV/0!</v>
      </c>
      <c r="K2" s="28"/>
      <c r="L2" s="1" t="s">
        <v>19</v>
      </c>
      <c r="P2" s="1">
        <f>(P14-H14)/H14</f>
        <v>-7.0642254977879321E-2</v>
      </c>
      <c r="R2" s="1">
        <f>(R14-J14)/J14</f>
        <v>-0.12454858294741433</v>
      </c>
      <c r="T2" s="1" t="s">
        <v>20</v>
      </c>
      <c r="X2" s="1">
        <f>(X14-P14)/P14</f>
        <v>0.62350095622007129</v>
      </c>
      <c r="Z2" s="1">
        <f>(Z14-R14)/R14</f>
        <v>0.2671203563670127</v>
      </c>
    </row>
    <row r="3" spans="2:27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15</v>
      </c>
      <c r="H3" s="8" t="s">
        <v>11</v>
      </c>
      <c r="I3" s="8" t="s">
        <v>16</v>
      </c>
      <c r="J3" s="8" t="s">
        <v>10</v>
      </c>
      <c r="K3" s="8" t="s">
        <v>1</v>
      </c>
      <c r="L3" s="15" t="s">
        <v>0</v>
      </c>
      <c r="M3" s="15" t="s">
        <v>5</v>
      </c>
      <c r="N3" s="15" t="s">
        <v>12</v>
      </c>
      <c r="O3" s="15" t="s">
        <v>15</v>
      </c>
      <c r="P3" s="15" t="s">
        <v>11</v>
      </c>
      <c r="Q3" s="15" t="s">
        <v>16</v>
      </c>
      <c r="R3" s="15" t="s">
        <v>10</v>
      </c>
      <c r="S3" s="15" t="s">
        <v>1</v>
      </c>
      <c r="T3" s="37" t="s">
        <v>0</v>
      </c>
      <c r="U3" s="37" t="s">
        <v>5</v>
      </c>
      <c r="V3" s="37" t="s">
        <v>12</v>
      </c>
      <c r="W3" s="37" t="s">
        <v>15</v>
      </c>
      <c r="X3" s="37" t="s">
        <v>11</v>
      </c>
      <c r="Y3" s="37" t="s">
        <v>16</v>
      </c>
      <c r="Z3" s="37" t="s">
        <v>10</v>
      </c>
      <c r="AA3" s="37" t="s">
        <v>1</v>
      </c>
    </row>
    <row r="4" spans="2:27" x14ac:dyDescent="0.2">
      <c r="B4" s="4">
        <v>1</v>
      </c>
      <c r="C4" s="4">
        <v>377</v>
      </c>
      <c r="D4" s="23">
        <v>2201188.3395013162</v>
      </c>
      <c r="E4" s="33">
        <v>189.60149999998976</v>
      </c>
      <c r="F4" s="5">
        <v>14</v>
      </c>
      <c r="G4" s="23">
        <v>88.5</v>
      </c>
      <c r="H4" s="33">
        <v>1776.0938747890393</v>
      </c>
      <c r="I4" s="23">
        <v>46.934191400073466</v>
      </c>
      <c r="J4" s="5">
        <v>7288.6384122919735</v>
      </c>
      <c r="K4" s="31"/>
      <c r="L4" s="23">
        <v>2630626.069631659</v>
      </c>
      <c r="M4" s="33">
        <v>349.11699999996927</v>
      </c>
      <c r="N4" s="5">
        <v>43</v>
      </c>
      <c r="O4" s="5">
        <v>89</v>
      </c>
      <c r="P4" s="33">
        <v>1462.4077171744502</v>
      </c>
      <c r="Q4" s="5">
        <v>14.770585217092975</v>
      </c>
      <c r="R4" s="5">
        <v>6723.8612658780112</v>
      </c>
      <c r="S4" s="31"/>
      <c r="T4" s="23">
        <v>2268878.4527038261</v>
      </c>
      <c r="U4" s="33">
        <v>275.71100000001024</v>
      </c>
      <c r="V4" s="5">
        <v>16</v>
      </c>
      <c r="W4" s="5">
        <v>78</v>
      </c>
      <c r="X4" s="33">
        <v>1237.2149987853593</v>
      </c>
      <c r="Y4" s="5">
        <v>58.162064718248985</v>
      </c>
      <c r="Z4" s="5">
        <v>6831.3660718347555</v>
      </c>
      <c r="AA4" s="35"/>
    </row>
    <row r="5" spans="2:27" x14ac:dyDescent="0.2">
      <c r="B5" s="4">
        <v>2</v>
      </c>
      <c r="C5" s="4">
        <v>556</v>
      </c>
      <c r="D5" s="23">
        <v>1800327.9091748991</v>
      </c>
      <c r="E5" s="33">
        <v>234</v>
      </c>
      <c r="F5" s="5">
        <v>13</v>
      </c>
      <c r="G5" s="23">
        <v>93</v>
      </c>
      <c r="H5" s="33">
        <v>905.20083730901854</v>
      </c>
      <c r="I5" s="23">
        <v>49.964931494862874</v>
      </c>
      <c r="J5" s="5">
        <v>6475.1208223370595</v>
      </c>
      <c r="K5" s="31"/>
      <c r="L5" s="23">
        <v>2282930.1244090181</v>
      </c>
      <c r="M5" s="33">
        <v>1317.77350000001</v>
      </c>
      <c r="N5" s="5">
        <v>27</v>
      </c>
      <c r="O5" s="5">
        <v>78</v>
      </c>
      <c r="P5" s="33">
        <v>762.06607334923581</v>
      </c>
      <c r="Q5" s="5">
        <v>20.190107739168955</v>
      </c>
      <c r="R5" s="5">
        <v>5391.2527231597069</v>
      </c>
      <c r="S5" s="31"/>
      <c r="T5" s="23">
        <v>2323433.737719357</v>
      </c>
      <c r="U5" s="33">
        <v>418.96100000001024</v>
      </c>
      <c r="V5" s="5">
        <v>13</v>
      </c>
      <c r="W5" s="5">
        <v>73.5</v>
      </c>
      <c r="X5" s="33">
        <v>1183.7514626966272</v>
      </c>
      <c r="Y5" s="5">
        <v>63.490172412242231</v>
      </c>
      <c r="Z5" s="5">
        <v>6825.2394216125385</v>
      </c>
      <c r="AA5" s="35"/>
    </row>
    <row r="6" spans="2:27" x14ac:dyDescent="0.2">
      <c r="B6" s="4">
        <v>3</v>
      </c>
      <c r="C6" s="4">
        <v>330</v>
      </c>
      <c r="D6" s="23">
        <v>1628539.142604612</v>
      </c>
      <c r="E6" s="33">
        <v>371.95299999997951</v>
      </c>
      <c r="F6" s="5">
        <v>14</v>
      </c>
      <c r="G6" s="23">
        <v>97</v>
      </c>
      <c r="H6" s="33">
        <v>819.99216924920233</v>
      </c>
      <c r="I6" s="23">
        <v>51.526186142150699</v>
      </c>
      <c r="J6" s="5">
        <v>6158.2546080176953</v>
      </c>
      <c r="K6" s="31"/>
      <c r="L6" s="23">
        <v>2788349.4973771828</v>
      </c>
      <c r="M6" s="33">
        <v>1138.27350000001</v>
      </c>
      <c r="N6" s="5">
        <v>36</v>
      </c>
      <c r="O6" s="5">
        <v>76.5</v>
      </c>
      <c r="P6" s="33">
        <v>1492.8211595205833</v>
      </c>
      <c r="Q6" s="5">
        <v>15.570396943896132</v>
      </c>
      <c r="R6" s="5">
        <v>6657.6967243996296</v>
      </c>
      <c r="S6" s="31"/>
      <c r="T6" s="23">
        <v>2527183.5056264112</v>
      </c>
      <c r="U6" s="33">
        <v>487.11700000002747</v>
      </c>
      <c r="V6" s="5">
        <v>12</v>
      </c>
      <c r="W6" s="5">
        <v>67</v>
      </c>
      <c r="X6" s="33">
        <v>1396.0889697117684</v>
      </c>
      <c r="Y6" s="5">
        <v>56.924990988096845</v>
      </c>
      <c r="Z6" s="5">
        <v>7004.4966326743324</v>
      </c>
      <c r="AA6" s="35"/>
    </row>
    <row r="7" spans="2:27" x14ac:dyDescent="0.2">
      <c r="B7" s="4">
        <v>4</v>
      </c>
      <c r="C7" s="4">
        <v>926</v>
      </c>
      <c r="D7" s="23">
        <v>1793083.5043254651</v>
      </c>
      <c r="E7" s="33">
        <v>253.99199999996924</v>
      </c>
      <c r="F7" s="5">
        <v>11</v>
      </c>
      <c r="G7" s="23">
        <v>95.5</v>
      </c>
      <c r="H7" s="33">
        <v>1205.6978895343045</v>
      </c>
      <c r="I7" s="23">
        <v>63.41623837810635</v>
      </c>
      <c r="J7" s="5">
        <v>6763.2465999853521</v>
      </c>
      <c r="K7" s="31"/>
      <c r="L7" s="23">
        <v>2303832.0014856369</v>
      </c>
      <c r="M7" s="33">
        <v>1278.875</v>
      </c>
      <c r="N7" s="5">
        <v>25</v>
      </c>
      <c r="O7" s="5">
        <v>73.5</v>
      </c>
      <c r="P7" s="33">
        <v>588.01103156550619</v>
      </c>
      <c r="Q7" s="5">
        <v>20.437574175546505</v>
      </c>
      <c r="R7" s="5">
        <v>5107.3461897734342</v>
      </c>
      <c r="S7" s="31"/>
      <c r="T7" s="23">
        <v>2446641.2228661608</v>
      </c>
      <c r="U7" s="33">
        <v>401.94550000003073</v>
      </c>
      <c r="V7" s="5">
        <v>12</v>
      </c>
      <c r="W7" s="5">
        <v>69</v>
      </c>
      <c r="X7" s="33">
        <v>1290.0066366718079</v>
      </c>
      <c r="Y7" s="5">
        <v>68.812239073772389</v>
      </c>
      <c r="Z7" s="5">
        <v>6893.471029916388</v>
      </c>
      <c r="AA7" s="35"/>
    </row>
    <row r="8" spans="2:27" x14ac:dyDescent="0.2">
      <c r="B8" s="4">
        <v>5</v>
      </c>
      <c r="C8" s="4">
        <v>791</v>
      </c>
      <c r="D8" s="23">
        <v>2049864.869125766</v>
      </c>
      <c r="E8" s="33">
        <v>468.61700000002747</v>
      </c>
      <c r="F8" s="5">
        <v>12</v>
      </c>
      <c r="G8" s="23">
        <v>89.5</v>
      </c>
      <c r="H8" s="33">
        <v>1386.5373721680137</v>
      </c>
      <c r="I8" s="23">
        <v>55.910543424828262</v>
      </c>
      <c r="J8" s="5">
        <v>7089.5388284201208</v>
      </c>
      <c r="K8" s="31"/>
      <c r="L8" s="23">
        <v>3010198.1199650918</v>
      </c>
      <c r="M8" s="33">
        <v>455.4375</v>
      </c>
      <c r="N8" s="5">
        <v>31</v>
      </c>
      <c r="O8" s="5">
        <v>62</v>
      </c>
      <c r="P8" s="33">
        <v>1308.5173020523343</v>
      </c>
      <c r="Q8" s="5">
        <v>14.09588212369863</v>
      </c>
      <c r="R8" s="5">
        <v>6432.277756457448</v>
      </c>
      <c r="S8" s="31"/>
      <c r="T8" s="23">
        <v>2985437.6506383098</v>
      </c>
      <c r="U8" s="33">
        <v>792.76549999997951</v>
      </c>
      <c r="V8" s="5">
        <v>10</v>
      </c>
      <c r="W8" s="5">
        <v>54</v>
      </c>
      <c r="X8" s="33">
        <v>2046.7967112726374</v>
      </c>
      <c r="Y8" s="5">
        <v>63.158736283441314</v>
      </c>
      <c r="Z8" s="5">
        <v>8049.3615260874567</v>
      </c>
      <c r="AA8" s="35"/>
    </row>
    <row r="9" spans="2:27" x14ac:dyDescent="0.2">
      <c r="B9" s="4">
        <v>6</v>
      </c>
      <c r="C9" s="4">
        <v>646</v>
      </c>
      <c r="D9" s="23">
        <v>2013560.3828361521</v>
      </c>
      <c r="E9" s="33">
        <v>286.07049999997253</v>
      </c>
      <c r="F9" s="5">
        <v>15</v>
      </c>
      <c r="G9" s="23">
        <v>96.5</v>
      </c>
      <c r="H9" s="33">
        <v>1710.9752043680958</v>
      </c>
      <c r="I9" s="23">
        <v>49.71224286789694</v>
      </c>
      <c r="J9" s="5">
        <v>7305.0300555742815</v>
      </c>
      <c r="K9" s="31"/>
      <c r="L9" s="23">
        <v>2762986.0492695598</v>
      </c>
      <c r="M9" s="33">
        <v>814.531000000017</v>
      </c>
      <c r="N9" s="5">
        <v>31</v>
      </c>
      <c r="O9" s="5">
        <v>71.5</v>
      </c>
      <c r="P9" s="33">
        <v>1310.7568158317276</v>
      </c>
      <c r="Q9" s="5">
        <v>16.355814413087735</v>
      </c>
      <c r="R9" s="5">
        <v>6418.7016044322772</v>
      </c>
      <c r="S9" s="31"/>
      <c r="T9" s="23">
        <v>2998725.4047367899</v>
      </c>
      <c r="U9" s="33">
        <v>395.15600000001723</v>
      </c>
      <c r="V9" s="5">
        <v>10</v>
      </c>
      <c r="W9" s="5">
        <v>53.5</v>
      </c>
      <c r="X9" s="33">
        <v>2080.7699946200996</v>
      </c>
      <c r="Y9" s="5">
        <v>61.235440029620506</v>
      </c>
      <c r="Z9" s="5">
        <v>8009.7980320032812</v>
      </c>
      <c r="AA9" s="35"/>
    </row>
    <row r="10" spans="2:27" x14ac:dyDescent="0.2">
      <c r="B10" s="4">
        <v>7</v>
      </c>
      <c r="C10" s="4">
        <v>425</v>
      </c>
      <c r="D10" s="23">
        <v>1694388.838008879</v>
      </c>
      <c r="E10" s="33">
        <v>426.125</v>
      </c>
      <c r="F10" s="5">
        <v>12</v>
      </c>
      <c r="G10" s="23">
        <v>94</v>
      </c>
      <c r="H10" s="33">
        <v>737.61816878793798</v>
      </c>
      <c r="I10" s="23">
        <v>57.561026979128094</v>
      </c>
      <c r="J10" s="5">
        <v>6318.4955334607512</v>
      </c>
      <c r="K10" s="31"/>
      <c r="L10" s="23">
        <v>2365165.5613960498</v>
      </c>
      <c r="M10" s="33">
        <v>1247.8904999999795</v>
      </c>
      <c r="N10" s="5">
        <v>25</v>
      </c>
      <c r="O10" s="5">
        <v>74.5</v>
      </c>
      <c r="P10" s="33">
        <v>772.02588320113625</v>
      </c>
      <c r="Q10" s="5">
        <v>19.945469278695651</v>
      </c>
      <c r="R10" s="5">
        <v>5573.6025124947691</v>
      </c>
      <c r="S10" s="31"/>
      <c r="T10" s="23">
        <v>2431889.0026158229</v>
      </c>
      <c r="U10" s="33">
        <v>901.656000000017</v>
      </c>
      <c r="V10" s="5">
        <v>11</v>
      </c>
      <c r="W10" s="5">
        <v>68.5</v>
      </c>
      <c r="X10" s="33">
        <v>1073.0013684608446</v>
      </c>
      <c r="Y10" s="5">
        <v>63.625560554258762</v>
      </c>
      <c r="Z10" s="5">
        <v>6811.6229217503824</v>
      </c>
      <c r="AA10" s="35"/>
    </row>
    <row r="11" spans="2:27" x14ac:dyDescent="0.2">
      <c r="B11" s="4">
        <v>8</v>
      </c>
      <c r="C11" s="4">
        <v>857</v>
      </c>
      <c r="D11" s="23">
        <v>1815311.5513341799</v>
      </c>
      <c r="E11" s="33">
        <v>471.51549999997951</v>
      </c>
      <c r="F11" s="5">
        <v>14</v>
      </c>
      <c r="G11" s="23">
        <v>95</v>
      </c>
      <c r="H11" s="33">
        <v>1040.653640765692</v>
      </c>
      <c r="I11" s="23">
        <v>47.453257877148602</v>
      </c>
      <c r="J11" s="5">
        <v>6625.68415388008</v>
      </c>
      <c r="K11" s="31"/>
      <c r="L11" s="23">
        <v>2633723.3320606882</v>
      </c>
      <c r="M11" s="33">
        <v>1120.031000000017</v>
      </c>
      <c r="N11" s="5">
        <v>40</v>
      </c>
      <c r="O11" s="5">
        <v>81</v>
      </c>
      <c r="P11" s="33">
        <v>1261.4851426303617</v>
      </c>
      <c r="Q11" s="5">
        <v>14.141096460479551</v>
      </c>
      <c r="R11" s="5">
        <v>6152.9526694278429</v>
      </c>
      <c r="S11" s="31"/>
      <c r="T11" s="23">
        <v>2987069.732779874</v>
      </c>
      <c r="U11" s="33">
        <v>472.15599999995902</v>
      </c>
      <c r="V11" s="5">
        <v>17</v>
      </c>
      <c r="W11" s="5">
        <v>67.5</v>
      </c>
      <c r="X11" s="33">
        <v>2909.6735931485591</v>
      </c>
      <c r="Y11" s="5">
        <v>47.957756753497669</v>
      </c>
      <c r="Z11" s="5">
        <v>8602.6020929678725</v>
      </c>
      <c r="AA11" s="35"/>
    </row>
    <row r="12" spans="2:27" x14ac:dyDescent="0.2">
      <c r="B12" s="4">
        <v>9</v>
      </c>
      <c r="C12" s="4">
        <v>203</v>
      </c>
      <c r="D12" s="23">
        <v>1773618.9775679051</v>
      </c>
      <c r="E12" s="33">
        <v>602.88299999997253</v>
      </c>
      <c r="F12" s="5">
        <v>14</v>
      </c>
      <c r="G12" s="23">
        <v>95</v>
      </c>
      <c r="H12" s="33">
        <v>1003.7574866169316</v>
      </c>
      <c r="I12" s="23">
        <v>49.485695981225504</v>
      </c>
      <c r="J12" s="5">
        <v>6502.3275852225734</v>
      </c>
      <c r="K12" s="31"/>
      <c r="L12" s="23">
        <v>2325484.8235581191</v>
      </c>
      <c r="M12" s="33">
        <v>1069.1714999999965</v>
      </c>
      <c r="N12" s="5">
        <v>24</v>
      </c>
      <c r="O12" s="5">
        <v>72</v>
      </c>
      <c r="P12" s="33">
        <v>498.30489987488323</v>
      </c>
      <c r="Q12" s="5">
        <v>19.258744779730847</v>
      </c>
      <c r="R12" s="5">
        <v>5042.4114381850513</v>
      </c>
      <c r="S12" s="31"/>
      <c r="T12" s="23">
        <v>2332126.0962665319</v>
      </c>
      <c r="U12" s="33">
        <v>556.60149999998998</v>
      </c>
      <c r="V12" s="5">
        <v>15</v>
      </c>
      <c r="W12" s="5">
        <v>75</v>
      </c>
      <c r="X12" s="33">
        <v>1292.1540477884946</v>
      </c>
      <c r="Y12" s="5">
        <v>56.305082815326955</v>
      </c>
      <c r="Z12" s="5">
        <v>6771.6622252513007</v>
      </c>
      <c r="AA12" s="35"/>
    </row>
    <row r="13" spans="2:27" x14ac:dyDescent="0.2">
      <c r="B13" s="4">
        <v>10</v>
      </c>
      <c r="C13" s="4">
        <v>831</v>
      </c>
      <c r="D13" s="23">
        <v>1645300.9326917201</v>
      </c>
      <c r="E13" s="33">
        <v>524.5</v>
      </c>
      <c r="F13" s="5">
        <v>12</v>
      </c>
      <c r="G13" s="23">
        <v>95</v>
      </c>
      <c r="H13" s="33">
        <v>719.29036702552003</v>
      </c>
      <c r="I13" s="23">
        <v>57.628708883626963</v>
      </c>
      <c r="J13" s="5">
        <v>6224.8086656319128</v>
      </c>
      <c r="K13" s="31"/>
      <c r="L13" s="23">
        <v>2483432.853436836</v>
      </c>
      <c r="M13" s="33">
        <v>638.57000000000698</v>
      </c>
      <c r="N13" s="5">
        <v>28</v>
      </c>
      <c r="O13" s="5">
        <v>75.5</v>
      </c>
      <c r="P13" s="33">
        <v>1025.1578538309532</v>
      </c>
      <c r="Q13" s="5">
        <v>19.080086661778925</v>
      </c>
      <c r="R13" s="5">
        <v>5916.2945162092037</v>
      </c>
      <c r="S13" s="31"/>
      <c r="T13" s="23">
        <v>2693838.1526890062</v>
      </c>
      <c r="U13" s="33">
        <v>578.1875</v>
      </c>
      <c r="V13" s="5">
        <v>11</v>
      </c>
      <c r="W13" s="5">
        <v>60</v>
      </c>
      <c r="X13" s="33">
        <v>1388.881372533918</v>
      </c>
      <c r="Y13" s="5">
        <v>59.087647032925709</v>
      </c>
      <c r="Z13" s="5">
        <v>7069.7108263249338</v>
      </c>
      <c r="AA13" s="35"/>
    </row>
    <row r="14" spans="2:27" x14ac:dyDescent="0.2">
      <c r="B14" s="46" t="s">
        <v>3</v>
      </c>
      <c r="C14" s="47"/>
      <c r="D14" s="9">
        <f>MIN(D4:D13)</f>
        <v>1628539.142604612</v>
      </c>
      <c r="E14" s="22">
        <f>INDEX(E4:E13, MATCH($D$14, D4:D13, 0))</f>
        <v>371.95299999997951</v>
      </c>
      <c r="F14" s="9">
        <f>INDEX(F4:F13, MATCH($D$14, D4:D13, 0))</f>
        <v>14</v>
      </c>
      <c r="G14" s="9">
        <f>INDEX(G4:G13, MATCH($D$14, D4:D13, 0))</f>
        <v>97</v>
      </c>
      <c r="H14" s="22">
        <f>INDEX(H4:H13, MATCH($D$14, D4:D13, 0))</f>
        <v>819.99216924920233</v>
      </c>
      <c r="I14" s="22">
        <f>INDEX(I4:I13, MATCH($D$14, D4:D13, 0))</f>
        <v>51.526186142150699</v>
      </c>
      <c r="J14" s="22">
        <f>INDEX(J4:J13, MATCH($D$14, D4:D13, 0))</f>
        <v>6158.2546080176953</v>
      </c>
      <c r="K14" s="32" t="e">
        <f>(D14-$D$15)/$D$15</f>
        <v>#DIV/0!</v>
      </c>
      <c r="L14" s="16">
        <f>MIN(L4:L13)</f>
        <v>2282930.1244090181</v>
      </c>
      <c r="M14" s="21">
        <f>INDEX(M4:M13, MATCH($L$14, L4:L13, 0))</f>
        <v>1317.77350000001</v>
      </c>
      <c r="N14" s="16">
        <f>INDEX(N4:N13, MATCH($L$14, L4:L13, 0))</f>
        <v>27</v>
      </c>
      <c r="O14" s="16">
        <f>INDEX(O4:O13, MATCH($L$14, L4:L13, 0))</f>
        <v>78</v>
      </c>
      <c r="P14" s="21">
        <f>INDEX(P4:P13, MATCH($L$14, L4:L13, 0))</f>
        <v>762.06607334923581</v>
      </c>
      <c r="Q14" s="21">
        <f>INDEX(Q4:Q13, MATCH($L$14, L4:L13, 0))</f>
        <v>20.190107739168955</v>
      </c>
      <c r="R14" s="21">
        <f>INDEX(R4:R13, MATCH($L$14, L4:L13, 0))</f>
        <v>5391.2527231597069</v>
      </c>
      <c r="S14" s="36" t="e">
        <f>(L14-$D$15)/$D$15</f>
        <v>#DIV/0!</v>
      </c>
      <c r="T14" s="38">
        <f>MIN(T4:T13)</f>
        <v>2268878.4527038261</v>
      </c>
      <c r="U14" s="39">
        <f>INDEX(U4:U13, MATCH($T$14, T4:T13, 0))</f>
        <v>275.71100000001024</v>
      </c>
      <c r="V14" s="38">
        <f>INDEX(V4:V13, MATCH($T$14, T4:T13, 0))</f>
        <v>16</v>
      </c>
      <c r="W14" s="38">
        <f>INDEX(W4:W13, MATCH($T$14, T4:T13, 0))</f>
        <v>78</v>
      </c>
      <c r="X14" s="39">
        <f>INDEX(X4:X13, MATCH($T$14, T4:T13, 0))</f>
        <v>1237.2149987853593</v>
      </c>
      <c r="Y14" s="39">
        <f>INDEX(Y4:Y13, MATCH($T$14, T4:T13, 0))</f>
        <v>58.162064718248985</v>
      </c>
      <c r="Z14" s="39">
        <f>INDEX(Z4:Z13, MATCH($T$14, T4:T13, 0))</f>
        <v>6831.3660718347555</v>
      </c>
      <c r="AA14" s="40" t="e">
        <f>(T14-$D$15)/$D$15</f>
        <v>#DIV/0!</v>
      </c>
    </row>
    <row r="15" spans="2:27" x14ac:dyDescent="0.2">
      <c r="C15" s="1" t="s">
        <v>17</v>
      </c>
      <c r="D15" s="34"/>
      <c r="E15" s="3"/>
      <c r="F15" s="3"/>
      <c r="G15" s="3"/>
      <c r="H15" s="3"/>
      <c r="I15" s="3"/>
      <c r="J15" s="3"/>
      <c r="K15" s="3"/>
      <c r="L15" s="34"/>
      <c r="T15" s="34"/>
    </row>
    <row r="16" spans="2:27" x14ac:dyDescent="0.2">
      <c r="D16" s="2"/>
    </row>
    <row r="17" spans="4:4" x14ac:dyDescent="0.2">
      <c r="D17" s="2"/>
    </row>
  </sheetData>
  <mergeCells count="1">
    <mergeCell ref="B14:C14"/>
  </mergeCells>
  <conditionalFormatting sqref="C1:C13 C15:C16 C36:C1048576">
    <cfRule type="duplicateValues" dxfId="57" priority="7"/>
    <cfRule type="duplicateValues" dxfId="56" priority="8"/>
  </conditionalFormatting>
  <conditionalFormatting sqref="C14">
    <cfRule type="duplicateValues" dxfId="55" priority="3"/>
    <cfRule type="duplicateValues" dxfId="54" priority="4"/>
  </conditionalFormatting>
  <conditionalFormatting sqref="C17:C35">
    <cfRule type="duplicateValues" dxfId="3" priority="1"/>
    <cfRule type="duplicateValues" dxfId="2" priority="2"/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323631-E1F6-4BF7-A421-E8EB3EC52153}">
  <dimension ref="B1:AA17"/>
  <sheetViews>
    <sheetView zoomScale="85" zoomScaleNormal="85" workbookViewId="0">
      <selection activeCell="U20" sqref="U20:U32"/>
    </sheetView>
  </sheetViews>
  <sheetFormatPr baseColWidth="10" defaultColWidth="10.83203125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8.33203125" style="1" bestFit="1" customWidth="1"/>
    <col min="8" max="8" width="19.33203125" style="1" bestFit="1" customWidth="1"/>
    <col min="9" max="9" width="24.83203125" style="1" bestFit="1" customWidth="1"/>
    <col min="10" max="10" width="18.6640625" style="1" bestFit="1" customWidth="1"/>
    <col min="11" max="11" width="12.6640625" style="1" customWidth="1"/>
    <col min="12" max="12" width="12.6640625" style="1" bestFit="1" customWidth="1"/>
    <col min="13" max="14" width="10.83203125" style="1"/>
    <col min="15" max="15" width="18.33203125" style="1" bestFit="1" customWidth="1"/>
    <col min="16" max="16" width="19.33203125" style="1" bestFit="1" customWidth="1"/>
    <col min="17" max="17" width="24.83203125" style="1" bestFit="1" customWidth="1"/>
    <col min="18" max="18" width="18" style="1" bestFit="1" customWidth="1"/>
    <col min="19" max="19" width="10.83203125" style="1"/>
    <col min="20" max="20" width="12.6640625" style="1" bestFit="1" customWidth="1"/>
    <col min="21" max="22" width="10.83203125" style="1"/>
    <col min="23" max="23" width="18.33203125" style="1" bestFit="1" customWidth="1"/>
    <col min="24" max="24" width="19.33203125" style="1" bestFit="1" customWidth="1"/>
    <col min="25" max="25" width="24.83203125" style="1" bestFit="1" customWidth="1"/>
    <col min="26" max="26" width="18" style="1" bestFit="1" customWidth="1"/>
    <col min="27" max="16384" width="10.83203125" style="1"/>
  </cols>
  <sheetData>
    <row r="1" spans="2:27" x14ac:dyDescent="0.2">
      <c r="D1" s="1" t="s">
        <v>14</v>
      </c>
    </row>
    <row r="2" spans="2:27" x14ac:dyDescent="0.2">
      <c r="B2" s="1" t="s">
        <v>18</v>
      </c>
      <c r="D2" s="29">
        <v>200</v>
      </c>
      <c r="H2" s="28">
        <f>(Q14-H14)/H14</f>
        <v>-0.96936745502790389</v>
      </c>
      <c r="J2" s="28" t="e">
        <f>(S14-J14)/J14</f>
        <v>#DIV/0!</v>
      </c>
      <c r="K2" s="28"/>
      <c r="L2" s="1" t="s">
        <v>19</v>
      </c>
      <c r="P2" s="1">
        <f>(P14-H14)/H14</f>
        <v>-0.31099851856484084</v>
      </c>
      <c r="R2" s="1">
        <f>(R14-J14)/J14</f>
        <v>-0.19004762143158563</v>
      </c>
      <c r="T2" s="1" t="s">
        <v>20</v>
      </c>
      <c r="X2" s="1">
        <f>(X14-P14)/P14</f>
        <v>1.123664710899996</v>
      </c>
      <c r="Z2" s="1">
        <f>(Z14-R14)/R14</f>
        <v>0.30484997049089241</v>
      </c>
    </row>
    <row r="3" spans="2:27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15</v>
      </c>
      <c r="H3" s="8" t="s">
        <v>11</v>
      </c>
      <c r="I3" s="8" t="s">
        <v>16</v>
      </c>
      <c r="J3" s="8" t="s">
        <v>10</v>
      </c>
      <c r="K3" s="8" t="s">
        <v>1</v>
      </c>
      <c r="L3" s="15" t="s">
        <v>0</v>
      </c>
      <c r="M3" s="15" t="s">
        <v>5</v>
      </c>
      <c r="N3" s="15" t="s">
        <v>12</v>
      </c>
      <c r="O3" s="15" t="s">
        <v>15</v>
      </c>
      <c r="P3" s="15" t="s">
        <v>11</v>
      </c>
      <c r="Q3" s="15" t="s">
        <v>16</v>
      </c>
      <c r="R3" s="15" t="s">
        <v>10</v>
      </c>
      <c r="S3" s="15" t="s">
        <v>1</v>
      </c>
      <c r="T3" s="37" t="s">
        <v>0</v>
      </c>
      <c r="U3" s="37" t="s">
        <v>5</v>
      </c>
      <c r="V3" s="37" t="s">
        <v>12</v>
      </c>
      <c r="W3" s="37" t="s">
        <v>15</v>
      </c>
      <c r="X3" s="37" t="s">
        <v>11</v>
      </c>
      <c r="Y3" s="37" t="s">
        <v>16</v>
      </c>
      <c r="Z3" s="37" t="s">
        <v>10</v>
      </c>
      <c r="AA3" s="37" t="s">
        <v>1</v>
      </c>
    </row>
    <row r="4" spans="2:27" x14ac:dyDescent="0.2">
      <c r="B4" s="4">
        <v>1</v>
      </c>
      <c r="C4" s="4">
        <v>942</v>
      </c>
      <c r="D4" s="23">
        <v>1740639.7674971051</v>
      </c>
      <c r="E4" s="33">
        <v>419.03100000001723</v>
      </c>
      <c r="F4" s="5">
        <v>12</v>
      </c>
      <c r="G4" s="23">
        <v>91.5</v>
      </c>
      <c r="H4" s="33">
        <v>744.57068898216357</v>
      </c>
      <c r="I4" s="23">
        <v>57.210008389717068</v>
      </c>
      <c r="J4" s="5">
        <v>6269.908709546411</v>
      </c>
      <c r="K4" s="31"/>
      <c r="L4" s="23">
        <v>2242287.5477436408</v>
      </c>
      <c r="M4" s="33">
        <v>552.04649999999651</v>
      </c>
      <c r="N4" s="5">
        <v>26</v>
      </c>
      <c r="O4" s="5">
        <v>77</v>
      </c>
      <c r="P4" s="33">
        <v>607.45253551743394</v>
      </c>
      <c r="Q4" s="5">
        <v>21.700106451921744</v>
      </c>
      <c r="R4" s="5">
        <v>5248.0232394909781</v>
      </c>
      <c r="S4" s="31"/>
      <c r="T4" s="23">
        <v>2279215.6524538891</v>
      </c>
      <c r="U4" s="33">
        <v>231.48399999999674</v>
      </c>
      <c r="V4" s="5">
        <v>13</v>
      </c>
      <c r="W4" s="5">
        <v>73.5</v>
      </c>
      <c r="X4" s="33">
        <v>1054.3506920006587</v>
      </c>
      <c r="Y4" s="5">
        <v>65.298591869879289</v>
      </c>
      <c r="Z4" s="5">
        <v>6616.3382162035978</v>
      </c>
      <c r="AA4" s="35"/>
    </row>
    <row r="5" spans="2:27" x14ac:dyDescent="0.2">
      <c r="B5" s="4">
        <v>2</v>
      </c>
      <c r="C5" s="4">
        <v>650</v>
      </c>
      <c r="D5" s="23">
        <v>1772320.50250723</v>
      </c>
      <c r="E5" s="33">
        <v>381.15649999998277</v>
      </c>
      <c r="F5" s="5">
        <v>11</v>
      </c>
      <c r="G5" s="23">
        <v>87.5</v>
      </c>
      <c r="H5" s="33">
        <v>575.81203183134892</v>
      </c>
      <c r="I5" s="23">
        <v>59.124054620696121</v>
      </c>
      <c r="J5" s="5">
        <v>6018.6911182170707</v>
      </c>
      <c r="K5" s="31"/>
      <c r="L5" s="23">
        <v>2254734.5761300358</v>
      </c>
      <c r="M5" s="33">
        <v>853.41399999998998</v>
      </c>
      <c r="N5" s="5">
        <v>28</v>
      </c>
      <c r="O5" s="5">
        <v>78.5</v>
      </c>
      <c r="P5" s="33">
        <v>667.70142577360775</v>
      </c>
      <c r="Q5" s="5">
        <v>20.007624431502396</v>
      </c>
      <c r="R5" s="5">
        <v>5330.890186384001</v>
      </c>
      <c r="S5" s="31"/>
      <c r="T5" s="23">
        <v>2190598.8634517598</v>
      </c>
      <c r="U5" s="33">
        <v>414.20299999997951</v>
      </c>
      <c r="V5" s="5">
        <v>14</v>
      </c>
      <c r="W5" s="5">
        <v>77</v>
      </c>
      <c r="X5" s="33">
        <v>1072.0166673332933</v>
      </c>
      <c r="Y5" s="5">
        <v>62.631487494887615</v>
      </c>
      <c r="Z5" s="5">
        <v>6526.4935949029632</v>
      </c>
      <c r="AA5" s="35"/>
    </row>
    <row r="6" spans="2:27" x14ac:dyDescent="0.2">
      <c r="B6" s="4">
        <v>3</v>
      </c>
      <c r="C6" s="4">
        <v>304</v>
      </c>
      <c r="D6" s="23">
        <v>1626697.594468975</v>
      </c>
      <c r="E6" s="33">
        <v>501.25</v>
      </c>
      <c r="F6" s="5">
        <v>12</v>
      </c>
      <c r="G6" s="23">
        <v>95.5</v>
      </c>
      <c r="H6" s="33">
        <v>793.67482927125968</v>
      </c>
      <c r="I6" s="23">
        <v>61.6532748457821</v>
      </c>
      <c r="J6" s="5">
        <v>6195.6929953929275</v>
      </c>
      <c r="K6" s="31"/>
      <c r="L6" s="23">
        <v>2355213.7721915999</v>
      </c>
      <c r="M6" s="33">
        <v>880.14100000000349</v>
      </c>
      <c r="N6" s="5">
        <v>43</v>
      </c>
      <c r="O6" s="5">
        <v>89.5</v>
      </c>
      <c r="P6" s="33">
        <v>1043.5561639918608</v>
      </c>
      <c r="Q6" s="5">
        <v>15.817520131169523</v>
      </c>
      <c r="R6" s="5">
        <v>5720.3478814083164</v>
      </c>
      <c r="S6" s="31"/>
      <c r="T6" s="23">
        <v>2221122.718181707</v>
      </c>
      <c r="U6" s="33">
        <v>527.95299999997951</v>
      </c>
      <c r="V6" s="5">
        <v>14</v>
      </c>
      <c r="W6" s="5">
        <v>75.5</v>
      </c>
      <c r="X6" s="33">
        <v>1057.6150184474177</v>
      </c>
      <c r="Y6" s="5">
        <v>63.484683791329239</v>
      </c>
      <c r="Z6" s="5">
        <v>6505.0710900977911</v>
      </c>
      <c r="AA6" s="35"/>
    </row>
    <row r="7" spans="2:27" x14ac:dyDescent="0.2">
      <c r="B7" s="4">
        <v>4</v>
      </c>
      <c r="C7" s="4">
        <v>328</v>
      </c>
      <c r="D7" s="23">
        <v>1649379.32121838</v>
      </c>
      <c r="E7" s="33">
        <v>513.14050000003749</v>
      </c>
      <c r="F7" s="5">
        <v>12</v>
      </c>
      <c r="G7" s="23">
        <v>96</v>
      </c>
      <c r="H7" s="33">
        <v>802.53126082103802</v>
      </c>
      <c r="I7" s="23">
        <v>60.40065735005669</v>
      </c>
      <c r="J7" s="5">
        <v>6337.6794030778101</v>
      </c>
      <c r="K7" s="31"/>
      <c r="L7" s="23">
        <v>2340310.8967658798</v>
      </c>
      <c r="M7" s="33">
        <v>893.85950000002049</v>
      </c>
      <c r="N7" s="5">
        <v>28</v>
      </c>
      <c r="O7" s="5">
        <v>75.5</v>
      </c>
      <c r="P7" s="33">
        <v>681.86753236259744</v>
      </c>
      <c r="Q7" s="5">
        <v>19.191523173169976</v>
      </c>
      <c r="R7" s="5">
        <v>5277.6031090786264</v>
      </c>
      <c r="S7" s="31"/>
      <c r="T7" s="23">
        <v>2512222.7566689388</v>
      </c>
      <c r="U7" s="33">
        <v>610.625</v>
      </c>
      <c r="V7" s="5">
        <v>12</v>
      </c>
      <c r="W7" s="5">
        <v>69</v>
      </c>
      <c r="X7" s="33">
        <v>1450.4153244208569</v>
      </c>
      <c r="Y7" s="5">
        <v>75.220872042183586</v>
      </c>
      <c r="Z7" s="5">
        <v>7243.123876701864</v>
      </c>
      <c r="AA7" s="35"/>
    </row>
    <row r="8" spans="2:27" x14ac:dyDescent="0.2">
      <c r="B8" s="4">
        <v>5</v>
      </c>
      <c r="C8" s="4">
        <v>189</v>
      </c>
      <c r="D8" s="23">
        <v>1613559.480770838</v>
      </c>
      <c r="E8" s="33">
        <v>850.35899999999651</v>
      </c>
      <c r="F8" s="5">
        <v>12</v>
      </c>
      <c r="G8" s="23">
        <v>95.5</v>
      </c>
      <c r="H8" s="33">
        <v>732.64810656478107</v>
      </c>
      <c r="I8" s="23">
        <v>60.250381790839278</v>
      </c>
      <c r="J8" s="5">
        <v>6175.3254548127197</v>
      </c>
      <c r="K8" s="31"/>
      <c r="L8" s="23">
        <v>2240345.7779711811</v>
      </c>
      <c r="M8" s="33">
        <v>647.6875</v>
      </c>
      <c r="N8" s="5">
        <v>33</v>
      </c>
      <c r="O8" s="5">
        <v>84</v>
      </c>
      <c r="P8" s="33">
        <v>832.18547949301558</v>
      </c>
      <c r="Q8" s="5">
        <v>19.074797690777146</v>
      </c>
      <c r="R8" s="5">
        <v>5485.8621513365115</v>
      </c>
      <c r="S8" s="31"/>
      <c r="T8" s="23">
        <v>2649182.312318915</v>
      </c>
      <c r="U8" s="33">
        <v>254.48449999996231</v>
      </c>
      <c r="V8" s="5">
        <v>14</v>
      </c>
      <c r="W8" s="5">
        <v>61.5</v>
      </c>
      <c r="X8" s="33">
        <v>1162.0024410575818</v>
      </c>
      <c r="Y8" s="5">
        <v>56.668771905670312</v>
      </c>
      <c r="Z8" s="5">
        <v>6733.0914340488243</v>
      </c>
      <c r="AA8" s="35"/>
    </row>
    <row r="9" spans="2:27" x14ac:dyDescent="0.2">
      <c r="B9" s="4">
        <v>6</v>
      </c>
      <c r="C9" s="4">
        <v>333</v>
      </c>
      <c r="D9" s="23">
        <v>1650229.201889928</v>
      </c>
      <c r="E9" s="33">
        <v>489.0625</v>
      </c>
      <c r="F9" s="5">
        <v>12</v>
      </c>
      <c r="G9" s="23">
        <v>96</v>
      </c>
      <c r="H9" s="33">
        <v>823.28659802116499</v>
      </c>
      <c r="I9" s="23">
        <v>59.612266543905868</v>
      </c>
      <c r="J9" s="5">
        <v>6315.7663591373248</v>
      </c>
      <c r="K9" s="31"/>
      <c r="L9" s="23">
        <v>2198499.0359521098</v>
      </c>
      <c r="M9" s="33">
        <v>640</v>
      </c>
      <c r="N9" s="5">
        <v>28</v>
      </c>
      <c r="O9" s="5">
        <v>80</v>
      </c>
      <c r="P9" s="33">
        <v>611.68122074215057</v>
      </c>
      <c r="Q9" s="5">
        <v>20.892019774526268</v>
      </c>
      <c r="R9" s="5">
        <v>5313.0767844465345</v>
      </c>
      <c r="S9" s="31"/>
      <c r="T9" s="23">
        <v>2591863.2205836992</v>
      </c>
      <c r="U9" s="33">
        <v>198.24249999999299</v>
      </c>
      <c r="V9" s="5">
        <v>12</v>
      </c>
      <c r="W9" s="5">
        <v>70</v>
      </c>
      <c r="X9" s="33">
        <v>1828.5431413925048</v>
      </c>
      <c r="Y9" s="5">
        <v>75.366825574855156</v>
      </c>
      <c r="Z9" s="5">
        <v>7755.3724183489931</v>
      </c>
      <c r="AA9" s="35"/>
    </row>
    <row r="10" spans="2:27" x14ac:dyDescent="0.2">
      <c r="B10" s="4">
        <v>7</v>
      </c>
      <c r="C10" s="4">
        <v>566</v>
      </c>
      <c r="D10" s="23">
        <v>1685414.0313229</v>
      </c>
      <c r="E10" s="33">
        <v>241.92999999999299</v>
      </c>
      <c r="F10" s="5">
        <v>13</v>
      </c>
      <c r="G10" s="23">
        <v>94</v>
      </c>
      <c r="H10" s="33">
        <v>804.93329676803535</v>
      </c>
      <c r="I10" s="23">
        <v>55.296169707139406</v>
      </c>
      <c r="J10" s="5">
        <v>6139.1245298755202</v>
      </c>
      <c r="K10" s="31"/>
      <c r="L10" s="23">
        <v>2229308.3085777909</v>
      </c>
      <c r="M10" s="33">
        <v>341.39050000003772</v>
      </c>
      <c r="N10" s="5">
        <v>27</v>
      </c>
      <c r="O10" s="5">
        <v>79</v>
      </c>
      <c r="P10" s="33">
        <v>698.22946923718382</v>
      </c>
      <c r="Q10" s="5">
        <v>20.467991729722943</v>
      </c>
      <c r="R10" s="5">
        <v>5399.4861470615015</v>
      </c>
      <c r="S10" s="31"/>
      <c r="T10" s="23">
        <v>2203373.9666890888</v>
      </c>
      <c r="U10" s="33">
        <v>608.32049999997253</v>
      </c>
      <c r="V10" s="5">
        <v>15</v>
      </c>
      <c r="W10" s="5">
        <v>77.5</v>
      </c>
      <c r="X10" s="33">
        <v>1172.6478332104946</v>
      </c>
      <c r="Y10" s="5">
        <v>62.66743406178027</v>
      </c>
      <c r="Z10" s="5">
        <v>6614.9377869542113</v>
      </c>
      <c r="AA10" s="35"/>
    </row>
    <row r="11" spans="2:27" x14ac:dyDescent="0.2">
      <c r="B11" s="4">
        <v>8</v>
      </c>
      <c r="C11" s="4">
        <v>21</v>
      </c>
      <c r="D11" s="23">
        <v>1685312.884429303</v>
      </c>
      <c r="E11" s="33">
        <v>294.95350000000326</v>
      </c>
      <c r="F11" s="5">
        <v>11</v>
      </c>
      <c r="G11" s="23">
        <v>94</v>
      </c>
      <c r="H11" s="33">
        <v>795.70395568176673</v>
      </c>
      <c r="I11" s="23">
        <v>64.695279681201058</v>
      </c>
      <c r="J11" s="5">
        <v>6382.7289853727498</v>
      </c>
      <c r="K11" s="31"/>
      <c r="L11" s="23">
        <v>2283470.8392308522</v>
      </c>
      <c r="M11" s="33">
        <v>499.44549999997253</v>
      </c>
      <c r="N11" s="5">
        <v>43</v>
      </c>
      <c r="O11" s="5">
        <v>92</v>
      </c>
      <c r="P11" s="33">
        <v>981.70485338649337</v>
      </c>
      <c r="Q11" s="5">
        <v>15.967542790637058</v>
      </c>
      <c r="R11" s="5">
        <v>5664.4931520294531</v>
      </c>
      <c r="S11" s="31"/>
      <c r="T11" s="23">
        <v>2304063.8597227642</v>
      </c>
      <c r="U11" s="33">
        <v>1108.1954999999725</v>
      </c>
      <c r="V11" s="5">
        <v>12</v>
      </c>
      <c r="W11" s="5">
        <v>71</v>
      </c>
      <c r="X11" s="33">
        <v>937.76203270718429</v>
      </c>
      <c r="Y11" s="5">
        <v>65.369785220779207</v>
      </c>
      <c r="Z11" s="5">
        <v>6546.576962415148</v>
      </c>
      <c r="AA11" s="35"/>
    </row>
    <row r="12" spans="2:27" x14ac:dyDescent="0.2">
      <c r="B12" s="4">
        <v>9</v>
      </c>
      <c r="C12" s="4">
        <v>989</v>
      </c>
      <c r="D12" s="23">
        <v>1930055.723574911</v>
      </c>
      <c r="E12" s="33">
        <v>325.25</v>
      </c>
      <c r="F12" s="5">
        <v>14</v>
      </c>
      <c r="G12" s="23">
        <v>89</v>
      </c>
      <c r="H12" s="33">
        <v>1001.7490293681182</v>
      </c>
      <c r="I12" s="23">
        <v>46.19458525210473</v>
      </c>
      <c r="J12" s="5">
        <v>6485.5772071462552</v>
      </c>
      <c r="K12" s="31"/>
      <c r="L12" s="23">
        <v>2137940.1366676991</v>
      </c>
      <c r="M12" s="33">
        <v>1954.8280000000375</v>
      </c>
      <c r="N12" s="5">
        <v>25</v>
      </c>
      <c r="O12" s="5">
        <v>78</v>
      </c>
      <c r="P12" s="33">
        <v>504.79563079379852</v>
      </c>
      <c r="Q12" s="5">
        <v>22.44287607306671</v>
      </c>
      <c r="R12" s="5">
        <v>5001.7195405596376</v>
      </c>
      <c r="S12" s="31"/>
      <c r="T12" s="23">
        <v>2669675.8571262532</v>
      </c>
      <c r="U12" s="33">
        <v>543.39049999997951</v>
      </c>
      <c r="V12" s="5">
        <v>16</v>
      </c>
      <c r="W12" s="5">
        <v>58.5</v>
      </c>
      <c r="X12" s="33">
        <v>896.87304879531712</v>
      </c>
      <c r="Y12" s="5">
        <v>43.303258331396634</v>
      </c>
      <c r="Z12" s="5">
        <v>6060.5258889057186</v>
      </c>
      <c r="AA12" s="35"/>
    </row>
    <row r="13" spans="2:27" x14ac:dyDescent="0.2">
      <c r="B13" s="4">
        <v>10</v>
      </c>
      <c r="C13" s="4">
        <v>837</v>
      </c>
      <c r="D13" s="23">
        <v>1636011.3393851731</v>
      </c>
      <c r="E13" s="33">
        <v>234.23449999996231</v>
      </c>
      <c r="F13" s="5">
        <v>13</v>
      </c>
      <c r="G13" s="23">
        <v>95.5</v>
      </c>
      <c r="H13" s="33">
        <v>808.28562754548591</v>
      </c>
      <c r="I13" s="23">
        <v>55.728986398392585</v>
      </c>
      <c r="J13" s="5">
        <v>6139.9532767601459</v>
      </c>
      <c r="K13" s="31"/>
      <c r="L13" s="23">
        <v>2339799.2244369742</v>
      </c>
      <c r="M13" s="33">
        <v>1392.1089999999965</v>
      </c>
      <c r="N13" s="5">
        <v>23</v>
      </c>
      <c r="O13" s="5">
        <v>72</v>
      </c>
      <c r="P13" s="33">
        <v>581.95397800559613</v>
      </c>
      <c r="Q13" s="5">
        <v>22.263084418503251</v>
      </c>
      <c r="R13" s="5">
        <v>5326.7185944382227</v>
      </c>
      <c r="S13" s="31"/>
      <c r="T13" s="23">
        <v>2231569.8596012369</v>
      </c>
      <c r="U13" s="33">
        <v>833.875</v>
      </c>
      <c r="V13" s="5">
        <v>14</v>
      </c>
      <c r="W13" s="5">
        <v>73.5</v>
      </c>
      <c r="X13" s="33">
        <v>919.53375807666771</v>
      </c>
      <c r="Y13" s="5">
        <v>60.084411432867732</v>
      </c>
      <c r="Z13" s="5">
        <v>6289.3279005144941</v>
      </c>
      <c r="AA13" s="35"/>
    </row>
    <row r="14" spans="2:27" x14ac:dyDescent="0.2">
      <c r="B14" s="46" t="s">
        <v>3</v>
      </c>
      <c r="C14" s="47"/>
      <c r="D14" s="9">
        <f>MIN(D4:D13)</f>
        <v>1613559.480770838</v>
      </c>
      <c r="E14" s="22">
        <f>INDEX(E4:E13, MATCH($D$14, D4:D13, 0))</f>
        <v>850.35899999999651</v>
      </c>
      <c r="F14" s="9">
        <f>INDEX(F4:F13, MATCH($D$14, D4:D13, 0))</f>
        <v>12</v>
      </c>
      <c r="G14" s="9">
        <f>INDEX(G4:G13, MATCH($D$14, D4:D13, 0))</f>
        <v>95.5</v>
      </c>
      <c r="H14" s="22">
        <f>INDEX(H4:H13, MATCH($D$14, D4:D13, 0))</f>
        <v>732.64810656478107</v>
      </c>
      <c r="I14" s="22">
        <f>INDEX(I4:I13, MATCH($D$14, D4:D13, 0))</f>
        <v>60.250381790839278</v>
      </c>
      <c r="J14" s="22">
        <f>INDEX(J4:J13, MATCH($D$14, D4:D13, 0))</f>
        <v>6175.3254548127197</v>
      </c>
      <c r="K14" s="32" t="e">
        <f>(D14-$D$15)/$D$15</f>
        <v>#DIV/0!</v>
      </c>
      <c r="L14" s="16">
        <f>MIN(L4:L13)</f>
        <v>2137940.1366676991</v>
      </c>
      <c r="M14" s="21">
        <f>INDEX(M4:M13, MATCH($L$14, L4:L13, 0))</f>
        <v>1954.8280000000375</v>
      </c>
      <c r="N14" s="16">
        <f>INDEX(N4:N13, MATCH($L$14, L4:L13, 0))</f>
        <v>25</v>
      </c>
      <c r="O14" s="16">
        <f>INDEX(O4:O13, MATCH($L$14, L4:L13, 0))</f>
        <v>78</v>
      </c>
      <c r="P14" s="21">
        <f>INDEX(P4:P13, MATCH($L$14, L4:L13, 0))</f>
        <v>504.79563079379852</v>
      </c>
      <c r="Q14" s="21">
        <f>INDEX(Q4:Q13, MATCH($L$14, L4:L13, 0))</f>
        <v>22.44287607306671</v>
      </c>
      <c r="R14" s="21">
        <f>INDEX(R4:R13, MATCH($L$14, L4:L13, 0))</f>
        <v>5001.7195405596376</v>
      </c>
      <c r="S14" s="36" t="e">
        <f>(L14-$D$15)/$D$15</f>
        <v>#DIV/0!</v>
      </c>
      <c r="T14" s="38">
        <f>MIN(T4:T13)</f>
        <v>2190598.8634517598</v>
      </c>
      <c r="U14" s="39">
        <f>INDEX(U4:U13, MATCH($T$14, T4:T13, 0))</f>
        <v>414.20299999997951</v>
      </c>
      <c r="V14" s="38">
        <f>INDEX(V4:V13, MATCH($T$14, T4:T13, 0))</f>
        <v>14</v>
      </c>
      <c r="W14" s="38">
        <f>INDEX(W4:W13, MATCH($T$14, T4:T13, 0))</f>
        <v>77</v>
      </c>
      <c r="X14" s="39">
        <f>INDEX(X4:X13, MATCH($T$14, T4:T13, 0))</f>
        <v>1072.0166673332933</v>
      </c>
      <c r="Y14" s="39">
        <f>INDEX(Y4:Y13, MATCH($T$14, T4:T13, 0))</f>
        <v>62.631487494887615</v>
      </c>
      <c r="Z14" s="39">
        <f>INDEX(Z4:Z13, MATCH($T$14, T4:T13, 0))</f>
        <v>6526.4935949029632</v>
      </c>
      <c r="AA14" s="40" t="e">
        <f>(T14-$D$15)/$D$15</f>
        <v>#DIV/0!</v>
      </c>
    </row>
    <row r="15" spans="2:27" x14ac:dyDescent="0.2">
      <c r="C15" s="1" t="s">
        <v>17</v>
      </c>
      <c r="D15" s="34"/>
      <c r="E15" s="3"/>
      <c r="F15" s="3"/>
      <c r="G15" s="3"/>
      <c r="H15" s="3"/>
      <c r="I15" s="3"/>
      <c r="J15" s="3"/>
      <c r="K15" s="3"/>
      <c r="L15" s="34"/>
      <c r="T15" s="34"/>
    </row>
    <row r="16" spans="2:27" x14ac:dyDescent="0.2">
      <c r="D16" s="2"/>
    </row>
    <row r="17" spans="4:4" x14ac:dyDescent="0.2">
      <c r="D17" s="2"/>
    </row>
  </sheetData>
  <mergeCells count="1">
    <mergeCell ref="B14:C14"/>
  </mergeCells>
  <conditionalFormatting sqref="C1:C13 C15:C16 C36:C1048576">
    <cfRule type="duplicateValues" dxfId="53" priority="7"/>
    <cfRule type="duplicateValues" dxfId="52" priority="8"/>
  </conditionalFormatting>
  <conditionalFormatting sqref="C14">
    <cfRule type="duplicateValues" dxfId="51" priority="3"/>
    <cfRule type="duplicateValues" dxfId="50" priority="4"/>
  </conditionalFormatting>
  <conditionalFormatting sqref="C17:C35">
    <cfRule type="duplicateValues" dxfId="1" priority="1"/>
    <cfRule type="duplicateValues" dxfId="0" priority="2"/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9692B1-22D1-5B40-A372-3E21EF5CF739}">
  <dimension ref="B3:I14"/>
  <sheetViews>
    <sheetView zoomScale="125" workbookViewId="0">
      <selection activeCell="I4" sqref="I4"/>
    </sheetView>
  </sheetViews>
  <sheetFormatPr baseColWidth="10" defaultColWidth="11" defaultRowHeight="16" x14ac:dyDescent="0.2"/>
  <cols>
    <col min="4" max="6" width="16.6640625" customWidth="1"/>
  </cols>
  <sheetData>
    <row r="3" spans="2:9" x14ac:dyDescent="0.2">
      <c r="B3" s="8" t="s">
        <v>2</v>
      </c>
      <c r="C3" s="8" t="s">
        <v>4</v>
      </c>
      <c r="D3" s="8" t="s">
        <v>0</v>
      </c>
      <c r="E3" s="8" t="s">
        <v>5</v>
      </c>
      <c r="F3" s="8" t="s">
        <v>1</v>
      </c>
      <c r="G3" s="8" t="s">
        <v>6</v>
      </c>
    </row>
    <row r="4" spans="2:9" x14ac:dyDescent="0.2">
      <c r="B4" s="4">
        <v>1</v>
      </c>
      <c r="C4" s="4"/>
      <c r="D4" s="12" t="e" cm="1">
        <f t="array" aca="1" ref="D4" ca="1">INDIRECT("'[results" &amp; $C4 &amp; ".xlsx]Objective'!$A$2")</f>
        <v>#REF!</v>
      </c>
      <c r="E4" s="7" t="e" cm="1">
        <f t="array" aca="1" ref="E4" ca="1">INDIRECT("'[results" &amp; $C4 &amp; ".xlsx]Optimization_Time'!$A$2")</f>
        <v>#REF!</v>
      </c>
      <c r="F4" s="7" t="e" cm="1">
        <f t="array" aca="1" ref="F4" ca="1">INDIRECT("'[results" &amp; $C4 &amp; ".xlsx]Optimality_Gap'!$A$2")</f>
        <v>#REF!</v>
      </c>
      <c r="G4" s="7" t="e" cm="1">
        <f t="array" aca="1" ref="G4" ca="1">INDIRECT("'[results" &amp; $C4 &amp; ".xlsx]Optimality_Status'!$A$2")</f>
        <v>#REF!</v>
      </c>
      <c r="H4" s="1" t="e" cm="1">
        <f t="array" aca="1" ref="H4" ca="1">INDIRECT("'[Results SA - 15-2-3.xlsx]results" &amp; C4 &amp; "'!$D$15")</f>
        <v>#REF!</v>
      </c>
      <c r="I4" s="14" t="e" cm="1">
        <f t="array" aca="1" ref="I4" ca="1">INDIRECT("'[Results SA - 15-2-3.xlsx]results" &amp; C4 &amp; "'!$E$15")</f>
        <v>#REF!</v>
      </c>
    </row>
    <row r="5" spans="2:9" x14ac:dyDescent="0.2">
      <c r="B5" s="4">
        <v>2</v>
      </c>
      <c r="C5" s="4"/>
      <c r="D5" s="12" t="e" cm="1">
        <f t="array" aca="1" ref="D5" ca="1">INDIRECT("'[results" &amp; $C5 &amp; ".xlsx]Objective'!$A$2")</f>
        <v>#REF!</v>
      </c>
      <c r="E5" s="7" t="e" cm="1">
        <f t="array" aca="1" ref="E5" ca="1">INDIRECT("'[results" &amp; $C5 &amp; ".xlsx]Optimization_Time'!$A$2")</f>
        <v>#REF!</v>
      </c>
      <c r="F5" s="7" t="e" cm="1">
        <f t="array" aca="1" ref="F5" ca="1">INDIRECT("'[results" &amp; $C5 &amp; ".xlsx]Optimality_Gap'!$A$2")</f>
        <v>#REF!</v>
      </c>
      <c r="G5" s="7" t="e" cm="1">
        <f t="array" aca="1" ref="G5" ca="1">INDIRECT("'[results" &amp; $C5 &amp; ".xlsx]Optimality_Status'!$A$2")</f>
        <v>#REF!</v>
      </c>
    </row>
    <row r="6" spans="2:9" x14ac:dyDescent="0.2">
      <c r="B6" s="4">
        <v>3</v>
      </c>
      <c r="C6" s="4"/>
      <c r="D6" s="12" t="e" cm="1">
        <f t="array" aca="1" ref="D6" ca="1">INDIRECT("'[results" &amp; $C6 &amp; ".xlsx]Objective'!$A$2")</f>
        <v>#REF!</v>
      </c>
      <c r="E6" s="7" t="e" cm="1">
        <f t="array" aca="1" ref="E6" ca="1">INDIRECT("'[results" &amp; $C6 &amp; ".xlsx]Optimization_Time'!$A$2")</f>
        <v>#REF!</v>
      </c>
      <c r="F6" s="7" t="e" cm="1">
        <f t="array" aca="1" ref="F6" ca="1">INDIRECT("'[results" &amp; $C6 &amp; ".xlsx]Optimality_Gap'!$A$2")</f>
        <v>#REF!</v>
      </c>
      <c r="G6" s="7" t="e" cm="1">
        <f t="array" aca="1" ref="G6" ca="1">INDIRECT("'[results" &amp; $C6 &amp; ".xlsx]Optimality_Status'!$A$2")</f>
        <v>#REF!</v>
      </c>
    </row>
    <row r="7" spans="2:9" x14ac:dyDescent="0.2">
      <c r="B7" s="4">
        <v>4</v>
      </c>
      <c r="C7" s="4"/>
      <c r="D7" s="12" t="e" cm="1">
        <f t="array" aca="1" ref="D7" ca="1">INDIRECT("'[results" &amp; $C7 &amp; ".xlsx]Objective'!$A$2")</f>
        <v>#REF!</v>
      </c>
      <c r="E7" s="7" t="e" cm="1">
        <f t="array" aca="1" ref="E7" ca="1">INDIRECT("'[results" &amp; $C7 &amp; ".xlsx]Optimization_Time'!$A$2")</f>
        <v>#REF!</v>
      </c>
      <c r="F7" s="7" t="e" cm="1">
        <f t="array" aca="1" ref="F7" ca="1">INDIRECT("'[results" &amp; $C7 &amp; ".xlsx]Optimality_Gap'!$A$2")</f>
        <v>#REF!</v>
      </c>
      <c r="G7" s="7" t="e" cm="1">
        <f t="array" aca="1" ref="G7" ca="1">INDIRECT("'[results" &amp; $C7 &amp; ".xlsx]Optimality_Status'!$A$2")</f>
        <v>#REF!</v>
      </c>
    </row>
    <row r="8" spans="2:9" x14ac:dyDescent="0.2">
      <c r="B8" s="4">
        <v>5</v>
      </c>
      <c r="C8" s="4"/>
      <c r="D8" s="12" t="e" cm="1">
        <f t="array" aca="1" ref="D8" ca="1">INDIRECT("'[results" &amp; $C8 &amp; ".xlsx]Objective'!$A$2")</f>
        <v>#REF!</v>
      </c>
      <c r="E8" s="7" t="e" cm="1">
        <f t="array" aca="1" ref="E8" ca="1">INDIRECT("'[results" &amp; $C8 &amp; ".xlsx]Optimization_Time'!$A$2")</f>
        <v>#REF!</v>
      </c>
      <c r="F8" s="7" t="e" cm="1">
        <f t="array" aca="1" ref="F8" ca="1">INDIRECT("'[results" &amp; $C8 &amp; ".xlsx]Optimality_Gap'!$A$2")</f>
        <v>#REF!</v>
      </c>
      <c r="G8" s="7" t="e" cm="1">
        <f t="array" aca="1" ref="G8" ca="1">INDIRECT("'[results" &amp; $C8 &amp; ".xlsx]Optimality_Status'!$A$2")</f>
        <v>#REF!</v>
      </c>
    </row>
    <row r="9" spans="2:9" x14ac:dyDescent="0.2">
      <c r="B9" s="4">
        <v>6</v>
      </c>
      <c r="C9" s="4"/>
      <c r="D9" s="12" t="e" cm="1">
        <f t="array" aca="1" ref="D9" ca="1">INDIRECT("'[results" &amp; $C9 &amp; ".xlsx]Objective'!$A$2")</f>
        <v>#REF!</v>
      </c>
      <c r="E9" s="7" t="e" cm="1">
        <f t="array" aca="1" ref="E9" ca="1">INDIRECT("'[results" &amp; $C9 &amp; ".xlsx]Optimization_Time'!$A$2")</f>
        <v>#REF!</v>
      </c>
      <c r="F9" s="7" t="e" cm="1">
        <f t="array" aca="1" ref="F9" ca="1">INDIRECT("'[results" &amp; $C9 &amp; ".xlsx]Optimality_Gap'!$A$2")</f>
        <v>#REF!</v>
      </c>
      <c r="G9" s="7" t="e" cm="1">
        <f t="array" aca="1" ref="G9" ca="1">INDIRECT("'[results" &amp; $C9 &amp; ".xlsx]Optimality_Status'!$A$2")</f>
        <v>#REF!</v>
      </c>
    </row>
    <row r="10" spans="2:9" x14ac:dyDescent="0.2">
      <c r="B10" s="4">
        <v>7</v>
      </c>
      <c r="C10" s="4"/>
      <c r="D10" s="12" t="e" cm="1">
        <f t="array" aca="1" ref="D10" ca="1">INDIRECT("'[results" &amp; $C10 &amp; ".xlsx]Objective'!$A$2")</f>
        <v>#REF!</v>
      </c>
      <c r="E10" s="7" t="e" cm="1">
        <f t="array" aca="1" ref="E10" ca="1">INDIRECT("'[results" &amp; $C10 &amp; ".xlsx]Optimization_Time'!$A$2")</f>
        <v>#REF!</v>
      </c>
      <c r="F10" s="7" t="e" cm="1">
        <f t="array" aca="1" ref="F10" ca="1">INDIRECT("'[results" &amp; $C10 &amp; ".xlsx]Optimality_Gap'!$A$2")</f>
        <v>#REF!</v>
      </c>
      <c r="G10" s="7" t="e" cm="1">
        <f t="array" aca="1" ref="G10" ca="1">INDIRECT("'[results" &amp; $C10 &amp; ".xlsx]Optimality_Status'!$A$2")</f>
        <v>#REF!</v>
      </c>
    </row>
    <row r="11" spans="2:9" x14ac:dyDescent="0.2">
      <c r="B11" s="4">
        <v>8</v>
      </c>
      <c r="C11" s="4"/>
      <c r="D11" s="12" t="e" cm="1">
        <f t="array" aca="1" ref="D11" ca="1">INDIRECT("'[results" &amp; $C11 &amp; ".xlsx]Objective'!$A$2")</f>
        <v>#REF!</v>
      </c>
      <c r="E11" s="7" t="e" cm="1">
        <f t="array" aca="1" ref="E11" ca="1">INDIRECT("'[results" &amp; $C11 &amp; ".xlsx]Optimization_Time'!$A$2")</f>
        <v>#REF!</v>
      </c>
      <c r="F11" s="7" t="e" cm="1">
        <f t="array" aca="1" ref="F11" ca="1">INDIRECT("'[results" &amp; $C11 &amp; ".xlsx]Optimality_Gap'!$A$2")</f>
        <v>#REF!</v>
      </c>
      <c r="G11" s="7" t="e" cm="1">
        <f t="array" aca="1" ref="G11" ca="1">INDIRECT("'[results" &amp; $C11 &amp; ".xlsx]Optimality_Status'!$A$2")</f>
        <v>#REF!</v>
      </c>
    </row>
    <row r="12" spans="2:9" x14ac:dyDescent="0.2">
      <c r="B12" s="4">
        <v>9</v>
      </c>
      <c r="C12" s="4"/>
      <c r="D12" s="12" t="e" cm="1">
        <f t="array" aca="1" ref="D12" ca="1">INDIRECT("'[results" &amp; $C12 &amp; ".xlsx]Objective'!$A$2")</f>
        <v>#REF!</v>
      </c>
      <c r="E12" s="7" t="e" cm="1">
        <f t="array" aca="1" ref="E12" ca="1">INDIRECT("'[results" &amp; $C12 &amp; ".xlsx]Optimization_Time'!$A$2")</f>
        <v>#REF!</v>
      </c>
      <c r="F12" s="7" t="e" cm="1">
        <f t="array" aca="1" ref="F12" ca="1">INDIRECT("'[results" &amp; $C12 &amp; ".xlsx]Optimality_Gap'!$A$2")</f>
        <v>#REF!</v>
      </c>
      <c r="G12" s="7" t="e" cm="1">
        <f t="array" aca="1" ref="G12" ca="1">INDIRECT("'[results" &amp; $C12 &amp; ".xlsx]Optimality_Status'!$A$2")</f>
        <v>#REF!</v>
      </c>
    </row>
    <row r="13" spans="2:9" x14ac:dyDescent="0.2">
      <c r="B13" s="4">
        <v>10</v>
      </c>
      <c r="C13" s="4"/>
      <c r="D13" s="12" t="e" cm="1">
        <f t="array" aca="1" ref="D13" ca="1">INDIRECT("'[results" &amp; $C13 &amp; ".xlsx]Objective'!$A$2")</f>
        <v>#REF!</v>
      </c>
      <c r="E13" s="7" t="e" cm="1">
        <f t="array" aca="1" ref="E13" ca="1">INDIRECT("'[results" &amp; $C13 &amp; ".xlsx]Optimization_Time'!$A$2")</f>
        <v>#REF!</v>
      </c>
      <c r="F13" s="7" t="e" cm="1">
        <f t="array" aca="1" ref="F13" ca="1">INDIRECT("'[results" &amp; $C13 &amp; ".xlsx]Optimality_Gap'!$A$2")</f>
        <v>#REF!</v>
      </c>
      <c r="G13" s="7" t="e" cm="1">
        <f t="array" aca="1" ref="G13" ca="1">INDIRECT("'[results" &amp; $C13 &amp; ".xlsx]Optimality_Status'!$A$2")</f>
        <v>#REF!</v>
      </c>
    </row>
    <row r="14" spans="2:9" x14ac:dyDescent="0.2">
      <c r="B14" s="46" t="s">
        <v>3</v>
      </c>
      <c r="C14" s="47" t="s">
        <v>3</v>
      </c>
      <c r="D14" s="9" t="e">
        <f ca="1">AVERAGE(D4:D13)</f>
        <v>#REF!</v>
      </c>
      <c r="E14" s="10" t="e">
        <f ca="1">AVERAGE(E4:E13)</f>
        <v>#REF!</v>
      </c>
      <c r="F14" s="11" t="e">
        <f ca="1">AVERAGE(F4:F13)</f>
        <v>#REF!</v>
      </c>
    </row>
  </sheetData>
  <mergeCells count="1">
    <mergeCell ref="B14:C14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413F57-3A30-4A47-8A73-5AC3C4C1A3FE}">
  <dimension ref="B3:T17"/>
  <sheetViews>
    <sheetView zoomScale="118" zoomScaleNormal="120" workbookViewId="0">
      <selection activeCell="H16" sqref="H16"/>
    </sheetView>
  </sheetViews>
  <sheetFormatPr baseColWidth="10" defaultColWidth="10.83203125" defaultRowHeight="16" x14ac:dyDescent="0.2"/>
  <cols>
    <col min="1" max="1" width="4.33203125" style="1" customWidth="1"/>
    <col min="2" max="2" width="8.1640625" style="1" bestFit="1" customWidth="1"/>
    <col min="3" max="3" width="5.1640625" style="1" bestFit="1" customWidth="1"/>
    <col min="4" max="5" width="16.6640625" style="1" customWidth="1"/>
    <col min="6" max="6" width="9.1640625" style="1" bestFit="1" customWidth="1"/>
    <col min="7" max="7" width="13.33203125" style="1" bestFit="1" customWidth="1"/>
    <col min="8" max="8" width="19.33203125" style="1" bestFit="1" customWidth="1"/>
    <col min="9" max="9" width="12" style="1" bestFit="1" customWidth="1"/>
    <col min="10" max="10" width="18" style="1" bestFit="1" customWidth="1"/>
    <col min="11" max="11" width="6.6640625" style="1" bestFit="1" customWidth="1"/>
    <col min="12" max="12" width="5" style="1" bestFit="1" customWidth="1"/>
    <col min="13" max="13" width="12.6640625" style="1" bestFit="1" customWidth="1"/>
    <col min="14" max="14" width="10.83203125" style="1"/>
    <col min="15" max="16" width="13.33203125" style="1" bestFit="1" customWidth="1"/>
    <col min="17" max="17" width="19.33203125" style="1" bestFit="1" customWidth="1"/>
    <col min="18" max="19" width="18" style="1" bestFit="1" customWidth="1"/>
    <col min="20" max="16384" width="10.83203125" style="1"/>
  </cols>
  <sheetData>
    <row r="3" spans="2:20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8</v>
      </c>
      <c r="H3" s="8" t="s">
        <v>9</v>
      </c>
      <c r="I3" s="8" t="s">
        <v>11</v>
      </c>
      <c r="J3" s="8" t="s">
        <v>10</v>
      </c>
      <c r="K3" s="8" t="s">
        <v>1</v>
      </c>
      <c r="L3" s="15" t="s">
        <v>13</v>
      </c>
      <c r="M3" s="15" t="s">
        <v>0</v>
      </c>
      <c r="N3" s="15" t="s">
        <v>5</v>
      </c>
      <c r="O3" s="15" t="s">
        <v>12</v>
      </c>
      <c r="P3" s="15" t="s">
        <v>8</v>
      </c>
      <c r="Q3" s="15" t="s">
        <v>9</v>
      </c>
      <c r="R3" s="15" t="s">
        <v>11</v>
      </c>
      <c r="S3" s="15" t="s">
        <v>10</v>
      </c>
      <c r="T3" s="15" t="s">
        <v>1</v>
      </c>
    </row>
    <row r="4" spans="2:20" x14ac:dyDescent="0.2">
      <c r="B4" s="4">
        <v>1</v>
      </c>
      <c r="C4" s="4">
        <v>5</v>
      </c>
      <c r="D4" s="12">
        <v>19241.290819999998</v>
      </c>
      <c r="E4" s="7">
        <v>9.0579987000000001E-3</v>
      </c>
      <c r="F4" s="19">
        <v>2</v>
      </c>
      <c r="G4" s="5">
        <v>1</v>
      </c>
      <c r="H4" s="7">
        <v>21469.399999999943</v>
      </c>
      <c r="I4" s="7">
        <v>0</v>
      </c>
      <c r="J4" s="7">
        <v>954.49813255853894</v>
      </c>
      <c r="K4" s="7">
        <v>0</v>
      </c>
      <c r="L4" s="4">
        <v>377</v>
      </c>
      <c r="M4" s="12">
        <v>17693.395359999999</v>
      </c>
      <c r="N4" s="7">
        <v>8.3689690000000004E-3</v>
      </c>
      <c r="O4" s="19">
        <v>2</v>
      </c>
      <c r="P4" s="5">
        <v>1</v>
      </c>
      <c r="Q4" s="7">
        <v>26785</v>
      </c>
      <c r="R4" s="7">
        <v>0</v>
      </c>
      <c r="S4" s="7">
        <v>1253.8423933873569</v>
      </c>
      <c r="T4" s="7">
        <v>0</v>
      </c>
    </row>
    <row r="5" spans="2:20" x14ac:dyDescent="0.2">
      <c r="B5" s="4">
        <v>2</v>
      </c>
      <c r="C5" s="4">
        <v>429</v>
      </c>
      <c r="D5" s="12">
        <v>28136.642790000002</v>
      </c>
      <c r="E5" s="7">
        <v>1.2848854099999999E-2</v>
      </c>
      <c r="F5" s="19">
        <v>2</v>
      </c>
      <c r="G5" s="5">
        <v>1</v>
      </c>
      <c r="H5" s="7">
        <v>24385</v>
      </c>
      <c r="I5" s="7">
        <v>0</v>
      </c>
      <c r="J5" s="7">
        <v>1139.2879741105539</v>
      </c>
      <c r="K5" s="7">
        <v>0</v>
      </c>
      <c r="L5" s="4">
        <v>133</v>
      </c>
      <c r="M5" s="12">
        <v>11388.14659</v>
      </c>
      <c r="N5" s="7">
        <v>6.8199634999999998E-3</v>
      </c>
      <c r="O5" s="19">
        <v>2</v>
      </c>
      <c r="P5" s="5">
        <v>5</v>
      </c>
      <c r="Q5" s="7">
        <v>37412</v>
      </c>
      <c r="R5" s="7">
        <v>0</v>
      </c>
      <c r="S5" s="7">
        <v>657.81330941668784</v>
      </c>
      <c r="T5" s="7">
        <v>0</v>
      </c>
    </row>
    <row r="6" spans="2:20" x14ac:dyDescent="0.2">
      <c r="B6" s="4">
        <v>3</v>
      </c>
      <c r="C6" s="4">
        <v>107</v>
      </c>
      <c r="D6" s="12">
        <v>26017.045989999999</v>
      </c>
      <c r="E6" s="7">
        <v>1.29659176E-2</v>
      </c>
      <c r="F6" s="19">
        <v>2</v>
      </c>
      <c r="G6" s="5">
        <v>2</v>
      </c>
      <c r="H6" s="7">
        <v>33990</v>
      </c>
      <c r="I6" s="7">
        <v>0</v>
      </c>
      <c r="J6" s="7">
        <v>601.89680959091652</v>
      </c>
      <c r="K6" s="7">
        <v>2.81E-3</v>
      </c>
      <c r="L6" s="4">
        <v>431</v>
      </c>
      <c r="M6" s="12">
        <v>13477.210440000001</v>
      </c>
      <c r="N6" s="7">
        <v>7.4539185000000001E-3</v>
      </c>
      <c r="O6" s="19">
        <v>2</v>
      </c>
      <c r="P6" s="5">
        <v>1</v>
      </c>
      <c r="Q6" s="7">
        <v>37611</v>
      </c>
      <c r="R6" s="7">
        <v>0</v>
      </c>
      <c r="S6" s="7">
        <v>879.39346722834466</v>
      </c>
      <c r="T6" s="7">
        <v>0</v>
      </c>
    </row>
    <row r="7" spans="2:20" x14ac:dyDescent="0.2">
      <c r="B7" s="4">
        <v>4</v>
      </c>
      <c r="C7" s="4">
        <v>185</v>
      </c>
      <c r="D7" s="12">
        <v>25202.35383</v>
      </c>
      <c r="E7" s="7">
        <v>3.1317949300000002E-2</v>
      </c>
      <c r="F7" s="19">
        <v>2</v>
      </c>
      <c r="G7" s="5">
        <v>2</v>
      </c>
      <c r="H7" s="7">
        <v>27452.400000000001</v>
      </c>
      <c r="I7" s="7">
        <v>0</v>
      </c>
      <c r="J7" s="7">
        <v>490.84403976283193</v>
      </c>
      <c r="K7" s="7">
        <v>0</v>
      </c>
      <c r="L7" s="4">
        <v>319</v>
      </c>
      <c r="M7" s="12">
        <v>20491.305629999999</v>
      </c>
      <c r="N7" s="7">
        <v>1.03929043E-2</v>
      </c>
      <c r="O7" s="19">
        <v>2</v>
      </c>
      <c r="P7" s="5">
        <v>2</v>
      </c>
      <c r="Q7" s="7">
        <v>38074</v>
      </c>
      <c r="R7" s="7">
        <v>0</v>
      </c>
      <c r="S7" s="7">
        <v>987.57108719398616</v>
      </c>
      <c r="T7" s="7">
        <v>0</v>
      </c>
    </row>
    <row r="8" spans="2:20" x14ac:dyDescent="0.2">
      <c r="B8" s="4">
        <v>5</v>
      </c>
      <c r="C8" s="4">
        <v>267</v>
      </c>
      <c r="D8" s="12">
        <v>26404.468250000002</v>
      </c>
      <c r="E8" s="7">
        <v>3.0615091300000001E-2</v>
      </c>
      <c r="F8" s="19">
        <v>2</v>
      </c>
      <c r="G8" s="5">
        <v>1</v>
      </c>
      <c r="H8" s="7">
        <v>28146.400000000001</v>
      </c>
      <c r="I8" s="7">
        <v>0</v>
      </c>
      <c r="J8" s="7">
        <v>1519.5001430868067</v>
      </c>
      <c r="K8" s="7">
        <v>0</v>
      </c>
      <c r="L8" s="4">
        <v>422</v>
      </c>
      <c r="M8" s="12">
        <v>16964.313419999999</v>
      </c>
      <c r="N8" s="7">
        <v>3.3550023999999998E-2</v>
      </c>
      <c r="O8" s="19">
        <v>2</v>
      </c>
      <c r="P8" s="5">
        <v>1</v>
      </c>
      <c r="Q8" s="7">
        <v>33765</v>
      </c>
      <c r="R8" s="7">
        <v>40.333830789278721</v>
      </c>
      <c r="S8" s="7">
        <v>1117.9240195059772</v>
      </c>
      <c r="T8" s="7">
        <v>0</v>
      </c>
    </row>
    <row r="9" spans="2:20" x14ac:dyDescent="0.2">
      <c r="B9" s="4">
        <v>6</v>
      </c>
      <c r="C9" s="4">
        <v>323</v>
      </c>
      <c r="D9" s="12">
        <v>28246.597099999999</v>
      </c>
      <c r="E9" s="7">
        <v>1.0510921499999999E-2</v>
      </c>
      <c r="F9" s="19">
        <v>2</v>
      </c>
      <c r="G9" s="5">
        <v>2</v>
      </c>
      <c r="H9" s="7">
        <v>30747.199999999961</v>
      </c>
      <c r="I9" s="7">
        <v>0</v>
      </c>
      <c r="J9" s="7">
        <v>368.04774446516222</v>
      </c>
      <c r="K9" s="7">
        <v>0</v>
      </c>
      <c r="L9" s="4">
        <v>919</v>
      </c>
      <c r="M9" s="12">
        <v>15330.535309999999</v>
      </c>
      <c r="N9" s="7">
        <v>3.0447006200000001E-2</v>
      </c>
      <c r="O9" s="19">
        <v>2</v>
      </c>
      <c r="P9" s="5">
        <v>0</v>
      </c>
      <c r="Q9" s="7">
        <v>20046</v>
      </c>
      <c r="R9" s="7">
        <v>0</v>
      </c>
      <c r="S9" s="7">
        <v>1494.6517187001261</v>
      </c>
      <c r="T9" s="7">
        <v>0</v>
      </c>
    </row>
    <row r="10" spans="2:20" x14ac:dyDescent="0.2">
      <c r="B10" s="4">
        <v>7</v>
      </c>
      <c r="C10" s="4">
        <v>326</v>
      </c>
      <c r="D10" s="12">
        <v>30678.150509999999</v>
      </c>
      <c r="E10" s="7">
        <v>3.0825853300000001E-2</v>
      </c>
      <c r="F10" s="19">
        <v>2</v>
      </c>
      <c r="G10" s="5">
        <v>2</v>
      </c>
      <c r="H10" s="7">
        <v>31285</v>
      </c>
      <c r="I10" s="7">
        <v>0</v>
      </c>
      <c r="J10" s="7">
        <v>535.60771272094746</v>
      </c>
      <c r="K10" s="7">
        <v>0</v>
      </c>
      <c r="L10" s="4">
        <v>416</v>
      </c>
      <c r="M10" s="12">
        <v>13650.364519999999</v>
      </c>
      <c r="N10" s="7">
        <v>2.1003007899999999E-2</v>
      </c>
      <c r="O10" s="19">
        <v>2</v>
      </c>
      <c r="P10" s="5">
        <v>1</v>
      </c>
      <c r="Q10" s="7">
        <v>38344</v>
      </c>
      <c r="R10" s="7">
        <v>0</v>
      </c>
      <c r="S10" s="7">
        <v>776.83258685503188</v>
      </c>
      <c r="T10" s="7">
        <v>0</v>
      </c>
    </row>
    <row r="11" spans="2:20" x14ac:dyDescent="0.2">
      <c r="B11" s="4">
        <v>8</v>
      </c>
      <c r="C11" s="4">
        <v>348</v>
      </c>
      <c r="D11" s="12">
        <v>29593.19486</v>
      </c>
      <c r="E11" s="7">
        <v>1.02541447E-2</v>
      </c>
      <c r="F11" s="19">
        <v>2</v>
      </c>
      <c r="G11" s="5">
        <v>1</v>
      </c>
      <c r="H11" s="7">
        <v>30135.599999999999</v>
      </c>
      <c r="I11" s="7">
        <v>0</v>
      </c>
      <c r="J11" s="7">
        <v>928.55983939500186</v>
      </c>
      <c r="K11" s="7">
        <v>2.48E-3</v>
      </c>
      <c r="L11" s="4">
        <v>800</v>
      </c>
      <c r="M11" s="12">
        <v>11733.15293</v>
      </c>
      <c r="N11" s="7">
        <v>1.47559643E-2</v>
      </c>
      <c r="O11" s="19">
        <v>2</v>
      </c>
      <c r="P11" s="5">
        <v>1</v>
      </c>
      <c r="Q11" s="7">
        <v>41776</v>
      </c>
      <c r="R11" s="7">
        <v>0</v>
      </c>
      <c r="S11" s="7">
        <v>608.96421461529985</v>
      </c>
      <c r="T11" s="7">
        <v>0</v>
      </c>
    </row>
    <row r="12" spans="2:20" x14ac:dyDescent="0.2">
      <c r="B12" s="4">
        <v>9</v>
      </c>
      <c r="C12" s="4">
        <v>690</v>
      </c>
      <c r="D12" s="12">
        <v>17130.002079999998</v>
      </c>
      <c r="E12" s="7">
        <v>9.1288089999999999E-3</v>
      </c>
      <c r="F12" s="19">
        <v>2</v>
      </c>
      <c r="G12" s="5">
        <v>1</v>
      </c>
      <c r="H12" s="7">
        <v>37386.400000000001</v>
      </c>
      <c r="I12" s="7">
        <v>0</v>
      </c>
      <c r="J12" s="7">
        <v>658.82757765364272</v>
      </c>
      <c r="K12" s="7">
        <v>0</v>
      </c>
      <c r="L12" s="4">
        <v>107</v>
      </c>
      <c r="M12" s="12">
        <v>16839.745989999999</v>
      </c>
      <c r="N12" s="7">
        <v>1.1364936799999999E-2</v>
      </c>
      <c r="O12" s="19">
        <v>2</v>
      </c>
      <c r="P12" s="5">
        <v>2</v>
      </c>
      <c r="Q12" s="7">
        <v>33990</v>
      </c>
      <c r="R12" s="7">
        <v>0</v>
      </c>
      <c r="S12" s="7">
        <v>601.89680959089958</v>
      </c>
      <c r="T12" s="7">
        <v>0</v>
      </c>
    </row>
    <row r="13" spans="2:20" x14ac:dyDescent="0.2">
      <c r="B13" s="4">
        <v>10</v>
      </c>
      <c r="C13" s="4">
        <v>953</v>
      </c>
      <c r="D13" s="12">
        <v>16079.40315</v>
      </c>
      <c r="E13" s="7">
        <v>7.3900223000000001E-3</v>
      </c>
      <c r="F13" s="19">
        <v>2</v>
      </c>
      <c r="G13" s="5">
        <v>1</v>
      </c>
      <c r="H13" s="7">
        <v>26858.6</v>
      </c>
      <c r="I13" s="7">
        <v>0</v>
      </c>
      <c r="J13" s="7">
        <v>502.93733710736433</v>
      </c>
      <c r="K13" s="7">
        <v>0</v>
      </c>
      <c r="L13" s="4">
        <v>562</v>
      </c>
      <c r="M13" s="12">
        <v>19084.65466</v>
      </c>
      <c r="N13" s="7">
        <v>1.21290684E-2</v>
      </c>
      <c r="O13" s="19">
        <v>2</v>
      </c>
      <c r="P13" s="5">
        <v>2</v>
      </c>
      <c r="Q13" s="7">
        <v>32306</v>
      </c>
      <c r="R13" s="7">
        <v>0</v>
      </c>
      <c r="S13" s="7">
        <v>861.74843252958794</v>
      </c>
      <c r="T13" s="7">
        <v>0</v>
      </c>
    </row>
    <row r="14" spans="2:20" x14ac:dyDescent="0.2">
      <c r="B14" s="46" t="s">
        <v>3</v>
      </c>
      <c r="C14" s="47"/>
      <c r="D14" s="9">
        <f t="shared" ref="D14:K14" si="0">AVERAGE(D4:D13)</f>
        <v>24672.914937999998</v>
      </c>
      <c r="E14" s="22">
        <f>AVERAGE(E4:E13)</f>
        <v>1.6491556179999999E-2</v>
      </c>
      <c r="F14" s="20">
        <f t="shared" si="0"/>
        <v>2</v>
      </c>
      <c r="G14" s="11">
        <f t="shared" si="0"/>
        <v>1.4</v>
      </c>
      <c r="H14" s="9">
        <f t="shared" si="0"/>
        <v>29185.599999999988</v>
      </c>
      <c r="I14" s="13">
        <f t="shared" si="0"/>
        <v>0</v>
      </c>
      <c r="J14" s="13">
        <f t="shared" si="0"/>
        <v>770.00073104517674</v>
      </c>
      <c r="K14" s="11">
        <f t="shared" si="0"/>
        <v>5.2899999999999996E-4</v>
      </c>
      <c r="L14" s="16"/>
      <c r="M14" s="16">
        <f t="shared" ref="M14:T14" si="1">AVERAGE(M4:M13)</f>
        <v>15665.282485</v>
      </c>
      <c r="N14" s="21">
        <f t="shared" si="1"/>
        <v>1.5628576289999998E-2</v>
      </c>
      <c r="O14" s="18">
        <f t="shared" si="1"/>
        <v>2</v>
      </c>
      <c r="P14" s="18">
        <f t="shared" si="1"/>
        <v>1.6</v>
      </c>
      <c r="Q14" s="16">
        <f t="shared" si="1"/>
        <v>34010.9</v>
      </c>
      <c r="R14" s="17">
        <f t="shared" si="1"/>
        <v>4.033383078927872</v>
      </c>
      <c r="S14" s="17">
        <f t="shared" si="1"/>
        <v>924.06380390232994</v>
      </c>
      <c r="T14" s="18">
        <f t="shared" si="1"/>
        <v>0</v>
      </c>
    </row>
    <row r="15" spans="2:20" x14ac:dyDescent="0.2">
      <c r="D15" s="2"/>
      <c r="E15" s="3"/>
      <c r="F15" s="3"/>
      <c r="G15" s="3"/>
      <c r="H15" s="3"/>
      <c r="I15" s="3"/>
      <c r="J15" s="3"/>
    </row>
    <row r="16" spans="2:20" x14ac:dyDescent="0.2">
      <c r="D16" s="2"/>
    </row>
    <row r="17" spans="4:4" x14ac:dyDescent="0.2">
      <c r="D17" s="2"/>
    </row>
  </sheetData>
  <mergeCells count="1">
    <mergeCell ref="B14:C14"/>
  </mergeCells>
  <conditionalFormatting sqref="L1:L1048576">
    <cfRule type="duplicateValues" dxfId="49" priority="1"/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136A87-BE04-CA4F-8898-08AC15FC33EF}">
  <dimension ref="B3:T17"/>
  <sheetViews>
    <sheetView zoomScaleNormal="120" workbookViewId="0">
      <selection activeCell="L4" sqref="L4:T13"/>
    </sheetView>
  </sheetViews>
  <sheetFormatPr baseColWidth="10" defaultColWidth="10.83203125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5" width="16.6640625" style="1" customWidth="1"/>
    <col min="6" max="6" width="9.1640625" style="1" bestFit="1" customWidth="1"/>
    <col min="7" max="7" width="13.33203125" style="1" bestFit="1" customWidth="1"/>
    <col min="8" max="9" width="19.33203125" style="1" bestFit="1" customWidth="1"/>
    <col min="10" max="10" width="18.6640625" style="1" bestFit="1" customWidth="1"/>
    <col min="11" max="11" width="16.6640625" style="1" customWidth="1"/>
    <col min="12" max="12" width="10.6640625" style="1" bestFit="1" customWidth="1"/>
    <col min="13" max="13" width="12.6640625" style="1" bestFit="1" customWidth="1"/>
    <col min="14" max="15" width="10.83203125" style="1"/>
    <col min="16" max="16" width="13.33203125" style="1" bestFit="1" customWidth="1"/>
    <col min="17" max="17" width="19.33203125" style="1" bestFit="1" customWidth="1"/>
    <col min="18" max="18" width="12" style="1" bestFit="1" customWidth="1"/>
    <col min="19" max="19" width="18" style="1" bestFit="1" customWidth="1"/>
    <col min="20" max="16384" width="10.83203125" style="1"/>
  </cols>
  <sheetData>
    <row r="3" spans="2:20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8</v>
      </c>
      <c r="H3" s="8" t="s">
        <v>9</v>
      </c>
      <c r="I3" s="8" t="s">
        <v>11</v>
      </c>
      <c r="J3" s="8" t="s">
        <v>10</v>
      </c>
      <c r="K3" s="8" t="s">
        <v>1</v>
      </c>
      <c r="L3" s="15" t="s">
        <v>13</v>
      </c>
      <c r="M3" s="15" t="s">
        <v>0</v>
      </c>
      <c r="N3" s="15" t="s">
        <v>5</v>
      </c>
      <c r="O3" s="15" t="s">
        <v>12</v>
      </c>
      <c r="P3" s="15" t="s">
        <v>8</v>
      </c>
      <c r="Q3" s="15" t="s">
        <v>9</v>
      </c>
      <c r="R3" s="15" t="s">
        <v>11</v>
      </c>
      <c r="S3" s="15" t="s">
        <v>10</v>
      </c>
      <c r="T3" s="15" t="s">
        <v>1</v>
      </c>
    </row>
    <row r="4" spans="2:20" x14ac:dyDescent="0.2">
      <c r="B4" s="4">
        <v>1</v>
      </c>
      <c r="C4" s="4">
        <v>6</v>
      </c>
      <c r="D4" s="12">
        <v>33750.100319999998</v>
      </c>
      <c r="E4" s="7">
        <v>1.1272907299999999E-2</v>
      </c>
      <c r="F4" s="7">
        <v>2</v>
      </c>
      <c r="G4" s="5">
        <v>3</v>
      </c>
      <c r="H4" s="7">
        <v>32527</v>
      </c>
      <c r="I4" s="7">
        <v>0</v>
      </c>
      <c r="J4" s="7">
        <v>400.24682459016861</v>
      </c>
      <c r="K4" s="7">
        <v>0</v>
      </c>
      <c r="L4" s="23">
        <v>3</v>
      </c>
      <c r="M4" s="12">
        <v>24442.59748</v>
      </c>
      <c r="N4" s="7">
        <v>1.52242184E-2</v>
      </c>
      <c r="O4" s="7">
        <v>2</v>
      </c>
      <c r="P4" s="5">
        <v>3</v>
      </c>
      <c r="Q4" s="7">
        <v>37607</v>
      </c>
      <c r="R4" s="7">
        <v>13.281699584390001</v>
      </c>
      <c r="S4" s="7">
        <v>950.75826337513934</v>
      </c>
      <c r="T4" s="7">
        <v>0</v>
      </c>
    </row>
    <row r="5" spans="2:20" x14ac:dyDescent="0.2">
      <c r="B5" s="4">
        <v>2</v>
      </c>
      <c r="C5" s="4">
        <v>63</v>
      </c>
      <c r="D5" s="12">
        <v>34047.94472</v>
      </c>
      <c r="E5" s="7">
        <v>2.27048397E-2</v>
      </c>
      <c r="F5" s="7">
        <v>2</v>
      </c>
      <c r="G5" s="5">
        <v>3</v>
      </c>
      <c r="H5" s="7">
        <v>24572</v>
      </c>
      <c r="I5" s="7">
        <v>0</v>
      </c>
      <c r="J5" s="7">
        <v>1047.5775222221214</v>
      </c>
      <c r="K5" s="7">
        <v>0</v>
      </c>
      <c r="L5" s="23">
        <v>57</v>
      </c>
      <c r="M5" s="12">
        <v>22769.211070000001</v>
      </c>
      <c r="N5" s="7">
        <v>2.5321960399999999E-2</v>
      </c>
      <c r="O5" s="7">
        <v>2</v>
      </c>
      <c r="P5" s="5">
        <v>3</v>
      </c>
      <c r="Q5" s="7">
        <v>32233</v>
      </c>
      <c r="R5" s="7">
        <v>0</v>
      </c>
      <c r="S5" s="7">
        <v>729.77707694460992</v>
      </c>
      <c r="T5" s="7">
        <v>0</v>
      </c>
    </row>
    <row r="6" spans="2:20" x14ac:dyDescent="0.2">
      <c r="B6" s="4">
        <v>3</v>
      </c>
      <c r="C6" s="4">
        <v>67</v>
      </c>
      <c r="D6" s="12">
        <v>23629.436600000001</v>
      </c>
      <c r="E6" s="7">
        <v>7.4119568000000002E-3</v>
      </c>
      <c r="F6" s="7">
        <v>2</v>
      </c>
      <c r="G6" s="5">
        <v>2</v>
      </c>
      <c r="H6" s="7">
        <v>21945.599999999999</v>
      </c>
      <c r="I6" s="7">
        <v>0</v>
      </c>
      <c r="J6" s="7">
        <v>701.51479026252105</v>
      </c>
      <c r="K6" s="7">
        <v>0</v>
      </c>
      <c r="L6" s="23">
        <v>625</v>
      </c>
      <c r="M6" s="12">
        <v>19602.29594</v>
      </c>
      <c r="N6" s="7">
        <v>8.2261561999999993E-3</v>
      </c>
      <c r="O6" s="7">
        <v>2</v>
      </c>
      <c r="P6" s="5">
        <v>2</v>
      </c>
      <c r="Q6" s="7">
        <v>26831</v>
      </c>
      <c r="R6" s="7">
        <v>0</v>
      </c>
      <c r="S6" s="7">
        <v>973.55953372017029</v>
      </c>
      <c r="T6" s="7">
        <v>0</v>
      </c>
    </row>
    <row r="7" spans="2:20" x14ac:dyDescent="0.2">
      <c r="B7" s="4">
        <v>4</v>
      </c>
      <c r="C7" s="4">
        <v>318</v>
      </c>
      <c r="D7" s="12">
        <v>25479.329860000002</v>
      </c>
      <c r="E7" s="7">
        <v>1.9139051399999999E-2</v>
      </c>
      <c r="F7" s="7">
        <v>2</v>
      </c>
      <c r="G7" s="5">
        <v>3</v>
      </c>
      <c r="H7" s="7">
        <v>23768.799999999999</v>
      </c>
      <c r="I7" s="7">
        <v>0</v>
      </c>
      <c r="J7" s="7">
        <v>806.67570406287064</v>
      </c>
      <c r="K7" s="7">
        <v>0</v>
      </c>
      <c r="L7" s="23">
        <v>120</v>
      </c>
      <c r="M7" s="12">
        <v>24211.91302</v>
      </c>
      <c r="N7" s="7">
        <v>7.7509880000000003E-3</v>
      </c>
      <c r="O7" s="7">
        <v>2</v>
      </c>
      <c r="P7" s="5">
        <v>3</v>
      </c>
      <c r="Q7" s="7">
        <v>33891</v>
      </c>
      <c r="R7" s="7">
        <v>10.03950848876614</v>
      </c>
      <c r="S7" s="7">
        <v>899.59420429162242</v>
      </c>
      <c r="T7" s="7">
        <v>0</v>
      </c>
    </row>
    <row r="8" spans="2:20" x14ac:dyDescent="0.2">
      <c r="B8" s="4">
        <v>5</v>
      </c>
      <c r="C8" s="4">
        <v>486</v>
      </c>
      <c r="D8" s="12">
        <v>18291.444749999999</v>
      </c>
      <c r="E8" s="7">
        <v>1.3746023200000001E-2</v>
      </c>
      <c r="F8" s="7">
        <v>2</v>
      </c>
      <c r="G8" s="5">
        <v>1</v>
      </c>
      <c r="H8" s="7">
        <v>23556</v>
      </c>
      <c r="I8" s="7">
        <v>0</v>
      </c>
      <c r="J8" s="7">
        <v>402.20947041616375</v>
      </c>
      <c r="K8" s="7">
        <v>0</v>
      </c>
      <c r="L8" s="23">
        <v>633</v>
      </c>
      <c r="M8" s="12">
        <v>11163.393</v>
      </c>
      <c r="N8" s="7">
        <v>1.0210037200000001E-2</v>
      </c>
      <c r="O8" s="7">
        <v>2</v>
      </c>
      <c r="P8" s="5">
        <v>1</v>
      </c>
      <c r="Q8" s="7">
        <v>39606</v>
      </c>
      <c r="R8" s="7">
        <v>0</v>
      </c>
      <c r="S8" s="7">
        <v>605.48655417657835</v>
      </c>
      <c r="T8" s="7">
        <v>0</v>
      </c>
    </row>
    <row r="9" spans="2:20" x14ac:dyDescent="0.2">
      <c r="B9" s="4">
        <v>6</v>
      </c>
      <c r="C9" s="4">
        <v>681</v>
      </c>
      <c r="D9" s="12">
        <v>25524.589360000002</v>
      </c>
      <c r="E9" s="7">
        <v>9.0119838999999993E-3</v>
      </c>
      <c r="F9" s="7">
        <v>2</v>
      </c>
      <c r="G9" s="5">
        <v>2.0000000000000089</v>
      </c>
      <c r="H9" s="7">
        <v>19359</v>
      </c>
      <c r="I9" s="7">
        <v>0</v>
      </c>
      <c r="J9" s="7">
        <v>1045.9635878412466</v>
      </c>
      <c r="K9" s="7">
        <v>0</v>
      </c>
      <c r="L9" s="23">
        <v>925</v>
      </c>
      <c r="M9" s="12">
        <v>25498.662219999998</v>
      </c>
      <c r="N9" s="7">
        <v>1.2649059299999999E-2</v>
      </c>
      <c r="O9" s="7">
        <v>2</v>
      </c>
      <c r="P9" s="5">
        <v>4</v>
      </c>
      <c r="Q9" s="7">
        <v>35999</v>
      </c>
      <c r="R9" s="7">
        <v>0</v>
      </c>
      <c r="S9" s="7">
        <v>561.60020084802625</v>
      </c>
      <c r="T9" s="7">
        <v>0</v>
      </c>
    </row>
    <row r="10" spans="2:20" x14ac:dyDescent="0.2">
      <c r="B10" s="4">
        <v>7</v>
      </c>
      <c r="C10" s="4">
        <v>714</v>
      </c>
      <c r="D10" s="12">
        <v>24701.210439999999</v>
      </c>
      <c r="E10" s="7">
        <v>8.5670947999999993E-3</v>
      </c>
      <c r="F10" s="7">
        <v>2</v>
      </c>
      <c r="G10" s="5">
        <v>3</v>
      </c>
      <c r="H10" s="7">
        <v>24341.4</v>
      </c>
      <c r="I10" s="7">
        <v>0</v>
      </c>
      <c r="J10" s="7">
        <v>555.46573722561391</v>
      </c>
      <c r="K10" s="7">
        <v>0</v>
      </c>
      <c r="L10" s="23">
        <v>500</v>
      </c>
      <c r="M10" s="12">
        <v>19795.89026</v>
      </c>
      <c r="N10" s="7">
        <v>9.0489387999999997E-3</v>
      </c>
      <c r="O10" s="7">
        <v>2</v>
      </c>
      <c r="P10" s="5">
        <v>3</v>
      </c>
      <c r="Q10" s="7">
        <v>43243</v>
      </c>
      <c r="R10" s="7">
        <v>0</v>
      </c>
      <c r="S10" s="7">
        <v>507.18813656152406</v>
      </c>
      <c r="T10" s="7">
        <v>0</v>
      </c>
    </row>
    <row r="11" spans="2:20" x14ac:dyDescent="0.2">
      <c r="B11" s="4">
        <v>8</v>
      </c>
      <c r="C11" s="4">
        <v>719</v>
      </c>
      <c r="D11" s="12">
        <v>21530.824820000002</v>
      </c>
      <c r="E11" s="7">
        <v>9.1021061E-3</v>
      </c>
      <c r="F11" s="7">
        <v>2</v>
      </c>
      <c r="G11" s="5">
        <v>3.0000000000000586</v>
      </c>
      <c r="H11" s="7">
        <v>23886.000000000007</v>
      </c>
      <c r="I11" s="7">
        <v>0</v>
      </c>
      <c r="J11" s="7">
        <v>394.35238749642713</v>
      </c>
      <c r="K11" s="7">
        <v>0</v>
      </c>
      <c r="L11" s="23">
        <v>744</v>
      </c>
      <c r="M11" s="12">
        <v>22670.614560000002</v>
      </c>
      <c r="N11" s="7">
        <v>1.9110918000000001E-2</v>
      </c>
      <c r="O11" s="7">
        <v>2</v>
      </c>
      <c r="P11" s="5">
        <v>3</v>
      </c>
      <c r="Q11" s="7">
        <v>35944</v>
      </c>
      <c r="R11" s="7">
        <v>0</v>
      </c>
      <c r="S11" s="7">
        <v>761.58645567494239</v>
      </c>
      <c r="T11" s="7">
        <v>0</v>
      </c>
    </row>
    <row r="12" spans="2:20" x14ac:dyDescent="0.2">
      <c r="B12" s="4">
        <v>9</v>
      </c>
      <c r="C12" s="4">
        <v>749</v>
      </c>
      <c r="D12" s="12">
        <v>30528.872159999999</v>
      </c>
      <c r="E12" s="7">
        <v>1.18970871E-2</v>
      </c>
      <c r="F12" s="7">
        <v>2</v>
      </c>
      <c r="G12" s="5">
        <v>3.0000000000000018</v>
      </c>
      <c r="H12" s="7">
        <v>21483</v>
      </c>
      <c r="I12" s="7">
        <v>0</v>
      </c>
      <c r="J12" s="7">
        <v>895.78355649454056</v>
      </c>
      <c r="K12" s="7">
        <v>0</v>
      </c>
      <c r="L12" s="23">
        <v>769</v>
      </c>
      <c r="M12" s="12">
        <v>11725.780199999999</v>
      </c>
      <c r="N12" s="7">
        <v>4.3540000999999998E-3</v>
      </c>
      <c r="O12" s="7">
        <v>2</v>
      </c>
      <c r="P12" s="5">
        <v>1</v>
      </c>
      <c r="Q12" s="7">
        <v>33329</v>
      </c>
      <c r="R12" s="7">
        <v>0</v>
      </c>
      <c r="S12" s="7">
        <v>716.92280243813821</v>
      </c>
      <c r="T12" s="7">
        <v>0</v>
      </c>
    </row>
    <row r="13" spans="2:20" x14ac:dyDescent="0.2">
      <c r="B13" s="4">
        <v>10</v>
      </c>
      <c r="C13" s="4">
        <v>835</v>
      </c>
      <c r="D13" s="12">
        <v>28158.112529999999</v>
      </c>
      <c r="E13" s="7">
        <v>1.6036033599999999E-2</v>
      </c>
      <c r="F13" s="7">
        <v>2</v>
      </c>
      <c r="G13" s="5">
        <v>2</v>
      </c>
      <c r="H13" s="7">
        <v>38029.599999999999</v>
      </c>
      <c r="I13" s="7">
        <v>0</v>
      </c>
      <c r="J13" s="7">
        <v>425.10185997490879</v>
      </c>
      <c r="K13" s="7">
        <v>0</v>
      </c>
      <c r="L13" s="23">
        <v>808</v>
      </c>
      <c r="M13" s="12">
        <v>20426.925859999999</v>
      </c>
      <c r="N13" s="7">
        <v>1.5573978400000001E-2</v>
      </c>
      <c r="O13" s="7">
        <v>2</v>
      </c>
      <c r="P13" s="5">
        <v>3</v>
      </c>
      <c r="Q13" s="7">
        <v>39259</v>
      </c>
      <c r="R13" s="7">
        <v>0</v>
      </c>
      <c r="S13" s="7">
        <v>495.17866735534216</v>
      </c>
      <c r="T13" s="7">
        <v>0</v>
      </c>
    </row>
    <row r="14" spans="2:20" x14ac:dyDescent="0.2">
      <c r="B14" s="46" t="s">
        <v>3</v>
      </c>
      <c r="C14" s="47"/>
      <c r="D14" s="9">
        <f t="shared" ref="D14:K14" si="0">AVERAGE(D4:D13)</f>
        <v>26564.186556000001</v>
      </c>
      <c r="E14" s="22">
        <f>AVERAGE(E4:E13)</f>
        <v>1.2888908389999999E-2</v>
      </c>
      <c r="F14" s="20">
        <f t="shared" si="0"/>
        <v>2</v>
      </c>
      <c r="G14" s="11">
        <f t="shared" si="0"/>
        <v>2.5000000000000062</v>
      </c>
      <c r="H14" s="9">
        <f t="shared" si="0"/>
        <v>25346.840000000004</v>
      </c>
      <c r="I14" s="13">
        <f t="shared" si="0"/>
        <v>0</v>
      </c>
      <c r="J14" s="13">
        <f t="shared" si="0"/>
        <v>667.48914405865833</v>
      </c>
      <c r="K14" s="11">
        <f t="shared" si="0"/>
        <v>0</v>
      </c>
      <c r="L14" s="16"/>
      <c r="M14" s="16">
        <f t="shared" ref="M14:T14" si="1">AVERAGE(M4:M13)</f>
        <v>20230.728360999998</v>
      </c>
      <c r="N14" s="21">
        <f t="shared" si="1"/>
        <v>1.2747025480000002E-2</v>
      </c>
      <c r="O14" s="18">
        <f t="shared" si="1"/>
        <v>2</v>
      </c>
      <c r="P14" s="18">
        <f t="shared" si="1"/>
        <v>2.6</v>
      </c>
      <c r="Q14" s="16">
        <f t="shared" si="1"/>
        <v>35794.199999999997</v>
      </c>
      <c r="R14" s="17">
        <f t="shared" si="1"/>
        <v>2.3321208073156141</v>
      </c>
      <c r="S14" s="17">
        <f t="shared" si="1"/>
        <v>720.16518953860941</v>
      </c>
      <c r="T14" s="18">
        <f t="shared" si="1"/>
        <v>0</v>
      </c>
    </row>
    <row r="15" spans="2:20" x14ac:dyDescent="0.2">
      <c r="D15" s="2"/>
      <c r="E15" s="3"/>
      <c r="F15" s="3"/>
      <c r="G15" s="3"/>
      <c r="H15" s="3"/>
      <c r="I15" s="3"/>
      <c r="J15" s="3"/>
    </row>
    <row r="16" spans="2:20" x14ac:dyDescent="0.2">
      <c r="D16" s="2"/>
    </row>
    <row r="17" spans="4:4" x14ac:dyDescent="0.2">
      <c r="D17" s="2"/>
    </row>
  </sheetData>
  <mergeCells count="1">
    <mergeCell ref="B14:C14"/>
  </mergeCells>
  <conditionalFormatting sqref="L1:L1048576">
    <cfRule type="duplicateValues" dxfId="48" priority="1"/>
  </conditionalFormatting>
  <conditionalFormatting sqref="L14">
    <cfRule type="duplicateValues" dxfId="47" priority="2"/>
  </conditionalFormatting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6ACC4A-89F5-1F45-AEA2-A51CB61851D4}">
  <dimension ref="B3:T16"/>
  <sheetViews>
    <sheetView zoomScale="118" zoomScaleNormal="120" workbookViewId="0">
      <selection activeCell="P14" sqref="P14"/>
    </sheetView>
  </sheetViews>
  <sheetFormatPr baseColWidth="10" defaultColWidth="10.83203125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5" width="16.6640625" style="1" customWidth="1"/>
    <col min="6" max="6" width="9.1640625" style="1" bestFit="1" customWidth="1"/>
    <col min="7" max="7" width="16.6640625" style="1" customWidth="1"/>
    <col min="8" max="9" width="19.33203125" style="1" bestFit="1" customWidth="1"/>
    <col min="10" max="10" width="18.6640625" style="1" bestFit="1" customWidth="1"/>
    <col min="11" max="11" width="16.6640625" style="1" customWidth="1"/>
    <col min="12" max="12" width="10.6640625" style="1" bestFit="1" customWidth="1"/>
    <col min="13" max="13" width="12.6640625" style="1" bestFit="1" customWidth="1"/>
    <col min="14" max="15" width="10.83203125" style="1"/>
    <col min="16" max="16" width="13.33203125" style="1" bestFit="1" customWidth="1"/>
    <col min="17" max="17" width="19.33203125" style="1" bestFit="1" customWidth="1"/>
    <col min="18" max="18" width="12" style="1" bestFit="1" customWidth="1"/>
    <col min="19" max="19" width="18" style="1" bestFit="1" customWidth="1"/>
    <col min="20" max="16384" width="10.83203125" style="1"/>
  </cols>
  <sheetData>
    <row r="3" spans="2:20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8</v>
      </c>
      <c r="H3" s="8" t="s">
        <v>9</v>
      </c>
      <c r="I3" s="8" t="s">
        <v>11</v>
      </c>
      <c r="J3" s="8" t="s">
        <v>10</v>
      </c>
      <c r="K3" s="8" t="s">
        <v>1</v>
      </c>
      <c r="L3" s="15" t="s">
        <v>13</v>
      </c>
      <c r="M3" s="15" t="s">
        <v>0</v>
      </c>
      <c r="N3" s="15" t="s">
        <v>5</v>
      </c>
      <c r="O3" s="15" t="s">
        <v>12</v>
      </c>
      <c r="P3" s="15" t="s">
        <v>8</v>
      </c>
      <c r="Q3" s="15" t="s">
        <v>9</v>
      </c>
      <c r="R3" s="15" t="s">
        <v>11</v>
      </c>
      <c r="S3" s="15" t="s">
        <v>10</v>
      </c>
      <c r="T3" s="15" t="s">
        <v>1</v>
      </c>
    </row>
    <row r="4" spans="2:20" x14ac:dyDescent="0.2">
      <c r="B4" s="4">
        <v>1</v>
      </c>
      <c r="C4" s="4">
        <v>79</v>
      </c>
      <c r="D4" s="12">
        <v>24262.421630000001</v>
      </c>
      <c r="E4" s="7">
        <v>3.9307117500000002E-2</v>
      </c>
      <c r="F4" s="7">
        <v>3</v>
      </c>
      <c r="G4" s="5">
        <v>1</v>
      </c>
      <c r="H4" s="7">
        <v>25718</v>
      </c>
      <c r="I4" s="7">
        <v>0</v>
      </c>
      <c r="J4" s="7">
        <v>642.8245098701525</v>
      </c>
      <c r="K4" s="7">
        <v>0</v>
      </c>
      <c r="L4" s="23">
        <v>64</v>
      </c>
      <c r="M4" s="12">
        <v>12410.44486</v>
      </c>
      <c r="N4" s="7">
        <v>4.7111988100000002E-2</v>
      </c>
      <c r="O4" s="7">
        <v>3</v>
      </c>
      <c r="P4" s="5">
        <v>1</v>
      </c>
      <c r="Q4" s="7">
        <v>39499</v>
      </c>
      <c r="R4" s="7">
        <v>0</v>
      </c>
      <c r="S4" s="7">
        <v>692.8326602250628</v>
      </c>
      <c r="T4" s="7">
        <v>0</v>
      </c>
    </row>
    <row r="5" spans="2:20" x14ac:dyDescent="0.2">
      <c r="B5" s="4">
        <v>2</v>
      </c>
      <c r="C5" s="4">
        <v>390</v>
      </c>
      <c r="D5" s="12">
        <v>16495.64357</v>
      </c>
      <c r="E5" s="7">
        <v>1.4003992099999999E-2</v>
      </c>
      <c r="F5" s="7">
        <v>3</v>
      </c>
      <c r="G5" s="5">
        <v>1</v>
      </c>
      <c r="H5" s="7">
        <v>21947</v>
      </c>
      <c r="I5" s="7">
        <v>0</v>
      </c>
      <c r="J5" s="7">
        <v>474.42208183670738</v>
      </c>
      <c r="K5" s="7">
        <v>0</v>
      </c>
      <c r="L5" s="23">
        <v>506</v>
      </c>
      <c r="M5" s="12">
        <v>16517.035209999998</v>
      </c>
      <c r="N5" s="7">
        <v>1.23169422E-2</v>
      </c>
      <c r="O5" s="7">
        <v>3</v>
      </c>
      <c r="P5" s="5">
        <v>1</v>
      </c>
      <c r="Q5" s="7">
        <v>56314</v>
      </c>
      <c r="R5" s="7">
        <v>0</v>
      </c>
      <c r="S5" s="7">
        <v>1124.5529651452202</v>
      </c>
      <c r="T5" s="7">
        <v>0</v>
      </c>
    </row>
    <row r="6" spans="2:20" x14ac:dyDescent="0.2">
      <c r="B6" s="4">
        <v>3</v>
      </c>
      <c r="C6" s="4">
        <v>437</v>
      </c>
      <c r="D6" s="12">
        <v>14103.57257</v>
      </c>
      <c r="E6" s="7">
        <v>2.1536827099999999E-2</v>
      </c>
      <c r="F6" s="7">
        <v>3</v>
      </c>
      <c r="G6" s="5">
        <v>1</v>
      </c>
      <c r="H6" s="7">
        <v>24113</v>
      </c>
      <c r="I6" s="7">
        <v>0</v>
      </c>
      <c r="J6" s="7">
        <v>500.88100104715079</v>
      </c>
      <c r="K6" s="7">
        <v>0</v>
      </c>
      <c r="L6" s="23">
        <v>258</v>
      </c>
      <c r="M6" s="12">
        <v>6958.7265600000001</v>
      </c>
      <c r="N6" s="7">
        <v>2.38091946E-2</v>
      </c>
      <c r="O6" s="7">
        <v>3</v>
      </c>
      <c r="P6" s="5">
        <v>0</v>
      </c>
      <c r="Q6" s="7">
        <v>49533</v>
      </c>
      <c r="R6" s="7">
        <v>0</v>
      </c>
      <c r="S6" s="7">
        <v>702.38220848912829</v>
      </c>
      <c r="T6" s="7">
        <v>0</v>
      </c>
    </row>
    <row r="7" spans="2:20" x14ac:dyDescent="0.2">
      <c r="B7" s="4">
        <v>4</v>
      </c>
      <c r="C7" s="4">
        <v>457</v>
      </c>
      <c r="D7" s="12">
        <v>21942.03542</v>
      </c>
      <c r="E7" s="7">
        <v>1.27429962E-2</v>
      </c>
      <c r="F7" s="7">
        <v>3</v>
      </c>
      <c r="G7" s="5">
        <v>1</v>
      </c>
      <c r="H7" s="7">
        <v>23945</v>
      </c>
      <c r="I7" s="7">
        <v>0</v>
      </c>
      <c r="J7" s="7">
        <v>863.84726393062761</v>
      </c>
      <c r="K7" s="7">
        <v>1.0000000000000001E-5</v>
      </c>
      <c r="L7" s="23">
        <v>178</v>
      </c>
      <c r="M7" s="12">
        <v>9270.8890900000006</v>
      </c>
      <c r="N7" s="7">
        <v>6.3279867200000006E-2</v>
      </c>
      <c r="O7" s="7">
        <v>3</v>
      </c>
      <c r="P7" s="5">
        <v>0</v>
      </c>
      <c r="Q7" s="7">
        <v>42816</v>
      </c>
      <c r="R7" s="7">
        <v>0</v>
      </c>
      <c r="S7" s="7">
        <v>831.8764229060331</v>
      </c>
      <c r="T7" s="7">
        <v>0</v>
      </c>
    </row>
    <row r="8" spans="2:20" x14ac:dyDescent="0.2">
      <c r="B8" s="4">
        <v>5</v>
      </c>
      <c r="C8" s="4">
        <v>458</v>
      </c>
      <c r="D8" s="12">
        <v>13022.96997</v>
      </c>
      <c r="E8" s="7">
        <v>3.7900924699999998E-2</v>
      </c>
      <c r="F8" s="7">
        <v>3</v>
      </c>
      <c r="G8" s="5">
        <v>1</v>
      </c>
      <c r="H8" s="7">
        <v>24509</v>
      </c>
      <c r="I8" s="7">
        <v>0</v>
      </c>
      <c r="J8" s="7">
        <v>443.47392717497439</v>
      </c>
      <c r="K8" s="7">
        <v>0</v>
      </c>
      <c r="L8" s="23">
        <v>479</v>
      </c>
      <c r="M8" s="12">
        <v>11418.39565</v>
      </c>
      <c r="N8" s="7">
        <v>0.136523962</v>
      </c>
      <c r="O8" s="7">
        <v>3</v>
      </c>
      <c r="P8" s="5">
        <v>0</v>
      </c>
      <c r="Q8" s="7">
        <v>40677</v>
      </c>
      <c r="R8" s="7">
        <v>0</v>
      </c>
      <c r="S8" s="7">
        <v>1080.3716792000384</v>
      </c>
      <c r="T8" s="7">
        <v>0</v>
      </c>
    </row>
    <row r="9" spans="2:20" x14ac:dyDescent="0.2">
      <c r="B9" s="4">
        <v>6</v>
      </c>
      <c r="C9" s="4">
        <v>682</v>
      </c>
      <c r="D9" s="12">
        <v>18161.912380000002</v>
      </c>
      <c r="E9" s="7">
        <v>1.0090112700000001E-2</v>
      </c>
      <c r="F9" s="7">
        <v>3</v>
      </c>
      <c r="G9" s="5">
        <v>2</v>
      </c>
      <c r="H9" s="7">
        <v>22711.599999999999</v>
      </c>
      <c r="I9" s="7">
        <v>0</v>
      </c>
      <c r="J9" s="7">
        <v>416.51317031203126</v>
      </c>
      <c r="K9" s="7">
        <v>0</v>
      </c>
      <c r="L9" s="23">
        <v>636</v>
      </c>
      <c r="M9" s="12">
        <v>8708.6589800000002</v>
      </c>
      <c r="N9" s="7">
        <v>4.4500827799999997E-2</v>
      </c>
      <c r="O9" s="7">
        <v>3</v>
      </c>
      <c r="P9" s="5">
        <v>1</v>
      </c>
      <c r="Q9" s="7">
        <v>57896</v>
      </c>
      <c r="R9" s="7">
        <v>0</v>
      </c>
      <c r="S9" s="7">
        <v>323.15696695038679</v>
      </c>
      <c r="T9" s="7">
        <v>0</v>
      </c>
    </row>
    <row r="10" spans="2:20" x14ac:dyDescent="0.2">
      <c r="B10" s="4">
        <v>7</v>
      </c>
      <c r="C10" s="4">
        <v>530</v>
      </c>
      <c r="D10" s="12">
        <v>21249.591789999999</v>
      </c>
      <c r="E10" s="7">
        <v>3.46291065E-2</v>
      </c>
      <c r="F10" s="7">
        <v>3</v>
      </c>
      <c r="G10" s="5">
        <v>0</v>
      </c>
      <c r="H10" s="7">
        <v>22847.599999999999</v>
      </c>
      <c r="I10" s="7">
        <v>0</v>
      </c>
      <c r="J10" s="7">
        <v>1263.1841130319647</v>
      </c>
      <c r="K10" s="7">
        <v>0</v>
      </c>
      <c r="L10" s="23">
        <v>369</v>
      </c>
      <c r="M10" s="12">
        <v>12163.663860000001</v>
      </c>
      <c r="N10" s="7">
        <v>3.38079929E-2</v>
      </c>
      <c r="O10" s="7">
        <v>3</v>
      </c>
      <c r="P10" s="5">
        <v>1</v>
      </c>
      <c r="Q10" s="7">
        <v>39900</v>
      </c>
      <c r="R10" s="7">
        <v>0</v>
      </c>
      <c r="S10" s="7">
        <v>705.14475328724268</v>
      </c>
      <c r="T10" s="7">
        <v>0</v>
      </c>
    </row>
    <row r="11" spans="2:20" x14ac:dyDescent="0.2">
      <c r="B11" s="4">
        <v>8</v>
      </c>
      <c r="C11" s="4">
        <v>803</v>
      </c>
      <c r="D11" s="12">
        <v>17174.574329999999</v>
      </c>
      <c r="E11" s="7">
        <v>1.02841854E-2</v>
      </c>
      <c r="F11" s="7">
        <v>3</v>
      </c>
      <c r="G11" s="5">
        <v>2</v>
      </c>
      <c r="H11" s="7">
        <v>9845</v>
      </c>
      <c r="I11" s="7">
        <v>0</v>
      </c>
      <c r="J11" s="7">
        <v>415.37776636016235</v>
      </c>
      <c r="K11" s="7">
        <v>0</v>
      </c>
      <c r="L11" s="23">
        <v>822</v>
      </c>
      <c r="M11" s="12">
        <v>11023.408069999999</v>
      </c>
      <c r="N11" s="7">
        <v>4.6463966400000001E-2</v>
      </c>
      <c r="O11" s="7">
        <v>3</v>
      </c>
      <c r="P11" s="5">
        <v>1</v>
      </c>
      <c r="Q11" s="7">
        <v>48790</v>
      </c>
      <c r="R11" s="7">
        <v>0</v>
      </c>
      <c r="S11" s="7">
        <v>550.39928790638885</v>
      </c>
      <c r="T11" s="7">
        <v>0</v>
      </c>
    </row>
    <row r="12" spans="2:20" x14ac:dyDescent="0.2">
      <c r="B12" s="4">
        <v>9</v>
      </c>
      <c r="C12" s="4">
        <v>816</v>
      </c>
      <c r="D12" s="12">
        <v>23733.505959999999</v>
      </c>
      <c r="E12" s="7">
        <v>1.1173009899999999E-2</v>
      </c>
      <c r="F12" s="7">
        <v>3</v>
      </c>
      <c r="G12" s="5">
        <v>1</v>
      </c>
      <c r="H12" s="7">
        <v>26237</v>
      </c>
      <c r="I12" s="7">
        <v>0</v>
      </c>
      <c r="J12" s="7">
        <v>614.66005805429631</v>
      </c>
      <c r="K12" s="7">
        <v>0</v>
      </c>
      <c r="L12" s="23">
        <v>315</v>
      </c>
      <c r="M12" s="12">
        <v>14881.68088</v>
      </c>
      <c r="N12" s="7">
        <v>6.5330028499999998E-2</v>
      </c>
      <c r="O12" s="7">
        <v>3</v>
      </c>
      <c r="P12" s="5">
        <v>2</v>
      </c>
      <c r="Q12" s="7">
        <v>50115</v>
      </c>
      <c r="R12" s="7">
        <v>0</v>
      </c>
      <c r="S12" s="7">
        <v>472.49941517642236</v>
      </c>
      <c r="T12" s="7">
        <v>0</v>
      </c>
    </row>
    <row r="13" spans="2:20" x14ac:dyDescent="0.2">
      <c r="B13" s="4">
        <v>10</v>
      </c>
      <c r="C13" s="4">
        <v>852</v>
      </c>
      <c r="D13" s="12">
        <v>21589.032319999998</v>
      </c>
      <c r="E13" s="7">
        <v>3.7446022000000002E-2</v>
      </c>
      <c r="F13" s="7">
        <v>3</v>
      </c>
      <c r="G13" s="5">
        <v>1</v>
      </c>
      <c r="H13" s="7">
        <v>28649</v>
      </c>
      <c r="I13" s="7">
        <v>0</v>
      </c>
      <c r="J13" s="7">
        <v>423.19378369786062</v>
      </c>
      <c r="K13" s="7">
        <v>0</v>
      </c>
      <c r="L13" s="23">
        <v>83</v>
      </c>
      <c r="M13" s="12">
        <v>17000.616610000001</v>
      </c>
      <c r="N13" s="7">
        <v>6.6112041499999996E-2</v>
      </c>
      <c r="O13" s="7">
        <v>3</v>
      </c>
      <c r="P13" s="5">
        <v>2</v>
      </c>
      <c r="Q13" s="7">
        <v>47039</v>
      </c>
      <c r="R13" s="7">
        <v>0</v>
      </c>
      <c r="S13" s="7">
        <v>699.78365313779898</v>
      </c>
      <c r="T13" s="7">
        <v>0</v>
      </c>
    </row>
    <row r="14" spans="2:20" x14ac:dyDescent="0.2">
      <c r="B14" s="46" t="s">
        <v>3</v>
      </c>
      <c r="C14" s="47"/>
      <c r="D14" s="9">
        <f>AVERAGE(D4:D13)</f>
        <v>19173.525994000003</v>
      </c>
      <c r="E14" s="22">
        <f>AVERAGE(E4:E13)</f>
        <v>2.2911429410000003E-2</v>
      </c>
      <c r="F14" s="20">
        <f t="shared" ref="F14:K14" si="0">AVERAGE(F4:F13)</f>
        <v>3</v>
      </c>
      <c r="G14" s="11">
        <f t="shared" si="0"/>
        <v>1.1000000000000001</v>
      </c>
      <c r="H14" s="9">
        <f t="shared" si="0"/>
        <v>23052.22</v>
      </c>
      <c r="I14" s="13">
        <f t="shared" si="0"/>
        <v>0</v>
      </c>
      <c r="J14" s="13">
        <f t="shared" si="0"/>
        <v>605.83776753159282</v>
      </c>
      <c r="K14" s="11">
        <f t="shared" si="0"/>
        <v>1.0000000000000002E-6</v>
      </c>
      <c r="L14" s="16"/>
      <c r="M14" s="16">
        <f t="shared" ref="M14:T14" si="1">AVERAGE(M4:M13)</f>
        <v>12035.351977</v>
      </c>
      <c r="N14" s="21">
        <f t="shared" si="1"/>
        <v>5.3925681119999999E-2</v>
      </c>
      <c r="O14" s="18">
        <f t="shared" si="1"/>
        <v>3</v>
      </c>
      <c r="P14" s="18">
        <f t="shared" si="1"/>
        <v>0.9</v>
      </c>
      <c r="Q14" s="16">
        <f t="shared" si="1"/>
        <v>47257.9</v>
      </c>
      <c r="R14" s="17">
        <f t="shared" si="1"/>
        <v>0</v>
      </c>
      <c r="S14" s="17">
        <f t="shared" si="1"/>
        <v>718.30000124237222</v>
      </c>
      <c r="T14" s="18">
        <f t="shared" si="1"/>
        <v>0</v>
      </c>
    </row>
    <row r="15" spans="2:20" x14ac:dyDescent="0.2">
      <c r="D15" s="2"/>
    </row>
    <row r="16" spans="2:20" x14ac:dyDescent="0.2">
      <c r="D16" s="2"/>
    </row>
  </sheetData>
  <mergeCells count="1">
    <mergeCell ref="B14:C14"/>
  </mergeCells>
  <conditionalFormatting sqref="L1:L1048576">
    <cfRule type="duplicateValues" dxfId="46" priority="1"/>
  </conditionalFormatting>
  <conditionalFormatting sqref="L14">
    <cfRule type="duplicateValues" dxfId="45" priority="2"/>
  </conditionalFormatting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F6FBB7-71AE-6048-B1AA-6217B1A80431}">
  <dimension ref="B3:T14"/>
  <sheetViews>
    <sheetView zoomScaleNormal="120" workbookViewId="0">
      <selection activeCell="C4" sqref="C4:C13"/>
    </sheetView>
  </sheetViews>
  <sheetFormatPr baseColWidth="10" defaultColWidth="10.83203125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5" width="16.6640625" style="1" customWidth="1"/>
    <col min="6" max="6" width="9.1640625" style="1" bestFit="1" customWidth="1"/>
    <col min="7" max="7" width="16.6640625" style="1" customWidth="1"/>
    <col min="8" max="8" width="19.33203125" style="1" bestFit="1" customWidth="1"/>
    <col min="9" max="9" width="12" style="1" bestFit="1" customWidth="1"/>
    <col min="10" max="10" width="18" style="1" bestFit="1" customWidth="1"/>
    <col min="11" max="11" width="6.6640625" style="1" bestFit="1" customWidth="1"/>
    <col min="12" max="12" width="13.6640625" style="1" bestFit="1" customWidth="1"/>
    <col min="13" max="13" width="12.6640625" style="1" bestFit="1" customWidth="1"/>
    <col min="14" max="15" width="10.83203125" style="1"/>
    <col min="16" max="16" width="13.33203125" style="1" bestFit="1" customWidth="1"/>
    <col min="17" max="17" width="19.33203125" style="1" bestFit="1" customWidth="1"/>
    <col min="18" max="18" width="12" style="1" bestFit="1" customWidth="1"/>
    <col min="19" max="19" width="18" style="1" bestFit="1" customWidth="1"/>
    <col min="20" max="16384" width="10.83203125" style="1"/>
  </cols>
  <sheetData>
    <row r="3" spans="2:20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8</v>
      </c>
      <c r="H3" s="8" t="s">
        <v>9</v>
      </c>
      <c r="I3" s="8" t="s">
        <v>11</v>
      </c>
      <c r="J3" s="8" t="s">
        <v>10</v>
      </c>
      <c r="K3" s="8" t="s">
        <v>1</v>
      </c>
      <c r="L3" s="15" t="s">
        <v>13</v>
      </c>
      <c r="M3" s="15" t="s">
        <v>0</v>
      </c>
      <c r="N3" s="15" t="s">
        <v>5</v>
      </c>
      <c r="O3" s="15" t="s">
        <v>12</v>
      </c>
      <c r="P3" s="15" t="s">
        <v>8</v>
      </c>
      <c r="Q3" s="15" t="s">
        <v>9</v>
      </c>
      <c r="R3" s="15" t="s">
        <v>11</v>
      </c>
      <c r="S3" s="15" t="s">
        <v>10</v>
      </c>
      <c r="T3" s="15" t="s">
        <v>1</v>
      </c>
    </row>
    <row r="4" spans="2:20" x14ac:dyDescent="0.2">
      <c r="B4" s="4">
        <v>1</v>
      </c>
      <c r="C4" s="4">
        <v>14</v>
      </c>
      <c r="D4" s="12">
        <v>37429.69713</v>
      </c>
      <c r="E4" s="7">
        <v>2.95398235E-2</v>
      </c>
      <c r="F4" s="7">
        <v>3</v>
      </c>
      <c r="G4" s="5">
        <v>4</v>
      </c>
      <c r="H4" s="7">
        <v>29867</v>
      </c>
      <c r="I4" s="7">
        <v>0</v>
      </c>
      <c r="J4" s="7">
        <v>270.46929319124166</v>
      </c>
      <c r="K4" s="7">
        <v>0</v>
      </c>
      <c r="L4" s="23">
        <v>140</v>
      </c>
      <c r="M4" s="12">
        <v>14639.717280000001</v>
      </c>
      <c r="N4" s="7">
        <v>4.2852163300000003E-2</v>
      </c>
      <c r="O4" s="7">
        <v>3</v>
      </c>
      <c r="P4" s="5">
        <v>2</v>
      </c>
      <c r="Q4" s="7">
        <v>59230</v>
      </c>
      <c r="R4" s="7">
        <v>0</v>
      </c>
      <c r="S4" s="7">
        <v>491.6845019318136</v>
      </c>
      <c r="T4" s="7">
        <v>0</v>
      </c>
    </row>
    <row r="5" spans="2:20" x14ac:dyDescent="0.2">
      <c r="B5" s="4">
        <v>2</v>
      </c>
      <c r="C5" s="4">
        <v>214</v>
      </c>
      <c r="D5" s="12">
        <v>26627.960419999999</v>
      </c>
      <c r="E5" s="7">
        <v>3.0606985100000001E-2</v>
      </c>
      <c r="F5" s="7">
        <v>3</v>
      </c>
      <c r="G5" s="5">
        <v>2</v>
      </c>
      <c r="H5" s="7">
        <v>40002.600000000006</v>
      </c>
      <c r="I5" s="7">
        <v>0</v>
      </c>
      <c r="J5" s="7">
        <v>474.81405991898521</v>
      </c>
      <c r="K5" s="7">
        <v>0</v>
      </c>
      <c r="L5" s="23">
        <v>174</v>
      </c>
      <c r="M5" s="12">
        <v>15983.69074</v>
      </c>
      <c r="N5" s="7">
        <v>3.1943082800000001E-2</v>
      </c>
      <c r="O5" s="7">
        <v>3</v>
      </c>
      <c r="P5" s="5">
        <v>2</v>
      </c>
      <c r="Q5" s="7">
        <v>59683</v>
      </c>
      <c r="R5" s="7">
        <v>0</v>
      </c>
      <c r="S5" s="7">
        <v>609.87414612595558</v>
      </c>
      <c r="T5" s="7">
        <v>0</v>
      </c>
    </row>
    <row r="6" spans="2:20" x14ac:dyDescent="0.2">
      <c r="B6" s="4">
        <v>3</v>
      </c>
      <c r="C6" s="4">
        <v>245</v>
      </c>
      <c r="D6" s="12">
        <v>23302.905729999999</v>
      </c>
      <c r="E6" s="7">
        <v>5.46078682E-2</v>
      </c>
      <c r="F6" s="7">
        <v>3</v>
      </c>
      <c r="G6" s="5">
        <v>1</v>
      </c>
      <c r="H6" s="7">
        <v>45324</v>
      </c>
      <c r="I6" s="7">
        <v>21.080101199281991</v>
      </c>
      <c r="J6" s="7">
        <v>936.7185999133826</v>
      </c>
      <c r="K6" s="7">
        <v>0</v>
      </c>
      <c r="L6" s="23">
        <v>220</v>
      </c>
      <c r="M6" s="12">
        <v>17788.968130000001</v>
      </c>
      <c r="N6" s="7">
        <v>3.9661884299999998E-2</v>
      </c>
      <c r="O6" s="7">
        <v>3</v>
      </c>
      <c r="P6" s="5">
        <v>2.0000000000000062</v>
      </c>
      <c r="Q6" s="7">
        <v>52769</v>
      </c>
      <c r="R6" s="7">
        <v>0</v>
      </c>
      <c r="S6" s="7">
        <v>706.57974486349826</v>
      </c>
      <c r="T6" s="7">
        <v>0</v>
      </c>
    </row>
    <row r="7" spans="2:20" x14ac:dyDescent="0.2">
      <c r="B7" s="4">
        <v>4</v>
      </c>
      <c r="C7" s="4">
        <v>373</v>
      </c>
      <c r="D7" s="12">
        <v>16954.054530000001</v>
      </c>
      <c r="E7" s="7">
        <v>4.66098785E-2</v>
      </c>
      <c r="F7" s="7">
        <v>3</v>
      </c>
      <c r="G7" s="5">
        <v>1</v>
      </c>
      <c r="H7" s="7">
        <v>23648</v>
      </c>
      <c r="I7" s="7">
        <v>0</v>
      </c>
      <c r="J7" s="7">
        <v>803.14234596515234</v>
      </c>
      <c r="K7" s="7">
        <v>0</v>
      </c>
      <c r="L7" s="23">
        <v>386</v>
      </c>
      <c r="M7" s="12">
        <v>18101.47581</v>
      </c>
      <c r="N7" s="7">
        <v>3.7279129000000001E-2</v>
      </c>
      <c r="O7" s="7">
        <v>3</v>
      </c>
      <c r="P7" s="5">
        <v>3</v>
      </c>
      <c r="Q7" s="7">
        <v>52109</v>
      </c>
      <c r="R7" s="7">
        <v>0</v>
      </c>
      <c r="S7" s="7">
        <v>343.70253296529359</v>
      </c>
      <c r="T7" s="7">
        <v>0</v>
      </c>
    </row>
    <row r="8" spans="2:20" x14ac:dyDescent="0.2">
      <c r="B8" s="4">
        <v>5</v>
      </c>
      <c r="C8" s="4">
        <v>439</v>
      </c>
      <c r="D8" s="12">
        <v>16104.97156</v>
      </c>
      <c r="E8" s="7">
        <v>8.1970692000000005E-3</v>
      </c>
      <c r="F8" s="7">
        <v>3</v>
      </c>
      <c r="G8" s="5">
        <v>1</v>
      </c>
      <c r="H8" s="7">
        <v>23086.6</v>
      </c>
      <c r="I8" s="7">
        <v>0</v>
      </c>
      <c r="J8" s="7">
        <v>661.84605370603822</v>
      </c>
      <c r="K8" s="7">
        <v>0</v>
      </c>
      <c r="L8" s="23">
        <v>97</v>
      </c>
      <c r="M8" s="12">
        <v>15456.072410000001</v>
      </c>
      <c r="N8" s="7">
        <v>3.8971900900000002E-2</v>
      </c>
      <c r="O8" s="7">
        <v>3</v>
      </c>
      <c r="P8" s="5">
        <v>1</v>
      </c>
      <c r="Q8" s="7">
        <v>35888</v>
      </c>
      <c r="R8" s="7">
        <v>57.575980286864251</v>
      </c>
      <c r="S8" s="7">
        <v>887.32111108378774</v>
      </c>
      <c r="T8" s="7">
        <v>0</v>
      </c>
    </row>
    <row r="9" spans="2:20" x14ac:dyDescent="0.2">
      <c r="B9" s="4">
        <v>6</v>
      </c>
      <c r="C9" s="4">
        <v>452</v>
      </c>
      <c r="D9" s="12">
        <v>22743.965459999999</v>
      </c>
      <c r="E9" s="7">
        <v>2.8569221499999999E-2</v>
      </c>
      <c r="F9" s="7">
        <v>3</v>
      </c>
      <c r="G9" s="5">
        <v>1</v>
      </c>
      <c r="H9" s="7">
        <v>46236.2</v>
      </c>
      <c r="I9" s="7">
        <v>0</v>
      </c>
      <c r="J9" s="7">
        <v>482.8365171992715</v>
      </c>
      <c r="K9" s="7">
        <v>0</v>
      </c>
      <c r="L9" s="23">
        <v>336</v>
      </c>
      <c r="M9" s="12">
        <v>18152.119600000002</v>
      </c>
      <c r="N9" s="7">
        <v>4.1716098799999997E-2</v>
      </c>
      <c r="O9" s="7">
        <v>3</v>
      </c>
      <c r="P9" s="5">
        <v>2</v>
      </c>
      <c r="Q9" s="7">
        <v>44982</v>
      </c>
      <c r="R9" s="7">
        <v>0</v>
      </c>
      <c r="S9" s="7">
        <v>721.29398859178593</v>
      </c>
      <c r="T9" s="7">
        <v>0</v>
      </c>
    </row>
    <row r="10" spans="2:20" x14ac:dyDescent="0.2">
      <c r="B10" s="4">
        <v>7</v>
      </c>
      <c r="C10" s="4">
        <v>508</v>
      </c>
      <c r="D10" s="12">
        <v>19583.41043</v>
      </c>
      <c r="E10" s="7">
        <v>2.2717952699999999E-2</v>
      </c>
      <c r="F10" s="7">
        <v>3</v>
      </c>
      <c r="G10" s="5">
        <v>1</v>
      </c>
      <c r="H10" s="7">
        <v>35057.199999999997</v>
      </c>
      <c r="I10" s="7">
        <v>0</v>
      </c>
      <c r="J10" s="7">
        <v>644.91204232018731</v>
      </c>
      <c r="K10" s="7">
        <v>0</v>
      </c>
      <c r="L10" s="23">
        <v>614</v>
      </c>
      <c r="M10" s="12">
        <v>15743.695659999999</v>
      </c>
      <c r="N10" s="7">
        <v>4.8551082600000003E-2</v>
      </c>
      <c r="O10" s="7">
        <v>3</v>
      </c>
      <c r="P10" s="5">
        <v>2</v>
      </c>
      <c r="Q10" s="7">
        <v>56563</v>
      </c>
      <c r="R10" s="7">
        <v>0</v>
      </c>
      <c r="S10" s="7">
        <v>507.20015584342201</v>
      </c>
      <c r="T10" s="7">
        <v>0</v>
      </c>
    </row>
    <row r="11" spans="2:20" x14ac:dyDescent="0.2">
      <c r="B11" s="4">
        <v>8</v>
      </c>
      <c r="C11" s="4">
        <v>581</v>
      </c>
      <c r="D11" s="12">
        <v>16874.20016</v>
      </c>
      <c r="E11" s="7">
        <v>2.67829895E-2</v>
      </c>
      <c r="F11" s="7">
        <v>3</v>
      </c>
      <c r="G11" s="5">
        <v>1</v>
      </c>
      <c r="H11" s="7">
        <v>49096.800000000003</v>
      </c>
      <c r="I11" s="7">
        <v>0</v>
      </c>
      <c r="J11" s="7">
        <v>377.35995410912545</v>
      </c>
      <c r="K11" s="7">
        <v>0</v>
      </c>
      <c r="L11" s="23">
        <v>281</v>
      </c>
      <c r="M11" s="12">
        <v>11564.113719999999</v>
      </c>
      <c r="N11" s="7">
        <v>1.40888691E-2</v>
      </c>
      <c r="O11" s="7">
        <v>3</v>
      </c>
      <c r="P11" s="5">
        <v>1</v>
      </c>
      <c r="Q11" s="7">
        <v>48646</v>
      </c>
      <c r="R11" s="7">
        <v>0</v>
      </c>
      <c r="S11" s="7">
        <v>629.81376904565025</v>
      </c>
      <c r="T11" s="7">
        <v>0</v>
      </c>
    </row>
    <row r="12" spans="2:20" x14ac:dyDescent="0.2">
      <c r="B12" s="4">
        <v>9</v>
      </c>
      <c r="C12" s="4">
        <v>584</v>
      </c>
      <c r="D12" s="12">
        <v>30543.181499999999</v>
      </c>
      <c r="E12" s="7">
        <v>4.9028158199999998E-2</v>
      </c>
      <c r="F12" s="7">
        <v>3</v>
      </c>
      <c r="G12" s="5">
        <v>2</v>
      </c>
      <c r="H12" s="7">
        <v>38102</v>
      </c>
      <c r="I12" s="7">
        <v>0</v>
      </c>
      <c r="J12" s="7">
        <v>476.89624902134926</v>
      </c>
      <c r="K12" s="7">
        <v>0</v>
      </c>
      <c r="L12" s="23">
        <v>693</v>
      </c>
      <c r="M12" s="12">
        <v>16300.995919999999</v>
      </c>
      <c r="N12" s="7">
        <v>3.9834022500000003E-2</v>
      </c>
      <c r="O12" s="7">
        <v>3</v>
      </c>
      <c r="P12" s="5">
        <v>2</v>
      </c>
      <c r="Q12" s="7">
        <v>50399</v>
      </c>
      <c r="R12" s="7">
        <v>0</v>
      </c>
      <c r="S12" s="7">
        <v>597.66704355928812</v>
      </c>
      <c r="T12" s="7">
        <v>0</v>
      </c>
    </row>
    <row r="13" spans="2:20" x14ac:dyDescent="0.2">
      <c r="B13" s="4">
        <v>10</v>
      </c>
      <c r="C13" s="4">
        <v>755</v>
      </c>
      <c r="D13" s="12">
        <v>23431.42324</v>
      </c>
      <c r="E13" s="7">
        <v>4.9354076400000002E-2</v>
      </c>
      <c r="F13" s="7">
        <v>3</v>
      </c>
      <c r="G13" s="5">
        <v>2</v>
      </c>
      <c r="H13" s="7">
        <v>34338</v>
      </c>
      <c r="I13" s="7">
        <v>0</v>
      </c>
      <c r="J13" s="7">
        <v>514.74594638697795</v>
      </c>
      <c r="K13" s="7">
        <v>0</v>
      </c>
      <c r="L13" s="23">
        <v>782</v>
      </c>
      <c r="M13" s="12">
        <v>8685.5654500000001</v>
      </c>
      <c r="N13" s="7">
        <v>4.2000055299999998E-2</v>
      </c>
      <c r="O13" s="7">
        <v>3</v>
      </c>
      <c r="P13" s="5">
        <v>0</v>
      </c>
      <c r="Q13" s="7">
        <v>52308</v>
      </c>
      <c r="R13" s="7">
        <v>0</v>
      </c>
      <c r="S13" s="7">
        <v>781.63728417641664</v>
      </c>
      <c r="T13" s="7">
        <v>0</v>
      </c>
    </row>
    <row r="14" spans="2:20" x14ac:dyDescent="0.2">
      <c r="B14" s="46" t="s">
        <v>3</v>
      </c>
      <c r="C14" s="47"/>
      <c r="D14" s="9">
        <f t="shared" ref="D14:K14" si="0">AVERAGE(D4:D13)</f>
        <v>23359.577016000003</v>
      </c>
      <c r="E14" s="22">
        <f>AVERAGE(E4:E13)</f>
        <v>3.4601402279999999E-2</v>
      </c>
      <c r="F14" s="20">
        <f t="shared" si="0"/>
        <v>3</v>
      </c>
      <c r="G14" s="11">
        <f t="shared" si="0"/>
        <v>1.6</v>
      </c>
      <c r="H14" s="9">
        <f t="shared" si="0"/>
        <v>36475.840000000004</v>
      </c>
      <c r="I14" s="13">
        <f t="shared" si="0"/>
        <v>2.1080101199281991</v>
      </c>
      <c r="J14" s="13">
        <f t="shared" si="0"/>
        <v>564.37410617317107</v>
      </c>
      <c r="K14" s="11">
        <f t="shared" si="0"/>
        <v>0</v>
      </c>
      <c r="L14" s="16"/>
      <c r="M14" s="16">
        <f t="shared" ref="M14:T14" si="1">AVERAGE(M4:M13)</f>
        <v>15241.641471999998</v>
      </c>
      <c r="N14" s="21">
        <f t="shared" si="1"/>
        <v>3.7689828860000003E-2</v>
      </c>
      <c r="O14" s="18">
        <f t="shared" si="1"/>
        <v>3</v>
      </c>
      <c r="P14" s="18">
        <f t="shared" si="1"/>
        <v>1.7000000000000006</v>
      </c>
      <c r="Q14" s="16">
        <f t="shared" si="1"/>
        <v>51257.7</v>
      </c>
      <c r="R14" s="17">
        <f t="shared" si="1"/>
        <v>5.7575980286864255</v>
      </c>
      <c r="S14" s="17">
        <f t="shared" si="1"/>
        <v>627.67742781869117</v>
      </c>
      <c r="T14" s="18">
        <f t="shared" si="1"/>
        <v>0</v>
      </c>
    </row>
  </sheetData>
  <mergeCells count="1">
    <mergeCell ref="B14:C14"/>
  </mergeCells>
  <conditionalFormatting sqref="L1:L1048576">
    <cfRule type="duplicateValues" dxfId="44" priority="1"/>
  </conditionalFormatting>
  <conditionalFormatting sqref="L14">
    <cfRule type="duplicateValues" dxfId="43" priority="2"/>
  </conditionalFormatting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C9A43D-1732-7240-9A1A-4AF93EFEE897}">
  <dimension ref="B3:T14"/>
  <sheetViews>
    <sheetView zoomScale="117" zoomScaleNormal="120" workbookViewId="0">
      <selection activeCell="C4" sqref="C4:C13"/>
    </sheetView>
  </sheetViews>
  <sheetFormatPr baseColWidth="10" defaultColWidth="10.83203125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3.33203125" style="1" bestFit="1" customWidth="1"/>
    <col min="8" max="8" width="19.33203125" style="1" bestFit="1" customWidth="1"/>
    <col min="9" max="9" width="12" style="1" bestFit="1" customWidth="1"/>
    <col min="10" max="10" width="18.6640625" style="1" bestFit="1" customWidth="1"/>
    <col min="11" max="11" width="6.6640625" style="1" bestFit="1" customWidth="1"/>
    <col min="12" max="12" width="8.6640625" style="1" bestFit="1" customWidth="1"/>
    <col min="13" max="13" width="13.33203125" style="1" bestFit="1" customWidth="1"/>
    <col min="14" max="15" width="10.83203125" style="1"/>
    <col min="16" max="16" width="13.33203125" style="1" bestFit="1" customWidth="1"/>
    <col min="17" max="17" width="19.33203125" style="1" bestFit="1" customWidth="1"/>
    <col min="18" max="18" width="12" style="1" bestFit="1" customWidth="1"/>
    <col min="19" max="19" width="18" style="1" bestFit="1" customWidth="1"/>
    <col min="20" max="16384" width="10.83203125" style="1"/>
  </cols>
  <sheetData>
    <row r="3" spans="2:20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8</v>
      </c>
      <c r="H3" s="8" t="s">
        <v>9</v>
      </c>
      <c r="I3" s="8" t="s">
        <v>11</v>
      </c>
      <c r="J3" s="8" t="s">
        <v>10</v>
      </c>
      <c r="K3" s="8" t="s">
        <v>1</v>
      </c>
      <c r="L3" s="15" t="s">
        <v>13</v>
      </c>
      <c r="M3" s="15" t="s">
        <v>0</v>
      </c>
      <c r="N3" s="15" t="s">
        <v>5</v>
      </c>
      <c r="O3" s="15" t="s">
        <v>12</v>
      </c>
      <c r="P3" s="15" t="s">
        <v>8</v>
      </c>
      <c r="Q3" s="15" t="s">
        <v>9</v>
      </c>
      <c r="R3" s="15" t="s">
        <v>11</v>
      </c>
      <c r="S3" s="15" t="s">
        <v>10</v>
      </c>
      <c r="T3" s="15" t="s">
        <v>1</v>
      </c>
    </row>
    <row r="4" spans="2:20" x14ac:dyDescent="0.2">
      <c r="B4" s="4">
        <v>1</v>
      </c>
      <c r="C4" s="6">
        <v>69</v>
      </c>
      <c r="D4" s="12">
        <v>25285.501059999999</v>
      </c>
      <c r="E4" s="7">
        <v>2.03368664E-2</v>
      </c>
      <c r="F4" s="7">
        <v>2</v>
      </c>
      <c r="G4" s="5">
        <v>0</v>
      </c>
      <c r="H4" s="7">
        <v>26159.4</v>
      </c>
      <c r="I4" s="7">
        <v>0</v>
      </c>
      <c r="J4" s="7">
        <v>1024.6403885284221</v>
      </c>
      <c r="K4" s="7">
        <v>0</v>
      </c>
      <c r="L4" s="23">
        <v>188</v>
      </c>
      <c r="M4" s="12">
        <v>24592.933229999999</v>
      </c>
      <c r="N4" s="7">
        <v>9.3856811499999998E-2</v>
      </c>
      <c r="O4" s="7">
        <v>2</v>
      </c>
      <c r="P4" s="5">
        <v>2</v>
      </c>
      <c r="Q4" s="7">
        <v>35912</v>
      </c>
      <c r="R4" s="7">
        <v>0</v>
      </c>
      <c r="S4" s="7">
        <v>673.03680247944465</v>
      </c>
      <c r="T4" s="7">
        <v>0</v>
      </c>
    </row>
    <row r="5" spans="2:20" x14ac:dyDescent="0.2">
      <c r="B5" s="4">
        <v>2</v>
      </c>
      <c r="C5" s="24">
        <v>320</v>
      </c>
      <c r="D5" s="12">
        <v>37733.347710000002</v>
      </c>
      <c r="E5" s="7">
        <v>2.89981365E-2</v>
      </c>
      <c r="F5" s="7">
        <v>2</v>
      </c>
      <c r="G5" s="5">
        <v>2</v>
      </c>
      <c r="H5" s="7">
        <v>33861.800000000039</v>
      </c>
      <c r="I5" s="7">
        <v>11.876789089258819</v>
      </c>
      <c r="J5" s="7">
        <v>1128.8492192424135</v>
      </c>
      <c r="K5" s="7">
        <v>0</v>
      </c>
      <c r="L5" s="23">
        <v>241</v>
      </c>
      <c r="M5" s="12">
        <v>58957.035380000001</v>
      </c>
      <c r="N5" s="7">
        <v>0.2380030155</v>
      </c>
      <c r="O5" s="7">
        <v>4</v>
      </c>
      <c r="P5" s="5">
        <v>9.0000000000000071</v>
      </c>
      <c r="Q5" s="7">
        <v>53092</v>
      </c>
      <c r="R5" s="7">
        <v>0</v>
      </c>
      <c r="S5" s="7">
        <v>690.58573978839672</v>
      </c>
      <c r="T5" s="7">
        <v>0</v>
      </c>
    </row>
    <row r="6" spans="2:20" x14ac:dyDescent="0.2">
      <c r="B6" s="4">
        <v>3</v>
      </c>
      <c r="C6" s="24">
        <v>380</v>
      </c>
      <c r="D6" s="12">
        <v>28486.69169</v>
      </c>
      <c r="E6" s="7">
        <v>1.3865947700000001E-2</v>
      </c>
      <c r="F6" s="7">
        <v>2</v>
      </c>
      <c r="G6" s="5">
        <v>0</v>
      </c>
      <c r="H6" s="7">
        <v>31005.399999999172</v>
      </c>
      <c r="I6" s="7">
        <v>0</v>
      </c>
      <c r="J6" s="7">
        <v>1027.5751046144039</v>
      </c>
      <c r="K6" s="7">
        <v>0</v>
      </c>
      <c r="L6" s="23">
        <v>295</v>
      </c>
      <c r="M6" s="12">
        <v>44821.29494</v>
      </c>
      <c r="N6" s="7">
        <v>8.7707042700000001E-2</v>
      </c>
      <c r="O6" s="7">
        <v>2</v>
      </c>
      <c r="P6" s="5">
        <v>3</v>
      </c>
      <c r="Q6" s="7">
        <v>40281</v>
      </c>
      <c r="R6" s="7">
        <v>22.435554820339782</v>
      </c>
      <c r="S6" s="7">
        <v>1415.9253952168015</v>
      </c>
      <c r="T6" s="7">
        <v>0</v>
      </c>
    </row>
    <row r="7" spans="2:20" x14ac:dyDescent="0.2">
      <c r="B7" s="4">
        <v>4</v>
      </c>
      <c r="C7" s="24">
        <v>487</v>
      </c>
      <c r="D7" s="12">
        <v>55101.502780000003</v>
      </c>
      <c r="E7" s="7">
        <v>0.25891208650000003</v>
      </c>
      <c r="F7" s="7">
        <v>4</v>
      </c>
      <c r="G7" s="5">
        <v>5</v>
      </c>
      <c r="H7" s="7">
        <v>21543.8</v>
      </c>
      <c r="I7" s="7">
        <v>0</v>
      </c>
      <c r="J7" s="7">
        <v>1060.3322974897289</v>
      </c>
      <c r="K7" s="7">
        <v>0</v>
      </c>
      <c r="L7" s="23">
        <v>427</v>
      </c>
      <c r="M7" s="12">
        <v>38064.34489</v>
      </c>
      <c r="N7" s="7">
        <v>3.6217212700000001E-2</v>
      </c>
      <c r="O7" s="7">
        <v>2</v>
      </c>
      <c r="P7" s="5">
        <v>2</v>
      </c>
      <c r="Q7" s="7">
        <v>41707</v>
      </c>
      <c r="R7" s="7">
        <v>0</v>
      </c>
      <c r="S7" s="7">
        <v>1384.6892104989688</v>
      </c>
      <c r="T7" s="7">
        <v>0</v>
      </c>
    </row>
    <row r="8" spans="2:20" x14ac:dyDescent="0.2">
      <c r="B8" s="4">
        <v>5</v>
      </c>
      <c r="C8" s="24">
        <v>498</v>
      </c>
      <c r="D8" s="12">
        <v>47484.835160000002</v>
      </c>
      <c r="E8" s="7">
        <v>0.1366379261</v>
      </c>
      <c r="F8" s="7">
        <v>2</v>
      </c>
      <c r="G8" s="5">
        <v>3</v>
      </c>
      <c r="H8" s="7">
        <v>26611.8</v>
      </c>
      <c r="I8" s="7">
        <v>0</v>
      </c>
      <c r="J8" s="7">
        <v>874.22576713891942</v>
      </c>
      <c r="K8" s="7">
        <v>0</v>
      </c>
      <c r="L8" s="23">
        <v>467</v>
      </c>
      <c r="M8" s="12">
        <v>46976.147440000001</v>
      </c>
      <c r="N8" s="7">
        <v>1.1444878578</v>
      </c>
      <c r="O8" s="7">
        <v>4</v>
      </c>
      <c r="P8" s="5">
        <v>3</v>
      </c>
      <c r="Q8" s="7">
        <v>48725</v>
      </c>
      <c r="R8" s="7">
        <v>24.510757443342705</v>
      </c>
      <c r="S8" s="7">
        <v>1564.2272968902964</v>
      </c>
      <c r="T8" s="7">
        <v>0</v>
      </c>
    </row>
    <row r="9" spans="2:20" x14ac:dyDescent="0.2">
      <c r="B9" s="4">
        <v>6</v>
      </c>
      <c r="C9" s="24">
        <v>564</v>
      </c>
      <c r="D9" s="12">
        <v>32123.11089</v>
      </c>
      <c r="E9" s="7">
        <v>2.1203994800000001E-2</v>
      </c>
      <c r="F9" s="7">
        <v>2</v>
      </c>
      <c r="G9" s="5">
        <v>1</v>
      </c>
      <c r="H9" s="7">
        <v>28083.4</v>
      </c>
      <c r="I9" s="7">
        <v>0</v>
      </c>
      <c r="J9" s="7">
        <v>1213.6440215781074</v>
      </c>
      <c r="K9" s="7">
        <v>0</v>
      </c>
      <c r="L9" s="23">
        <v>549</v>
      </c>
      <c r="M9" s="12">
        <v>28270.248360000001</v>
      </c>
      <c r="N9" s="7">
        <v>8.5637092600000006E-2</v>
      </c>
      <c r="O9" s="7">
        <v>2</v>
      </c>
      <c r="P9" s="5">
        <v>3</v>
      </c>
      <c r="Q9" s="7">
        <v>37274</v>
      </c>
      <c r="R9" s="7">
        <v>0</v>
      </c>
      <c r="S9" s="7">
        <v>611.81011458632281</v>
      </c>
      <c r="T9" s="7">
        <v>0</v>
      </c>
    </row>
    <row r="10" spans="2:20" x14ac:dyDescent="0.2">
      <c r="B10" s="4">
        <v>7</v>
      </c>
      <c r="C10" s="24">
        <v>578</v>
      </c>
      <c r="D10" s="12">
        <v>57153.081059999997</v>
      </c>
      <c r="E10" s="7">
        <v>7.1797869204999998</v>
      </c>
      <c r="F10" s="7">
        <v>4</v>
      </c>
      <c r="G10" s="5">
        <v>4.0000000420099884</v>
      </c>
      <c r="H10" s="7">
        <v>25780</v>
      </c>
      <c r="I10" s="7">
        <v>17.943771925029075</v>
      </c>
      <c r="J10" s="7">
        <v>1546.3534099723388</v>
      </c>
      <c r="K10" s="7">
        <v>0</v>
      </c>
      <c r="L10" s="23">
        <v>859</v>
      </c>
      <c r="M10" s="12">
        <v>43198.752699999997</v>
      </c>
      <c r="N10" s="7">
        <v>0.3355309963</v>
      </c>
      <c r="O10" s="7">
        <v>2</v>
      </c>
      <c r="P10" s="5">
        <v>4</v>
      </c>
      <c r="Q10" s="7">
        <v>24609</v>
      </c>
      <c r="R10" s="7">
        <v>19.426987246839694</v>
      </c>
      <c r="S10" s="7">
        <v>1168.2179825068567</v>
      </c>
      <c r="T10" s="7">
        <v>0</v>
      </c>
    </row>
    <row r="11" spans="2:20" x14ac:dyDescent="0.2">
      <c r="B11" s="4">
        <v>8</v>
      </c>
      <c r="C11" s="24">
        <v>593</v>
      </c>
      <c r="D11" s="12">
        <v>40013.572390000001</v>
      </c>
      <c r="E11" s="7">
        <v>2.8548002199999999E-2</v>
      </c>
      <c r="F11" s="7">
        <v>2</v>
      </c>
      <c r="G11" s="5">
        <v>1</v>
      </c>
      <c r="H11" s="7">
        <v>46809</v>
      </c>
      <c r="I11" s="7">
        <v>7.5469404145732799</v>
      </c>
      <c r="J11" s="7">
        <v>1100.6532032017217</v>
      </c>
      <c r="K11" s="7">
        <v>0</v>
      </c>
      <c r="L11" s="23">
        <v>734</v>
      </c>
      <c r="M11" s="12">
        <v>42135.216200000003</v>
      </c>
      <c r="N11" s="7">
        <v>1.7675950526999999</v>
      </c>
      <c r="O11" s="7">
        <v>3</v>
      </c>
      <c r="P11" s="5">
        <v>3</v>
      </c>
      <c r="Q11" s="7">
        <v>29171.40000000002</v>
      </c>
      <c r="R11" s="7">
        <v>4.9700786118600835</v>
      </c>
      <c r="S11" s="7">
        <v>1292.6133085891206</v>
      </c>
      <c r="T11" s="7">
        <v>0</v>
      </c>
    </row>
    <row r="12" spans="2:20" x14ac:dyDescent="0.2">
      <c r="B12" s="4">
        <v>9</v>
      </c>
      <c r="C12" s="24">
        <v>795</v>
      </c>
      <c r="D12" s="12">
        <v>37750.003199999999</v>
      </c>
      <c r="E12" s="7">
        <v>8.6210012399999994E-2</v>
      </c>
      <c r="F12" s="7">
        <v>2</v>
      </c>
      <c r="G12" s="5">
        <v>1</v>
      </c>
      <c r="H12" s="7">
        <v>24867.800000000003</v>
      </c>
      <c r="I12" s="7">
        <v>0</v>
      </c>
      <c r="J12" s="7">
        <v>1084.6759004121714</v>
      </c>
      <c r="K12" s="7">
        <v>0</v>
      </c>
      <c r="L12" s="23">
        <v>547</v>
      </c>
      <c r="M12" s="12">
        <v>44156.988819999999</v>
      </c>
      <c r="N12" s="7">
        <v>3.1990890503</v>
      </c>
      <c r="O12" s="7">
        <v>3</v>
      </c>
      <c r="P12" s="5">
        <v>1</v>
      </c>
      <c r="Q12" s="7">
        <v>47007.6000000001</v>
      </c>
      <c r="R12" s="7">
        <v>16.721478778935968</v>
      </c>
      <c r="S12" s="7">
        <v>1842.5993945744594</v>
      </c>
      <c r="T12" s="7">
        <v>0</v>
      </c>
    </row>
    <row r="13" spans="2:20" x14ac:dyDescent="0.2">
      <c r="B13" s="4">
        <v>10</v>
      </c>
      <c r="C13" s="24">
        <v>722</v>
      </c>
      <c r="D13" s="12">
        <v>39699.685899999997</v>
      </c>
      <c r="E13" s="7">
        <v>2.7703046799999999E-2</v>
      </c>
      <c r="F13" s="7">
        <v>2</v>
      </c>
      <c r="G13" s="5">
        <v>2</v>
      </c>
      <c r="H13" s="7">
        <v>31519.999999999771</v>
      </c>
      <c r="I13" s="7">
        <v>3.0638041851198072</v>
      </c>
      <c r="J13" s="7">
        <v>936.45149967355667</v>
      </c>
      <c r="K13" s="7">
        <v>0</v>
      </c>
      <c r="L13" s="23">
        <v>682</v>
      </c>
      <c r="M13" s="12">
        <v>53095.402580000002</v>
      </c>
      <c r="N13" s="7">
        <v>1.1189670563</v>
      </c>
      <c r="O13" s="7">
        <v>2</v>
      </c>
      <c r="P13" s="5">
        <v>4</v>
      </c>
      <c r="Q13" s="7">
        <v>21862</v>
      </c>
      <c r="R13" s="7">
        <v>37.093316062213077</v>
      </c>
      <c r="S13" s="7">
        <v>1683.1510952002577</v>
      </c>
      <c r="T13" s="7">
        <v>0</v>
      </c>
    </row>
    <row r="14" spans="2:20" x14ac:dyDescent="0.2">
      <c r="B14" s="46" t="s">
        <v>3</v>
      </c>
      <c r="C14" s="47"/>
      <c r="D14" s="9">
        <f t="shared" ref="D14:K14" si="0">AVERAGE(D4:D13)</f>
        <v>40083.133183999991</v>
      </c>
      <c r="E14" s="22">
        <f>AVERAGE(E4:E13)</f>
        <v>0.78022029399000004</v>
      </c>
      <c r="F14" s="20">
        <f t="shared" si="0"/>
        <v>2.4</v>
      </c>
      <c r="G14" s="11">
        <f t="shared" si="0"/>
        <v>1.9000000042009986</v>
      </c>
      <c r="H14" s="9">
        <f t="shared" si="0"/>
        <v>29624.239999999896</v>
      </c>
      <c r="I14" s="13">
        <f t="shared" si="0"/>
        <v>4.0431305613980983</v>
      </c>
      <c r="J14" s="13">
        <f t="shared" si="0"/>
        <v>1099.7400811851785</v>
      </c>
      <c r="K14" s="11">
        <f t="shared" si="0"/>
        <v>0</v>
      </c>
      <c r="L14" s="16"/>
      <c r="M14" s="16">
        <f t="shared" ref="M14:T14" si="1">AVERAGE(M4:M13)</f>
        <v>42426.836453999997</v>
      </c>
      <c r="N14" s="21">
        <f t="shared" si="1"/>
        <v>0.81070911883999996</v>
      </c>
      <c r="O14" s="18">
        <f t="shared" si="1"/>
        <v>2.6</v>
      </c>
      <c r="P14" s="18">
        <f t="shared" si="1"/>
        <v>3.4000000000000008</v>
      </c>
      <c r="Q14" s="16">
        <f t="shared" si="1"/>
        <v>37964.100000000013</v>
      </c>
      <c r="R14" s="17">
        <f t="shared" si="1"/>
        <v>12.515817296353131</v>
      </c>
      <c r="S14" s="17">
        <f t="shared" si="1"/>
        <v>1232.6856340330924</v>
      </c>
      <c r="T14" s="18">
        <f t="shared" si="1"/>
        <v>0</v>
      </c>
    </row>
  </sheetData>
  <mergeCells count="1">
    <mergeCell ref="B14:C14"/>
  </mergeCells>
  <conditionalFormatting sqref="L1:L1048576">
    <cfRule type="duplicateValues" dxfId="42" priority="1"/>
  </conditionalFormatting>
  <conditionalFormatting sqref="L14">
    <cfRule type="duplicateValues" dxfId="41" priority="2"/>
  </conditionalFormatting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3B533B-FEFB-AA49-9042-D8B748AEDC22}">
  <dimension ref="B3:T14"/>
  <sheetViews>
    <sheetView zoomScale="118" zoomScaleNormal="120" workbookViewId="0">
      <selection activeCell="C4" sqref="C4:C13"/>
    </sheetView>
  </sheetViews>
  <sheetFormatPr baseColWidth="10" defaultColWidth="10.83203125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3.33203125" style="1" bestFit="1" customWidth="1"/>
    <col min="8" max="8" width="19.33203125" style="1" bestFit="1" customWidth="1"/>
    <col min="9" max="9" width="12" style="1" bestFit="1" customWidth="1"/>
    <col min="10" max="10" width="18.6640625" style="1" bestFit="1" customWidth="1"/>
    <col min="11" max="11" width="6.6640625" style="1" bestFit="1" customWidth="1"/>
    <col min="12" max="12" width="8.6640625" style="1" bestFit="1" customWidth="1"/>
    <col min="13" max="13" width="12.6640625" style="1" bestFit="1" customWidth="1"/>
    <col min="14" max="15" width="10.83203125" style="1"/>
    <col min="16" max="16" width="13.33203125" style="1" bestFit="1" customWidth="1"/>
    <col min="17" max="17" width="19.33203125" style="1" bestFit="1" customWidth="1"/>
    <col min="18" max="18" width="12" style="1" bestFit="1" customWidth="1"/>
    <col min="19" max="19" width="18" style="1" bestFit="1" customWidth="1"/>
    <col min="20" max="16384" width="10.83203125" style="1"/>
  </cols>
  <sheetData>
    <row r="3" spans="2:20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8</v>
      </c>
      <c r="H3" s="8" t="s">
        <v>9</v>
      </c>
      <c r="I3" s="8" t="s">
        <v>11</v>
      </c>
      <c r="J3" s="8" t="s">
        <v>10</v>
      </c>
      <c r="K3" s="8" t="s">
        <v>1</v>
      </c>
      <c r="L3" s="15" t="s">
        <v>13</v>
      </c>
      <c r="M3" s="15" t="s">
        <v>0</v>
      </c>
      <c r="N3" s="15" t="s">
        <v>5</v>
      </c>
      <c r="O3" s="15" t="s">
        <v>12</v>
      </c>
      <c r="P3" s="15" t="s">
        <v>8</v>
      </c>
      <c r="Q3" s="15" t="s">
        <v>9</v>
      </c>
      <c r="R3" s="15" t="s">
        <v>11</v>
      </c>
      <c r="S3" s="15" t="s">
        <v>10</v>
      </c>
      <c r="T3" s="15" t="s">
        <v>1</v>
      </c>
    </row>
    <row r="4" spans="2:20" x14ac:dyDescent="0.2">
      <c r="B4" s="4">
        <v>1</v>
      </c>
      <c r="C4" s="4">
        <v>23</v>
      </c>
      <c r="D4" s="12">
        <v>52142.065519999996</v>
      </c>
      <c r="E4" s="7">
        <v>0.1030950546</v>
      </c>
      <c r="F4" s="7">
        <v>2</v>
      </c>
      <c r="G4" s="5">
        <v>6</v>
      </c>
      <c r="H4" s="7">
        <v>26948</v>
      </c>
      <c r="I4" s="7">
        <v>0</v>
      </c>
      <c r="J4" s="7">
        <v>820.82073897384237</v>
      </c>
      <c r="K4" s="7">
        <v>0</v>
      </c>
      <c r="L4" s="23">
        <v>174</v>
      </c>
      <c r="M4" s="25">
        <v>46376.714399999997</v>
      </c>
      <c r="N4" s="26">
        <v>0.12319397930000001</v>
      </c>
      <c r="O4" s="26">
        <v>3</v>
      </c>
      <c r="P4" s="27">
        <v>7</v>
      </c>
      <c r="Q4" s="26">
        <v>37670</v>
      </c>
      <c r="R4" s="26">
        <v>0</v>
      </c>
      <c r="S4" s="26">
        <v>532.8009888212016</v>
      </c>
      <c r="T4" s="26">
        <v>0</v>
      </c>
    </row>
    <row r="5" spans="2:20" x14ac:dyDescent="0.2">
      <c r="B5" s="4">
        <v>2</v>
      </c>
      <c r="C5" s="4">
        <v>822</v>
      </c>
      <c r="D5" s="12">
        <v>44815.047059999997</v>
      </c>
      <c r="E5" s="7">
        <v>4.0691137299999999E-2</v>
      </c>
      <c r="F5" s="7">
        <v>2</v>
      </c>
      <c r="G5" s="5">
        <v>6</v>
      </c>
      <c r="H5" s="7">
        <v>26501.199999999997</v>
      </c>
      <c r="I5" s="7">
        <v>0</v>
      </c>
      <c r="J5" s="7">
        <v>481.73381898615389</v>
      </c>
      <c r="K5" s="7">
        <v>0</v>
      </c>
      <c r="L5" s="23">
        <v>321</v>
      </c>
      <c r="M5" s="25">
        <v>55309.047680000003</v>
      </c>
      <c r="N5" s="26">
        <v>0.55826282500000002</v>
      </c>
      <c r="O5" s="26">
        <v>3</v>
      </c>
      <c r="P5" s="27">
        <v>6</v>
      </c>
      <c r="Q5" s="26">
        <v>37067</v>
      </c>
      <c r="R5" s="26">
        <v>0</v>
      </c>
      <c r="S5" s="26">
        <v>1197.553391911581</v>
      </c>
      <c r="T5" s="26">
        <v>0</v>
      </c>
    </row>
    <row r="6" spans="2:20" x14ac:dyDescent="0.2">
      <c r="B6" s="4">
        <v>3</v>
      </c>
      <c r="C6" s="4">
        <v>295</v>
      </c>
      <c r="D6" s="12">
        <v>65679.023190000007</v>
      </c>
      <c r="E6" s="7">
        <v>6.7169904700000005E-2</v>
      </c>
      <c r="F6" s="7">
        <v>2</v>
      </c>
      <c r="G6" s="5">
        <v>7</v>
      </c>
      <c r="H6" s="7">
        <v>39433</v>
      </c>
      <c r="I6" s="7">
        <v>0</v>
      </c>
      <c r="J6" s="7">
        <v>723.67727947313438</v>
      </c>
      <c r="K6" s="7">
        <v>0</v>
      </c>
      <c r="L6" s="23">
        <v>570</v>
      </c>
      <c r="M6" s="25">
        <v>35444.092799999999</v>
      </c>
      <c r="N6" s="26">
        <v>8.6477041199999993E-2</v>
      </c>
      <c r="O6" s="26">
        <v>2</v>
      </c>
      <c r="P6" s="27">
        <v>5</v>
      </c>
      <c r="Q6" s="26">
        <v>42529</v>
      </c>
      <c r="R6" s="26">
        <v>0</v>
      </c>
      <c r="S6" s="26">
        <v>500.52157066627814</v>
      </c>
      <c r="T6" s="26">
        <v>0</v>
      </c>
    </row>
    <row r="7" spans="2:20" x14ac:dyDescent="0.2">
      <c r="B7" s="4">
        <v>4</v>
      </c>
      <c r="C7" s="4">
        <v>335</v>
      </c>
      <c r="D7" s="12">
        <v>60566.147680000002</v>
      </c>
      <c r="E7" s="7">
        <v>3.9829015699999998E-2</v>
      </c>
      <c r="F7" s="7">
        <v>2</v>
      </c>
      <c r="G7" s="5">
        <v>8</v>
      </c>
      <c r="H7" s="7">
        <v>31259</v>
      </c>
      <c r="I7" s="7">
        <v>0</v>
      </c>
      <c r="J7" s="7">
        <v>559.69421196765393</v>
      </c>
      <c r="K7" s="7">
        <v>0</v>
      </c>
      <c r="L7" s="23">
        <v>593</v>
      </c>
      <c r="M7" s="25">
        <v>51940.025970000002</v>
      </c>
      <c r="N7" s="26">
        <v>5.7708978700000003E-2</v>
      </c>
      <c r="O7" s="26">
        <v>2</v>
      </c>
      <c r="P7" s="27">
        <v>9</v>
      </c>
      <c r="Q7" s="26">
        <v>51307</v>
      </c>
      <c r="R7" s="26">
        <v>0</v>
      </c>
      <c r="S7" s="26">
        <v>335.3938861943135</v>
      </c>
      <c r="T7" s="26">
        <v>0</v>
      </c>
    </row>
    <row r="8" spans="2:20" x14ac:dyDescent="0.2">
      <c r="B8" s="4">
        <v>5</v>
      </c>
      <c r="C8" s="4">
        <v>434</v>
      </c>
      <c r="D8" s="12">
        <v>34595.617129999999</v>
      </c>
      <c r="E8" s="7">
        <v>2.5415897400000002E-2</v>
      </c>
      <c r="F8" s="7">
        <v>2</v>
      </c>
      <c r="G8" s="5">
        <v>4</v>
      </c>
      <c r="H8" s="7">
        <v>27133</v>
      </c>
      <c r="I8" s="7">
        <v>0</v>
      </c>
      <c r="J8" s="7">
        <v>601.76154304067143</v>
      </c>
      <c r="K8" s="7">
        <v>0</v>
      </c>
      <c r="L8" s="23">
        <v>853</v>
      </c>
      <c r="M8" s="25">
        <v>49075.273820000002</v>
      </c>
      <c r="N8" s="26">
        <v>3.3874988600000003E-2</v>
      </c>
      <c r="O8" s="26">
        <v>2</v>
      </c>
      <c r="P8" s="27">
        <v>5</v>
      </c>
      <c r="Q8" s="26">
        <v>27910</v>
      </c>
      <c r="R8" s="26">
        <v>0.65715112762227346</v>
      </c>
      <c r="S8" s="26">
        <v>1191.1100846764975</v>
      </c>
      <c r="T8" s="26">
        <v>0</v>
      </c>
    </row>
    <row r="9" spans="2:20" x14ac:dyDescent="0.2">
      <c r="B9" s="4">
        <v>6</v>
      </c>
      <c r="C9" s="4">
        <v>451</v>
      </c>
      <c r="D9" s="12">
        <v>47810.301240000001</v>
      </c>
      <c r="E9" s="7">
        <v>5.5293083200000002E-2</v>
      </c>
      <c r="F9" s="7">
        <v>2</v>
      </c>
      <c r="G9" s="5">
        <v>4</v>
      </c>
      <c r="H9" s="7">
        <v>19197</v>
      </c>
      <c r="I9" s="7">
        <v>0.50059439299595854</v>
      </c>
      <c r="J9" s="7">
        <v>1014.401182253735</v>
      </c>
      <c r="K9" s="7">
        <v>0</v>
      </c>
      <c r="L9" s="23">
        <v>741</v>
      </c>
      <c r="M9" s="25">
        <v>53437.990870000001</v>
      </c>
      <c r="N9" s="26">
        <v>0.66083407400000005</v>
      </c>
      <c r="O9" s="26">
        <v>3</v>
      </c>
      <c r="P9" s="27">
        <v>5</v>
      </c>
      <c r="Q9" s="26">
        <v>35080</v>
      </c>
      <c r="R9" s="26">
        <v>0</v>
      </c>
      <c r="S9" s="26">
        <v>1350.3932416445925</v>
      </c>
      <c r="T9" s="26">
        <v>0</v>
      </c>
    </row>
    <row r="10" spans="2:20" x14ac:dyDescent="0.2">
      <c r="B10" s="4">
        <v>7</v>
      </c>
      <c r="C10" s="4">
        <v>599</v>
      </c>
      <c r="D10" s="12">
        <v>50459.225639999997</v>
      </c>
      <c r="E10" s="7">
        <v>6.5841913200000005E-2</v>
      </c>
      <c r="F10" s="7">
        <v>2</v>
      </c>
      <c r="G10" s="5">
        <v>7</v>
      </c>
      <c r="H10" s="7">
        <v>25925.200000000001</v>
      </c>
      <c r="I10" s="7">
        <v>0</v>
      </c>
      <c r="J10" s="7">
        <v>556.35364595905639</v>
      </c>
      <c r="K10" s="7">
        <v>0</v>
      </c>
      <c r="L10" s="23">
        <v>686</v>
      </c>
      <c r="M10" s="25">
        <v>40518.737110000002</v>
      </c>
      <c r="N10" s="26">
        <v>8.0873012499999994E-2</v>
      </c>
      <c r="O10" s="26">
        <v>2</v>
      </c>
      <c r="P10" s="27">
        <v>4</v>
      </c>
      <c r="Q10" s="26">
        <v>29578</v>
      </c>
      <c r="R10" s="26">
        <v>4.8394634277506947</v>
      </c>
      <c r="S10" s="26">
        <v>961.87695342344011</v>
      </c>
      <c r="T10" s="26">
        <v>0</v>
      </c>
    </row>
    <row r="11" spans="2:20" x14ac:dyDescent="0.2">
      <c r="B11" s="4">
        <v>8</v>
      </c>
      <c r="C11" s="4">
        <v>657</v>
      </c>
      <c r="D11" s="12">
        <v>70422.664600000004</v>
      </c>
      <c r="E11" s="7">
        <v>0.14296388630000001</v>
      </c>
      <c r="F11" s="7">
        <v>2</v>
      </c>
      <c r="G11" s="5">
        <v>8</v>
      </c>
      <c r="H11" s="7">
        <v>31461</v>
      </c>
      <c r="I11" s="7">
        <v>14.636906567233833</v>
      </c>
      <c r="J11" s="7">
        <v>884.81314457847054</v>
      </c>
      <c r="K11" s="7">
        <v>0</v>
      </c>
      <c r="L11" s="23">
        <v>803</v>
      </c>
      <c r="M11" s="25">
        <v>46447.69225</v>
      </c>
      <c r="N11" s="26">
        <v>0.24909377099999999</v>
      </c>
      <c r="O11" s="26">
        <v>3</v>
      </c>
      <c r="P11" s="27">
        <v>5</v>
      </c>
      <c r="Q11" s="26">
        <v>28066</v>
      </c>
      <c r="R11" s="26">
        <v>11.489901341145636</v>
      </c>
      <c r="S11" s="26">
        <v>1015.6875447726965</v>
      </c>
      <c r="T11" s="26">
        <v>0</v>
      </c>
    </row>
    <row r="12" spans="2:20" x14ac:dyDescent="0.2">
      <c r="B12" s="4">
        <v>9</v>
      </c>
      <c r="C12" s="4">
        <v>499</v>
      </c>
      <c r="D12" s="12">
        <v>58636.261460000002</v>
      </c>
      <c r="E12" s="7">
        <v>5.3021907799999997E-2</v>
      </c>
      <c r="F12" s="7">
        <v>2</v>
      </c>
      <c r="G12" s="5">
        <v>7</v>
      </c>
      <c r="H12" s="7">
        <v>23998.2</v>
      </c>
      <c r="I12" s="7">
        <v>0</v>
      </c>
      <c r="J12" s="7">
        <v>692.94010706439963</v>
      </c>
      <c r="K12" s="7">
        <v>0</v>
      </c>
      <c r="L12" s="23">
        <v>930</v>
      </c>
      <c r="M12" s="25">
        <v>48120.658779999998</v>
      </c>
      <c r="N12" s="26">
        <v>6.8506002400000002E-2</v>
      </c>
      <c r="O12" s="26">
        <v>2</v>
      </c>
      <c r="P12" s="27">
        <v>5</v>
      </c>
      <c r="Q12" s="26">
        <v>28819</v>
      </c>
      <c r="R12" s="26">
        <v>13.830892170767148</v>
      </c>
      <c r="S12" s="26">
        <v>1062.7793576263819</v>
      </c>
      <c r="T12" s="26">
        <v>0</v>
      </c>
    </row>
    <row r="13" spans="2:20" x14ac:dyDescent="0.2">
      <c r="B13" s="4">
        <v>10</v>
      </c>
      <c r="C13" s="4">
        <v>184</v>
      </c>
      <c r="D13" s="12">
        <v>56051.600570000002</v>
      </c>
      <c r="E13" s="7">
        <v>1.7492055900000001E-2</v>
      </c>
      <c r="F13" s="7">
        <v>2</v>
      </c>
      <c r="G13" s="5">
        <v>6</v>
      </c>
      <c r="H13" s="7">
        <v>29688</v>
      </c>
      <c r="I13" s="7">
        <v>0</v>
      </c>
      <c r="J13" s="7">
        <v>640.68494075710566</v>
      </c>
      <c r="K13" s="7">
        <v>0</v>
      </c>
      <c r="L13" s="23">
        <v>955</v>
      </c>
      <c r="M13" s="25">
        <v>48854.910340000002</v>
      </c>
      <c r="N13" s="26">
        <v>0.31390714650000001</v>
      </c>
      <c r="O13" s="26">
        <v>3</v>
      </c>
      <c r="P13" s="27">
        <v>7</v>
      </c>
      <c r="Q13" s="26">
        <v>37048</v>
      </c>
      <c r="R13" s="26">
        <v>0</v>
      </c>
      <c r="S13" s="26">
        <v>688.84858107875812</v>
      </c>
      <c r="T13" s="26">
        <v>0</v>
      </c>
    </row>
    <row r="14" spans="2:20" x14ac:dyDescent="0.2">
      <c r="B14" s="46" t="s">
        <v>3</v>
      </c>
      <c r="C14" s="47"/>
      <c r="D14" s="9">
        <f t="shared" ref="D14:K14" si="0">AVERAGE(D4:D13)</f>
        <v>54117.795408999998</v>
      </c>
      <c r="E14" s="22">
        <f>AVERAGE(E4:E13)</f>
        <v>6.1081385610000004E-2</v>
      </c>
      <c r="F14" s="20">
        <f t="shared" si="0"/>
        <v>2</v>
      </c>
      <c r="G14" s="11">
        <f t="shared" si="0"/>
        <v>6.3</v>
      </c>
      <c r="H14" s="9">
        <f t="shared" si="0"/>
        <v>28154.360000000004</v>
      </c>
      <c r="I14" s="13">
        <f t="shared" si="0"/>
        <v>1.5137500960229793</v>
      </c>
      <c r="J14" s="13">
        <f t="shared" si="0"/>
        <v>697.68806130542214</v>
      </c>
      <c r="K14" s="11">
        <f t="shared" si="0"/>
        <v>0</v>
      </c>
      <c r="L14" s="16"/>
      <c r="M14" s="16">
        <f t="shared" ref="M14:T14" si="1">AVERAGE(M4:M13)</f>
        <v>47552.514402000001</v>
      </c>
      <c r="N14" s="21">
        <f t="shared" si="1"/>
        <v>0.22327318192000001</v>
      </c>
      <c r="O14" s="18">
        <f t="shared" si="1"/>
        <v>2.5</v>
      </c>
      <c r="P14" s="18">
        <f t="shared" si="1"/>
        <v>5.8</v>
      </c>
      <c r="Q14" s="16">
        <f t="shared" si="1"/>
        <v>35507.4</v>
      </c>
      <c r="R14" s="17">
        <f t="shared" si="1"/>
        <v>3.0817408067285754</v>
      </c>
      <c r="S14" s="17">
        <f t="shared" si="1"/>
        <v>883.69656008157403</v>
      </c>
      <c r="T14" s="18">
        <f t="shared" si="1"/>
        <v>0</v>
      </c>
    </row>
  </sheetData>
  <mergeCells count="1">
    <mergeCell ref="B14:C14"/>
  </mergeCells>
  <conditionalFormatting sqref="L1:L1048576">
    <cfRule type="duplicateValues" dxfId="40" priority="1"/>
  </conditionalFormatting>
  <conditionalFormatting sqref="L14">
    <cfRule type="duplicateValues" dxfId="39" priority="2"/>
  </conditionalFormatting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77743F-C517-DD43-98FD-27036BD8C585}">
  <dimension ref="B3:T14"/>
  <sheetViews>
    <sheetView zoomScale="118" zoomScaleNormal="120" workbookViewId="0">
      <selection activeCell="C4" sqref="C4:C13"/>
    </sheetView>
  </sheetViews>
  <sheetFormatPr baseColWidth="10" defaultColWidth="10.83203125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3.33203125" style="1" bestFit="1" customWidth="1"/>
    <col min="8" max="8" width="19.33203125" style="1" bestFit="1" customWidth="1"/>
    <col min="9" max="9" width="12" style="1" bestFit="1" customWidth="1"/>
    <col min="10" max="10" width="18.6640625" style="1" bestFit="1" customWidth="1"/>
    <col min="11" max="11" width="7.6640625" style="1" customWidth="1"/>
    <col min="12" max="12" width="8.6640625" style="1" bestFit="1" customWidth="1"/>
    <col min="13" max="13" width="12.6640625" style="1" bestFit="1" customWidth="1"/>
    <col min="14" max="15" width="10.83203125" style="1"/>
    <col min="16" max="16" width="13.33203125" style="1" bestFit="1" customWidth="1"/>
    <col min="17" max="17" width="19.33203125" style="1" bestFit="1" customWidth="1"/>
    <col min="18" max="18" width="12" style="1" bestFit="1" customWidth="1"/>
    <col min="19" max="19" width="18" style="1" bestFit="1" customWidth="1"/>
    <col min="20" max="16384" width="10.83203125" style="1"/>
  </cols>
  <sheetData>
    <row r="3" spans="2:20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8</v>
      </c>
      <c r="H3" s="8" t="s">
        <v>9</v>
      </c>
      <c r="I3" s="8" t="s">
        <v>11</v>
      </c>
      <c r="J3" s="8" t="s">
        <v>10</v>
      </c>
      <c r="K3" s="8" t="s">
        <v>1</v>
      </c>
      <c r="L3" s="15" t="s">
        <v>13</v>
      </c>
      <c r="M3" s="15" t="s">
        <v>0</v>
      </c>
      <c r="N3" s="15" t="s">
        <v>5</v>
      </c>
      <c r="O3" s="15" t="s">
        <v>12</v>
      </c>
      <c r="P3" s="15" t="s">
        <v>8</v>
      </c>
      <c r="Q3" s="15" t="s">
        <v>9</v>
      </c>
      <c r="R3" s="15" t="s">
        <v>11</v>
      </c>
      <c r="S3" s="15" t="s">
        <v>10</v>
      </c>
      <c r="T3" s="15" t="s">
        <v>1</v>
      </c>
    </row>
    <row r="4" spans="2:20" x14ac:dyDescent="0.2">
      <c r="B4" s="4">
        <v>1</v>
      </c>
      <c r="C4" s="4">
        <v>18</v>
      </c>
      <c r="D4" s="12">
        <v>28059.453750000001</v>
      </c>
      <c r="E4" s="7">
        <v>0.16861200330000001</v>
      </c>
      <c r="F4" s="7">
        <v>3</v>
      </c>
      <c r="G4" s="5">
        <v>1</v>
      </c>
      <c r="H4" s="7">
        <v>27805.8</v>
      </c>
      <c r="I4" s="7">
        <v>0</v>
      </c>
      <c r="J4" s="7">
        <v>790.54560829015895</v>
      </c>
      <c r="K4" s="7">
        <v>0</v>
      </c>
      <c r="L4" s="23">
        <v>173</v>
      </c>
      <c r="M4" s="12">
        <v>24992.71243</v>
      </c>
      <c r="N4" s="7">
        <v>4.7358989716000002</v>
      </c>
      <c r="O4" s="7">
        <v>4</v>
      </c>
      <c r="P4" s="5">
        <v>1</v>
      </c>
      <c r="Q4" s="7">
        <v>54646.400000000023</v>
      </c>
      <c r="R4" s="7">
        <v>0</v>
      </c>
      <c r="S4" s="7">
        <v>963.19520894817765</v>
      </c>
      <c r="T4" s="7">
        <v>0</v>
      </c>
    </row>
    <row r="5" spans="2:20" x14ac:dyDescent="0.2">
      <c r="B5" s="4">
        <v>2</v>
      </c>
      <c r="C5" s="4">
        <v>267</v>
      </c>
      <c r="D5" s="12">
        <v>21092.676869999999</v>
      </c>
      <c r="E5" s="7">
        <v>0.32249593729999998</v>
      </c>
      <c r="F5" s="7">
        <v>3</v>
      </c>
      <c r="G5" s="5">
        <v>0</v>
      </c>
      <c r="H5" s="7">
        <v>15856.8</v>
      </c>
      <c r="I5" s="7">
        <v>0</v>
      </c>
      <c r="J5" s="7">
        <v>759.24820190108244</v>
      </c>
      <c r="K5" s="7">
        <v>0</v>
      </c>
      <c r="L5" s="23">
        <v>195</v>
      </c>
      <c r="M5" s="12">
        <v>29160.414629999999</v>
      </c>
      <c r="N5" s="7">
        <v>16.652752876299999</v>
      </c>
      <c r="O5" s="7">
        <v>4</v>
      </c>
      <c r="P5" s="5">
        <v>1.0000000000323972</v>
      </c>
      <c r="Q5" s="7">
        <v>45934</v>
      </c>
      <c r="R5" s="7">
        <v>0</v>
      </c>
      <c r="S5" s="7">
        <v>1179.224490484522</v>
      </c>
      <c r="T5" s="7">
        <v>0</v>
      </c>
    </row>
    <row r="6" spans="2:20" x14ac:dyDescent="0.2">
      <c r="B6" s="4">
        <v>3</v>
      </c>
      <c r="C6" s="4">
        <v>531</v>
      </c>
      <c r="D6" s="12">
        <v>37352.616349999997</v>
      </c>
      <c r="E6" s="7">
        <v>2.4240016900000001E-2</v>
      </c>
      <c r="F6" s="7">
        <v>3</v>
      </c>
      <c r="G6" s="5">
        <v>1</v>
      </c>
      <c r="H6" s="7">
        <v>25219.4</v>
      </c>
      <c r="I6" s="7">
        <v>7.2602753815578449</v>
      </c>
      <c r="J6" s="7">
        <v>1260.5607349174684</v>
      </c>
      <c r="K6" s="7">
        <v>3.5699999999999998E-3</v>
      </c>
      <c r="L6" s="23">
        <v>529</v>
      </c>
      <c r="M6" s="12">
        <v>23672.9866</v>
      </c>
      <c r="N6" s="7">
        <v>2.0231149196999998</v>
      </c>
      <c r="O6" s="7">
        <v>3</v>
      </c>
      <c r="P6" s="5">
        <v>0</v>
      </c>
      <c r="Q6" s="7">
        <v>44262.199999999961</v>
      </c>
      <c r="R6" s="7">
        <v>0</v>
      </c>
      <c r="S6" s="7">
        <v>1131.9283960202195</v>
      </c>
      <c r="T6" s="7">
        <v>0</v>
      </c>
    </row>
    <row r="7" spans="2:20" x14ac:dyDescent="0.2">
      <c r="B7" s="4">
        <v>4</v>
      </c>
      <c r="C7" s="4">
        <v>592</v>
      </c>
      <c r="D7" s="12">
        <v>42182.919719999998</v>
      </c>
      <c r="E7" s="7">
        <v>5.7106978893000004</v>
      </c>
      <c r="F7" s="7">
        <v>3</v>
      </c>
      <c r="G7" s="5">
        <v>3</v>
      </c>
      <c r="H7" s="7">
        <v>31192</v>
      </c>
      <c r="I7" s="7">
        <v>0</v>
      </c>
      <c r="J7" s="7">
        <v>865.9886385849062</v>
      </c>
      <c r="K7" s="7">
        <v>0</v>
      </c>
      <c r="L7" s="23">
        <v>251</v>
      </c>
      <c r="M7" s="12">
        <v>26957.236440000001</v>
      </c>
      <c r="N7" s="7">
        <v>0.1311349869</v>
      </c>
      <c r="O7" s="7">
        <v>3</v>
      </c>
      <c r="P7" s="5">
        <v>1</v>
      </c>
      <c r="Q7" s="7">
        <v>41297</v>
      </c>
      <c r="R7" s="7">
        <v>0</v>
      </c>
      <c r="S7" s="7">
        <v>1014.00576120863</v>
      </c>
      <c r="T7" s="7">
        <v>0</v>
      </c>
    </row>
    <row r="8" spans="2:20" x14ac:dyDescent="0.2">
      <c r="B8" s="4">
        <v>5</v>
      </c>
      <c r="C8" s="4">
        <v>227</v>
      </c>
      <c r="D8" s="12">
        <v>26328.817070000001</v>
      </c>
      <c r="E8" s="7">
        <v>0.20419287680000001</v>
      </c>
      <c r="F8" s="7">
        <v>3</v>
      </c>
      <c r="G8" s="5">
        <v>1</v>
      </c>
      <c r="H8" s="7">
        <v>19782</v>
      </c>
      <c r="I8" s="7">
        <v>0</v>
      </c>
      <c r="J8" s="7">
        <v>633.91387377054139</v>
      </c>
      <c r="K8" s="7">
        <v>0</v>
      </c>
      <c r="L8" s="23">
        <v>291</v>
      </c>
      <c r="M8" s="12">
        <v>32374.919180000001</v>
      </c>
      <c r="N8" s="7">
        <v>0.10121989250000001</v>
      </c>
      <c r="O8" s="7">
        <v>3</v>
      </c>
      <c r="P8" s="5">
        <v>1</v>
      </c>
      <c r="Q8" s="7">
        <v>45078</v>
      </c>
      <c r="R8" s="7">
        <v>6.4113845111222547</v>
      </c>
      <c r="S8" s="7">
        <v>1279.0033123146122</v>
      </c>
      <c r="T8" s="7">
        <v>0</v>
      </c>
    </row>
    <row r="9" spans="2:20" x14ac:dyDescent="0.2">
      <c r="B9" s="4">
        <v>6</v>
      </c>
      <c r="C9" s="4">
        <v>774</v>
      </c>
      <c r="D9" s="12">
        <v>36127.159659999998</v>
      </c>
      <c r="E9" s="7">
        <v>0.13639998440000001</v>
      </c>
      <c r="F9" s="7">
        <v>3</v>
      </c>
      <c r="G9" s="5">
        <v>0</v>
      </c>
      <c r="H9" s="7">
        <v>20351</v>
      </c>
      <c r="I9" s="7">
        <v>0</v>
      </c>
      <c r="J9" s="7">
        <v>1401.5523805533617</v>
      </c>
      <c r="K9" s="7">
        <v>0</v>
      </c>
      <c r="L9" s="23">
        <v>632</v>
      </c>
      <c r="M9" s="12">
        <v>24897.6351</v>
      </c>
      <c r="N9" s="7">
        <v>0.12747597690000001</v>
      </c>
      <c r="O9" s="7">
        <v>3</v>
      </c>
      <c r="P9" s="5">
        <v>2</v>
      </c>
      <c r="Q9" s="7">
        <v>49769</v>
      </c>
      <c r="R9" s="7">
        <v>0</v>
      </c>
      <c r="S9" s="7">
        <v>704.44179256975269</v>
      </c>
      <c r="T9" s="7">
        <v>0</v>
      </c>
    </row>
    <row r="10" spans="2:20" x14ac:dyDescent="0.2">
      <c r="B10" s="4">
        <v>7</v>
      </c>
      <c r="C10" s="4">
        <v>163</v>
      </c>
      <c r="D10" s="12">
        <v>49630.814230000004</v>
      </c>
      <c r="E10" s="7">
        <v>1.4427778721</v>
      </c>
      <c r="F10" s="7">
        <v>4</v>
      </c>
      <c r="G10" s="5">
        <v>3</v>
      </c>
      <c r="H10" s="7">
        <v>42420</v>
      </c>
      <c r="I10" s="7">
        <v>0</v>
      </c>
      <c r="J10" s="7">
        <v>1130.6839049303542</v>
      </c>
      <c r="K10" s="7">
        <v>0</v>
      </c>
      <c r="L10" s="23">
        <v>978</v>
      </c>
      <c r="M10" s="12">
        <v>25831.67253</v>
      </c>
      <c r="N10" s="7">
        <v>2.9589869975999998</v>
      </c>
      <c r="O10" s="7">
        <v>3</v>
      </c>
      <c r="P10" s="5">
        <v>0</v>
      </c>
      <c r="Q10" s="7">
        <v>38660</v>
      </c>
      <c r="R10" s="7">
        <v>3.7140788101714408</v>
      </c>
      <c r="S10" s="7">
        <v>1195.3435963208308</v>
      </c>
      <c r="T10" s="7">
        <v>0</v>
      </c>
    </row>
    <row r="11" spans="2:20" x14ac:dyDescent="0.2">
      <c r="B11" s="4">
        <v>8</v>
      </c>
      <c r="C11" s="4">
        <v>776</v>
      </c>
      <c r="D11" s="12">
        <v>19317.009740000001</v>
      </c>
      <c r="E11" s="7">
        <v>6.1023950600000001E-2</v>
      </c>
      <c r="F11" s="7">
        <v>3</v>
      </c>
      <c r="G11" s="5">
        <v>0</v>
      </c>
      <c r="H11" s="7">
        <v>17467.599999999977</v>
      </c>
      <c r="I11" s="7">
        <v>0</v>
      </c>
      <c r="J11" s="7">
        <v>603.75595118465242</v>
      </c>
      <c r="K11" s="7">
        <v>0</v>
      </c>
      <c r="L11" s="23">
        <v>623</v>
      </c>
      <c r="M11" s="12">
        <v>32949.11419</v>
      </c>
      <c r="N11" s="7">
        <v>0.33181500429999999</v>
      </c>
      <c r="O11" s="7">
        <v>3</v>
      </c>
      <c r="P11" s="5">
        <v>1</v>
      </c>
      <c r="Q11" s="7">
        <v>40703</v>
      </c>
      <c r="R11" s="7">
        <v>33.185906160520076</v>
      </c>
      <c r="S11" s="7">
        <v>1310.2492726679125</v>
      </c>
      <c r="T11" s="7">
        <v>0</v>
      </c>
    </row>
    <row r="12" spans="2:20" x14ac:dyDescent="0.2">
      <c r="B12" s="4">
        <v>9</v>
      </c>
      <c r="C12" s="4">
        <v>856</v>
      </c>
      <c r="D12" s="12">
        <v>58845.550600000002</v>
      </c>
      <c r="E12" s="7">
        <v>6.7942180633999998</v>
      </c>
      <c r="F12" s="7">
        <v>6</v>
      </c>
      <c r="G12" s="5">
        <v>3</v>
      </c>
      <c r="H12" s="7">
        <v>35981.400000000023</v>
      </c>
      <c r="I12" s="7">
        <v>13.157741781463756</v>
      </c>
      <c r="J12" s="7">
        <v>1305.4062997517517</v>
      </c>
      <c r="K12" s="7">
        <v>0</v>
      </c>
      <c r="L12" s="23">
        <v>275</v>
      </c>
      <c r="M12" s="12">
        <v>25753.2264</v>
      </c>
      <c r="N12" s="7">
        <v>1.2466590405</v>
      </c>
      <c r="O12" s="7">
        <v>3</v>
      </c>
      <c r="P12" s="5">
        <v>2</v>
      </c>
      <c r="Q12" s="7">
        <v>45243</v>
      </c>
      <c r="R12" s="7">
        <v>0</v>
      </c>
      <c r="S12" s="7">
        <v>750.77191543798392</v>
      </c>
      <c r="T12" s="7">
        <v>0</v>
      </c>
    </row>
    <row r="13" spans="2:20" x14ac:dyDescent="0.2">
      <c r="B13" s="4">
        <v>10</v>
      </c>
      <c r="C13" s="4">
        <v>977</v>
      </c>
      <c r="D13" s="12">
        <v>32779.698129999997</v>
      </c>
      <c r="E13" s="7">
        <v>0.94311881070000003</v>
      </c>
      <c r="F13" s="7">
        <v>3</v>
      </c>
      <c r="G13" s="5">
        <v>3</v>
      </c>
      <c r="H13" s="7">
        <v>22884.40000000002</v>
      </c>
      <c r="I13" s="7">
        <v>0</v>
      </c>
      <c r="J13" s="7">
        <v>664.74237374217296</v>
      </c>
      <c r="K13" s="7">
        <v>0</v>
      </c>
      <c r="L13" s="23">
        <v>139</v>
      </c>
      <c r="M13" s="12">
        <v>44193.566019999998</v>
      </c>
      <c r="N13" s="7">
        <v>4.4924261569999997</v>
      </c>
      <c r="O13" s="7">
        <v>6</v>
      </c>
      <c r="P13" s="5">
        <v>6</v>
      </c>
      <c r="Q13" s="7">
        <v>61647.599999999853</v>
      </c>
      <c r="R13" s="7">
        <v>0</v>
      </c>
      <c r="S13" s="7">
        <v>726.85347478175242</v>
      </c>
      <c r="T13" s="7">
        <v>0</v>
      </c>
    </row>
    <row r="14" spans="2:20" x14ac:dyDescent="0.2">
      <c r="B14" s="46" t="s">
        <v>3</v>
      </c>
      <c r="C14" s="47"/>
      <c r="D14" s="9">
        <f t="shared" ref="D14:K14" si="0">AVERAGE(D4:D13)</f>
        <v>35171.671611999998</v>
      </c>
      <c r="E14" s="22">
        <f>AVERAGE(E4:E13)</f>
        <v>1.5807777404799999</v>
      </c>
      <c r="F14" s="20">
        <f t="shared" si="0"/>
        <v>3.4</v>
      </c>
      <c r="G14" s="11">
        <f t="shared" si="0"/>
        <v>1.5</v>
      </c>
      <c r="H14" s="9">
        <f t="shared" si="0"/>
        <v>25896.04</v>
      </c>
      <c r="I14" s="13">
        <f t="shared" si="0"/>
        <v>2.0418017163021602</v>
      </c>
      <c r="J14" s="13">
        <f t="shared" si="0"/>
        <v>941.63979676264501</v>
      </c>
      <c r="K14" s="10">
        <f t="shared" si="0"/>
        <v>3.57E-4</v>
      </c>
      <c r="L14" s="16"/>
      <c r="M14" s="16">
        <f t="shared" ref="M14:T14" si="1">AVERAGE(M4:M13)</f>
        <v>29078.348352000001</v>
      </c>
      <c r="N14" s="21">
        <f t="shared" si="1"/>
        <v>3.28014848233</v>
      </c>
      <c r="O14" s="18">
        <f t="shared" si="1"/>
        <v>3.5</v>
      </c>
      <c r="P14" s="18">
        <f t="shared" si="1"/>
        <v>1.5000000000032396</v>
      </c>
      <c r="Q14" s="16">
        <f t="shared" si="1"/>
        <v>46724.019999999982</v>
      </c>
      <c r="R14" s="17">
        <f t="shared" si="1"/>
        <v>4.3311369481813768</v>
      </c>
      <c r="S14" s="17">
        <f t="shared" si="1"/>
        <v>1025.5017220754394</v>
      </c>
      <c r="T14" s="18">
        <f t="shared" si="1"/>
        <v>0</v>
      </c>
    </row>
  </sheetData>
  <mergeCells count="1">
    <mergeCell ref="B14:C14"/>
  </mergeCells>
  <conditionalFormatting sqref="L1:L1048576">
    <cfRule type="duplicateValues" dxfId="38" priority="1"/>
    <cfRule type="duplicateValues" dxfId="37" priority="2"/>
  </conditionalFormatting>
  <conditionalFormatting sqref="L14">
    <cfRule type="duplicateValues" dxfId="36" priority="3"/>
  </conditionalFormatting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11C97C-F2E4-7647-B918-CB8686531C71}">
  <dimension ref="B3:T14"/>
  <sheetViews>
    <sheetView zoomScale="118" zoomScaleNormal="120" workbookViewId="0">
      <selection activeCell="C4" sqref="C4:C13"/>
    </sheetView>
  </sheetViews>
  <sheetFormatPr baseColWidth="10" defaultColWidth="10.83203125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3.33203125" style="1" bestFit="1" customWidth="1"/>
    <col min="8" max="8" width="19.33203125" style="1" bestFit="1" customWidth="1"/>
    <col min="9" max="9" width="12" style="1" bestFit="1" customWidth="1"/>
    <col min="10" max="10" width="18.6640625" style="1" bestFit="1" customWidth="1"/>
    <col min="11" max="11" width="6.6640625" style="1" bestFit="1" customWidth="1"/>
    <col min="12" max="12" width="8.6640625" style="1" bestFit="1" customWidth="1"/>
    <col min="13" max="13" width="12.6640625" style="1" bestFit="1" customWidth="1"/>
    <col min="14" max="15" width="10.83203125" style="1"/>
    <col min="16" max="16" width="13.33203125" style="1" bestFit="1" customWidth="1"/>
    <col min="17" max="17" width="19.33203125" style="1" bestFit="1" customWidth="1"/>
    <col min="18" max="18" width="12" style="1" bestFit="1" customWidth="1"/>
    <col min="19" max="19" width="18" style="1" bestFit="1" customWidth="1"/>
    <col min="20" max="16384" width="10.83203125" style="1"/>
  </cols>
  <sheetData>
    <row r="3" spans="2:20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8</v>
      </c>
      <c r="H3" s="8" t="s">
        <v>9</v>
      </c>
      <c r="I3" s="8" t="s">
        <v>11</v>
      </c>
      <c r="J3" s="8" t="s">
        <v>10</v>
      </c>
      <c r="K3" s="8" t="s">
        <v>1</v>
      </c>
      <c r="L3" s="15" t="s">
        <v>13</v>
      </c>
      <c r="M3" s="15" t="s">
        <v>0</v>
      </c>
      <c r="N3" s="15" t="s">
        <v>5</v>
      </c>
      <c r="O3" s="15" t="s">
        <v>12</v>
      </c>
      <c r="P3" s="15" t="s">
        <v>8</v>
      </c>
      <c r="Q3" s="15" t="s">
        <v>9</v>
      </c>
      <c r="R3" s="15" t="s">
        <v>11</v>
      </c>
      <c r="S3" s="15" t="s">
        <v>10</v>
      </c>
      <c r="T3" s="15" t="s">
        <v>1</v>
      </c>
    </row>
    <row r="4" spans="2:20" x14ac:dyDescent="0.2">
      <c r="B4" s="4">
        <v>1</v>
      </c>
      <c r="C4" s="4">
        <v>148</v>
      </c>
      <c r="D4" s="12">
        <v>30493.84793</v>
      </c>
      <c r="E4" s="7">
        <v>0.1512880325</v>
      </c>
      <c r="F4" s="7">
        <v>3</v>
      </c>
      <c r="G4" s="5">
        <v>1</v>
      </c>
      <c r="H4" s="7">
        <v>44961.8</v>
      </c>
      <c r="I4" s="7">
        <v>0</v>
      </c>
      <c r="J4" s="7">
        <v>681.97152197505034</v>
      </c>
      <c r="K4" s="7">
        <v>0</v>
      </c>
      <c r="L4" s="23">
        <v>436</v>
      </c>
      <c r="M4" s="12">
        <v>27650.335999999999</v>
      </c>
      <c r="N4" s="7">
        <v>0.14999103550000001</v>
      </c>
      <c r="O4" s="7">
        <v>3</v>
      </c>
      <c r="P4" s="5">
        <v>1</v>
      </c>
      <c r="Q4" s="7">
        <v>53334</v>
      </c>
      <c r="R4" s="7">
        <v>0</v>
      </c>
      <c r="S4" s="7">
        <v>1067.4838804872195</v>
      </c>
      <c r="T4" s="7">
        <v>0</v>
      </c>
    </row>
    <row r="5" spans="2:20" x14ac:dyDescent="0.2">
      <c r="B5" s="4">
        <v>2</v>
      </c>
      <c r="C5" s="4">
        <v>300</v>
      </c>
      <c r="D5" s="12">
        <v>36778.820570000003</v>
      </c>
      <c r="E5" s="7">
        <v>0.16930913929999999</v>
      </c>
      <c r="F5" s="7">
        <v>4</v>
      </c>
      <c r="G5" s="5">
        <v>1</v>
      </c>
      <c r="H5" s="7">
        <v>44815.8</v>
      </c>
      <c r="I5" s="7">
        <v>0</v>
      </c>
      <c r="J5" s="7">
        <v>879.25284427361692</v>
      </c>
      <c r="K5" s="7">
        <v>0</v>
      </c>
      <c r="L5" s="23">
        <v>132</v>
      </c>
      <c r="M5" s="12">
        <v>27334.507989999998</v>
      </c>
      <c r="N5" s="7">
        <v>1.3536918163</v>
      </c>
      <c r="O5" s="7">
        <v>4</v>
      </c>
      <c r="P5" s="5">
        <v>1</v>
      </c>
      <c r="Q5" s="7">
        <v>49716</v>
      </c>
      <c r="R5" s="7">
        <v>0</v>
      </c>
      <c r="S5" s="7">
        <v>1069.9311814935477</v>
      </c>
      <c r="T5" s="7">
        <v>0</v>
      </c>
    </row>
    <row r="6" spans="2:20" x14ac:dyDescent="0.2">
      <c r="B6" s="4">
        <v>3</v>
      </c>
      <c r="C6" s="4">
        <v>306</v>
      </c>
      <c r="D6" s="12">
        <v>62757.898630000003</v>
      </c>
      <c r="E6" s="7">
        <v>1.5223650931999999</v>
      </c>
      <c r="F6" s="7">
        <v>5</v>
      </c>
      <c r="G6" s="5">
        <v>5</v>
      </c>
      <c r="H6" s="7">
        <v>44208</v>
      </c>
      <c r="I6" s="7">
        <v>32.229733040161342</v>
      </c>
      <c r="J6" s="7">
        <v>957.67091710203135</v>
      </c>
      <c r="K6" s="7">
        <v>0</v>
      </c>
      <c r="L6" s="23">
        <v>287</v>
      </c>
      <c r="M6" s="12">
        <v>29311.563890000001</v>
      </c>
      <c r="N6" s="7">
        <v>0.32583093639999999</v>
      </c>
      <c r="O6" s="7">
        <v>4</v>
      </c>
      <c r="P6" s="5">
        <v>1</v>
      </c>
      <c r="Q6" s="7">
        <v>49787</v>
      </c>
      <c r="R6" s="7">
        <v>0</v>
      </c>
      <c r="S6" s="7">
        <v>1163.2675126340207</v>
      </c>
      <c r="T6" s="7">
        <v>0</v>
      </c>
    </row>
    <row r="7" spans="2:20" x14ac:dyDescent="0.2">
      <c r="B7" s="4">
        <v>4</v>
      </c>
      <c r="C7" s="4">
        <v>352</v>
      </c>
      <c r="D7" s="12">
        <v>37060.629379999998</v>
      </c>
      <c r="E7" s="7">
        <v>6.448102E-2</v>
      </c>
      <c r="F7" s="7">
        <v>3</v>
      </c>
      <c r="G7" s="5">
        <v>1</v>
      </c>
      <c r="H7" s="7">
        <v>42130.8</v>
      </c>
      <c r="I7" s="7">
        <v>0</v>
      </c>
      <c r="J7" s="7">
        <v>868.52542620237796</v>
      </c>
      <c r="K7" s="7">
        <v>0</v>
      </c>
      <c r="L7" s="23">
        <v>497</v>
      </c>
      <c r="M7" s="12">
        <v>38003.36823</v>
      </c>
      <c r="N7" s="7">
        <v>7.1392149925000004</v>
      </c>
      <c r="O7" s="7">
        <v>6</v>
      </c>
      <c r="P7" s="5">
        <v>3</v>
      </c>
      <c r="Q7" s="7">
        <v>68565.800000000047</v>
      </c>
      <c r="R7" s="7">
        <v>0</v>
      </c>
      <c r="S7" s="7">
        <v>1095.1728238410974</v>
      </c>
      <c r="T7" s="7">
        <v>0</v>
      </c>
    </row>
    <row r="8" spans="2:20" x14ac:dyDescent="0.2">
      <c r="B8" s="4">
        <v>5</v>
      </c>
      <c r="C8" s="4">
        <v>370</v>
      </c>
      <c r="D8" s="12">
        <v>41601.984420000001</v>
      </c>
      <c r="E8" s="7">
        <v>0.17223191260000001</v>
      </c>
      <c r="F8" s="7">
        <v>3</v>
      </c>
      <c r="G8" s="5">
        <v>3</v>
      </c>
      <c r="H8" s="7">
        <v>36607.800000000003</v>
      </c>
      <c r="I8" s="7">
        <v>0</v>
      </c>
      <c r="J8" s="7">
        <v>682.24912160901079</v>
      </c>
      <c r="K8" s="7">
        <v>0</v>
      </c>
      <c r="L8" s="23">
        <v>424</v>
      </c>
      <c r="M8" s="12">
        <v>39670.415670000002</v>
      </c>
      <c r="N8" s="7">
        <v>3.3269710540999999</v>
      </c>
      <c r="O8" s="7">
        <v>4</v>
      </c>
      <c r="P8" s="5">
        <v>3</v>
      </c>
      <c r="Q8" s="7">
        <v>47318</v>
      </c>
      <c r="R8" s="7">
        <v>0</v>
      </c>
      <c r="S8" s="7">
        <v>1316.851372602184</v>
      </c>
      <c r="T8" s="7">
        <v>0</v>
      </c>
    </row>
    <row r="9" spans="2:20" x14ac:dyDescent="0.2">
      <c r="B9" s="4">
        <v>6</v>
      </c>
      <c r="C9" s="4">
        <v>471</v>
      </c>
      <c r="D9" s="12">
        <v>31235.897000000001</v>
      </c>
      <c r="E9" s="7">
        <v>8.7886810300000007E-2</v>
      </c>
      <c r="F9" s="7">
        <v>3</v>
      </c>
      <c r="G9" s="5">
        <v>2</v>
      </c>
      <c r="H9" s="7">
        <v>42987.8</v>
      </c>
      <c r="I9" s="7">
        <v>0</v>
      </c>
      <c r="J9" s="7">
        <v>665.68162686138123</v>
      </c>
      <c r="K9" s="7">
        <v>0</v>
      </c>
      <c r="L9" s="23">
        <v>844</v>
      </c>
      <c r="M9" s="12">
        <v>50495.398220000003</v>
      </c>
      <c r="N9" s="7">
        <v>9.3312025100000001E-2</v>
      </c>
      <c r="O9" s="7">
        <v>4</v>
      </c>
      <c r="P9" s="5">
        <v>7</v>
      </c>
      <c r="Q9" s="7">
        <v>60827</v>
      </c>
      <c r="R9" s="7">
        <v>0</v>
      </c>
      <c r="S9" s="7">
        <v>755.58180065369095</v>
      </c>
      <c r="T9" s="7">
        <v>0</v>
      </c>
    </row>
    <row r="10" spans="2:20" x14ac:dyDescent="0.2">
      <c r="B10" s="4">
        <v>7</v>
      </c>
      <c r="C10" s="4">
        <v>507</v>
      </c>
      <c r="D10" s="12">
        <v>37344.477709999999</v>
      </c>
      <c r="E10" s="7">
        <v>0.19474005699999999</v>
      </c>
      <c r="F10" s="7">
        <v>3</v>
      </c>
      <c r="G10" s="5">
        <v>2</v>
      </c>
      <c r="H10" s="7">
        <v>35962.199999999997</v>
      </c>
      <c r="I10" s="7">
        <v>0</v>
      </c>
      <c r="J10" s="7">
        <v>832.29890581431505</v>
      </c>
      <c r="K10" s="7">
        <v>0</v>
      </c>
      <c r="L10" s="23">
        <v>486</v>
      </c>
      <c r="M10" s="12">
        <v>33718.823779999999</v>
      </c>
      <c r="N10" s="7">
        <v>10.032382011399999</v>
      </c>
      <c r="O10" s="7">
        <v>4</v>
      </c>
      <c r="P10" s="5">
        <v>2</v>
      </c>
      <c r="Q10" s="7">
        <v>50872.400000000023</v>
      </c>
      <c r="R10" s="7">
        <v>0</v>
      </c>
      <c r="S10" s="7">
        <v>1130.9755303883039</v>
      </c>
      <c r="T10" s="7">
        <v>0</v>
      </c>
    </row>
    <row r="11" spans="2:20" x14ac:dyDescent="0.2">
      <c r="B11" s="4">
        <v>8</v>
      </c>
      <c r="C11" s="4">
        <v>629</v>
      </c>
      <c r="D11" s="12">
        <v>51647.634599999998</v>
      </c>
      <c r="E11" s="7">
        <v>0.2330949306</v>
      </c>
      <c r="F11" s="7">
        <v>4</v>
      </c>
      <c r="G11" s="5">
        <v>3</v>
      </c>
      <c r="H11" s="7">
        <v>41103.199999999997</v>
      </c>
      <c r="I11" s="7">
        <v>0</v>
      </c>
      <c r="J11" s="7">
        <v>818.07394141500629</v>
      </c>
      <c r="K11" s="7">
        <v>0</v>
      </c>
      <c r="L11" s="23">
        <v>332</v>
      </c>
      <c r="M11" s="12">
        <v>29401.372630000002</v>
      </c>
      <c r="N11" s="7">
        <v>6.9453001E-2</v>
      </c>
      <c r="O11" s="7">
        <v>3</v>
      </c>
      <c r="P11" s="5">
        <v>2</v>
      </c>
      <c r="Q11" s="7">
        <v>50018</v>
      </c>
      <c r="R11" s="7">
        <v>0</v>
      </c>
      <c r="S11" s="7">
        <v>922.61310237532348</v>
      </c>
      <c r="T11" s="7">
        <v>0</v>
      </c>
    </row>
    <row r="12" spans="2:20" x14ac:dyDescent="0.2">
      <c r="B12" s="4">
        <v>9</v>
      </c>
      <c r="C12" s="4">
        <v>487</v>
      </c>
      <c r="D12" s="12">
        <v>32667.242689999999</v>
      </c>
      <c r="E12" s="7">
        <v>9.3132018999999996E-2</v>
      </c>
      <c r="F12" s="7">
        <v>3</v>
      </c>
      <c r="G12" s="5">
        <v>0</v>
      </c>
      <c r="H12" s="7">
        <v>36325</v>
      </c>
      <c r="I12" s="7">
        <v>0</v>
      </c>
      <c r="J12" s="7">
        <v>904.15364875567138</v>
      </c>
      <c r="K12" s="7">
        <v>0</v>
      </c>
      <c r="L12" s="23">
        <v>728</v>
      </c>
      <c r="M12" s="12">
        <v>31563.957399999999</v>
      </c>
      <c r="N12" s="7">
        <v>2.3995609283000001</v>
      </c>
      <c r="O12" s="7">
        <v>5</v>
      </c>
      <c r="P12" s="5">
        <v>2</v>
      </c>
      <c r="Q12" s="7">
        <v>52217</v>
      </c>
      <c r="R12" s="7">
        <v>5.6307527914690905</v>
      </c>
      <c r="S12" s="7">
        <v>981.56397055780076</v>
      </c>
      <c r="T12" s="7">
        <v>0</v>
      </c>
    </row>
    <row r="13" spans="2:20" x14ac:dyDescent="0.2">
      <c r="B13" s="4">
        <v>10</v>
      </c>
      <c r="C13" s="4">
        <v>977</v>
      </c>
      <c r="D13" s="12">
        <v>37024.451399999998</v>
      </c>
      <c r="E13" s="7">
        <v>8.1573963200000002E-2</v>
      </c>
      <c r="F13" s="7">
        <v>3</v>
      </c>
      <c r="G13" s="5">
        <v>1</v>
      </c>
      <c r="H13" s="7">
        <v>48010.6</v>
      </c>
      <c r="I13" s="7">
        <v>0</v>
      </c>
      <c r="J13" s="7">
        <v>857.21926149102694</v>
      </c>
      <c r="K13" s="7">
        <v>0</v>
      </c>
      <c r="L13" s="23">
        <v>378</v>
      </c>
      <c r="M13" s="12">
        <v>34891.127350000002</v>
      </c>
      <c r="N13" s="7">
        <v>0.18665790560000001</v>
      </c>
      <c r="O13" s="7">
        <v>4</v>
      </c>
      <c r="P13" s="5">
        <v>2</v>
      </c>
      <c r="Q13" s="7">
        <v>48849</v>
      </c>
      <c r="R13" s="7">
        <v>10.07744551171046</v>
      </c>
      <c r="S13" s="7">
        <v>1150.6254724933751</v>
      </c>
      <c r="T13" s="7">
        <v>0</v>
      </c>
    </row>
    <row r="14" spans="2:20" x14ac:dyDescent="0.2">
      <c r="B14" s="46" t="s">
        <v>3</v>
      </c>
      <c r="C14" s="47"/>
      <c r="D14" s="9">
        <f t="shared" ref="D14:K14" si="0">AVERAGE(D4:D13)</f>
        <v>39861.288432999994</v>
      </c>
      <c r="E14" s="22">
        <f>AVERAGE(E4:E13)</f>
        <v>0.27701029777000002</v>
      </c>
      <c r="F14" s="20">
        <f t="shared" si="0"/>
        <v>3.4</v>
      </c>
      <c r="G14" s="11">
        <f t="shared" si="0"/>
        <v>1.9</v>
      </c>
      <c r="H14" s="9">
        <f t="shared" si="0"/>
        <v>41711.300000000003</v>
      </c>
      <c r="I14" s="13">
        <f t="shared" si="0"/>
        <v>3.2229733040161341</v>
      </c>
      <c r="J14" s="13">
        <f t="shared" si="0"/>
        <v>814.70972154994888</v>
      </c>
      <c r="K14" s="11">
        <f t="shared" si="0"/>
        <v>0</v>
      </c>
      <c r="L14" s="16"/>
      <c r="M14" s="16">
        <f t="shared" ref="M14:T14" si="1">AVERAGE(M4:M13)</f>
        <v>34204.087116000002</v>
      </c>
      <c r="N14" s="21">
        <f t="shared" si="1"/>
        <v>2.5077065706199999</v>
      </c>
      <c r="O14" s="18">
        <f t="shared" si="1"/>
        <v>4.0999999999999996</v>
      </c>
      <c r="P14" s="18">
        <f t="shared" si="1"/>
        <v>2.4</v>
      </c>
      <c r="Q14" s="16">
        <f t="shared" si="1"/>
        <v>53150.420000000006</v>
      </c>
      <c r="R14" s="17">
        <f t="shared" si="1"/>
        <v>1.570819830317955</v>
      </c>
      <c r="S14" s="17">
        <f t="shared" si="1"/>
        <v>1065.4066647526565</v>
      </c>
      <c r="T14" s="18">
        <f t="shared" si="1"/>
        <v>0</v>
      </c>
    </row>
  </sheetData>
  <mergeCells count="1">
    <mergeCell ref="B14:C14"/>
  </mergeCells>
  <conditionalFormatting sqref="L1:L1048576">
    <cfRule type="duplicateValues" dxfId="35" priority="1"/>
  </conditionalFormatting>
  <conditionalFormatting sqref="L14">
    <cfRule type="duplicateValues" dxfId="34" priority="2"/>
  </conditionalFormatting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341D59-D6E8-0046-90C4-1E887146BA8C}">
  <dimension ref="B3:T14"/>
  <sheetViews>
    <sheetView zoomScale="118" zoomScaleNormal="120" workbookViewId="0">
      <selection activeCell="C4" sqref="C4:C13"/>
    </sheetView>
  </sheetViews>
  <sheetFormatPr baseColWidth="10" defaultColWidth="10.83203125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3.33203125" style="1" bestFit="1" customWidth="1"/>
    <col min="8" max="8" width="19.33203125" style="1" bestFit="1" customWidth="1"/>
    <col min="9" max="9" width="12" style="1" bestFit="1" customWidth="1"/>
    <col min="10" max="10" width="18.6640625" style="1" bestFit="1" customWidth="1"/>
    <col min="11" max="11" width="6.6640625" style="1" bestFit="1" customWidth="1"/>
    <col min="12" max="12" width="8.6640625" style="1" bestFit="1" customWidth="1"/>
    <col min="13" max="13" width="12.6640625" style="1" bestFit="1" customWidth="1"/>
    <col min="14" max="15" width="10.83203125" style="1"/>
    <col min="16" max="16" width="13.33203125" style="1" bestFit="1" customWidth="1"/>
    <col min="17" max="17" width="19.33203125" style="1" bestFit="1" customWidth="1"/>
    <col min="18" max="18" width="12" style="1" bestFit="1" customWidth="1"/>
    <col min="19" max="19" width="18" style="1" bestFit="1" customWidth="1"/>
    <col min="20" max="16384" width="10.83203125" style="1"/>
  </cols>
  <sheetData>
    <row r="3" spans="2:20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8</v>
      </c>
      <c r="H3" s="8" t="s">
        <v>9</v>
      </c>
      <c r="I3" s="8" t="s">
        <v>11</v>
      </c>
      <c r="J3" s="8" t="s">
        <v>10</v>
      </c>
      <c r="K3" s="8" t="s">
        <v>1</v>
      </c>
      <c r="L3" s="15" t="s">
        <v>13</v>
      </c>
      <c r="M3" s="15" t="s">
        <v>0</v>
      </c>
      <c r="N3" s="15" t="s">
        <v>5</v>
      </c>
      <c r="O3" s="15" t="s">
        <v>12</v>
      </c>
      <c r="P3" s="15" t="s">
        <v>8</v>
      </c>
      <c r="Q3" s="15" t="s">
        <v>9</v>
      </c>
      <c r="R3" s="15" t="s">
        <v>11</v>
      </c>
      <c r="S3" s="15" t="s">
        <v>10</v>
      </c>
      <c r="T3" s="15" t="s">
        <v>1</v>
      </c>
    </row>
    <row r="4" spans="2:20" x14ac:dyDescent="0.2">
      <c r="B4" s="4">
        <v>1</v>
      </c>
      <c r="C4" s="4">
        <v>10</v>
      </c>
      <c r="D4" s="12">
        <v>70969.846810000003</v>
      </c>
      <c r="E4" s="7">
        <v>8.1142902399999994E-2</v>
      </c>
      <c r="F4" s="7">
        <v>2</v>
      </c>
      <c r="G4" s="5">
        <v>3</v>
      </c>
      <c r="H4" s="7">
        <v>30702.799999999999</v>
      </c>
      <c r="I4" s="7">
        <v>15.97403050551258</v>
      </c>
      <c r="J4" s="7">
        <v>1537.1732766384889</v>
      </c>
      <c r="K4" s="7">
        <v>0</v>
      </c>
      <c r="L4" s="23">
        <v>966</v>
      </c>
      <c r="M4" s="12">
        <v>72208.740390000006</v>
      </c>
      <c r="N4" s="7">
        <v>1.6617908478000001</v>
      </c>
      <c r="O4" s="7">
        <v>3</v>
      </c>
      <c r="P4" s="5">
        <v>7</v>
      </c>
      <c r="Q4" s="7">
        <v>46217</v>
      </c>
      <c r="R4" s="7">
        <v>5.4651461857918937</v>
      </c>
      <c r="S4" s="7">
        <v>1245.813656204004</v>
      </c>
      <c r="T4" s="7">
        <v>0</v>
      </c>
    </row>
    <row r="5" spans="2:20" x14ac:dyDescent="0.2">
      <c r="B5" s="4">
        <v>2</v>
      </c>
      <c r="C5" s="4">
        <v>327</v>
      </c>
      <c r="D5" s="12">
        <v>57211.72148</v>
      </c>
      <c r="E5" s="7">
        <v>9.3211889300000003E-2</v>
      </c>
      <c r="F5" s="7">
        <v>2</v>
      </c>
      <c r="G5" s="5">
        <v>1</v>
      </c>
      <c r="H5" s="7">
        <v>21218.799999999999</v>
      </c>
      <c r="I5" s="7">
        <v>19.218006713455789</v>
      </c>
      <c r="J5" s="7">
        <v>1590.629690499291</v>
      </c>
      <c r="K5" s="7">
        <v>0</v>
      </c>
      <c r="L5" s="23">
        <v>197</v>
      </c>
      <c r="M5" s="12">
        <v>80363.846829999995</v>
      </c>
      <c r="N5" s="7">
        <v>8.2378010750000001</v>
      </c>
      <c r="O5" s="7">
        <v>3</v>
      </c>
      <c r="P5" s="5">
        <v>7</v>
      </c>
      <c r="Q5" s="7">
        <v>40899.800000000047</v>
      </c>
      <c r="R5" s="7">
        <v>30.025042291585155</v>
      </c>
      <c r="S5" s="7">
        <v>1512.475646667624</v>
      </c>
      <c r="T5" s="7">
        <v>0</v>
      </c>
    </row>
    <row r="6" spans="2:20" x14ac:dyDescent="0.2">
      <c r="B6" s="4">
        <v>3</v>
      </c>
      <c r="C6" s="4">
        <v>413</v>
      </c>
      <c r="D6" s="12">
        <v>67863.406789999994</v>
      </c>
      <c r="E6" s="7">
        <v>9.9755048799999996E-2</v>
      </c>
      <c r="F6" s="7">
        <v>2</v>
      </c>
      <c r="G6" s="5">
        <v>1</v>
      </c>
      <c r="H6" s="7">
        <v>23715.400000000027</v>
      </c>
      <c r="I6" s="7">
        <v>13.549832234172149</v>
      </c>
      <c r="J6" s="7">
        <v>1703.4890786934511</v>
      </c>
      <c r="K6" s="7">
        <v>0</v>
      </c>
      <c r="L6" s="23">
        <v>232</v>
      </c>
      <c r="M6" s="12">
        <v>44026.609859999997</v>
      </c>
      <c r="N6" s="7">
        <v>1.0683369637</v>
      </c>
      <c r="O6" s="7">
        <v>2</v>
      </c>
      <c r="P6" s="5">
        <v>2</v>
      </c>
      <c r="Q6" s="7">
        <v>26779.59999999998</v>
      </c>
      <c r="R6" s="7">
        <v>13.621203985528606</v>
      </c>
      <c r="S6" s="7">
        <v>1122.0339817518759</v>
      </c>
      <c r="T6" s="7">
        <v>0</v>
      </c>
    </row>
    <row r="7" spans="2:20" x14ac:dyDescent="0.2">
      <c r="B7" s="4">
        <v>4</v>
      </c>
      <c r="C7" s="4">
        <v>637</v>
      </c>
      <c r="D7" s="12">
        <v>52957.131450000001</v>
      </c>
      <c r="E7" s="7">
        <v>2.6531934699999999E-2</v>
      </c>
      <c r="F7" s="7">
        <v>2</v>
      </c>
      <c r="G7" s="5">
        <v>3</v>
      </c>
      <c r="H7" s="7">
        <v>20173.2</v>
      </c>
      <c r="I7" s="7">
        <v>0</v>
      </c>
      <c r="J7" s="7">
        <v>907.72166205306632</v>
      </c>
      <c r="K7" s="7">
        <v>0</v>
      </c>
      <c r="L7" s="23">
        <v>167</v>
      </c>
      <c r="M7" s="12">
        <v>82765.826249999998</v>
      </c>
      <c r="N7" s="7">
        <v>8.0577239990000002</v>
      </c>
      <c r="O7" s="7">
        <v>3</v>
      </c>
      <c r="P7" s="5">
        <v>9</v>
      </c>
      <c r="Q7" s="7">
        <v>34761.400000000023</v>
      </c>
      <c r="R7" s="7">
        <v>11.5960783259008</v>
      </c>
      <c r="S7" s="7">
        <v>1188.9807636625205</v>
      </c>
      <c r="T7" s="7">
        <v>0</v>
      </c>
    </row>
    <row r="8" spans="2:20" x14ac:dyDescent="0.2">
      <c r="B8" s="4">
        <v>5</v>
      </c>
      <c r="C8" s="4">
        <v>478</v>
      </c>
      <c r="D8" s="12">
        <v>76474.674180000002</v>
      </c>
      <c r="E8" s="7">
        <v>9.3252220153999996</v>
      </c>
      <c r="F8" s="7">
        <v>2</v>
      </c>
      <c r="G8" s="5">
        <v>5.0000015197708905</v>
      </c>
      <c r="H8" s="7">
        <v>23276.2</v>
      </c>
      <c r="I8" s="7">
        <v>0</v>
      </c>
      <c r="J8" s="7">
        <v>1361.1121807684515</v>
      </c>
      <c r="K8" s="7">
        <v>0</v>
      </c>
      <c r="L8" s="23">
        <v>798</v>
      </c>
      <c r="M8" s="12">
        <v>66036.239939999999</v>
      </c>
      <c r="N8" s="7">
        <v>6.3038911819000001</v>
      </c>
      <c r="O8" s="7">
        <v>4</v>
      </c>
      <c r="P8" s="5">
        <v>5</v>
      </c>
      <c r="Q8" s="7">
        <v>46232</v>
      </c>
      <c r="R8" s="7">
        <v>6.6463089326340672</v>
      </c>
      <c r="S8" s="7">
        <v>1315.2175601311003</v>
      </c>
      <c r="T8" s="7">
        <v>0</v>
      </c>
    </row>
    <row r="9" spans="2:20" x14ac:dyDescent="0.2">
      <c r="B9" s="4">
        <v>6</v>
      </c>
      <c r="C9" s="4">
        <v>487</v>
      </c>
      <c r="D9" s="12">
        <v>36822.42452</v>
      </c>
      <c r="E9" s="7">
        <v>0.14999604229999999</v>
      </c>
      <c r="F9" s="7">
        <v>2</v>
      </c>
      <c r="G9" s="5">
        <v>0</v>
      </c>
      <c r="H9" s="7">
        <v>37313</v>
      </c>
      <c r="I9" s="7">
        <v>0</v>
      </c>
      <c r="J9" s="7">
        <v>838.22468124711088</v>
      </c>
      <c r="K9" s="7">
        <v>0</v>
      </c>
      <c r="L9" s="23">
        <v>342</v>
      </c>
      <c r="M9" s="12">
        <v>58649.729209999998</v>
      </c>
      <c r="N9" s="7">
        <v>1.1575858592999999</v>
      </c>
      <c r="O9" s="7">
        <v>3</v>
      </c>
      <c r="P9" s="5">
        <v>2</v>
      </c>
      <c r="Q9" s="7">
        <v>42048</v>
      </c>
      <c r="R9" s="7">
        <v>2.4959446343727296</v>
      </c>
      <c r="S9" s="7">
        <v>1602.3635134088981</v>
      </c>
      <c r="T9" s="7">
        <v>0</v>
      </c>
    </row>
    <row r="10" spans="2:20" x14ac:dyDescent="0.2">
      <c r="B10" s="4">
        <v>7</v>
      </c>
      <c r="C10" s="4">
        <v>501</v>
      </c>
      <c r="D10" s="12">
        <v>76393.016910000006</v>
      </c>
      <c r="E10" s="7">
        <v>0.2487630844</v>
      </c>
      <c r="F10" s="7">
        <v>2</v>
      </c>
      <c r="G10" s="5">
        <v>6</v>
      </c>
      <c r="H10" s="7">
        <v>26891.599999999999</v>
      </c>
      <c r="I10" s="7">
        <v>11.560297053077925</v>
      </c>
      <c r="J10" s="7">
        <v>1367.7720238781928</v>
      </c>
      <c r="K10" s="7">
        <v>0</v>
      </c>
      <c r="L10" s="23">
        <v>413</v>
      </c>
      <c r="M10" s="12">
        <v>57191.476790000001</v>
      </c>
      <c r="N10" s="7">
        <v>9.1896057099999998E-2</v>
      </c>
      <c r="O10" s="7">
        <v>2</v>
      </c>
      <c r="P10" s="5">
        <v>1</v>
      </c>
      <c r="Q10" s="7">
        <v>23716</v>
      </c>
      <c r="R10" s="7">
        <v>13.549832234168404</v>
      </c>
      <c r="S10" s="7">
        <v>1703.4890786934452</v>
      </c>
      <c r="T10" s="7">
        <v>0</v>
      </c>
    </row>
    <row r="11" spans="2:20" x14ac:dyDescent="0.2">
      <c r="B11" s="4">
        <v>8</v>
      </c>
      <c r="C11" s="4">
        <v>668</v>
      </c>
      <c r="D11" s="12">
        <v>53017.304219999998</v>
      </c>
      <c r="E11" s="7">
        <v>1.5701870918</v>
      </c>
      <c r="F11" s="7">
        <v>2</v>
      </c>
      <c r="G11" s="5">
        <v>1.9999999999937295</v>
      </c>
      <c r="H11" s="7">
        <v>25063.799996972069</v>
      </c>
      <c r="I11" s="7">
        <v>0</v>
      </c>
      <c r="J11" s="7">
        <v>1002.631257960473</v>
      </c>
      <c r="K11" s="7">
        <v>0</v>
      </c>
      <c r="L11" s="23">
        <v>927</v>
      </c>
      <c r="M11" s="12">
        <v>61677.178740000003</v>
      </c>
      <c r="N11" s="7">
        <v>19.9090530872</v>
      </c>
      <c r="O11" s="7">
        <v>2</v>
      </c>
      <c r="P11" s="5">
        <v>4</v>
      </c>
      <c r="Q11" s="7">
        <v>32083</v>
      </c>
      <c r="R11" s="7">
        <v>13.964982102450659</v>
      </c>
      <c r="S11" s="7">
        <v>1375.3591322538189</v>
      </c>
      <c r="T11" s="7">
        <v>0</v>
      </c>
    </row>
    <row r="12" spans="2:20" x14ac:dyDescent="0.2">
      <c r="B12" s="4">
        <v>9</v>
      </c>
      <c r="C12" s="4">
        <v>120</v>
      </c>
      <c r="D12" s="12">
        <v>43781.973940000003</v>
      </c>
      <c r="E12" s="7">
        <v>3.3185005199999999E-2</v>
      </c>
      <c r="F12" s="7">
        <v>2</v>
      </c>
      <c r="G12" s="5">
        <v>0</v>
      </c>
      <c r="H12" s="7">
        <v>26844</v>
      </c>
      <c r="I12" s="7">
        <v>0</v>
      </c>
      <c r="J12" s="7">
        <v>1003.5832268790034</v>
      </c>
      <c r="K12" s="7">
        <v>0</v>
      </c>
      <c r="L12" s="23">
        <v>87</v>
      </c>
      <c r="M12" s="12">
        <v>58863.384610000001</v>
      </c>
      <c r="N12" s="7">
        <v>0.1369268894</v>
      </c>
      <c r="O12" s="7">
        <v>2</v>
      </c>
      <c r="P12" s="5">
        <v>1</v>
      </c>
      <c r="Q12" s="7">
        <v>22038</v>
      </c>
      <c r="R12" s="7">
        <v>37.897244570099815</v>
      </c>
      <c r="S12" s="7">
        <v>1725.6429562934079</v>
      </c>
      <c r="T12" s="7">
        <v>0</v>
      </c>
    </row>
    <row r="13" spans="2:20" x14ac:dyDescent="0.2">
      <c r="B13" s="4">
        <v>10</v>
      </c>
      <c r="C13" s="4">
        <v>943</v>
      </c>
      <c r="D13" s="12">
        <v>77626.500650000002</v>
      </c>
      <c r="E13" s="7">
        <v>0.73777103420000001</v>
      </c>
      <c r="F13" s="7">
        <v>2</v>
      </c>
      <c r="G13" s="5">
        <v>7</v>
      </c>
      <c r="H13" s="7">
        <v>32528.400000000001</v>
      </c>
      <c r="I13" s="7">
        <v>2.2758432730813403</v>
      </c>
      <c r="J13" s="7">
        <v>1065.3006977080693</v>
      </c>
      <c r="K13" s="7">
        <v>0</v>
      </c>
      <c r="L13" s="23">
        <v>454</v>
      </c>
      <c r="M13" s="12">
        <v>52394.18593</v>
      </c>
      <c r="N13" s="7">
        <v>19.113831043200001</v>
      </c>
      <c r="O13" s="7">
        <v>3</v>
      </c>
      <c r="P13" s="5">
        <v>2</v>
      </c>
      <c r="Q13" s="7">
        <v>38423.199999999953</v>
      </c>
      <c r="R13" s="7">
        <v>0</v>
      </c>
      <c r="S13" s="7">
        <v>1393.3746105811404</v>
      </c>
      <c r="T13" s="7">
        <v>0</v>
      </c>
    </row>
    <row r="14" spans="2:20" x14ac:dyDescent="0.2">
      <c r="B14" s="46" t="s">
        <v>3</v>
      </c>
      <c r="C14" s="47"/>
      <c r="D14" s="9">
        <f t="shared" ref="D14:K14" si="0">AVERAGE(D4:D13)</f>
        <v>61311.800094999999</v>
      </c>
      <c r="E14" s="22">
        <f>AVERAGE(E4:E13)</f>
        <v>1.23657660485</v>
      </c>
      <c r="F14" s="20">
        <f t="shared" si="0"/>
        <v>2</v>
      </c>
      <c r="G14" s="11">
        <f t="shared" si="0"/>
        <v>2.8000001519764619</v>
      </c>
      <c r="H14" s="9">
        <f t="shared" si="0"/>
        <v>26772.719999697212</v>
      </c>
      <c r="I14" s="13">
        <f t="shared" si="0"/>
        <v>6.2578009779299784</v>
      </c>
      <c r="J14" s="13">
        <f t="shared" si="0"/>
        <v>1237.7637776325598</v>
      </c>
      <c r="K14" s="11">
        <f t="shared" si="0"/>
        <v>0</v>
      </c>
      <c r="L14" s="16"/>
      <c r="M14" s="16">
        <f t="shared" ref="M14:T14" si="1">AVERAGE(M4:M13)</f>
        <v>63417.721854999996</v>
      </c>
      <c r="N14" s="21">
        <f t="shared" si="1"/>
        <v>6.5738837003599997</v>
      </c>
      <c r="O14" s="18">
        <f t="shared" si="1"/>
        <v>2.7</v>
      </c>
      <c r="P14" s="18">
        <f t="shared" si="1"/>
        <v>4</v>
      </c>
      <c r="Q14" s="16">
        <f t="shared" si="1"/>
        <v>35319.800000000003</v>
      </c>
      <c r="R14" s="17">
        <f t="shared" si="1"/>
        <v>13.526178326253213</v>
      </c>
      <c r="S14" s="17">
        <f t="shared" si="1"/>
        <v>1418.4750899647838</v>
      </c>
      <c r="T14" s="18">
        <f t="shared" si="1"/>
        <v>0</v>
      </c>
    </row>
  </sheetData>
  <mergeCells count="1">
    <mergeCell ref="B14:C14"/>
  </mergeCells>
  <conditionalFormatting sqref="L1:L1048576">
    <cfRule type="duplicateValues" dxfId="33" priority="1"/>
  </conditionalFormatting>
  <conditionalFormatting sqref="L14">
    <cfRule type="duplicateValues" dxfId="32" priority="2"/>
  </conditionalFormatting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2165B3-17F5-9C49-B9A1-9B2D33584478}">
  <dimension ref="B3:T14"/>
  <sheetViews>
    <sheetView zoomScale="118" zoomScaleNormal="120" workbookViewId="0">
      <selection activeCell="C4" sqref="C4:C13"/>
    </sheetView>
  </sheetViews>
  <sheetFormatPr baseColWidth="10" defaultColWidth="10.83203125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3.33203125" style="1" bestFit="1" customWidth="1"/>
    <col min="8" max="8" width="19.33203125" style="1" bestFit="1" customWidth="1"/>
    <col min="9" max="9" width="12" style="1" bestFit="1" customWidth="1"/>
    <col min="10" max="10" width="18.6640625" style="1" bestFit="1" customWidth="1"/>
    <col min="11" max="11" width="6.6640625" style="1" bestFit="1" customWidth="1"/>
    <col min="12" max="12" width="8.6640625" style="1" bestFit="1" customWidth="1"/>
    <col min="13" max="13" width="12.6640625" style="1" bestFit="1" customWidth="1"/>
    <col min="14" max="15" width="10.83203125" style="1"/>
    <col min="16" max="16" width="13.33203125" style="1" bestFit="1" customWidth="1"/>
    <col min="17" max="17" width="19.33203125" style="1" bestFit="1" customWidth="1"/>
    <col min="18" max="18" width="12" style="1" bestFit="1" customWidth="1"/>
    <col min="19" max="19" width="18" style="1" bestFit="1" customWidth="1"/>
    <col min="20" max="16384" width="10.83203125" style="1"/>
  </cols>
  <sheetData>
    <row r="3" spans="2:20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8</v>
      </c>
      <c r="H3" s="8" t="s">
        <v>9</v>
      </c>
      <c r="I3" s="8" t="s">
        <v>11</v>
      </c>
      <c r="J3" s="8" t="s">
        <v>10</v>
      </c>
      <c r="K3" s="8" t="s">
        <v>1</v>
      </c>
      <c r="L3" s="15" t="s">
        <v>13</v>
      </c>
      <c r="M3" s="15" t="s">
        <v>0</v>
      </c>
      <c r="N3" s="15" t="s">
        <v>5</v>
      </c>
      <c r="O3" s="15" t="s">
        <v>12</v>
      </c>
      <c r="P3" s="15" t="s">
        <v>8</v>
      </c>
      <c r="Q3" s="15" t="s">
        <v>9</v>
      </c>
      <c r="R3" s="15" t="s">
        <v>11</v>
      </c>
      <c r="S3" s="15" t="s">
        <v>10</v>
      </c>
      <c r="T3" s="15" t="s">
        <v>1</v>
      </c>
    </row>
    <row r="4" spans="2:20" x14ac:dyDescent="0.2">
      <c r="B4" s="4">
        <v>1</v>
      </c>
      <c r="C4" s="4">
        <v>33</v>
      </c>
      <c r="D4" s="12">
        <v>87062.434540000002</v>
      </c>
      <c r="E4" s="7">
        <v>6.8023920099999996E-2</v>
      </c>
      <c r="F4" s="7">
        <v>2</v>
      </c>
      <c r="G4" s="5">
        <v>10</v>
      </c>
      <c r="H4" s="7">
        <v>30634.799999999999</v>
      </c>
      <c r="I4" s="7">
        <v>1.1872388193966343</v>
      </c>
      <c r="J4" s="7">
        <v>873.56858911717927</v>
      </c>
      <c r="K4" s="7">
        <v>0</v>
      </c>
      <c r="L4" s="23">
        <v>30</v>
      </c>
      <c r="M4" s="12">
        <v>70870.885009999998</v>
      </c>
      <c r="N4" s="7">
        <v>0.3162939548</v>
      </c>
      <c r="O4" s="7">
        <v>2</v>
      </c>
      <c r="P4" s="5">
        <v>10</v>
      </c>
      <c r="Q4" s="7">
        <v>32894</v>
      </c>
      <c r="R4" s="7">
        <v>0</v>
      </c>
      <c r="S4" s="7">
        <v>705.86253755788448</v>
      </c>
      <c r="T4" s="7">
        <v>0</v>
      </c>
    </row>
    <row r="5" spans="2:20" x14ac:dyDescent="0.2">
      <c r="B5" s="4">
        <v>2</v>
      </c>
      <c r="C5" s="4">
        <v>290</v>
      </c>
      <c r="D5" s="12">
        <v>82306.333050000001</v>
      </c>
      <c r="E5" s="7">
        <v>0.1456110477</v>
      </c>
      <c r="F5" s="7">
        <v>2</v>
      </c>
      <c r="G5" s="5">
        <v>10</v>
      </c>
      <c r="H5" s="7">
        <v>30988.2</v>
      </c>
      <c r="I5" s="7">
        <v>0</v>
      </c>
      <c r="J5" s="7">
        <v>547.40420979444764</v>
      </c>
      <c r="K5" s="7">
        <v>0</v>
      </c>
      <c r="L5" s="23">
        <v>70</v>
      </c>
      <c r="M5" s="12">
        <v>73325.050080000001</v>
      </c>
      <c r="N5" s="7">
        <v>0.54987597470000005</v>
      </c>
      <c r="O5" s="7">
        <v>3</v>
      </c>
      <c r="P5" s="5">
        <v>11.00000000009797</v>
      </c>
      <c r="Q5" s="7">
        <v>36189</v>
      </c>
      <c r="R5" s="7">
        <v>0</v>
      </c>
      <c r="S5" s="7">
        <v>588.37756574620857</v>
      </c>
      <c r="T5" s="7">
        <v>0</v>
      </c>
    </row>
    <row r="6" spans="2:20" x14ac:dyDescent="0.2">
      <c r="B6" s="4">
        <v>3</v>
      </c>
      <c r="C6" s="4">
        <v>421</v>
      </c>
      <c r="D6" s="12">
        <v>68681.350869999995</v>
      </c>
      <c r="E6" s="7">
        <v>7.3747158100000001E-2</v>
      </c>
      <c r="F6" s="7">
        <v>2</v>
      </c>
      <c r="G6" s="5">
        <v>4</v>
      </c>
      <c r="H6" s="7">
        <v>34691</v>
      </c>
      <c r="I6" s="7">
        <v>0</v>
      </c>
      <c r="J6" s="7">
        <v>968.9744059622102</v>
      </c>
      <c r="K6" s="7">
        <v>0</v>
      </c>
      <c r="L6" s="23">
        <v>580</v>
      </c>
      <c r="M6" s="12">
        <v>63964.609389999998</v>
      </c>
      <c r="N6" s="7">
        <v>0.62905192379999997</v>
      </c>
      <c r="O6" s="7">
        <v>2</v>
      </c>
      <c r="P6" s="5">
        <v>6</v>
      </c>
      <c r="Q6" s="7">
        <v>23839</v>
      </c>
      <c r="R6" s="7">
        <v>0</v>
      </c>
      <c r="S6" s="7">
        <v>1128.7097899285204</v>
      </c>
      <c r="T6" s="7">
        <v>0</v>
      </c>
    </row>
    <row r="7" spans="2:20" x14ac:dyDescent="0.2">
      <c r="B7" s="4">
        <v>4</v>
      </c>
      <c r="C7" s="4">
        <v>190</v>
      </c>
      <c r="D7" s="12">
        <v>87063.524430000005</v>
      </c>
      <c r="E7" s="7">
        <v>7.7802896499999996E-2</v>
      </c>
      <c r="F7" s="7">
        <v>2</v>
      </c>
      <c r="G7" s="5">
        <v>11</v>
      </c>
      <c r="H7" s="7">
        <v>24345.999999999978</v>
      </c>
      <c r="I7" s="7">
        <v>1.7625055000112602</v>
      </c>
      <c r="J7" s="7">
        <v>720.86049545215724</v>
      </c>
      <c r="K7" s="7">
        <v>0</v>
      </c>
      <c r="L7" s="23">
        <v>595</v>
      </c>
      <c r="M7" s="12">
        <v>82355.12917</v>
      </c>
      <c r="N7" s="7">
        <v>5.0132489203999997</v>
      </c>
      <c r="O7" s="7">
        <v>3</v>
      </c>
      <c r="P7" s="5">
        <v>8</v>
      </c>
      <c r="Q7" s="7">
        <v>35353.800000000039</v>
      </c>
      <c r="R7" s="7">
        <v>19.218781377561495</v>
      </c>
      <c r="S7" s="7">
        <v>1373.4812119795401</v>
      </c>
      <c r="T7" s="7">
        <v>0</v>
      </c>
    </row>
    <row r="8" spans="2:20" x14ac:dyDescent="0.2">
      <c r="B8" s="4">
        <v>5</v>
      </c>
      <c r="C8" s="4">
        <v>860</v>
      </c>
      <c r="D8" s="12">
        <v>73509.079150000005</v>
      </c>
      <c r="E8" s="7">
        <v>0.13606786730000001</v>
      </c>
      <c r="F8" s="7">
        <v>2</v>
      </c>
      <c r="G8" s="5">
        <v>7</v>
      </c>
      <c r="H8" s="7">
        <v>31433</v>
      </c>
      <c r="I8" s="7">
        <v>6.2531997594899922</v>
      </c>
      <c r="J8" s="7">
        <v>1064.45362543073</v>
      </c>
      <c r="K8" s="7">
        <v>0</v>
      </c>
      <c r="L8" s="23">
        <v>994</v>
      </c>
      <c r="M8" s="12">
        <v>77251.042440000005</v>
      </c>
      <c r="N8" s="7">
        <v>0.15325903890000001</v>
      </c>
      <c r="O8" s="7">
        <v>2</v>
      </c>
      <c r="P8" s="5">
        <v>9</v>
      </c>
      <c r="Q8" s="7">
        <v>34740</v>
      </c>
      <c r="R8" s="7">
        <v>5.3793947498995749</v>
      </c>
      <c r="S8" s="7">
        <v>983.44682517507147</v>
      </c>
      <c r="T8" s="7">
        <v>0</v>
      </c>
    </row>
    <row r="9" spans="2:20" x14ac:dyDescent="0.2">
      <c r="B9" s="4">
        <v>6</v>
      </c>
      <c r="C9" s="4">
        <v>364</v>
      </c>
      <c r="D9" s="12">
        <v>64898.366379999999</v>
      </c>
      <c r="E9" s="7">
        <v>0.18719792369999999</v>
      </c>
      <c r="F9" s="7">
        <v>2</v>
      </c>
      <c r="G9" s="5">
        <v>6</v>
      </c>
      <c r="H9" s="7">
        <v>23117.599999999999</v>
      </c>
      <c r="I9" s="7">
        <v>26.645776716355375</v>
      </c>
      <c r="J9" s="7">
        <v>1025.9863848033337</v>
      </c>
      <c r="K9" s="7">
        <v>0</v>
      </c>
      <c r="L9" s="23">
        <v>238</v>
      </c>
      <c r="M9" s="12">
        <v>79036.745410000003</v>
      </c>
      <c r="N9" s="7">
        <v>2.9178891182000002</v>
      </c>
      <c r="O9" s="7">
        <v>3</v>
      </c>
      <c r="P9" s="5">
        <v>10</v>
      </c>
      <c r="Q9" s="7">
        <v>34000.599999999977</v>
      </c>
      <c r="R9" s="7">
        <v>0</v>
      </c>
      <c r="S9" s="7">
        <v>994.39420230844144</v>
      </c>
      <c r="T9" s="7">
        <v>0</v>
      </c>
    </row>
    <row r="10" spans="2:20" x14ac:dyDescent="0.2">
      <c r="B10" s="4">
        <v>7</v>
      </c>
      <c r="C10" s="4">
        <v>615</v>
      </c>
      <c r="D10" s="12">
        <v>74492.008300000001</v>
      </c>
      <c r="E10" s="7">
        <v>8.4846973399999998E-2</v>
      </c>
      <c r="F10" s="7">
        <v>2</v>
      </c>
      <c r="G10" s="5">
        <v>6</v>
      </c>
      <c r="H10" s="7">
        <v>23164.799999999999</v>
      </c>
      <c r="I10" s="7">
        <v>0</v>
      </c>
      <c r="J10" s="7">
        <v>1140.2296621754856</v>
      </c>
      <c r="K10" s="7">
        <v>0</v>
      </c>
      <c r="L10" s="23">
        <v>383</v>
      </c>
      <c r="M10" s="12">
        <v>76892.732669999998</v>
      </c>
      <c r="N10" s="7">
        <v>1.0800168513999999</v>
      </c>
      <c r="O10" s="7">
        <v>3</v>
      </c>
      <c r="P10" s="5">
        <v>11.000000001156618</v>
      </c>
      <c r="Q10" s="7">
        <v>32964</v>
      </c>
      <c r="R10" s="7">
        <v>0</v>
      </c>
      <c r="S10" s="7">
        <v>683.10859105350562</v>
      </c>
      <c r="T10" s="7">
        <v>0</v>
      </c>
    </row>
    <row r="11" spans="2:20" x14ac:dyDescent="0.2">
      <c r="B11" s="4">
        <v>8</v>
      </c>
      <c r="C11" s="4">
        <v>413</v>
      </c>
      <c r="D11" s="12">
        <v>93278.067800000004</v>
      </c>
      <c r="E11" s="7">
        <v>1.1842820644000001</v>
      </c>
      <c r="F11" s="7">
        <v>2</v>
      </c>
      <c r="G11" s="5">
        <v>14</v>
      </c>
      <c r="H11" s="7">
        <v>35075</v>
      </c>
      <c r="I11" s="7">
        <v>0</v>
      </c>
      <c r="J11" s="7">
        <v>458.46584026343152</v>
      </c>
      <c r="K11" s="7">
        <v>0</v>
      </c>
      <c r="L11" s="23">
        <v>858</v>
      </c>
      <c r="M11" s="12">
        <v>80711.833859999999</v>
      </c>
      <c r="N11" s="7">
        <v>0.25288295750000001</v>
      </c>
      <c r="O11" s="7">
        <v>2</v>
      </c>
      <c r="P11" s="5">
        <v>9</v>
      </c>
      <c r="Q11" s="7">
        <v>38859</v>
      </c>
      <c r="R11" s="7">
        <v>0</v>
      </c>
      <c r="S11" s="7">
        <v>1158.378507225988</v>
      </c>
      <c r="T11" s="7">
        <v>0</v>
      </c>
    </row>
    <row r="12" spans="2:20" x14ac:dyDescent="0.2">
      <c r="B12" s="4">
        <v>9</v>
      </c>
      <c r="C12" s="4">
        <v>813</v>
      </c>
      <c r="D12" s="12">
        <v>93741.361369999999</v>
      </c>
      <c r="E12" s="7">
        <v>0.46734905240000002</v>
      </c>
      <c r="F12" s="7">
        <v>2</v>
      </c>
      <c r="G12" s="5">
        <v>12</v>
      </c>
      <c r="H12" s="7">
        <v>27503</v>
      </c>
      <c r="I12" s="7">
        <v>2.2619642429636544</v>
      </c>
      <c r="J12" s="7">
        <v>726.20979265953872</v>
      </c>
      <c r="K12" s="7">
        <v>0</v>
      </c>
      <c r="L12" s="23">
        <v>939</v>
      </c>
      <c r="M12" s="12">
        <v>66278.818140000003</v>
      </c>
      <c r="N12" s="7">
        <v>10.112763166400001</v>
      </c>
      <c r="O12" s="7">
        <v>4</v>
      </c>
      <c r="P12" s="5">
        <v>9</v>
      </c>
      <c r="Q12" s="7">
        <v>54600.399999999907</v>
      </c>
      <c r="R12" s="7">
        <v>0</v>
      </c>
      <c r="S12" s="7">
        <v>725.46554957101682</v>
      </c>
      <c r="T12" s="7">
        <v>0</v>
      </c>
    </row>
    <row r="13" spans="2:20" x14ac:dyDescent="0.2">
      <c r="B13" s="4">
        <v>10</v>
      </c>
      <c r="C13" s="4">
        <v>951</v>
      </c>
      <c r="D13" s="12">
        <v>65897.5049</v>
      </c>
      <c r="E13" s="7">
        <v>3.0543088900000001E-2</v>
      </c>
      <c r="F13" s="7">
        <v>2</v>
      </c>
      <c r="G13" s="5">
        <v>6</v>
      </c>
      <c r="H13" s="7">
        <v>27298</v>
      </c>
      <c r="I13" s="7">
        <v>0</v>
      </c>
      <c r="J13" s="7">
        <v>963.15406248711224</v>
      </c>
      <c r="K13" s="7">
        <v>0</v>
      </c>
      <c r="L13" s="23">
        <v>596</v>
      </c>
      <c r="M13" s="12">
        <v>83778.816449999998</v>
      </c>
      <c r="N13" s="7">
        <v>5.5154099464000002</v>
      </c>
      <c r="O13" s="7">
        <v>3</v>
      </c>
      <c r="P13" s="5">
        <v>9</v>
      </c>
      <c r="Q13" s="7">
        <v>49536.6000000001</v>
      </c>
      <c r="R13" s="7">
        <v>17.590921157061917</v>
      </c>
      <c r="S13" s="7">
        <v>1227.9546590876491</v>
      </c>
      <c r="T13" s="7">
        <v>0</v>
      </c>
    </row>
    <row r="14" spans="2:20" x14ac:dyDescent="0.2">
      <c r="B14" s="46" t="s">
        <v>3</v>
      </c>
      <c r="C14" s="47"/>
      <c r="D14" s="9">
        <f t="shared" ref="D14:K14" si="0">AVERAGE(D4:D13)</f>
        <v>79093.003079000002</v>
      </c>
      <c r="E14" s="22">
        <f>AVERAGE(E4:E13)</f>
        <v>0.24554719925000001</v>
      </c>
      <c r="F14" s="20">
        <f t="shared" si="0"/>
        <v>2</v>
      </c>
      <c r="G14" s="11">
        <f t="shared" si="0"/>
        <v>8.6</v>
      </c>
      <c r="H14" s="9">
        <f t="shared" si="0"/>
        <v>28825.139999999996</v>
      </c>
      <c r="I14" s="13">
        <f t="shared" si="0"/>
        <v>3.8110685038216916</v>
      </c>
      <c r="J14" s="13">
        <f t="shared" si="0"/>
        <v>848.93070681456265</v>
      </c>
      <c r="K14" s="11">
        <f t="shared" si="0"/>
        <v>0</v>
      </c>
      <c r="L14" s="16"/>
      <c r="M14" s="16">
        <f t="shared" ref="M14:T14" si="1">AVERAGE(M4:M13)</f>
        <v>75446.566261999993</v>
      </c>
      <c r="N14" s="21">
        <f t="shared" si="1"/>
        <v>2.6540691852499996</v>
      </c>
      <c r="O14" s="18">
        <f t="shared" si="1"/>
        <v>2.7</v>
      </c>
      <c r="P14" s="18">
        <f t="shared" si="1"/>
        <v>9.2000000001254598</v>
      </c>
      <c r="Q14" s="16">
        <f t="shared" si="1"/>
        <v>37297.64</v>
      </c>
      <c r="R14" s="17">
        <f t="shared" si="1"/>
        <v>4.2189097284522985</v>
      </c>
      <c r="S14" s="17">
        <f t="shared" si="1"/>
        <v>956.91794396338264</v>
      </c>
      <c r="T14" s="18">
        <f t="shared" si="1"/>
        <v>0</v>
      </c>
    </row>
  </sheetData>
  <mergeCells count="1">
    <mergeCell ref="B14:C14"/>
  </mergeCells>
  <conditionalFormatting sqref="L1:L1048576">
    <cfRule type="duplicateValues" dxfId="31" priority="1"/>
  </conditionalFormatting>
  <conditionalFormatting sqref="L14">
    <cfRule type="duplicateValues" dxfId="30" priority="2"/>
  </conditionalFormatting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70F629-097C-4B46-BEBF-E68A4378C208}">
  <dimension ref="B3:T14"/>
  <sheetViews>
    <sheetView zoomScale="118" zoomScaleNormal="120" workbookViewId="0">
      <selection activeCell="M7" sqref="M7"/>
    </sheetView>
  </sheetViews>
  <sheetFormatPr baseColWidth="10" defaultColWidth="10.83203125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3.33203125" style="1" bestFit="1" customWidth="1"/>
    <col min="8" max="8" width="19.33203125" style="1" bestFit="1" customWidth="1"/>
    <col min="9" max="9" width="12" style="1" bestFit="1" customWidth="1"/>
    <col min="10" max="10" width="18.6640625" style="1" bestFit="1" customWidth="1"/>
    <col min="11" max="11" width="6.6640625" style="1" bestFit="1" customWidth="1"/>
    <col min="12" max="12" width="8.6640625" style="1" bestFit="1" customWidth="1"/>
    <col min="13" max="13" width="12.6640625" style="1" bestFit="1" customWidth="1"/>
    <col min="14" max="15" width="10.83203125" style="1"/>
    <col min="16" max="16" width="13.33203125" style="1" bestFit="1" customWidth="1"/>
    <col min="17" max="17" width="19.33203125" style="1" bestFit="1" customWidth="1"/>
    <col min="18" max="18" width="12" style="1" bestFit="1" customWidth="1"/>
    <col min="19" max="19" width="18" style="1" bestFit="1" customWidth="1"/>
    <col min="20" max="16384" width="10.83203125" style="1"/>
  </cols>
  <sheetData>
    <row r="3" spans="2:20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8</v>
      </c>
      <c r="H3" s="8" t="s">
        <v>9</v>
      </c>
      <c r="I3" s="8" t="s">
        <v>11</v>
      </c>
      <c r="J3" s="8" t="s">
        <v>10</v>
      </c>
      <c r="K3" s="8" t="s">
        <v>1</v>
      </c>
      <c r="L3" s="15" t="s">
        <v>13</v>
      </c>
      <c r="M3" s="15" t="s">
        <v>0</v>
      </c>
      <c r="N3" s="15" t="s">
        <v>5</v>
      </c>
      <c r="O3" s="15" t="s">
        <v>12</v>
      </c>
      <c r="P3" s="15" t="s">
        <v>8</v>
      </c>
      <c r="Q3" s="15" t="s">
        <v>9</v>
      </c>
      <c r="R3" s="15" t="s">
        <v>11</v>
      </c>
      <c r="S3" s="15" t="s">
        <v>10</v>
      </c>
      <c r="T3" s="15" t="s">
        <v>1</v>
      </c>
    </row>
    <row r="4" spans="2:20" x14ac:dyDescent="0.2">
      <c r="B4" s="4">
        <v>1</v>
      </c>
      <c r="C4" s="4">
        <v>76</v>
      </c>
      <c r="D4" s="12">
        <v>77933.994040000005</v>
      </c>
      <c r="E4" s="7">
        <v>0.83094000820000002</v>
      </c>
      <c r="F4" s="7">
        <v>4</v>
      </c>
      <c r="G4" s="5">
        <v>3</v>
      </c>
      <c r="H4" s="7">
        <v>39699</v>
      </c>
      <c r="I4" s="7">
        <v>9.7799781605203737</v>
      </c>
      <c r="J4" s="7">
        <v>1608.3276765656285</v>
      </c>
      <c r="K4" s="7">
        <v>0</v>
      </c>
      <c r="L4" s="23">
        <v>858</v>
      </c>
      <c r="M4" s="12">
        <v>58536.012260000003</v>
      </c>
      <c r="N4" s="7">
        <v>131.549626112</v>
      </c>
      <c r="O4" s="7">
        <v>4</v>
      </c>
      <c r="P4" s="5">
        <v>2</v>
      </c>
      <c r="Q4" s="7">
        <v>59395.599999999977</v>
      </c>
      <c r="R4" s="7">
        <v>16.50339386816545</v>
      </c>
      <c r="S4" s="7">
        <v>1541.7594961634611</v>
      </c>
      <c r="T4" s="7">
        <v>1.9400000000000001E-3</v>
      </c>
    </row>
    <row r="5" spans="2:20" x14ac:dyDescent="0.2">
      <c r="B5" s="4">
        <v>2</v>
      </c>
      <c r="C5" s="4">
        <v>166</v>
      </c>
      <c r="D5" s="12">
        <v>43341.042630000004</v>
      </c>
      <c r="E5" s="7">
        <v>73.768368959399993</v>
      </c>
      <c r="F5" s="7">
        <v>4</v>
      </c>
      <c r="G5" s="5">
        <v>0</v>
      </c>
      <c r="H5" s="7">
        <v>38747.79999999993</v>
      </c>
      <c r="I5" s="7">
        <v>0</v>
      </c>
      <c r="J5" s="7">
        <v>980.90606496510475</v>
      </c>
      <c r="K5" s="7">
        <v>0</v>
      </c>
      <c r="L5" s="23">
        <v>968</v>
      </c>
      <c r="M5" s="12">
        <v>51277.585579999999</v>
      </c>
      <c r="N5" s="7">
        <v>245.45669698719999</v>
      </c>
      <c r="O5" s="7">
        <v>3</v>
      </c>
      <c r="P5" s="5">
        <v>1.9999999999929976</v>
      </c>
      <c r="Q5" s="7">
        <v>54717</v>
      </c>
      <c r="R5" s="7">
        <v>12.677432249584617</v>
      </c>
      <c r="S5" s="7">
        <v>1310.4561216315792</v>
      </c>
      <c r="T5" s="7">
        <v>0</v>
      </c>
    </row>
    <row r="6" spans="2:20" x14ac:dyDescent="0.2">
      <c r="B6" s="4">
        <v>3</v>
      </c>
      <c r="C6" s="4">
        <v>181</v>
      </c>
      <c r="D6" s="12">
        <v>41082.672290000002</v>
      </c>
      <c r="E6" s="7">
        <v>0.13927102089999999</v>
      </c>
      <c r="F6" s="7">
        <v>3</v>
      </c>
      <c r="G6" s="5">
        <v>0</v>
      </c>
      <c r="H6" s="7">
        <v>27157.8</v>
      </c>
      <c r="I6" s="7">
        <v>0</v>
      </c>
      <c r="J6" s="7">
        <v>939.56396617602013</v>
      </c>
      <c r="K6" s="7">
        <v>0</v>
      </c>
      <c r="L6" s="23">
        <v>454</v>
      </c>
      <c r="M6" s="12">
        <v>44935.861420000001</v>
      </c>
      <c r="N6" s="7">
        <v>99.544778823900003</v>
      </c>
      <c r="O6" s="7">
        <v>4</v>
      </c>
      <c r="P6" s="5">
        <v>2.1813661987835076E-12</v>
      </c>
      <c r="Q6" s="7">
        <v>46553</v>
      </c>
      <c r="R6" s="7">
        <v>3.7046458817754466</v>
      </c>
      <c r="S6" s="7">
        <v>1450.8120783685451</v>
      </c>
      <c r="T6" s="7">
        <v>0</v>
      </c>
    </row>
    <row r="7" spans="2:20" x14ac:dyDescent="0.2">
      <c r="B7" s="4">
        <v>4</v>
      </c>
      <c r="C7" s="4">
        <v>4</v>
      </c>
      <c r="D7" s="12">
        <v>51679.789279999997</v>
      </c>
      <c r="E7" s="7">
        <v>50.693924903899998</v>
      </c>
      <c r="F7" s="7">
        <v>3</v>
      </c>
      <c r="G7" s="5">
        <v>2</v>
      </c>
      <c r="H7" s="7">
        <v>22176</v>
      </c>
      <c r="I7" s="7">
        <v>0</v>
      </c>
      <c r="J7" s="7">
        <v>1056.0146956119513</v>
      </c>
      <c r="K7" s="7">
        <v>0</v>
      </c>
      <c r="L7" s="23">
        <v>627</v>
      </c>
      <c r="M7" s="12">
        <v>49739.054640000002</v>
      </c>
      <c r="N7" s="7">
        <v>51.732166051900002</v>
      </c>
      <c r="O7" s="7">
        <v>4</v>
      </c>
      <c r="P7" s="5">
        <v>2</v>
      </c>
      <c r="Q7" s="7">
        <v>57080</v>
      </c>
      <c r="R7" s="7">
        <v>3.6063448210773368</v>
      </c>
      <c r="S7" s="7">
        <v>1280.4113639848308</v>
      </c>
      <c r="T7" s="7">
        <v>0</v>
      </c>
    </row>
    <row r="8" spans="2:20" x14ac:dyDescent="0.2">
      <c r="B8" s="4">
        <v>5</v>
      </c>
      <c r="C8" s="4">
        <v>122</v>
      </c>
      <c r="D8" s="12">
        <v>45500.06033</v>
      </c>
      <c r="E8" s="7">
        <v>0.74572205540000003</v>
      </c>
      <c r="F8" s="7">
        <v>3</v>
      </c>
      <c r="G8" s="5">
        <v>0</v>
      </c>
      <c r="H8" s="7">
        <v>32834.6</v>
      </c>
      <c r="I8" s="7">
        <v>0</v>
      </c>
      <c r="J8" s="7">
        <v>1002.4854351502082</v>
      </c>
      <c r="K8" s="7">
        <v>0</v>
      </c>
      <c r="L8" s="23">
        <v>188</v>
      </c>
      <c r="M8" s="12">
        <v>52092.231630000002</v>
      </c>
      <c r="N8" s="7">
        <v>6.1049590111000001</v>
      </c>
      <c r="O8" s="7">
        <v>4</v>
      </c>
      <c r="P8" s="5">
        <v>3</v>
      </c>
      <c r="Q8" s="7">
        <v>42040</v>
      </c>
      <c r="R8" s="7">
        <v>18.553042664577518</v>
      </c>
      <c r="S8" s="7">
        <v>1195.9428547585412</v>
      </c>
      <c r="T8" s="7">
        <v>5.8700000000000002E-3</v>
      </c>
    </row>
    <row r="9" spans="2:20" x14ac:dyDescent="0.2">
      <c r="B9" s="4">
        <v>6</v>
      </c>
      <c r="C9" s="4">
        <v>583</v>
      </c>
      <c r="D9" s="12">
        <v>57415.758690000002</v>
      </c>
      <c r="E9" s="7">
        <v>23.839729070699999</v>
      </c>
      <c r="F9" s="7">
        <v>3</v>
      </c>
      <c r="G9" s="5">
        <v>2</v>
      </c>
      <c r="H9" s="7">
        <v>21028</v>
      </c>
      <c r="I9" s="7">
        <v>0</v>
      </c>
      <c r="J9" s="7">
        <v>1185.5418450202017</v>
      </c>
      <c r="K9" s="7">
        <v>0</v>
      </c>
      <c r="L9" s="23">
        <v>224</v>
      </c>
      <c r="M9" s="12">
        <v>38164.822639999999</v>
      </c>
      <c r="N9" s="7">
        <v>33.522799014999997</v>
      </c>
      <c r="O9" s="7">
        <v>3</v>
      </c>
      <c r="P9" s="5">
        <v>1.00000021632124</v>
      </c>
      <c r="Q9" s="7">
        <v>48832</v>
      </c>
      <c r="R9" s="7">
        <v>6.7966910464723096</v>
      </c>
      <c r="S9" s="7">
        <v>1012.0437250947599</v>
      </c>
      <c r="T9" s="7">
        <v>0</v>
      </c>
    </row>
    <row r="10" spans="2:20" x14ac:dyDescent="0.2">
      <c r="B10" s="4">
        <v>7</v>
      </c>
      <c r="C10" s="4">
        <v>810</v>
      </c>
      <c r="D10" s="12">
        <v>57210.02708</v>
      </c>
      <c r="E10" s="7">
        <v>36.246574163399998</v>
      </c>
      <c r="F10" s="7">
        <v>5</v>
      </c>
      <c r="G10" s="5">
        <v>2</v>
      </c>
      <c r="H10" s="7">
        <v>29671.599999999973</v>
      </c>
      <c r="I10" s="7">
        <v>0</v>
      </c>
      <c r="J10" s="7">
        <v>1099.8381775800226</v>
      </c>
      <c r="K10" s="7">
        <v>0</v>
      </c>
      <c r="L10" s="23">
        <v>493</v>
      </c>
      <c r="M10" s="12">
        <v>53295.883029999997</v>
      </c>
      <c r="N10" s="7">
        <v>5.9271259307999999</v>
      </c>
      <c r="O10" s="7">
        <v>4</v>
      </c>
      <c r="P10" s="5">
        <v>1</v>
      </c>
      <c r="Q10" s="7">
        <v>47718</v>
      </c>
      <c r="R10" s="7">
        <v>25.972598588410779</v>
      </c>
      <c r="S10" s="7">
        <v>1563.5178336947183</v>
      </c>
      <c r="T10" s="7">
        <v>0</v>
      </c>
    </row>
    <row r="11" spans="2:20" x14ac:dyDescent="0.2">
      <c r="B11" s="4">
        <v>8</v>
      </c>
      <c r="C11" s="4">
        <v>468</v>
      </c>
      <c r="D11" s="12">
        <v>55717.144999999997</v>
      </c>
      <c r="E11" s="7">
        <v>0.2354941368</v>
      </c>
      <c r="F11" s="7">
        <v>3</v>
      </c>
      <c r="G11" s="5">
        <v>2</v>
      </c>
      <c r="H11" s="7">
        <v>47988.800000000003</v>
      </c>
      <c r="I11" s="7">
        <v>0</v>
      </c>
      <c r="J11" s="7">
        <v>1170.4987921253435</v>
      </c>
      <c r="K11" s="7">
        <v>0</v>
      </c>
      <c r="L11" s="23">
        <v>935</v>
      </c>
      <c r="M11" s="12">
        <v>36635.736100000002</v>
      </c>
      <c r="N11" s="7">
        <v>12.5130469799</v>
      </c>
      <c r="O11" s="7">
        <v>3</v>
      </c>
      <c r="P11" s="5">
        <v>1</v>
      </c>
      <c r="Q11" s="7">
        <v>46752.800000000047</v>
      </c>
      <c r="R11" s="7">
        <v>0</v>
      </c>
      <c r="S11" s="7">
        <v>1025.8455384683216</v>
      </c>
      <c r="T11" s="7">
        <v>0</v>
      </c>
    </row>
    <row r="12" spans="2:20" x14ac:dyDescent="0.2">
      <c r="B12" s="4">
        <v>9</v>
      </c>
      <c r="C12" s="4">
        <v>529</v>
      </c>
      <c r="D12" s="12">
        <v>63471.834029999998</v>
      </c>
      <c r="E12" s="7">
        <v>1.2460019588</v>
      </c>
      <c r="F12" s="7">
        <v>3</v>
      </c>
      <c r="G12" s="5">
        <v>0</v>
      </c>
      <c r="H12" s="7">
        <v>44285</v>
      </c>
      <c r="I12" s="7">
        <v>2.7934551416528239</v>
      </c>
      <c r="J12" s="7">
        <v>1399.9297170282446</v>
      </c>
      <c r="K12" s="7">
        <v>0</v>
      </c>
      <c r="L12" s="23">
        <v>506</v>
      </c>
      <c r="M12" s="12">
        <v>57792.8001</v>
      </c>
      <c r="N12" s="7">
        <v>110.4749560356</v>
      </c>
      <c r="O12" s="7">
        <v>5</v>
      </c>
      <c r="P12" s="5">
        <v>5</v>
      </c>
      <c r="Q12" s="7">
        <v>61973.199999999939</v>
      </c>
      <c r="R12" s="7">
        <v>0</v>
      </c>
      <c r="S12" s="7">
        <v>1057.5314156238067</v>
      </c>
      <c r="T12" s="7">
        <v>8.9800000000000001E-3</v>
      </c>
    </row>
    <row r="13" spans="2:20" x14ac:dyDescent="0.2">
      <c r="B13" s="4">
        <v>10</v>
      </c>
      <c r="C13" s="4">
        <v>5</v>
      </c>
      <c r="D13" s="12">
        <v>54636.396130000001</v>
      </c>
      <c r="E13" s="7">
        <v>6.8858029841999997</v>
      </c>
      <c r="F13" s="7">
        <v>3</v>
      </c>
      <c r="G13" s="5">
        <v>2</v>
      </c>
      <c r="H13" s="7">
        <v>24773.59999999998</v>
      </c>
      <c r="I13" s="7">
        <v>0</v>
      </c>
      <c r="J13" s="7">
        <v>1035.0589825029501</v>
      </c>
      <c r="K13" s="7">
        <v>0</v>
      </c>
      <c r="L13" s="23">
        <v>892</v>
      </c>
      <c r="M13" s="12">
        <v>58686.953500000003</v>
      </c>
      <c r="N13" s="7">
        <v>9.7203970000000001E-2</v>
      </c>
      <c r="O13" s="7">
        <v>3</v>
      </c>
      <c r="P13" s="5">
        <v>4</v>
      </c>
      <c r="Q13" s="7">
        <v>45199</v>
      </c>
      <c r="R13" s="7">
        <v>4.6238995816912531</v>
      </c>
      <c r="S13" s="7">
        <v>1232.2059071816018</v>
      </c>
      <c r="T13" s="7">
        <v>0</v>
      </c>
    </row>
    <row r="14" spans="2:20" x14ac:dyDescent="0.2">
      <c r="B14" s="46" t="s">
        <v>3</v>
      </c>
      <c r="C14" s="47"/>
      <c r="D14" s="9">
        <f t="shared" ref="D14:K14" si="0">AVERAGE(D4:D13)</f>
        <v>54798.871950000015</v>
      </c>
      <c r="E14" s="22">
        <f>AVERAGE(E4:E13)</f>
        <v>19.463182926169999</v>
      </c>
      <c r="F14" s="20">
        <f t="shared" si="0"/>
        <v>3.4</v>
      </c>
      <c r="G14" s="11">
        <f t="shared" si="0"/>
        <v>1.3</v>
      </c>
      <c r="H14" s="9">
        <f t="shared" si="0"/>
        <v>32836.219999999987</v>
      </c>
      <c r="I14" s="13">
        <f t="shared" si="0"/>
        <v>1.2573433302173198</v>
      </c>
      <c r="J14" s="13">
        <f t="shared" si="0"/>
        <v>1147.8165352725675</v>
      </c>
      <c r="K14" s="11">
        <f t="shared" si="0"/>
        <v>0</v>
      </c>
      <c r="L14" s="16"/>
      <c r="M14" s="16">
        <f t="shared" ref="M14:T14" si="1">AVERAGE(M4:M13)</f>
        <v>50115.694089999997</v>
      </c>
      <c r="N14" s="21">
        <f t="shared" si="1"/>
        <v>69.692335891740015</v>
      </c>
      <c r="O14" s="18">
        <f t="shared" si="1"/>
        <v>3.7</v>
      </c>
      <c r="P14" s="18">
        <f t="shared" si="1"/>
        <v>2.1000000216316419</v>
      </c>
      <c r="Q14" s="16">
        <f t="shared" si="1"/>
        <v>51026.06</v>
      </c>
      <c r="R14" s="17">
        <f t="shared" si="1"/>
        <v>9.2438048701754703</v>
      </c>
      <c r="S14" s="17">
        <f t="shared" si="1"/>
        <v>1267.0526334970168</v>
      </c>
      <c r="T14" s="18">
        <f t="shared" si="1"/>
        <v>1.6789999999999999E-3</v>
      </c>
    </row>
  </sheetData>
  <mergeCells count="1">
    <mergeCell ref="B14:C14"/>
  </mergeCells>
  <conditionalFormatting sqref="L1:L1048576">
    <cfRule type="duplicateValues" dxfId="29" priority="1"/>
  </conditionalFormatting>
  <conditionalFormatting sqref="L14">
    <cfRule type="duplicateValues" dxfId="28" priority="2"/>
  </conditionalFormatting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231509-71FF-EA43-9AAA-277FB64A01E8}">
  <dimension ref="B3:T14"/>
  <sheetViews>
    <sheetView topLeftCell="G1" zoomScale="118" zoomScaleNormal="120" workbookViewId="0">
      <selection activeCell="Q15" sqref="Q15"/>
    </sheetView>
  </sheetViews>
  <sheetFormatPr baseColWidth="10" defaultColWidth="10.83203125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3.33203125" style="1" bestFit="1" customWidth="1"/>
    <col min="8" max="8" width="19.33203125" style="1" bestFit="1" customWidth="1"/>
    <col min="9" max="9" width="12" style="1" bestFit="1" customWidth="1"/>
    <col min="10" max="10" width="18.6640625" style="1" bestFit="1" customWidth="1"/>
    <col min="11" max="11" width="6.6640625" style="1" bestFit="1" customWidth="1"/>
    <col min="12" max="12" width="8.6640625" style="1" bestFit="1" customWidth="1"/>
    <col min="13" max="13" width="12.6640625" style="1" bestFit="1" customWidth="1"/>
    <col min="14" max="15" width="10.83203125" style="1"/>
    <col min="16" max="16" width="13.33203125" style="1" bestFit="1" customWidth="1"/>
    <col min="17" max="17" width="19.33203125" style="1" bestFit="1" customWidth="1"/>
    <col min="18" max="18" width="12" style="1" bestFit="1" customWidth="1"/>
    <col min="19" max="19" width="18" style="1" bestFit="1" customWidth="1"/>
    <col min="20" max="16384" width="10.83203125" style="1"/>
  </cols>
  <sheetData>
    <row r="3" spans="2:20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8</v>
      </c>
      <c r="H3" s="8" t="s">
        <v>9</v>
      </c>
      <c r="I3" s="8" t="s">
        <v>11</v>
      </c>
      <c r="J3" s="8" t="s">
        <v>10</v>
      </c>
      <c r="K3" s="8" t="s">
        <v>1</v>
      </c>
      <c r="L3" s="15" t="s">
        <v>13</v>
      </c>
      <c r="M3" s="15" t="s">
        <v>0</v>
      </c>
      <c r="N3" s="15" t="s">
        <v>5</v>
      </c>
      <c r="O3" s="15" t="s">
        <v>12</v>
      </c>
      <c r="P3" s="15" t="s">
        <v>8</v>
      </c>
      <c r="Q3" s="15" t="s">
        <v>9</v>
      </c>
      <c r="R3" s="15" t="s">
        <v>11</v>
      </c>
      <c r="S3" s="15" t="s">
        <v>10</v>
      </c>
      <c r="T3" s="15" t="s">
        <v>1</v>
      </c>
    </row>
    <row r="4" spans="2:20" x14ac:dyDescent="0.2">
      <c r="B4" s="4">
        <v>1</v>
      </c>
      <c r="C4" s="4">
        <v>25</v>
      </c>
      <c r="D4" s="12">
        <v>62785.887289999999</v>
      </c>
      <c r="E4" s="7">
        <v>20.7302150726</v>
      </c>
      <c r="F4" s="7">
        <v>5</v>
      </c>
      <c r="G4" s="5">
        <v>4</v>
      </c>
      <c r="H4" s="7">
        <v>31780</v>
      </c>
      <c r="I4" s="7">
        <v>0</v>
      </c>
      <c r="J4" s="7">
        <v>1044.3215655818944</v>
      </c>
      <c r="K4" s="7">
        <v>0</v>
      </c>
      <c r="L4" s="23">
        <v>43</v>
      </c>
      <c r="M4" s="12">
        <v>44630.433420000001</v>
      </c>
      <c r="N4" s="7">
        <v>8.9286229610000003</v>
      </c>
      <c r="O4" s="7">
        <v>4</v>
      </c>
      <c r="P4" s="5">
        <v>2</v>
      </c>
      <c r="Q4" s="7">
        <v>48814</v>
      </c>
      <c r="R4" s="7">
        <v>27.915016240299519</v>
      </c>
      <c r="S4" s="7">
        <v>1165.0832421896298</v>
      </c>
      <c r="T4" s="7">
        <v>0</v>
      </c>
    </row>
    <row r="5" spans="2:20" x14ac:dyDescent="0.2">
      <c r="B5" s="4">
        <v>2</v>
      </c>
      <c r="C5" s="4">
        <v>376</v>
      </c>
      <c r="D5" s="12">
        <v>57564.83915</v>
      </c>
      <c r="E5" s="7">
        <v>11.0528678894</v>
      </c>
      <c r="F5" s="7">
        <v>4</v>
      </c>
      <c r="G5" s="5">
        <v>1</v>
      </c>
      <c r="H5" s="7">
        <v>42821.400000000023</v>
      </c>
      <c r="I5" s="7">
        <v>0</v>
      </c>
      <c r="J5" s="7">
        <v>1209.1743643131203</v>
      </c>
      <c r="K5" s="7">
        <v>0</v>
      </c>
      <c r="L5" s="23">
        <v>247</v>
      </c>
      <c r="M5" s="12">
        <v>48121.397219999999</v>
      </c>
      <c r="N5" s="7">
        <v>7.4699289798999997</v>
      </c>
      <c r="O5" s="7">
        <v>4</v>
      </c>
      <c r="P5" s="5">
        <v>3</v>
      </c>
      <c r="Q5" s="7">
        <v>46141.599999999969</v>
      </c>
      <c r="R5" s="7">
        <v>0.96641034274299864</v>
      </c>
      <c r="S5" s="7">
        <v>1041.9126905826829</v>
      </c>
      <c r="T5" s="7">
        <v>0</v>
      </c>
    </row>
    <row r="6" spans="2:20" x14ac:dyDescent="0.2">
      <c r="B6" s="4">
        <v>3</v>
      </c>
      <c r="C6" s="4">
        <v>519</v>
      </c>
      <c r="D6" s="12">
        <v>39562.799509999997</v>
      </c>
      <c r="E6" s="7">
        <v>7.0716071128999998</v>
      </c>
      <c r="F6" s="7">
        <v>4</v>
      </c>
      <c r="G6" s="5">
        <v>0</v>
      </c>
      <c r="H6" s="7">
        <v>43303.4</v>
      </c>
      <c r="I6" s="7">
        <v>0</v>
      </c>
      <c r="J6" s="7">
        <v>955.01648459857165</v>
      </c>
      <c r="K6" s="7">
        <v>0</v>
      </c>
      <c r="L6" s="23">
        <v>340</v>
      </c>
      <c r="M6" s="12">
        <v>38067.391649999998</v>
      </c>
      <c r="N6" s="7">
        <v>0.33957505230000001</v>
      </c>
      <c r="O6" s="7">
        <v>3</v>
      </c>
      <c r="P6" s="5">
        <v>0</v>
      </c>
      <c r="Q6" s="7">
        <v>40126</v>
      </c>
      <c r="R6" s="7">
        <v>0</v>
      </c>
      <c r="S6" s="7">
        <v>1220.3506135901637</v>
      </c>
      <c r="T6" s="7">
        <v>0</v>
      </c>
    </row>
    <row r="7" spans="2:20" x14ac:dyDescent="0.2">
      <c r="B7" s="4">
        <v>4</v>
      </c>
      <c r="C7" s="4">
        <v>679</v>
      </c>
      <c r="D7" s="12">
        <v>63872.71243</v>
      </c>
      <c r="E7" s="7">
        <v>5.2907969952</v>
      </c>
      <c r="F7" s="7">
        <v>4</v>
      </c>
      <c r="G7" s="5">
        <v>4</v>
      </c>
      <c r="H7" s="7">
        <v>39440</v>
      </c>
      <c r="I7" s="7">
        <v>0.66445903289077257</v>
      </c>
      <c r="J7" s="7">
        <v>1122.8975522159249</v>
      </c>
      <c r="K7" s="7">
        <v>0</v>
      </c>
      <c r="L7" s="23">
        <v>529</v>
      </c>
      <c r="M7" s="12">
        <v>49279.852010000002</v>
      </c>
      <c r="N7" s="7">
        <v>8.6055140495</v>
      </c>
      <c r="O7" s="7">
        <v>4</v>
      </c>
      <c r="P7" s="5">
        <v>3.0000000000023732</v>
      </c>
      <c r="Q7" s="7">
        <v>65675</v>
      </c>
      <c r="R7" s="7">
        <v>0</v>
      </c>
      <c r="S7" s="7">
        <v>1094.1990754515341</v>
      </c>
      <c r="T7" s="7">
        <v>0</v>
      </c>
    </row>
    <row r="8" spans="2:20" x14ac:dyDescent="0.2">
      <c r="B8" s="4">
        <v>5</v>
      </c>
      <c r="C8" s="4">
        <v>833</v>
      </c>
      <c r="D8" s="12">
        <v>81955.652499999997</v>
      </c>
      <c r="E8" s="7">
        <v>1.5340790749</v>
      </c>
      <c r="F8" s="7">
        <v>3</v>
      </c>
      <c r="G8" s="5">
        <v>4</v>
      </c>
      <c r="H8" s="7">
        <v>48529.2</v>
      </c>
      <c r="I8" s="7">
        <v>19.480488378143441</v>
      </c>
      <c r="J8" s="7">
        <v>1210.6447741059781</v>
      </c>
      <c r="K8" s="7">
        <v>0</v>
      </c>
      <c r="L8" s="23">
        <v>393</v>
      </c>
      <c r="M8" s="12">
        <v>47295.118340000001</v>
      </c>
      <c r="N8" s="7">
        <v>2.7589468955999998</v>
      </c>
      <c r="O8" s="7">
        <v>3</v>
      </c>
      <c r="P8" s="5">
        <v>3</v>
      </c>
      <c r="Q8" s="7">
        <v>50570.199999999953</v>
      </c>
      <c r="R8" s="7">
        <v>0</v>
      </c>
      <c r="S8" s="7">
        <v>998.27381412992918</v>
      </c>
      <c r="T8" s="7">
        <v>0</v>
      </c>
    </row>
    <row r="9" spans="2:20" x14ac:dyDescent="0.2">
      <c r="B9" s="4">
        <v>6</v>
      </c>
      <c r="C9" s="4">
        <v>818</v>
      </c>
      <c r="D9" s="12">
        <v>43898.282809999997</v>
      </c>
      <c r="E9" s="7">
        <v>3.8085639477000002</v>
      </c>
      <c r="F9" s="7">
        <v>4</v>
      </c>
      <c r="G9" s="5">
        <v>2</v>
      </c>
      <c r="H9" s="7">
        <v>34340.400000000001</v>
      </c>
      <c r="I9" s="7">
        <v>0</v>
      </c>
      <c r="J9" s="7">
        <v>857.77277604209451</v>
      </c>
      <c r="K9" s="7">
        <v>0</v>
      </c>
      <c r="L9" s="23">
        <v>830</v>
      </c>
      <c r="M9" s="12">
        <v>52304.328759999997</v>
      </c>
      <c r="N9" s="7">
        <v>7.7080278396999997</v>
      </c>
      <c r="O9" s="7">
        <v>5</v>
      </c>
      <c r="P9" s="5">
        <v>1</v>
      </c>
      <c r="Q9" s="7">
        <v>75134.800000000061</v>
      </c>
      <c r="R9" s="7">
        <v>19.051058491460729</v>
      </c>
      <c r="S9" s="7">
        <v>1475.9685291664671</v>
      </c>
      <c r="T9" s="7">
        <v>0</v>
      </c>
    </row>
    <row r="10" spans="2:20" x14ac:dyDescent="0.2">
      <c r="B10" s="4">
        <v>7</v>
      </c>
      <c r="C10" s="4">
        <v>835</v>
      </c>
      <c r="D10" s="12">
        <v>47443.549449999999</v>
      </c>
      <c r="E10" s="7">
        <v>21.519612073899999</v>
      </c>
      <c r="F10" s="7">
        <v>5</v>
      </c>
      <c r="G10" s="5">
        <v>1</v>
      </c>
      <c r="H10" s="7">
        <v>31037</v>
      </c>
      <c r="I10" s="7">
        <v>0</v>
      </c>
      <c r="J10" s="7">
        <v>1091.3157357652692</v>
      </c>
      <c r="K10" s="7">
        <v>0</v>
      </c>
      <c r="L10" s="23">
        <v>687</v>
      </c>
      <c r="M10" s="12">
        <v>68818.563959999999</v>
      </c>
      <c r="N10" s="7">
        <v>16.377377986900001</v>
      </c>
      <c r="O10" s="7">
        <v>6</v>
      </c>
      <c r="P10" s="5">
        <v>7</v>
      </c>
      <c r="Q10" s="7">
        <v>85241.399999999907</v>
      </c>
      <c r="R10" s="7">
        <v>2.7224073222519563</v>
      </c>
      <c r="S10" s="7">
        <v>1105.4324831802076</v>
      </c>
      <c r="T10" s="7">
        <v>0</v>
      </c>
    </row>
    <row r="11" spans="2:20" x14ac:dyDescent="0.2">
      <c r="B11" s="4">
        <v>8</v>
      </c>
      <c r="C11" s="4">
        <v>897</v>
      </c>
      <c r="D11" s="12">
        <v>63755.098669999999</v>
      </c>
      <c r="E11" s="7">
        <v>5.9802801608999996</v>
      </c>
      <c r="F11" s="7">
        <v>3</v>
      </c>
      <c r="G11" s="5">
        <v>1</v>
      </c>
      <c r="H11" s="7">
        <v>42055.400000000023</v>
      </c>
      <c r="I11" s="7">
        <v>5.3469631811184337</v>
      </c>
      <c r="J11" s="7">
        <v>1309.3016376620833</v>
      </c>
      <c r="K11" s="7">
        <v>0</v>
      </c>
      <c r="L11" s="23">
        <v>730</v>
      </c>
      <c r="M11" s="12">
        <v>45928.55962</v>
      </c>
      <c r="N11" s="7">
        <v>20.407286882400001</v>
      </c>
      <c r="O11" s="7">
        <v>5</v>
      </c>
      <c r="P11" s="5">
        <v>1.0000000419978683</v>
      </c>
      <c r="Q11" s="7">
        <v>63070</v>
      </c>
      <c r="R11" s="7">
        <v>0</v>
      </c>
      <c r="S11" s="7">
        <v>1268.8008461310033</v>
      </c>
      <c r="T11" s="7">
        <v>0</v>
      </c>
    </row>
    <row r="12" spans="2:20" x14ac:dyDescent="0.2">
      <c r="B12" s="4">
        <v>9</v>
      </c>
      <c r="C12" s="4">
        <v>916</v>
      </c>
      <c r="D12" s="12">
        <v>44011.184529999999</v>
      </c>
      <c r="E12" s="7">
        <v>1.0735650063</v>
      </c>
      <c r="F12" s="7">
        <v>3</v>
      </c>
      <c r="G12" s="5">
        <v>1.0000001109011016</v>
      </c>
      <c r="H12" s="7">
        <v>41689.600006653505</v>
      </c>
      <c r="I12" s="7">
        <v>0.20800838295106133</v>
      </c>
      <c r="J12" s="7">
        <v>1098.1709016981047</v>
      </c>
      <c r="K12" s="7">
        <v>0</v>
      </c>
      <c r="L12" s="23">
        <v>41</v>
      </c>
      <c r="M12" s="12">
        <v>71442.88652</v>
      </c>
      <c r="N12" s="7">
        <v>19.407954931300001</v>
      </c>
      <c r="O12" s="7">
        <v>6</v>
      </c>
      <c r="P12" s="5">
        <v>7.0000000000412825</v>
      </c>
      <c r="Q12" s="7">
        <v>85023</v>
      </c>
      <c r="R12" s="7">
        <v>0</v>
      </c>
      <c r="S12" s="7">
        <v>1171.4519507273808</v>
      </c>
      <c r="T12" s="7">
        <v>0</v>
      </c>
    </row>
    <row r="13" spans="2:20" x14ac:dyDescent="0.2">
      <c r="B13" s="4">
        <v>10</v>
      </c>
      <c r="C13" s="4">
        <v>91</v>
      </c>
      <c r="D13" s="12">
        <v>56176.612079999999</v>
      </c>
      <c r="E13" s="7">
        <v>1.3052439689999999</v>
      </c>
      <c r="F13" s="7">
        <v>3</v>
      </c>
      <c r="G13" s="5">
        <v>1</v>
      </c>
      <c r="H13" s="7">
        <v>43802.600000000006</v>
      </c>
      <c r="I13" s="7">
        <v>0</v>
      </c>
      <c r="J13" s="7">
        <v>1078.7532740469517</v>
      </c>
      <c r="K13" s="7">
        <v>0</v>
      </c>
      <c r="L13" s="23">
        <v>814</v>
      </c>
      <c r="M13" s="12">
        <v>45511.153789999997</v>
      </c>
      <c r="N13" s="7">
        <v>7.0254921912999997</v>
      </c>
      <c r="O13" s="7">
        <v>4</v>
      </c>
      <c r="P13" s="5">
        <v>1</v>
      </c>
      <c r="Q13" s="7">
        <v>61442.400000000031</v>
      </c>
      <c r="R13" s="7">
        <v>0</v>
      </c>
      <c r="S13" s="7">
        <v>1374.9405754866207</v>
      </c>
      <c r="T13" s="7">
        <v>0</v>
      </c>
    </row>
    <row r="14" spans="2:20" x14ac:dyDescent="0.2">
      <c r="B14" s="46" t="s">
        <v>3</v>
      </c>
      <c r="C14" s="47"/>
      <c r="D14" s="9">
        <f t="shared" ref="D14:K14" si="0">AVERAGE(D4:D13)</f>
        <v>56102.661841999994</v>
      </c>
      <c r="E14" s="22">
        <f>AVERAGE(E4:E13)</f>
        <v>7.9366831302799996</v>
      </c>
      <c r="F14" s="20">
        <f t="shared" si="0"/>
        <v>3.8</v>
      </c>
      <c r="G14" s="11">
        <f t="shared" si="0"/>
        <v>1.9000000110901101</v>
      </c>
      <c r="H14" s="9">
        <f t="shared" si="0"/>
        <v>39879.900000665359</v>
      </c>
      <c r="I14" s="13">
        <f t="shared" si="0"/>
        <v>2.5699918975103708</v>
      </c>
      <c r="J14" s="13">
        <f t="shared" si="0"/>
        <v>1097.7369066029992</v>
      </c>
      <c r="K14" s="11">
        <f t="shared" si="0"/>
        <v>0</v>
      </c>
      <c r="L14" s="16"/>
      <c r="M14" s="16">
        <f t="shared" ref="M14:T14" si="1">AVERAGE(M4:M13)</f>
        <v>51139.968529000005</v>
      </c>
      <c r="N14" s="21">
        <f t="shared" si="1"/>
        <v>9.9028727769899998</v>
      </c>
      <c r="O14" s="18">
        <f t="shared" si="1"/>
        <v>4.4000000000000004</v>
      </c>
      <c r="P14" s="18">
        <f t="shared" si="1"/>
        <v>2.8000000042041524</v>
      </c>
      <c r="Q14" s="16">
        <f t="shared" si="1"/>
        <v>62123.839999999989</v>
      </c>
      <c r="R14" s="17">
        <f t="shared" si="1"/>
        <v>5.0654892396755198</v>
      </c>
      <c r="S14" s="17">
        <f t="shared" si="1"/>
        <v>1191.6413820635619</v>
      </c>
      <c r="T14" s="18">
        <f t="shared" si="1"/>
        <v>0</v>
      </c>
    </row>
  </sheetData>
  <mergeCells count="1">
    <mergeCell ref="B14:C14"/>
  </mergeCells>
  <conditionalFormatting sqref="L1:L1048576">
    <cfRule type="duplicateValues" dxfId="27" priority="1"/>
  </conditionalFormatting>
  <conditionalFormatting sqref="L14">
    <cfRule type="duplicateValues" dxfId="26" priority="2"/>
  </conditionalFormatting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1B8D74-4DFA-4C42-BEED-19193AABC341}">
  <dimension ref="B3:T17"/>
  <sheetViews>
    <sheetView topLeftCell="C1" zoomScale="117" zoomScaleNormal="120" workbookViewId="0">
      <selection activeCell="M4" sqref="M4:T13"/>
    </sheetView>
  </sheetViews>
  <sheetFormatPr baseColWidth="10" defaultColWidth="10.83203125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3.33203125" style="1" bestFit="1" customWidth="1"/>
    <col min="8" max="8" width="19.33203125" style="1" bestFit="1" customWidth="1"/>
    <col min="9" max="9" width="12" style="1" bestFit="1" customWidth="1"/>
    <col min="10" max="10" width="18.6640625" style="1" bestFit="1" customWidth="1"/>
    <col min="11" max="11" width="6.6640625" style="1" bestFit="1" customWidth="1"/>
    <col min="12" max="12" width="8.6640625" style="1" bestFit="1" customWidth="1"/>
    <col min="13" max="13" width="12.6640625" style="1" bestFit="1" customWidth="1"/>
    <col min="14" max="15" width="10.83203125" style="1"/>
    <col min="16" max="16" width="13.33203125" style="1" bestFit="1" customWidth="1"/>
    <col min="17" max="17" width="19.33203125" style="1" bestFit="1" customWidth="1"/>
    <col min="18" max="18" width="12" style="1" bestFit="1" customWidth="1"/>
    <col min="19" max="19" width="18" style="1" bestFit="1" customWidth="1"/>
    <col min="20" max="16384" width="10.83203125" style="1"/>
  </cols>
  <sheetData>
    <row r="3" spans="2:20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8</v>
      </c>
      <c r="H3" s="8" t="s">
        <v>9</v>
      </c>
      <c r="I3" s="8" t="s">
        <v>11</v>
      </c>
      <c r="J3" s="8" t="s">
        <v>10</v>
      </c>
      <c r="K3" s="8" t="s">
        <v>1</v>
      </c>
      <c r="L3" s="15" t="s">
        <v>13</v>
      </c>
      <c r="M3" s="15" t="s">
        <v>0</v>
      </c>
      <c r="N3" s="15" t="s">
        <v>5</v>
      </c>
      <c r="O3" s="15" t="s">
        <v>12</v>
      </c>
      <c r="P3" s="15" t="s">
        <v>8</v>
      </c>
      <c r="Q3" s="15" t="s">
        <v>9</v>
      </c>
      <c r="R3" s="15" t="s">
        <v>11</v>
      </c>
      <c r="S3" s="15" t="s">
        <v>10</v>
      </c>
      <c r="T3" s="15" t="s">
        <v>1</v>
      </c>
    </row>
    <row r="4" spans="2:20" x14ac:dyDescent="0.2">
      <c r="B4" s="4">
        <v>1</v>
      </c>
      <c r="C4" s="4">
        <v>76</v>
      </c>
      <c r="D4" s="12">
        <v>77933.994040000005</v>
      </c>
      <c r="E4" s="7">
        <v>0.83094000820000002</v>
      </c>
      <c r="F4" s="7">
        <v>4</v>
      </c>
      <c r="G4" s="5">
        <v>3</v>
      </c>
      <c r="H4" s="7">
        <v>39699</v>
      </c>
      <c r="I4" s="7">
        <v>9.7799781605203737</v>
      </c>
      <c r="J4" s="7">
        <v>1608.3276765656285</v>
      </c>
      <c r="K4" s="7">
        <v>0</v>
      </c>
      <c r="L4" s="4">
        <v>76</v>
      </c>
      <c r="M4" s="12">
        <v>63958.883300000001</v>
      </c>
      <c r="N4" s="7">
        <v>1.0320968628</v>
      </c>
      <c r="O4" s="7">
        <v>4</v>
      </c>
      <c r="P4" s="5">
        <v>3</v>
      </c>
      <c r="Q4" s="7">
        <v>52659</v>
      </c>
      <c r="R4" s="7">
        <v>2.5273768134572339</v>
      </c>
      <c r="S4" s="7">
        <v>1537.8658458214791</v>
      </c>
      <c r="T4" s="7">
        <v>0</v>
      </c>
    </row>
    <row r="5" spans="2:20" x14ac:dyDescent="0.2">
      <c r="B5" s="4">
        <v>2</v>
      </c>
      <c r="C5" s="4">
        <v>166</v>
      </c>
      <c r="D5" s="12">
        <v>43341.042630000004</v>
      </c>
      <c r="E5" s="7">
        <v>73.768368959399993</v>
      </c>
      <c r="F5" s="7">
        <v>4</v>
      </c>
      <c r="G5" s="5">
        <v>0</v>
      </c>
      <c r="H5" s="7">
        <v>38747.79999999993</v>
      </c>
      <c r="I5" s="7">
        <v>0</v>
      </c>
      <c r="J5" s="7">
        <v>980.90606496510475</v>
      </c>
      <c r="K5" s="7">
        <v>0</v>
      </c>
      <c r="L5" s="4">
        <v>166</v>
      </c>
      <c r="M5" s="12">
        <v>30350.467079999999</v>
      </c>
      <c r="N5" s="7">
        <v>33.503880977599998</v>
      </c>
      <c r="O5" s="7">
        <v>4</v>
      </c>
      <c r="P5" s="5">
        <v>0</v>
      </c>
      <c r="Q5" s="7">
        <v>51189.399999999907</v>
      </c>
      <c r="R5" s="7">
        <v>0</v>
      </c>
      <c r="S5" s="7">
        <v>938.43859624080096</v>
      </c>
      <c r="T5" s="7">
        <v>0</v>
      </c>
    </row>
    <row r="6" spans="2:20" x14ac:dyDescent="0.2">
      <c r="B6" s="4">
        <v>3</v>
      </c>
      <c r="C6" s="4">
        <v>181</v>
      </c>
      <c r="D6" s="12">
        <v>41082.672290000002</v>
      </c>
      <c r="E6" s="7">
        <v>0.13927102089999999</v>
      </c>
      <c r="F6" s="7">
        <v>3</v>
      </c>
      <c r="G6" s="5">
        <v>0</v>
      </c>
      <c r="H6" s="7">
        <v>27157.8</v>
      </c>
      <c r="I6" s="7">
        <v>0</v>
      </c>
      <c r="J6" s="7">
        <v>939.56396617602013</v>
      </c>
      <c r="K6" s="7">
        <v>0</v>
      </c>
      <c r="L6" s="4">
        <v>181</v>
      </c>
      <c r="M6" s="12">
        <v>28826.82603</v>
      </c>
      <c r="N6" s="7">
        <v>0.12386202809999999</v>
      </c>
      <c r="O6" s="7">
        <v>3</v>
      </c>
      <c r="P6" s="5">
        <v>0</v>
      </c>
      <c r="Q6" s="7">
        <v>47126</v>
      </c>
      <c r="R6" s="7">
        <v>0</v>
      </c>
      <c r="S6" s="7">
        <v>889.29423836271383</v>
      </c>
      <c r="T6" s="7">
        <v>0</v>
      </c>
    </row>
    <row r="7" spans="2:20" x14ac:dyDescent="0.2">
      <c r="B7" s="4">
        <v>4</v>
      </c>
      <c r="C7" s="4">
        <v>4</v>
      </c>
      <c r="D7" s="12">
        <v>51679.789279999997</v>
      </c>
      <c r="E7" s="7">
        <v>50.693924903899998</v>
      </c>
      <c r="F7" s="7">
        <v>3</v>
      </c>
      <c r="G7" s="5">
        <v>2</v>
      </c>
      <c r="H7" s="7">
        <v>22176</v>
      </c>
      <c r="I7" s="7">
        <v>0</v>
      </c>
      <c r="J7" s="7">
        <v>1056.0146956119513</v>
      </c>
      <c r="K7" s="7">
        <v>0</v>
      </c>
      <c r="L7" s="4">
        <v>4</v>
      </c>
      <c r="M7" s="12">
        <v>37048.790840000001</v>
      </c>
      <c r="N7" s="7">
        <v>31.080931901900001</v>
      </c>
      <c r="O7" s="7">
        <v>3</v>
      </c>
      <c r="P7" s="5">
        <v>2</v>
      </c>
      <c r="Q7" s="7">
        <v>34936</v>
      </c>
      <c r="R7" s="7">
        <v>0</v>
      </c>
      <c r="S7" s="7">
        <v>890.47462291240129</v>
      </c>
      <c r="T7" s="7">
        <v>0</v>
      </c>
    </row>
    <row r="8" spans="2:20" x14ac:dyDescent="0.2">
      <c r="B8" s="4">
        <v>5</v>
      </c>
      <c r="C8" s="4">
        <v>122</v>
      </c>
      <c r="D8" s="12">
        <v>45500.06033</v>
      </c>
      <c r="E8" s="7">
        <v>0.74572205540000003</v>
      </c>
      <c r="F8" s="7">
        <v>3</v>
      </c>
      <c r="G8" s="5">
        <v>0</v>
      </c>
      <c r="H8" s="7">
        <v>32834.6</v>
      </c>
      <c r="I8" s="7">
        <v>0</v>
      </c>
      <c r="J8" s="7">
        <v>1002.4854351502082</v>
      </c>
      <c r="K8" s="7">
        <v>0</v>
      </c>
      <c r="L8" s="4">
        <v>122</v>
      </c>
      <c r="M8" s="12">
        <v>27724.134829999999</v>
      </c>
      <c r="N8" s="7">
        <v>2.0435779095000002</v>
      </c>
      <c r="O8" s="7">
        <v>3</v>
      </c>
      <c r="P8" s="5">
        <v>0</v>
      </c>
      <c r="Q8" s="7">
        <v>45506.599999999977</v>
      </c>
      <c r="R8" s="7">
        <v>0</v>
      </c>
      <c r="S8" s="7">
        <v>876.86277021574995</v>
      </c>
      <c r="T8" s="7">
        <v>0</v>
      </c>
    </row>
    <row r="9" spans="2:20" x14ac:dyDescent="0.2">
      <c r="B9" s="4">
        <v>6</v>
      </c>
      <c r="C9" s="4">
        <v>583</v>
      </c>
      <c r="D9" s="12">
        <v>57415.758690000002</v>
      </c>
      <c r="E9" s="7">
        <v>23.839729070699999</v>
      </c>
      <c r="F9" s="7">
        <v>3</v>
      </c>
      <c r="G9" s="5">
        <v>2</v>
      </c>
      <c r="H9" s="7">
        <v>21028</v>
      </c>
      <c r="I9" s="7">
        <v>0</v>
      </c>
      <c r="J9" s="7">
        <v>1185.5418450202017</v>
      </c>
      <c r="K9" s="7">
        <v>0</v>
      </c>
      <c r="L9" s="4">
        <v>583</v>
      </c>
      <c r="M9" s="12">
        <v>43218.333200000001</v>
      </c>
      <c r="N9" s="7">
        <v>53.933277130100002</v>
      </c>
      <c r="O9" s="7">
        <v>3</v>
      </c>
      <c r="P9" s="5">
        <v>2</v>
      </c>
      <c r="Q9" s="7">
        <v>39054.400000000023</v>
      </c>
      <c r="R9" s="7">
        <v>0</v>
      </c>
      <c r="S9" s="7">
        <v>1045.3255342642251</v>
      </c>
      <c r="T9" s="7">
        <v>0</v>
      </c>
    </row>
    <row r="10" spans="2:20" x14ac:dyDescent="0.2">
      <c r="B10" s="4">
        <v>7</v>
      </c>
      <c r="C10" s="4">
        <v>810</v>
      </c>
      <c r="D10" s="12">
        <v>57210.02708</v>
      </c>
      <c r="E10" s="7">
        <v>36.246574163399998</v>
      </c>
      <c r="F10" s="7">
        <v>5</v>
      </c>
      <c r="G10" s="5">
        <v>2</v>
      </c>
      <c r="H10" s="7">
        <v>29671.599999999973</v>
      </c>
      <c r="I10" s="7">
        <v>0</v>
      </c>
      <c r="J10" s="7">
        <v>1099.8381775800226</v>
      </c>
      <c r="K10" s="7">
        <v>0</v>
      </c>
      <c r="L10" s="4">
        <v>810</v>
      </c>
      <c r="M10" s="12">
        <v>41131.803269999997</v>
      </c>
      <c r="N10" s="7">
        <v>245.67706489560001</v>
      </c>
      <c r="O10" s="7">
        <v>5</v>
      </c>
      <c r="P10" s="5">
        <v>2</v>
      </c>
      <c r="Q10" s="7">
        <v>50414</v>
      </c>
      <c r="R10" s="7">
        <v>0</v>
      </c>
      <c r="S10" s="7">
        <v>1002.335720561398</v>
      </c>
      <c r="T10" s="7">
        <v>3.8500000000000001E-3</v>
      </c>
    </row>
    <row r="11" spans="2:20" x14ac:dyDescent="0.2">
      <c r="B11" s="4">
        <v>8</v>
      </c>
      <c r="C11" s="4">
        <v>468</v>
      </c>
      <c r="D11" s="12">
        <v>55717.144999999997</v>
      </c>
      <c r="E11" s="7">
        <v>0.2354941368</v>
      </c>
      <c r="F11" s="7">
        <v>3</v>
      </c>
      <c r="G11" s="5">
        <v>2</v>
      </c>
      <c r="H11" s="7">
        <v>47988.800000000003</v>
      </c>
      <c r="I11" s="7">
        <v>0</v>
      </c>
      <c r="J11" s="7">
        <v>1170.4987921253435</v>
      </c>
      <c r="K11" s="7">
        <v>0</v>
      </c>
      <c r="L11" s="4">
        <v>468</v>
      </c>
      <c r="M11" s="12">
        <v>46119.385000000002</v>
      </c>
      <c r="N11" s="7">
        <v>0.40817809100000002</v>
      </c>
      <c r="O11" s="7">
        <v>3</v>
      </c>
      <c r="P11" s="5">
        <v>2</v>
      </c>
      <c r="Q11" s="7">
        <v>47989</v>
      </c>
      <c r="R11" s="7">
        <v>0</v>
      </c>
      <c r="S11" s="7">
        <v>1170.498792125343</v>
      </c>
      <c r="T11" s="7">
        <v>0</v>
      </c>
    </row>
    <row r="12" spans="2:20" x14ac:dyDescent="0.2">
      <c r="B12" s="4">
        <v>9</v>
      </c>
      <c r="C12" s="4">
        <v>529</v>
      </c>
      <c r="D12" s="12">
        <v>63471.834029999998</v>
      </c>
      <c r="E12" s="7">
        <v>1.2460019588</v>
      </c>
      <c r="F12" s="7">
        <v>3</v>
      </c>
      <c r="G12" s="5">
        <v>0</v>
      </c>
      <c r="H12" s="7">
        <v>44285</v>
      </c>
      <c r="I12" s="7">
        <v>2.7934551416528239</v>
      </c>
      <c r="J12" s="7">
        <v>1399.9297170282446</v>
      </c>
      <c r="K12" s="7">
        <v>0</v>
      </c>
      <c r="L12" s="4">
        <v>529</v>
      </c>
      <c r="M12" s="12">
        <v>43543.584029999998</v>
      </c>
      <c r="N12" s="7">
        <v>1.3786280154999999</v>
      </c>
      <c r="O12" s="7">
        <v>3</v>
      </c>
      <c r="P12" s="5">
        <v>0</v>
      </c>
      <c r="Q12" s="7">
        <v>44285</v>
      </c>
      <c r="R12" s="7">
        <v>2.7934551417191265</v>
      </c>
      <c r="S12" s="7">
        <v>1399.9297170289708</v>
      </c>
      <c r="T12" s="7">
        <v>0</v>
      </c>
    </row>
    <row r="13" spans="2:20" x14ac:dyDescent="0.2">
      <c r="B13" s="4">
        <v>10</v>
      </c>
      <c r="C13" s="4">
        <v>5</v>
      </c>
      <c r="D13" s="12">
        <v>54636.396130000001</v>
      </c>
      <c r="E13" s="7">
        <v>6.8858029841999997</v>
      </c>
      <c r="F13" s="7">
        <v>3</v>
      </c>
      <c r="G13" s="5">
        <v>2</v>
      </c>
      <c r="H13" s="7">
        <v>24773.59999999998</v>
      </c>
      <c r="I13" s="7">
        <v>0</v>
      </c>
      <c r="J13" s="7">
        <v>1035.0589825029501</v>
      </c>
      <c r="K13" s="7">
        <v>0</v>
      </c>
      <c r="L13" s="4">
        <v>5</v>
      </c>
      <c r="M13" s="12">
        <v>36989.23646</v>
      </c>
      <c r="N13" s="7">
        <v>6.877974987</v>
      </c>
      <c r="O13" s="7">
        <v>3</v>
      </c>
      <c r="P13" s="5">
        <v>2</v>
      </c>
      <c r="Q13" s="7">
        <v>41808.79999999993</v>
      </c>
      <c r="R13" s="7">
        <v>0</v>
      </c>
      <c r="S13" s="7">
        <v>824.02420320631938</v>
      </c>
      <c r="T13" s="7">
        <v>0</v>
      </c>
    </row>
    <row r="14" spans="2:20" x14ac:dyDescent="0.2">
      <c r="B14" s="46" t="s">
        <v>3</v>
      </c>
      <c r="C14" s="47"/>
      <c r="D14" s="9">
        <f t="shared" ref="D14:K14" si="0">AVERAGE(D4:D13)</f>
        <v>54798.871950000015</v>
      </c>
      <c r="E14" s="22">
        <f>AVERAGE(E4:E13)</f>
        <v>19.463182926169999</v>
      </c>
      <c r="F14" s="20">
        <f t="shared" si="0"/>
        <v>3.4</v>
      </c>
      <c r="G14" s="11">
        <f t="shared" si="0"/>
        <v>1.3</v>
      </c>
      <c r="H14" s="9">
        <f t="shared" si="0"/>
        <v>32836.219999999987</v>
      </c>
      <c r="I14" s="13">
        <f t="shared" si="0"/>
        <v>1.2573433302173198</v>
      </c>
      <c r="J14" s="13">
        <f t="shared" si="0"/>
        <v>1147.8165352725675</v>
      </c>
      <c r="K14" s="11">
        <f t="shared" si="0"/>
        <v>0</v>
      </c>
      <c r="L14" s="16"/>
      <c r="M14" s="16">
        <f t="shared" ref="M14:T14" si="1">AVERAGE(M4:M13)</f>
        <v>39891.144403999991</v>
      </c>
      <c r="N14" s="21">
        <f t="shared" si="1"/>
        <v>37.605947279910012</v>
      </c>
      <c r="O14" s="18">
        <f t="shared" si="1"/>
        <v>3.4</v>
      </c>
      <c r="P14" s="18">
        <f t="shared" si="1"/>
        <v>1.3</v>
      </c>
      <c r="Q14" s="16">
        <f t="shared" si="1"/>
        <v>45496.819999999985</v>
      </c>
      <c r="R14" s="17">
        <f t="shared" si="1"/>
        <v>0.53208319551763605</v>
      </c>
      <c r="S14" s="17">
        <f t="shared" si="1"/>
        <v>1057.5050040739402</v>
      </c>
      <c r="T14" s="18">
        <f t="shared" si="1"/>
        <v>3.8500000000000003E-4</v>
      </c>
    </row>
    <row r="15" spans="2:20" x14ac:dyDescent="0.2">
      <c r="D15" s="2"/>
      <c r="E15" s="3"/>
      <c r="F15" s="3"/>
      <c r="G15" s="3"/>
      <c r="H15" s="3"/>
      <c r="I15" s="3"/>
      <c r="J15" s="3"/>
    </row>
    <row r="16" spans="2:20" x14ac:dyDescent="0.2">
      <c r="D16" s="2"/>
    </row>
    <row r="17" spans="4:4" x14ac:dyDescent="0.2">
      <c r="D17" s="2"/>
    </row>
  </sheetData>
  <mergeCells count="1">
    <mergeCell ref="B14:C14"/>
  </mergeCells>
  <conditionalFormatting sqref="L1:L3 L14:L1048576">
    <cfRule type="duplicateValues" dxfId="25" priority="1"/>
  </conditionalFormatting>
  <conditionalFormatting sqref="L14">
    <cfRule type="duplicateValues" dxfId="24" priority="2"/>
  </conditionalFormatting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F6186B-A921-934E-86CB-CA4CA5CCE420}">
  <dimension ref="B3:T17"/>
  <sheetViews>
    <sheetView zoomScale="118" zoomScaleNormal="120" workbookViewId="0">
      <selection activeCell="J23" sqref="J23"/>
    </sheetView>
  </sheetViews>
  <sheetFormatPr baseColWidth="10" defaultColWidth="10.83203125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3.33203125" style="1" bestFit="1" customWidth="1"/>
    <col min="8" max="8" width="19.33203125" style="1" bestFit="1" customWidth="1"/>
    <col min="9" max="9" width="12" style="1" bestFit="1" customWidth="1"/>
    <col min="10" max="10" width="18.6640625" style="1" bestFit="1" customWidth="1"/>
    <col min="11" max="11" width="6.6640625" style="1" bestFit="1" customWidth="1"/>
    <col min="12" max="12" width="8.6640625" style="1" bestFit="1" customWidth="1"/>
    <col min="13" max="13" width="12.6640625" style="1" bestFit="1" customWidth="1"/>
    <col min="14" max="15" width="10.83203125" style="1"/>
    <col min="16" max="16" width="13.33203125" style="1" bestFit="1" customWidth="1"/>
    <col min="17" max="17" width="19.33203125" style="1" bestFit="1" customWidth="1"/>
    <col min="18" max="18" width="12" style="1" bestFit="1" customWidth="1"/>
    <col min="19" max="19" width="18" style="1" bestFit="1" customWidth="1"/>
    <col min="20" max="16384" width="10.83203125" style="1"/>
  </cols>
  <sheetData>
    <row r="3" spans="2:20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8</v>
      </c>
      <c r="H3" s="8" t="s">
        <v>9</v>
      </c>
      <c r="I3" s="8" t="s">
        <v>11</v>
      </c>
      <c r="J3" s="8" t="s">
        <v>10</v>
      </c>
      <c r="K3" s="8" t="s">
        <v>1</v>
      </c>
      <c r="L3" s="15" t="s">
        <v>13</v>
      </c>
      <c r="M3" s="15" t="s">
        <v>0</v>
      </c>
      <c r="N3" s="15" t="s">
        <v>5</v>
      </c>
      <c r="O3" s="15" t="s">
        <v>12</v>
      </c>
      <c r="P3" s="15" t="s">
        <v>8</v>
      </c>
      <c r="Q3" s="15" t="s">
        <v>9</v>
      </c>
      <c r="R3" s="15" t="s">
        <v>11</v>
      </c>
      <c r="S3" s="15" t="s">
        <v>10</v>
      </c>
      <c r="T3" s="15" t="s">
        <v>1</v>
      </c>
    </row>
    <row r="4" spans="2:20" x14ac:dyDescent="0.2">
      <c r="B4" s="4">
        <v>1</v>
      </c>
      <c r="C4" s="4">
        <v>25</v>
      </c>
      <c r="D4" s="12">
        <v>62785.887289999999</v>
      </c>
      <c r="E4" s="7">
        <v>20.7302150726</v>
      </c>
      <c r="F4" s="7">
        <v>5</v>
      </c>
      <c r="G4" s="5">
        <v>4</v>
      </c>
      <c r="H4" s="7">
        <v>31780</v>
      </c>
      <c r="I4" s="7">
        <v>0</v>
      </c>
      <c r="J4" s="7">
        <v>1044.3215655818944</v>
      </c>
      <c r="K4" s="7">
        <v>0</v>
      </c>
      <c r="L4" s="4">
        <v>25</v>
      </c>
      <c r="M4" s="12">
        <v>48200.753660000002</v>
      </c>
      <c r="N4" s="7">
        <v>17.6081221104</v>
      </c>
      <c r="O4" s="7">
        <v>5</v>
      </c>
      <c r="P4" s="5">
        <v>4</v>
      </c>
      <c r="Q4" s="7">
        <v>52857</v>
      </c>
      <c r="R4" s="7">
        <v>0</v>
      </c>
      <c r="S4" s="7">
        <v>936.07256907090346</v>
      </c>
      <c r="T4" s="7">
        <v>0</v>
      </c>
    </row>
    <row r="5" spans="2:20" x14ac:dyDescent="0.2">
      <c r="B5" s="4">
        <v>2</v>
      </c>
      <c r="C5" s="4">
        <v>376</v>
      </c>
      <c r="D5" s="12">
        <v>57564.83915</v>
      </c>
      <c r="E5" s="7">
        <v>11.0528678894</v>
      </c>
      <c r="F5" s="7">
        <v>4</v>
      </c>
      <c r="G5" s="5">
        <v>1</v>
      </c>
      <c r="H5" s="7">
        <v>42821.400000000023</v>
      </c>
      <c r="I5" s="7">
        <v>0</v>
      </c>
      <c r="J5" s="7">
        <v>1209.1743643131203</v>
      </c>
      <c r="K5" s="7">
        <v>0</v>
      </c>
      <c r="L5" s="4">
        <v>376</v>
      </c>
      <c r="M5" s="12">
        <v>41717.557180000003</v>
      </c>
      <c r="N5" s="7">
        <v>6.8947339057999999</v>
      </c>
      <c r="O5" s="7">
        <v>4</v>
      </c>
      <c r="P5" s="5">
        <v>1</v>
      </c>
      <c r="Q5" s="7">
        <v>56161.400000000023</v>
      </c>
      <c r="R5" s="7">
        <v>0</v>
      </c>
      <c r="S5" s="7">
        <v>1129.8986299708752</v>
      </c>
      <c r="T5" s="7">
        <v>0</v>
      </c>
    </row>
    <row r="6" spans="2:20" x14ac:dyDescent="0.2">
      <c r="B6" s="4">
        <v>3</v>
      </c>
      <c r="C6" s="4">
        <v>519</v>
      </c>
      <c r="D6" s="12">
        <v>39562.799509999997</v>
      </c>
      <c r="E6" s="7">
        <v>7.0716071128999998</v>
      </c>
      <c r="F6" s="7">
        <v>4</v>
      </c>
      <c r="G6" s="5">
        <v>0</v>
      </c>
      <c r="H6" s="7">
        <v>43303.4</v>
      </c>
      <c r="I6" s="7">
        <v>0</v>
      </c>
      <c r="J6" s="7">
        <v>955.01648459857165</v>
      </c>
      <c r="K6" s="7">
        <v>0</v>
      </c>
      <c r="L6" s="4">
        <v>519</v>
      </c>
      <c r="M6" s="12">
        <v>29603.017510000001</v>
      </c>
      <c r="N6" s="7">
        <v>4.4477651118999999</v>
      </c>
      <c r="O6" s="7">
        <v>4</v>
      </c>
      <c r="P6" s="5">
        <v>0</v>
      </c>
      <c r="Q6" s="7">
        <v>43303.400000000023</v>
      </c>
      <c r="R6" s="7">
        <v>0</v>
      </c>
      <c r="S6" s="7">
        <v>955.01648459857563</v>
      </c>
      <c r="T6" s="7">
        <v>0</v>
      </c>
    </row>
    <row r="7" spans="2:20" x14ac:dyDescent="0.2">
      <c r="B7" s="4">
        <v>4</v>
      </c>
      <c r="C7" s="4">
        <v>679</v>
      </c>
      <c r="D7" s="12">
        <v>63872.71243</v>
      </c>
      <c r="E7" s="7">
        <v>5.2907969952</v>
      </c>
      <c r="F7" s="7">
        <v>4</v>
      </c>
      <c r="G7" s="5">
        <v>4</v>
      </c>
      <c r="H7" s="7">
        <v>39440</v>
      </c>
      <c r="I7" s="7">
        <v>0.66445903289077257</v>
      </c>
      <c r="J7" s="7">
        <v>1122.8975522159249</v>
      </c>
      <c r="K7" s="7">
        <v>0</v>
      </c>
      <c r="L7" s="4">
        <v>679</v>
      </c>
      <c r="M7" s="12">
        <v>53693.893259999997</v>
      </c>
      <c r="N7" s="7">
        <v>3.5383698940000001</v>
      </c>
      <c r="O7" s="7">
        <v>4</v>
      </c>
      <c r="P7" s="5">
        <v>4</v>
      </c>
      <c r="Q7" s="7">
        <v>50341.599999999977</v>
      </c>
      <c r="R7" s="7">
        <v>0.66445903289077257</v>
      </c>
      <c r="S7" s="7">
        <v>1105.8928822650196</v>
      </c>
      <c r="T7" s="7">
        <v>0</v>
      </c>
    </row>
    <row r="8" spans="2:20" x14ac:dyDescent="0.2">
      <c r="B8" s="4">
        <v>5</v>
      </c>
      <c r="C8" s="4">
        <v>833</v>
      </c>
      <c r="D8" s="12">
        <v>81955.652499999997</v>
      </c>
      <c r="E8" s="7">
        <v>1.5340790749</v>
      </c>
      <c r="F8" s="7">
        <v>3</v>
      </c>
      <c r="G8" s="5">
        <v>4</v>
      </c>
      <c r="H8" s="7">
        <v>48529.2</v>
      </c>
      <c r="I8" s="7">
        <v>19.480488378143441</v>
      </c>
      <c r="J8" s="7">
        <v>1210.6447741059781</v>
      </c>
      <c r="K8" s="7">
        <v>0</v>
      </c>
      <c r="L8" s="4">
        <v>833</v>
      </c>
      <c r="M8" s="12">
        <v>58661.636500000001</v>
      </c>
      <c r="N8" s="7">
        <v>0.61424016950000004</v>
      </c>
      <c r="O8" s="7">
        <v>3</v>
      </c>
      <c r="P8" s="5">
        <v>4</v>
      </c>
      <c r="Q8" s="7">
        <v>48530</v>
      </c>
      <c r="R8" s="7">
        <v>19.480488378141832</v>
      </c>
      <c r="S8" s="7">
        <v>1210.6447741056784</v>
      </c>
      <c r="T8" s="7">
        <v>0</v>
      </c>
    </row>
    <row r="9" spans="2:20" x14ac:dyDescent="0.2">
      <c r="B9" s="4">
        <v>6</v>
      </c>
      <c r="C9" s="4">
        <v>818</v>
      </c>
      <c r="D9" s="12">
        <v>43898.282809999997</v>
      </c>
      <c r="E9" s="7">
        <v>3.8085639477000002</v>
      </c>
      <c r="F9" s="7">
        <v>4</v>
      </c>
      <c r="G9" s="5">
        <v>2</v>
      </c>
      <c r="H9" s="7">
        <v>34340.400000000001</v>
      </c>
      <c r="I9" s="7">
        <v>0</v>
      </c>
      <c r="J9" s="7">
        <v>857.77277604209451</v>
      </c>
      <c r="K9" s="7">
        <v>0</v>
      </c>
      <c r="L9" s="4">
        <v>818</v>
      </c>
      <c r="M9" s="12">
        <v>36510.18879</v>
      </c>
      <c r="N9" s="7">
        <v>3.1040670871999998</v>
      </c>
      <c r="O9" s="7">
        <v>4</v>
      </c>
      <c r="P9" s="5">
        <v>2</v>
      </c>
      <c r="Q9" s="7">
        <v>45184.800000000047</v>
      </c>
      <c r="R9" s="7">
        <v>0</v>
      </c>
      <c r="S9" s="7">
        <v>842.68275838259433</v>
      </c>
      <c r="T9" s="7">
        <v>0</v>
      </c>
    </row>
    <row r="10" spans="2:20" x14ac:dyDescent="0.2">
      <c r="B10" s="4">
        <v>7</v>
      </c>
      <c r="C10" s="4">
        <v>835</v>
      </c>
      <c r="D10" s="12">
        <v>47443.549449999999</v>
      </c>
      <c r="E10" s="7">
        <v>21.519612073899999</v>
      </c>
      <c r="F10" s="7">
        <v>5</v>
      </c>
      <c r="G10" s="5">
        <v>1</v>
      </c>
      <c r="H10" s="7">
        <v>31037</v>
      </c>
      <c r="I10" s="7">
        <v>0</v>
      </c>
      <c r="J10" s="7">
        <v>1091.3157357652692</v>
      </c>
      <c r="K10" s="7">
        <v>0</v>
      </c>
      <c r="L10" s="4">
        <v>835</v>
      </c>
      <c r="M10" s="12">
        <v>36728.06538</v>
      </c>
      <c r="N10" s="7">
        <v>33.332834959000003</v>
      </c>
      <c r="O10" s="7">
        <v>5</v>
      </c>
      <c r="P10" s="5">
        <v>1</v>
      </c>
      <c r="Q10" s="7">
        <v>49265</v>
      </c>
      <c r="R10" s="7">
        <v>0</v>
      </c>
      <c r="S10" s="7">
        <v>998.60502416164275</v>
      </c>
      <c r="T10" s="7">
        <v>0</v>
      </c>
    </row>
    <row r="11" spans="2:20" x14ac:dyDescent="0.2">
      <c r="B11" s="4">
        <v>8</v>
      </c>
      <c r="C11" s="4">
        <v>897</v>
      </c>
      <c r="D11" s="12">
        <v>63755.098669999999</v>
      </c>
      <c r="E11" s="7">
        <v>5.9802801608999996</v>
      </c>
      <c r="F11" s="7">
        <v>3</v>
      </c>
      <c r="G11" s="5">
        <v>1</v>
      </c>
      <c r="H11" s="7">
        <v>42055.400000000023</v>
      </c>
      <c r="I11" s="7">
        <v>5.3469631811184337</v>
      </c>
      <c r="J11" s="7">
        <v>1309.3016376620833</v>
      </c>
      <c r="K11" s="7">
        <v>0</v>
      </c>
      <c r="L11" s="4">
        <v>897</v>
      </c>
      <c r="M11" s="12">
        <v>48615.154670000004</v>
      </c>
      <c r="N11" s="7">
        <v>5.1200039387</v>
      </c>
      <c r="O11" s="7">
        <v>3</v>
      </c>
      <c r="P11" s="5">
        <v>1</v>
      </c>
      <c r="Q11" s="7">
        <v>42055.400000000023</v>
      </c>
      <c r="R11" s="7">
        <v>5.3469631811184337</v>
      </c>
      <c r="S11" s="7">
        <v>1309.3016376620833</v>
      </c>
      <c r="T11" s="7">
        <v>0</v>
      </c>
    </row>
    <row r="12" spans="2:20" x14ac:dyDescent="0.2">
      <c r="B12" s="4">
        <v>9</v>
      </c>
      <c r="C12" s="4">
        <v>916</v>
      </c>
      <c r="D12" s="12">
        <v>44011.184529999999</v>
      </c>
      <c r="E12" s="7">
        <v>1.0735650063</v>
      </c>
      <c r="F12" s="7">
        <v>3</v>
      </c>
      <c r="G12" s="5">
        <v>1.0000001109011016</v>
      </c>
      <c r="H12" s="7">
        <v>41689.600006653505</v>
      </c>
      <c r="I12" s="7">
        <v>0.20800838295106133</v>
      </c>
      <c r="J12" s="7">
        <v>1098.1709016981047</v>
      </c>
      <c r="K12" s="7">
        <v>0</v>
      </c>
      <c r="L12" s="4">
        <v>916</v>
      </c>
      <c r="M12" s="12">
        <v>39008.573989999997</v>
      </c>
      <c r="N12" s="7">
        <v>0.40965485569999999</v>
      </c>
      <c r="O12" s="7">
        <v>3</v>
      </c>
      <c r="P12" s="5">
        <v>1</v>
      </c>
      <c r="Q12" s="7">
        <v>41691</v>
      </c>
      <c r="R12" s="7">
        <v>0.20800850077173436</v>
      </c>
      <c r="S12" s="7">
        <v>1098.1746002868067</v>
      </c>
      <c r="T12" s="7">
        <v>0</v>
      </c>
    </row>
    <row r="13" spans="2:20" x14ac:dyDescent="0.2">
      <c r="B13" s="4">
        <v>10</v>
      </c>
      <c r="C13" s="4">
        <v>91</v>
      </c>
      <c r="D13" s="12">
        <v>56176.612079999999</v>
      </c>
      <c r="E13" s="7">
        <v>1.3052439689999999</v>
      </c>
      <c r="F13" s="7">
        <v>3</v>
      </c>
      <c r="G13" s="5">
        <v>1</v>
      </c>
      <c r="H13" s="7">
        <v>43802.600000000006</v>
      </c>
      <c r="I13" s="7">
        <v>0</v>
      </c>
      <c r="J13" s="7">
        <v>1078.7532740469517</v>
      </c>
      <c r="K13" s="7">
        <v>0</v>
      </c>
      <c r="L13" s="4">
        <v>91</v>
      </c>
      <c r="M13" s="12">
        <v>39093.598080000003</v>
      </c>
      <c r="N13" s="7">
        <v>1.1809020042</v>
      </c>
      <c r="O13" s="7">
        <v>3</v>
      </c>
      <c r="P13" s="5">
        <v>1</v>
      </c>
      <c r="Q13" s="7">
        <v>43804</v>
      </c>
      <c r="R13" s="7">
        <v>0</v>
      </c>
      <c r="S13" s="7">
        <v>1078.7532740469517</v>
      </c>
      <c r="T13" s="7">
        <v>0</v>
      </c>
    </row>
    <row r="14" spans="2:20" x14ac:dyDescent="0.2">
      <c r="B14" s="46" t="s">
        <v>3</v>
      </c>
      <c r="C14" s="47"/>
      <c r="D14" s="9">
        <f t="shared" ref="D14:K14" si="0">AVERAGE(D4:D13)</f>
        <v>56102.661841999994</v>
      </c>
      <c r="E14" s="22">
        <f>AVERAGE(E4:E13)</f>
        <v>7.9366831302799996</v>
      </c>
      <c r="F14" s="20">
        <f t="shared" si="0"/>
        <v>3.8</v>
      </c>
      <c r="G14" s="11">
        <f t="shared" si="0"/>
        <v>1.9000000110901101</v>
      </c>
      <c r="H14" s="9">
        <f t="shared" si="0"/>
        <v>39879.900000665359</v>
      </c>
      <c r="I14" s="13">
        <f t="shared" si="0"/>
        <v>2.5699918975103708</v>
      </c>
      <c r="J14" s="13">
        <f t="shared" si="0"/>
        <v>1097.7369066029992</v>
      </c>
      <c r="K14" s="11">
        <f t="shared" si="0"/>
        <v>0</v>
      </c>
      <c r="L14" s="16"/>
      <c r="M14" s="16">
        <f t="shared" ref="M14:T14" si="1">AVERAGE(M4:M13)</f>
        <v>43183.243902000002</v>
      </c>
      <c r="N14" s="21">
        <f t="shared" si="1"/>
        <v>7.6250694036400004</v>
      </c>
      <c r="O14" s="18">
        <f t="shared" si="1"/>
        <v>3.8</v>
      </c>
      <c r="P14" s="18">
        <f t="shared" si="1"/>
        <v>1.9</v>
      </c>
      <c r="Q14" s="16">
        <f t="shared" si="1"/>
        <v>47319.360000000008</v>
      </c>
      <c r="R14" s="17">
        <f t="shared" si="1"/>
        <v>2.5699919092922769</v>
      </c>
      <c r="S14" s="17">
        <f t="shared" si="1"/>
        <v>1066.5042634551132</v>
      </c>
      <c r="T14" s="18">
        <f t="shared" si="1"/>
        <v>0</v>
      </c>
    </row>
    <row r="15" spans="2:20" x14ac:dyDescent="0.2">
      <c r="D15" s="2"/>
      <c r="E15" s="3"/>
      <c r="F15" s="3"/>
      <c r="G15" s="3"/>
      <c r="H15" s="3"/>
      <c r="I15" s="3"/>
      <c r="J15" s="3"/>
    </row>
    <row r="16" spans="2:20" x14ac:dyDescent="0.2">
      <c r="D16" s="2"/>
    </row>
    <row r="17" spans="4:4" x14ac:dyDescent="0.2">
      <c r="D17" s="2"/>
    </row>
  </sheetData>
  <mergeCells count="1">
    <mergeCell ref="B14:C14"/>
  </mergeCells>
  <conditionalFormatting sqref="L1:L3 L14:L1048576">
    <cfRule type="duplicateValues" dxfId="23" priority="1"/>
  </conditionalFormatting>
  <conditionalFormatting sqref="L14">
    <cfRule type="duplicateValues" dxfId="22" priority="2"/>
  </conditionalFormatting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DDDAE1-6AB9-3E45-AC27-C66789B2525B}">
  <dimension ref="B3:T17"/>
  <sheetViews>
    <sheetView topLeftCell="C1" zoomScale="115" zoomScaleNormal="120" workbookViewId="0">
      <selection activeCell="M4" sqref="M4:T13"/>
    </sheetView>
  </sheetViews>
  <sheetFormatPr baseColWidth="10" defaultColWidth="10.83203125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3.33203125" style="1" bestFit="1" customWidth="1"/>
    <col min="8" max="8" width="19.33203125" style="1" bestFit="1" customWidth="1"/>
    <col min="9" max="9" width="12" style="1" bestFit="1" customWidth="1"/>
    <col min="10" max="10" width="18.6640625" style="1" bestFit="1" customWidth="1"/>
    <col min="11" max="11" width="6.6640625" style="1" bestFit="1" customWidth="1"/>
    <col min="12" max="12" width="8.6640625" style="1" bestFit="1" customWidth="1"/>
    <col min="13" max="13" width="12.6640625" style="1" bestFit="1" customWidth="1"/>
    <col min="14" max="15" width="10.83203125" style="1"/>
    <col min="16" max="16" width="13.33203125" style="1" bestFit="1" customWidth="1"/>
    <col min="17" max="17" width="19.33203125" style="1" bestFit="1" customWidth="1"/>
    <col min="18" max="18" width="12" style="1" bestFit="1" customWidth="1"/>
    <col min="19" max="19" width="18" style="1" bestFit="1" customWidth="1"/>
    <col min="20" max="16384" width="10.83203125" style="1"/>
  </cols>
  <sheetData>
    <row r="3" spans="2:20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8</v>
      </c>
      <c r="H3" s="8" t="s">
        <v>9</v>
      </c>
      <c r="I3" s="8" t="s">
        <v>11</v>
      </c>
      <c r="J3" s="8" t="s">
        <v>10</v>
      </c>
      <c r="K3" s="8" t="s">
        <v>1</v>
      </c>
      <c r="L3" s="15" t="s">
        <v>13</v>
      </c>
      <c r="M3" s="15" t="s">
        <v>0</v>
      </c>
      <c r="N3" s="15" t="s">
        <v>5</v>
      </c>
      <c r="O3" s="15" t="s">
        <v>12</v>
      </c>
      <c r="P3" s="15" t="s">
        <v>8</v>
      </c>
      <c r="Q3" s="15" t="s">
        <v>9</v>
      </c>
      <c r="R3" s="15" t="s">
        <v>11</v>
      </c>
      <c r="S3" s="15" t="s">
        <v>10</v>
      </c>
      <c r="T3" s="15" t="s">
        <v>1</v>
      </c>
    </row>
    <row r="4" spans="2:20" x14ac:dyDescent="0.2">
      <c r="B4" s="4">
        <v>1</v>
      </c>
      <c r="C4" s="4">
        <v>148</v>
      </c>
      <c r="D4" s="12">
        <v>30493.84793</v>
      </c>
      <c r="E4" s="7">
        <v>0.1512880325</v>
      </c>
      <c r="F4" s="7">
        <v>3</v>
      </c>
      <c r="G4" s="5">
        <v>1</v>
      </c>
      <c r="H4" s="7">
        <v>44961.8</v>
      </c>
      <c r="I4" s="7">
        <v>0</v>
      </c>
      <c r="J4" s="7">
        <v>681.97152197505034</v>
      </c>
      <c r="K4" s="7">
        <v>0</v>
      </c>
      <c r="L4" s="4">
        <v>148</v>
      </c>
      <c r="M4" s="12">
        <v>19253.397929999999</v>
      </c>
      <c r="N4" s="7">
        <v>0.1434669495</v>
      </c>
      <c r="O4" s="7">
        <v>3</v>
      </c>
      <c r="P4" s="5">
        <v>1</v>
      </c>
      <c r="Q4" s="7">
        <v>44962</v>
      </c>
      <c r="R4" s="7">
        <v>0</v>
      </c>
      <c r="S4" s="7">
        <v>681.97152197519631</v>
      </c>
      <c r="T4" s="7">
        <v>0</v>
      </c>
    </row>
    <row r="5" spans="2:20" x14ac:dyDescent="0.2">
      <c r="B5" s="4">
        <v>2</v>
      </c>
      <c r="C5" s="4">
        <v>300</v>
      </c>
      <c r="D5" s="12">
        <v>36778.820570000003</v>
      </c>
      <c r="E5" s="7">
        <v>0.16930913929999999</v>
      </c>
      <c r="F5" s="7">
        <v>4</v>
      </c>
      <c r="G5" s="5">
        <v>1</v>
      </c>
      <c r="H5" s="7">
        <v>44815.8</v>
      </c>
      <c r="I5" s="7">
        <v>0</v>
      </c>
      <c r="J5" s="7">
        <v>879.25284427361692</v>
      </c>
      <c r="K5" s="7">
        <v>0</v>
      </c>
      <c r="L5" s="4">
        <v>300</v>
      </c>
      <c r="M5" s="12">
        <v>23733.27405</v>
      </c>
      <c r="N5" s="7">
        <v>0.22176098820000001</v>
      </c>
      <c r="O5" s="7">
        <v>4</v>
      </c>
      <c r="P5" s="5">
        <v>1</v>
      </c>
      <c r="Q5" s="7">
        <v>56045</v>
      </c>
      <c r="R5" s="7">
        <v>0</v>
      </c>
      <c r="S5" s="7">
        <v>822.27461393620774</v>
      </c>
      <c r="T5" s="7">
        <v>0</v>
      </c>
    </row>
    <row r="6" spans="2:20" x14ac:dyDescent="0.2">
      <c r="B6" s="4">
        <v>3</v>
      </c>
      <c r="C6" s="4">
        <v>306</v>
      </c>
      <c r="D6" s="12">
        <v>62757.898630000003</v>
      </c>
      <c r="E6" s="7">
        <v>1.5223650931999999</v>
      </c>
      <c r="F6" s="7">
        <v>5</v>
      </c>
      <c r="G6" s="5">
        <v>5</v>
      </c>
      <c r="H6" s="7">
        <v>44208</v>
      </c>
      <c r="I6" s="7">
        <v>32.229733040161342</v>
      </c>
      <c r="J6" s="7">
        <v>957.67091710203135</v>
      </c>
      <c r="K6" s="7">
        <v>0</v>
      </c>
      <c r="L6" s="4">
        <v>306</v>
      </c>
      <c r="M6" s="12">
        <v>39617.320010000003</v>
      </c>
      <c r="N6" s="7">
        <v>3.3551828861000002</v>
      </c>
      <c r="O6" s="7">
        <v>5</v>
      </c>
      <c r="P6" s="5">
        <v>4</v>
      </c>
      <c r="Q6" s="7">
        <v>74825</v>
      </c>
      <c r="R6" s="7">
        <v>8.7034585513609244</v>
      </c>
      <c r="S6" s="7">
        <v>954.82523304380538</v>
      </c>
      <c r="T6" s="7">
        <v>0</v>
      </c>
    </row>
    <row r="7" spans="2:20" x14ac:dyDescent="0.2">
      <c r="B7" s="4">
        <v>4</v>
      </c>
      <c r="C7" s="4">
        <v>352</v>
      </c>
      <c r="D7" s="12">
        <v>37060.629379999998</v>
      </c>
      <c r="E7" s="7">
        <v>6.448102E-2</v>
      </c>
      <c r="F7" s="7">
        <v>3</v>
      </c>
      <c r="G7" s="5">
        <v>1</v>
      </c>
      <c r="H7" s="7">
        <v>42130.8</v>
      </c>
      <c r="I7" s="7">
        <v>0</v>
      </c>
      <c r="J7" s="7">
        <v>868.52542620237796</v>
      </c>
      <c r="K7" s="7">
        <v>0</v>
      </c>
      <c r="L7" s="4">
        <v>352</v>
      </c>
      <c r="M7" s="12">
        <v>22736.157380000001</v>
      </c>
      <c r="N7" s="7">
        <v>7.4630022000000004E-2</v>
      </c>
      <c r="O7" s="7">
        <v>3</v>
      </c>
      <c r="P7" s="5">
        <v>1</v>
      </c>
      <c r="Q7" s="7">
        <v>42132</v>
      </c>
      <c r="R7" s="7">
        <v>0</v>
      </c>
      <c r="S7" s="7">
        <v>868.52542620118606</v>
      </c>
      <c r="T7" s="7">
        <v>0</v>
      </c>
    </row>
    <row r="8" spans="2:20" x14ac:dyDescent="0.2">
      <c r="B8" s="4">
        <v>5</v>
      </c>
      <c r="C8" s="4">
        <v>370</v>
      </c>
      <c r="D8" s="12">
        <v>41601.984420000001</v>
      </c>
      <c r="E8" s="7">
        <v>0.17223191260000001</v>
      </c>
      <c r="F8" s="7">
        <v>3</v>
      </c>
      <c r="G8" s="5">
        <v>3</v>
      </c>
      <c r="H8" s="7">
        <v>36607.800000000003</v>
      </c>
      <c r="I8" s="7">
        <v>0</v>
      </c>
      <c r="J8" s="7">
        <v>682.24912160901079</v>
      </c>
      <c r="K8" s="7">
        <v>0</v>
      </c>
      <c r="L8" s="4">
        <v>370</v>
      </c>
      <c r="M8" s="12">
        <v>28789.254420000001</v>
      </c>
      <c r="N8" s="7">
        <v>0.17708301539999999</v>
      </c>
      <c r="O8" s="7">
        <v>3</v>
      </c>
      <c r="P8" s="5">
        <v>3</v>
      </c>
      <c r="Q8" s="7">
        <v>36608</v>
      </c>
      <c r="R8" s="7">
        <v>0</v>
      </c>
      <c r="S8" s="7">
        <v>682.24912160902124</v>
      </c>
      <c r="T8" s="7">
        <v>0</v>
      </c>
    </row>
    <row r="9" spans="2:20" x14ac:dyDescent="0.2">
      <c r="B9" s="4">
        <v>6</v>
      </c>
      <c r="C9" s="4">
        <v>471</v>
      </c>
      <c r="D9" s="12">
        <v>31235.897000000001</v>
      </c>
      <c r="E9" s="7">
        <v>8.7886810300000007E-2</v>
      </c>
      <c r="F9" s="7">
        <v>3</v>
      </c>
      <c r="G9" s="5">
        <v>2</v>
      </c>
      <c r="H9" s="7">
        <v>42987.8</v>
      </c>
      <c r="I9" s="7">
        <v>0</v>
      </c>
      <c r="J9" s="7">
        <v>665.68162686138123</v>
      </c>
      <c r="K9" s="7">
        <v>0</v>
      </c>
      <c r="L9" s="4">
        <v>471</v>
      </c>
      <c r="M9" s="12">
        <v>23927.971000000001</v>
      </c>
      <c r="N9" s="7">
        <v>7.7129125600000001E-2</v>
      </c>
      <c r="O9" s="7">
        <v>3</v>
      </c>
      <c r="P9" s="5">
        <v>2</v>
      </c>
      <c r="Q9" s="7">
        <v>42989</v>
      </c>
      <c r="R9" s="7">
        <v>0</v>
      </c>
      <c r="S9" s="7">
        <v>665.68162686229095</v>
      </c>
      <c r="T9" s="7">
        <v>0</v>
      </c>
    </row>
    <row r="10" spans="2:20" x14ac:dyDescent="0.2">
      <c r="B10" s="4">
        <v>7</v>
      </c>
      <c r="C10" s="4">
        <v>507</v>
      </c>
      <c r="D10" s="12">
        <v>37344.477709999999</v>
      </c>
      <c r="E10" s="7">
        <v>0.19474005699999999</v>
      </c>
      <c r="F10" s="7">
        <v>3</v>
      </c>
      <c r="G10" s="5">
        <v>2</v>
      </c>
      <c r="H10" s="7">
        <v>35962.199999999997</v>
      </c>
      <c r="I10" s="7">
        <v>0</v>
      </c>
      <c r="J10" s="7">
        <v>832.29890581431505</v>
      </c>
      <c r="K10" s="7">
        <v>0</v>
      </c>
      <c r="L10" s="4">
        <v>507</v>
      </c>
      <c r="M10" s="12">
        <v>27275.061710000002</v>
      </c>
      <c r="N10" s="7">
        <v>0.24453806880000001</v>
      </c>
      <c r="O10" s="7">
        <v>3</v>
      </c>
      <c r="P10" s="5">
        <v>2</v>
      </c>
      <c r="Q10" s="7">
        <v>35963</v>
      </c>
      <c r="R10" s="7">
        <v>0</v>
      </c>
      <c r="S10" s="7">
        <v>832.29890581511131</v>
      </c>
      <c r="T10" s="7">
        <v>0</v>
      </c>
    </row>
    <row r="11" spans="2:20" x14ac:dyDescent="0.2">
      <c r="B11" s="4">
        <v>8</v>
      </c>
      <c r="C11" s="4">
        <v>629</v>
      </c>
      <c r="D11" s="12">
        <v>51647.634599999998</v>
      </c>
      <c r="E11" s="7">
        <v>0.2330949306</v>
      </c>
      <c r="F11" s="7">
        <v>4</v>
      </c>
      <c r="G11" s="5">
        <v>3</v>
      </c>
      <c r="H11" s="7">
        <v>41103.199999999997</v>
      </c>
      <c r="I11" s="7">
        <v>0</v>
      </c>
      <c r="J11" s="7">
        <v>818.07394141500629</v>
      </c>
      <c r="K11" s="7">
        <v>0</v>
      </c>
      <c r="L11" s="4">
        <v>629</v>
      </c>
      <c r="M11" s="12">
        <v>30402.81525</v>
      </c>
      <c r="N11" s="7">
        <v>0.64262795449999999</v>
      </c>
      <c r="O11" s="7">
        <v>4</v>
      </c>
      <c r="P11" s="5">
        <v>3</v>
      </c>
      <c r="Q11" s="7">
        <v>50704</v>
      </c>
      <c r="R11" s="7">
        <v>0</v>
      </c>
      <c r="S11" s="7">
        <v>748.02682809622945</v>
      </c>
      <c r="T11" s="7">
        <v>0</v>
      </c>
    </row>
    <row r="12" spans="2:20" x14ac:dyDescent="0.2">
      <c r="B12" s="4">
        <v>9</v>
      </c>
      <c r="C12" s="4">
        <v>487</v>
      </c>
      <c r="D12" s="12">
        <v>32667.242689999999</v>
      </c>
      <c r="E12" s="7">
        <v>9.3132018999999996E-2</v>
      </c>
      <c r="F12" s="7">
        <v>3</v>
      </c>
      <c r="G12" s="5">
        <v>0</v>
      </c>
      <c r="H12" s="7">
        <v>36325</v>
      </c>
      <c r="I12" s="7">
        <v>0</v>
      </c>
      <c r="J12" s="7">
        <v>904.15364875567138</v>
      </c>
      <c r="K12" s="7">
        <v>0</v>
      </c>
      <c r="L12" s="4">
        <v>487</v>
      </c>
      <c r="M12" s="12">
        <v>18500.492689999999</v>
      </c>
      <c r="N12" s="7">
        <v>7.8726053200000007E-2</v>
      </c>
      <c r="O12" s="7">
        <v>3</v>
      </c>
      <c r="P12" s="5">
        <v>0</v>
      </c>
      <c r="Q12" s="7">
        <v>36326</v>
      </c>
      <c r="R12" s="7">
        <v>0</v>
      </c>
      <c r="S12" s="7">
        <v>904.15364875567138</v>
      </c>
      <c r="T12" s="7">
        <v>0</v>
      </c>
    </row>
    <row r="13" spans="2:20" x14ac:dyDescent="0.2">
      <c r="B13" s="4">
        <v>10</v>
      </c>
      <c r="C13" s="4">
        <v>977</v>
      </c>
      <c r="D13" s="12">
        <v>37024.451399999998</v>
      </c>
      <c r="E13" s="7">
        <v>8.1573963200000002E-2</v>
      </c>
      <c r="F13" s="7">
        <v>3</v>
      </c>
      <c r="G13" s="5">
        <v>1</v>
      </c>
      <c r="H13" s="7">
        <v>48010.6</v>
      </c>
      <c r="I13" s="7">
        <v>0</v>
      </c>
      <c r="J13" s="7">
        <v>857.21926149102694</v>
      </c>
      <c r="K13" s="7">
        <v>0</v>
      </c>
      <c r="L13" s="4">
        <v>977</v>
      </c>
      <c r="M13" s="12">
        <v>23101.377400000001</v>
      </c>
      <c r="N13" s="7">
        <v>9.9609851799999996E-2</v>
      </c>
      <c r="O13" s="7">
        <v>3</v>
      </c>
      <c r="P13" s="5">
        <v>1</v>
      </c>
      <c r="Q13" s="7">
        <v>48012</v>
      </c>
      <c r="R13" s="7">
        <v>0</v>
      </c>
      <c r="S13" s="7">
        <v>857.2192614902666</v>
      </c>
      <c r="T13" s="7">
        <v>0</v>
      </c>
    </row>
    <row r="14" spans="2:20" x14ac:dyDescent="0.2">
      <c r="B14" s="46" t="s">
        <v>3</v>
      </c>
      <c r="C14" s="47"/>
      <c r="D14" s="9">
        <f t="shared" ref="D14:K14" si="0">AVERAGE(D4:D13)</f>
        <v>39861.288432999994</v>
      </c>
      <c r="E14" s="22">
        <f>AVERAGE(E4:E13)</f>
        <v>0.27701029777000002</v>
      </c>
      <c r="F14" s="20">
        <f t="shared" si="0"/>
        <v>3.4</v>
      </c>
      <c r="G14" s="11">
        <f t="shared" si="0"/>
        <v>1.9</v>
      </c>
      <c r="H14" s="9">
        <f t="shared" si="0"/>
        <v>41711.300000000003</v>
      </c>
      <c r="I14" s="13">
        <f t="shared" si="0"/>
        <v>3.2229733040161341</v>
      </c>
      <c r="J14" s="13">
        <f t="shared" si="0"/>
        <v>814.70972154994888</v>
      </c>
      <c r="K14" s="11">
        <f t="shared" si="0"/>
        <v>0</v>
      </c>
      <c r="L14" s="16"/>
      <c r="M14" s="16">
        <f t="shared" ref="M14:T14" si="1">AVERAGE(M4:M13)</f>
        <v>25733.712183999996</v>
      </c>
      <c r="N14" s="21">
        <f t="shared" si="1"/>
        <v>0.51147549150999994</v>
      </c>
      <c r="O14" s="18">
        <f t="shared" si="1"/>
        <v>3.4</v>
      </c>
      <c r="P14" s="18">
        <f t="shared" si="1"/>
        <v>1.8</v>
      </c>
      <c r="Q14" s="16">
        <f t="shared" si="1"/>
        <v>46856.6</v>
      </c>
      <c r="R14" s="17">
        <f t="shared" si="1"/>
        <v>0.87034585513609242</v>
      </c>
      <c r="S14" s="17">
        <f t="shared" si="1"/>
        <v>801.7226187784986</v>
      </c>
      <c r="T14" s="18">
        <f t="shared" si="1"/>
        <v>0</v>
      </c>
    </row>
    <row r="15" spans="2:20" x14ac:dyDescent="0.2">
      <c r="D15" s="2"/>
      <c r="E15" s="3"/>
      <c r="F15" s="3"/>
      <c r="G15" s="3"/>
      <c r="H15" s="3"/>
      <c r="I15" s="3"/>
      <c r="J15" s="3"/>
    </row>
    <row r="16" spans="2:20" x14ac:dyDescent="0.2">
      <c r="D16" s="2"/>
    </row>
    <row r="17" spans="4:4" x14ac:dyDescent="0.2">
      <c r="D17" s="2"/>
    </row>
  </sheetData>
  <mergeCells count="1">
    <mergeCell ref="B14:C14"/>
  </mergeCells>
  <conditionalFormatting sqref="L1:L3 L14:L1048576">
    <cfRule type="duplicateValues" dxfId="21" priority="1"/>
  </conditionalFormatting>
  <conditionalFormatting sqref="L14">
    <cfRule type="duplicateValues" dxfId="20" priority="2"/>
  </conditionalFormatting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189425-5AF0-3545-9A8B-CFCB90D9EC0B}">
  <dimension ref="B3:T17"/>
  <sheetViews>
    <sheetView zoomScale="118" zoomScaleNormal="120" workbookViewId="0">
      <selection activeCell="J20" sqref="J20"/>
    </sheetView>
  </sheetViews>
  <sheetFormatPr baseColWidth="10" defaultColWidth="10.83203125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3.33203125" style="1" bestFit="1" customWidth="1"/>
    <col min="8" max="8" width="19.33203125" style="1" bestFit="1" customWidth="1"/>
    <col min="9" max="9" width="12" style="1" bestFit="1" customWidth="1"/>
    <col min="10" max="10" width="18.6640625" style="1" bestFit="1" customWidth="1"/>
    <col min="11" max="11" width="6.6640625" style="1" bestFit="1" customWidth="1"/>
    <col min="12" max="12" width="8.6640625" style="1" bestFit="1" customWidth="1"/>
    <col min="13" max="13" width="12.6640625" style="1" bestFit="1" customWidth="1"/>
    <col min="14" max="15" width="10.83203125" style="1"/>
    <col min="16" max="16" width="13.33203125" style="1" bestFit="1" customWidth="1"/>
    <col min="17" max="17" width="19.33203125" style="1" bestFit="1" customWidth="1"/>
    <col min="18" max="18" width="12" style="1" bestFit="1" customWidth="1"/>
    <col min="19" max="19" width="18" style="1" bestFit="1" customWidth="1"/>
    <col min="20" max="16384" width="10.83203125" style="1"/>
  </cols>
  <sheetData>
    <row r="3" spans="2:20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8</v>
      </c>
      <c r="H3" s="8" t="s">
        <v>9</v>
      </c>
      <c r="I3" s="8" t="s">
        <v>11</v>
      </c>
      <c r="J3" s="8" t="s">
        <v>10</v>
      </c>
      <c r="K3" s="8" t="s">
        <v>1</v>
      </c>
      <c r="L3" s="15" t="s">
        <v>13</v>
      </c>
      <c r="M3" s="15" t="s">
        <v>0</v>
      </c>
      <c r="N3" s="15" t="s">
        <v>5</v>
      </c>
      <c r="O3" s="15" t="s">
        <v>12</v>
      </c>
      <c r="P3" s="15" t="s">
        <v>8</v>
      </c>
      <c r="Q3" s="15" t="s">
        <v>9</v>
      </c>
      <c r="R3" s="15" t="s">
        <v>11</v>
      </c>
      <c r="S3" s="15" t="s">
        <v>10</v>
      </c>
      <c r="T3" s="15" t="s">
        <v>1</v>
      </c>
    </row>
    <row r="4" spans="2:20" x14ac:dyDescent="0.2">
      <c r="B4" s="4">
        <v>1</v>
      </c>
      <c r="C4" s="4">
        <v>14</v>
      </c>
      <c r="D4" s="12">
        <v>37429.69713</v>
      </c>
      <c r="E4" s="7">
        <v>2.95398235E-2</v>
      </c>
      <c r="F4" s="7">
        <v>3</v>
      </c>
      <c r="G4" s="5">
        <v>4</v>
      </c>
      <c r="H4" s="7">
        <v>29867</v>
      </c>
      <c r="I4" s="7">
        <v>0</v>
      </c>
      <c r="J4" s="7">
        <v>270.46929319124166</v>
      </c>
      <c r="K4" s="7">
        <v>0</v>
      </c>
      <c r="L4" s="4">
        <v>14</v>
      </c>
      <c r="M4" s="12">
        <v>17933.650880000001</v>
      </c>
      <c r="N4" s="7">
        <v>4.4380903200000002E-2</v>
      </c>
      <c r="O4" s="7">
        <v>3</v>
      </c>
      <c r="P4" s="5">
        <v>3</v>
      </c>
      <c r="Q4" s="7">
        <v>46091</v>
      </c>
      <c r="R4" s="7">
        <v>0</v>
      </c>
      <c r="S4" s="7">
        <v>288.86680369222597</v>
      </c>
      <c r="T4" s="7">
        <v>0</v>
      </c>
    </row>
    <row r="5" spans="2:20" x14ac:dyDescent="0.2">
      <c r="B5" s="4">
        <v>2</v>
      </c>
      <c r="C5" s="4">
        <v>214</v>
      </c>
      <c r="D5" s="12">
        <v>26627.960419999999</v>
      </c>
      <c r="E5" s="7">
        <v>3.0606985100000001E-2</v>
      </c>
      <c r="F5" s="7">
        <v>3</v>
      </c>
      <c r="G5" s="5">
        <v>2</v>
      </c>
      <c r="H5" s="7">
        <v>40002.600000000006</v>
      </c>
      <c r="I5" s="7">
        <v>0</v>
      </c>
      <c r="J5" s="7">
        <v>474.81405991898521</v>
      </c>
      <c r="K5" s="7">
        <v>0</v>
      </c>
      <c r="L5" s="4">
        <v>214</v>
      </c>
      <c r="M5" s="12">
        <v>15427.23242</v>
      </c>
      <c r="N5" s="7">
        <v>2.7778148700000001E-2</v>
      </c>
      <c r="O5" s="7">
        <v>3</v>
      </c>
      <c r="P5" s="5">
        <v>2</v>
      </c>
      <c r="Q5" s="7">
        <v>40004</v>
      </c>
      <c r="R5" s="7">
        <v>0</v>
      </c>
      <c r="S5" s="7">
        <v>474.81405991966147</v>
      </c>
      <c r="T5" s="7">
        <v>0</v>
      </c>
    </row>
    <row r="6" spans="2:20" x14ac:dyDescent="0.2">
      <c r="B6" s="4">
        <v>3</v>
      </c>
      <c r="C6" s="4">
        <v>245</v>
      </c>
      <c r="D6" s="12">
        <v>23302.905729999999</v>
      </c>
      <c r="E6" s="7">
        <v>5.46078682E-2</v>
      </c>
      <c r="F6" s="7">
        <v>3</v>
      </c>
      <c r="G6" s="5">
        <v>1</v>
      </c>
      <c r="H6" s="7">
        <v>45324</v>
      </c>
      <c r="I6" s="7">
        <v>21.080101199281991</v>
      </c>
      <c r="J6" s="7">
        <v>936.7185999133826</v>
      </c>
      <c r="K6" s="7">
        <v>0</v>
      </c>
      <c r="L6" s="4">
        <v>245</v>
      </c>
      <c r="M6" s="12">
        <v>15597.82573</v>
      </c>
      <c r="N6" s="7">
        <v>4.7686100000000002E-2</v>
      </c>
      <c r="O6" s="7">
        <v>3</v>
      </c>
      <c r="P6" s="5">
        <v>1</v>
      </c>
      <c r="Q6" s="7">
        <v>45325</v>
      </c>
      <c r="R6" s="7">
        <v>21.080101199281991</v>
      </c>
      <c r="S6" s="7">
        <v>936.7185999133826</v>
      </c>
      <c r="T6" s="7">
        <v>0</v>
      </c>
    </row>
    <row r="7" spans="2:20" x14ac:dyDescent="0.2">
      <c r="B7" s="4">
        <v>4</v>
      </c>
      <c r="C7" s="4">
        <v>373</v>
      </c>
      <c r="D7" s="12">
        <v>16954.054530000001</v>
      </c>
      <c r="E7" s="7">
        <v>4.66098785E-2</v>
      </c>
      <c r="F7" s="7">
        <v>3</v>
      </c>
      <c r="G7" s="5">
        <v>1</v>
      </c>
      <c r="H7" s="7">
        <v>23648</v>
      </c>
      <c r="I7" s="7">
        <v>0</v>
      </c>
      <c r="J7" s="7">
        <v>803.14234596515234</v>
      </c>
      <c r="K7" s="7">
        <v>0</v>
      </c>
      <c r="L7" s="4">
        <v>373</v>
      </c>
      <c r="M7" s="12">
        <v>11828.748809999999</v>
      </c>
      <c r="N7" s="7">
        <v>5.3052902200000002E-2</v>
      </c>
      <c r="O7" s="7">
        <v>3</v>
      </c>
      <c r="P7" s="5">
        <v>1</v>
      </c>
      <c r="Q7" s="7">
        <v>47482</v>
      </c>
      <c r="R7" s="7">
        <v>0</v>
      </c>
      <c r="S7" s="7">
        <v>637.21601419463684</v>
      </c>
      <c r="T7" s="7">
        <v>0</v>
      </c>
    </row>
    <row r="8" spans="2:20" x14ac:dyDescent="0.2">
      <c r="B8" s="4">
        <v>5</v>
      </c>
      <c r="C8" s="4">
        <v>439</v>
      </c>
      <c r="D8" s="12">
        <v>16104.97156</v>
      </c>
      <c r="E8" s="7">
        <v>8.1970692000000005E-3</v>
      </c>
      <c r="F8" s="7">
        <v>3</v>
      </c>
      <c r="G8" s="5">
        <v>1</v>
      </c>
      <c r="H8" s="7">
        <v>23086.6</v>
      </c>
      <c r="I8" s="7">
        <v>0</v>
      </c>
      <c r="J8" s="7">
        <v>661.84605370603822</v>
      </c>
      <c r="K8" s="7">
        <v>0</v>
      </c>
      <c r="L8" s="4">
        <v>439</v>
      </c>
      <c r="M8" s="12">
        <v>11949.38356</v>
      </c>
      <c r="N8" s="7">
        <v>9.9089146000000006E-3</v>
      </c>
      <c r="O8" s="7">
        <v>3</v>
      </c>
      <c r="P8" s="5">
        <v>1</v>
      </c>
      <c r="Q8" s="7">
        <v>23087</v>
      </c>
      <c r="R8" s="7">
        <v>0</v>
      </c>
      <c r="S8" s="7">
        <v>661.84605370598808</v>
      </c>
      <c r="T8" s="7">
        <v>0</v>
      </c>
    </row>
    <row r="9" spans="2:20" x14ac:dyDescent="0.2">
      <c r="B9" s="4">
        <v>6</v>
      </c>
      <c r="C9" s="4">
        <v>452</v>
      </c>
      <c r="D9" s="12">
        <v>22743.965459999999</v>
      </c>
      <c r="E9" s="7">
        <v>2.8569221499999999E-2</v>
      </c>
      <c r="F9" s="7">
        <v>3</v>
      </c>
      <c r="G9" s="5">
        <v>1</v>
      </c>
      <c r="H9" s="7">
        <v>46236.2</v>
      </c>
      <c r="I9" s="7">
        <v>0</v>
      </c>
      <c r="J9" s="7">
        <v>482.8365171992715</v>
      </c>
      <c r="K9" s="7">
        <v>0</v>
      </c>
      <c r="L9" s="4">
        <v>452</v>
      </c>
      <c r="M9" s="12">
        <v>10260.19146</v>
      </c>
      <c r="N9" s="7">
        <v>3.7530183799999998E-2</v>
      </c>
      <c r="O9" s="7">
        <v>3</v>
      </c>
      <c r="P9" s="5">
        <v>1</v>
      </c>
      <c r="Q9" s="7">
        <v>46237</v>
      </c>
      <c r="R9" s="7">
        <v>0</v>
      </c>
      <c r="S9" s="7">
        <v>482.83651719949557</v>
      </c>
      <c r="T9" s="7">
        <v>0</v>
      </c>
    </row>
    <row r="10" spans="2:20" x14ac:dyDescent="0.2">
      <c r="B10" s="4">
        <v>7</v>
      </c>
      <c r="C10" s="4">
        <v>508</v>
      </c>
      <c r="D10" s="12">
        <v>19583.41043</v>
      </c>
      <c r="E10" s="7">
        <v>2.2717952699999999E-2</v>
      </c>
      <c r="F10" s="7">
        <v>3</v>
      </c>
      <c r="G10" s="5">
        <v>1</v>
      </c>
      <c r="H10" s="7">
        <v>35057.199999999997</v>
      </c>
      <c r="I10" s="7">
        <v>0</v>
      </c>
      <c r="J10" s="7">
        <v>644.91204232018731</v>
      </c>
      <c r="K10" s="7">
        <v>0</v>
      </c>
      <c r="L10" s="4">
        <v>508</v>
      </c>
      <c r="M10" s="12">
        <v>11520.254430000001</v>
      </c>
      <c r="N10" s="7">
        <v>2.6309967E-2</v>
      </c>
      <c r="O10" s="7">
        <v>3</v>
      </c>
      <c r="P10" s="5">
        <v>1</v>
      </c>
      <c r="Q10" s="7">
        <v>35059</v>
      </c>
      <c r="R10" s="7">
        <v>0</v>
      </c>
      <c r="S10" s="7">
        <v>644.91204232055509</v>
      </c>
      <c r="T10" s="7">
        <v>0</v>
      </c>
    </row>
    <row r="11" spans="2:20" x14ac:dyDescent="0.2">
      <c r="B11" s="4">
        <v>8</v>
      </c>
      <c r="C11" s="4">
        <v>581</v>
      </c>
      <c r="D11" s="12">
        <v>16874.20016</v>
      </c>
      <c r="E11" s="7">
        <v>2.67829895E-2</v>
      </c>
      <c r="F11" s="7">
        <v>3</v>
      </c>
      <c r="G11" s="5">
        <v>1</v>
      </c>
      <c r="H11" s="7">
        <v>49096.800000000003</v>
      </c>
      <c r="I11" s="7">
        <v>0</v>
      </c>
      <c r="J11" s="7">
        <v>377.35995410912545</v>
      </c>
      <c r="K11" s="7">
        <v>0</v>
      </c>
      <c r="L11" s="4">
        <v>581</v>
      </c>
      <c r="M11" s="12">
        <v>9018.7121599999991</v>
      </c>
      <c r="N11" s="7">
        <v>2.3182868999999998E-2</v>
      </c>
      <c r="O11" s="7">
        <v>3</v>
      </c>
      <c r="P11" s="5">
        <v>1</v>
      </c>
      <c r="Q11" s="7">
        <v>49097</v>
      </c>
      <c r="R11" s="7">
        <v>0</v>
      </c>
      <c r="S11" s="7">
        <v>377.35995410912545</v>
      </c>
      <c r="T11" s="7">
        <v>0</v>
      </c>
    </row>
    <row r="12" spans="2:20" x14ac:dyDescent="0.2">
      <c r="B12" s="4">
        <v>9</v>
      </c>
      <c r="C12" s="4">
        <v>584</v>
      </c>
      <c r="D12" s="12">
        <v>30543.181499999999</v>
      </c>
      <c r="E12" s="7">
        <v>4.9028158199999998E-2</v>
      </c>
      <c r="F12" s="7">
        <v>3</v>
      </c>
      <c r="G12" s="5">
        <v>2</v>
      </c>
      <c r="H12" s="7">
        <v>38102</v>
      </c>
      <c r="I12" s="7">
        <v>0</v>
      </c>
      <c r="J12" s="7">
        <v>476.89624902134926</v>
      </c>
      <c r="K12" s="7">
        <v>0</v>
      </c>
      <c r="L12" s="4">
        <v>584</v>
      </c>
      <c r="M12" s="12">
        <v>14540.3415</v>
      </c>
      <c r="N12" s="7">
        <v>4.5272111900000002E-2</v>
      </c>
      <c r="O12" s="7">
        <v>3</v>
      </c>
      <c r="P12" s="5">
        <v>2</v>
      </c>
      <c r="Q12" s="7">
        <v>38102</v>
      </c>
      <c r="R12" s="7">
        <v>0</v>
      </c>
      <c r="S12" s="7">
        <v>476.89624902201615</v>
      </c>
      <c r="T12" s="7">
        <v>0</v>
      </c>
    </row>
    <row r="13" spans="2:20" x14ac:dyDescent="0.2">
      <c r="B13" s="4">
        <v>10</v>
      </c>
      <c r="C13" s="4">
        <v>755</v>
      </c>
      <c r="D13" s="12">
        <v>23431.42324</v>
      </c>
      <c r="E13" s="7">
        <v>4.9354076400000002E-2</v>
      </c>
      <c r="F13" s="7">
        <v>3</v>
      </c>
      <c r="G13" s="5">
        <v>2</v>
      </c>
      <c r="H13" s="7">
        <v>34338</v>
      </c>
      <c r="I13" s="7">
        <v>0</v>
      </c>
      <c r="J13" s="7">
        <v>514.74594638697795</v>
      </c>
      <c r="K13" s="7">
        <v>0</v>
      </c>
      <c r="L13" s="4">
        <v>755</v>
      </c>
      <c r="M13" s="12">
        <v>15877.063239999999</v>
      </c>
      <c r="N13" s="7">
        <v>4.8622846599999998E-2</v>
      </c>
      <c r="O13" s="7">
        <v>3</v>
      </c>
      <c r="P13" s="5">
        <v>2</v>
      </c>
      <c r="Q13" s="7">
        <v>34338</v>
      </c>
      <c r="R13" s="7">
        <v>0</v>
      </c>
      <c r="S13" s="7">
        <v>514.74594638864176</v>
      </c>
      <c r="T13" s="7">
        <v>0</v>
      </c>
    </row>
    <row r="14" spans="2:20" x14ac:dyDescent="0.2">
      <c r="B14" s="46" t="s">
        <v>3</v>
      </c>
      <c r="C14" s="47"/>
      <c r="D14" s="9">
        <f t="shared" ref="D14:K14" si="0">AVERAGE(D4:D13)</f>
        <v>23359.577016000003</v>
      </c>
      <c r="E14" s="22">
        <f>AVERAGE(E4:E13)</f>
        <v>3.4601402279999999E-2</v>
      </c>
      <c r="F14" s="20">
        <f t="shared" si="0"/>
        <v>3</v>
      </c>
      <c r="G14" s="11">
        <f t="shared" si="0"/>
        <v>1.6</v>
      </c>
      <c r="H14" s="9">
        <f t="shared" si="0"/>
        <v>36475.840000000004</v>
      </c>
      <c r="I14" s="13">
        <f t="shared" si="0"/>
        <v>2.1080101199281991</v>
      </c>
      <c r="J14" s="13">
        <f t="shared" si="0"/>
        <v>564.37410617317107</v>
      </c>
      <c r="K14" s="11">
        <f t="shared" si="0"/>
        <v>0</v>
      </c>
      <c r="L14" s="16"/>
      <c r="M14" s="16">
        <f t="shared" ref="M14:T14" si="1">AVERAGE(M4:M13)</f>
        <v>13395.340418999996</v>
      </c>
      <c r="N14" s="21">
        <f t="shared" si="1"/>
        <v>3.6372494700000001E-2</v>
      </c>
      <c r="O14" s="18">
        <f t="shared" si="1"/>
        <v>3</v>
      </c>
      <c r="P14" s="18">
        <f t="shared" si="1"/>
        <v>1.5</v>
      </c>
      <c r="Q14" s="16">
        <f t="shared" si="1"/>
        <v>40482.199999999997</v>
      </c>
      <c r="R14" s="17">
        <f t="shared" si="1"/>
        <v>2.1080101199281991</v>
      </c>
      <c r="S14" s="17">
        <f t="shared" si="1"/>
        <v>549.62122404657293</v>
      </c>
      <c r="T14" s="18">
        <f t="shared" si="1"/>
        <v>0</v>
      </c>
    </row>
    <row r="15" spans="2:20" x14ac:dyDescent="0.2">
      <c r="D15" s="2"/>
      <c r="E15" s="3"/>
      <c r="F15" s="3"/>
      <c r="G15" s="3"/>
      <c r="H15" s="3"/>
      <c r="I15" s="3"/>
      <c r="J15" s="3"/>
    </row>
    <row r="16" spans="2:20" x14ac:dyDescent="0.2">
      <c r="D16" s="2"/>
    </row>
    <row r="17" spans="4:4" x14ac:dyDescent="0.2">
      <c r="D17" s="2"/>
    </row>
  </sheetData>
  <mergeCells count="1">
    <mergeCell ref="B14:C14"/>
  </mergeCells>
  <conditionalFormatting sqref="L1:L3 L14:L1048576">
    <cfRule type="duplicateValues" dxfId="19" priority="1"/>
  </conditionalFormatting>
  <conditionalFormatting sqref="L14">
    <cfRule type="duplicateValues" dxfId="18" priority="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28</vt:i4>
      </vt:variant>
    </vt:vector>
  </HeadingPairs>
  <TitlesOfParts>
    <vt:vector size="28" baseType="lpstr">
      <vt:lpstr>Summary</vt:lpstr>
      <vt:lpstr>results113</vt:lpstr>
      <vt:lpstr>results166</vt:lpstr>
      <vt:lpstr>results168</vt:lpstr>
      <vt:lpstr>results206</vt:lpstr>
      <vt:lpstr>results346</vt:lpstr>
      <vt:lpstr>results486</vt:lpstr>
      <vt:lpstr>results505</vt:lpstr>
      <vt:lpstr>results676</vt:lpstr>
      <vt:lpstr>results699</vt:lpstr>
      <vt:lpstr>results841</vt:lpstr>
      <vt:lpstr>Sample1</vt:lpstr>
      <vt:lpstr>10-2-2_a</vt:lpstr>
      <vt:lpstr>10-2-3_a</vt:lpstr>
      <vt:lpstr>10-3-2_a</vt:lpstr>
      <vt:lpstr>10-3-3_a</vt:lpstr>
      <vt:lpstr>20-2-2_a</vt:lpstr>
      <vt:lpstr>20-2-3_a</vt:lpstr>
      <vt:lpstr>20-3-2_a</vt:lpstr>
      <vt:lpstr>20-3-3_a</vt:lpstr>
      <vt:lpstr>30-2-2_a</vt:lpstr>
      <vt:lpstr>30-2-3_a</vt:lpstr>
      <vt:lpstr>30-3-2_a</vt:lpstr>
      <vt:lpstr>30-3-3_a</vt:lpstr>
      <vt:lpstr>30-3-2b</vt:lpstr>
      <vt:lpstr>30-3-3b</vt:lpstr>
      <vt:lpstr>20-3-3b</vt:lpstr>
      <vt:lpstr>10-3-3b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Pourdehghan Golneshini, Fatemeh (MU-Student)</dc:creator>
  <cp:lastModifiedBy>Pourdehghan Golneshini, Fatemeh (MU-Student)</cp:lastModifiedBy>
  <dcterms:created xsi:type="dcterms:W3CDTF">2024-09-25T20:37:25Z</dcterms:created>
  <dcterms:modified xsi:type="dcterms:W3CDTF">2026-10-22T01:46:59Z</dcterms:modified>
</cp:coreProperties>
</file>