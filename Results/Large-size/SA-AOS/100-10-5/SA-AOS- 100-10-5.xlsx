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00-10-5/"/>
    </mc:Choice>
  </mc:AlternateContent>
  <xr:revisionPtr revIDLastSave="0" documentId="13_ncr:1_{4409B6A4-8F68-8249-B664-028189760AD8}" xr6:coauthVersionLast="47" xr6:coauthVersionMax="47" xr10:uidLastSave="{00000000-0000-0000-0000-000000000000}"/>
  <bookViews>
    <workbookView xWindow="0" yWindow="760" windowWidth="34560" windowHeight="20580" activeTab="10" xr2:uid="{41E620E7-D6DF-9342-B452-EA60AB3B07C5}"/>
  </bookViews>
  <sheets>
    <sheet name="Summary" sheetId="68" r:id="rId1"/>
    <sheet name="results56" sheetId="61" r:id="rId2"/>
    <sheet name="results257" sheetId="62" r:id="rId3"/>
    <sheet name="results403" sheetId="63" r:id="rId4"/>
    <sheet name="results580" sheetId="64" r:id="rId5"/>
    <sheet name="results583" sheetId="58" r:id="rId6"/>
    <sheet name="results597" sheetId="57" r:id="rId7"/>
    <sheet name="results663" sheetId="59" r:id="rId8"/>
    <sheet name="results795" sheetId="60" r:id="rId9"/>
    <sheet name="results918" sheetId="65" r:id="rId10"/>
    <sheet name="results944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66" l="1"/>
  <c r="Q15" i="66"/>
  <c r="P15" i="66"/>
  <c r="O15" i="66"/>
  <c r="N15" i="66"/>
  <c r="M15" i="66"/>
  <c r="L15" i="66"/>
  <c r="R15" i="65"/>
  <c r="Q15" i="65"/>
  <c r="P15" i="65"/>
  <c r="O15" i="65"/>
  <c r="N15" i="65"/>
  <c r="M15" i="65"/>
  <c r="L15" i="65"/>
  <c r="R15" i="60"/>
  <c r="Q15" i="60"/>
  <c r="P15" i="60"/>
  <c r="O15" i="60"/>
  <c r="N15" i="60"/>
  <c r="M15" i="60"/>
  <c r="L15" i="60"/>
  <c r="R15" i="59"/>
  <c r="Q15" i="59"/>
  <c r="P15" i="59"/>
  <c r="O15" i="59"/>
  <c r="N15" i="59"/>
  <c r="M15" i="59"/>
  <c r="L15" i="59"/>
  <c r="R15" i="57"/>
  <c r="Q15" i="57"/>
  <c r="P15" i="57"/>
  <c r="O15" i="57"/>
  <c r="N15" i="57"/>
  <c r="M15" i="57"/>
  <c r="L15" i="57"/>
  <c r="R15" i="58"/>
  <c r="Q15" i="58"/>
  <c r="P15" i="58"/>
  <c r="O15" i="58"/>
  <c r="N15" i="58"/>
  <c r="M15" i="58"/>
  <c r="L15" i="58"/>
  <c r="R15" i="64"/>
  <c r="Q15" i="64"/>
  <c r="P15" i="64"/>
  <c r="O15" i="64"/>
  <c r="N15" i="64"/>
  <c r="M15" i="64"/>
  <c r="L15" i="64"/>
  <c r="R15" i="63"/>
  <c r="Q15" i="63"/>
  <c r="P15" i="63"/>
  <c r="O15" i="63"/>
  <c r="N15" i="63"/>
  <c r="M15" i="63"/>
  <c r="L15" i="63"/>
  <c r="R15" i="62"/>
  <c r="Q15" i="62"/>
  <c r="P15" i="62"/>
  <c r="O15" i="62"/>
  <c r="N15" i="62"/>
  <c r="M15" i="62"/>
  <c r="L15" i="62"/>
  <c r="U15" i="61"/>
  <c r="V15" i="61"/>
  <c r="W15" i="61"/>
  <c r="X15" i="61"/>
  <c r="Y15" i="61"/>
  <c r="Z15" i="61"/>
  <c r="T15" i="61"/>
  <c r="M15" i="61"/>
  <c r="N15" i="61"/>
  <c r="O15" i="61"/>
  <c r="P15" i="61"/>
  <c r="Q15" i="61"/>
  <c r="R15" i="61"/>
  <c r="L15" i="61"/>
  <c r="X7" i="68" a="1"/>
  <c r="I10" i="68" a="1"/>
  <c r="I9" i="68" a="1"/>
  <c r="W11" i="68" a="1"/>
  <c r="X5" i="68" a="1"/>
  <c r="T9" i="68" a="1"/>
  <c r="C4" i="68" a="1"/>
  <c r="D7" i="68" a="1"/>
  <c r="P5" i="68" a="1"/>
  <c r="M12" i="68" a="1"/>
  <c r="Q10" i="68" a="1"/>
  <c r="W5" i="68" a="1"/>
  <c r="L4" i="68" a="1"/>
  <c r="M6" i="68" a="1"/>
  <c r="U6" i="68" a="1"/>
  <c r="Y12" i="68" a="1"/>
  <c r="U4" i="68" a="1"/>
  <c r="W3" i="68" a="1"/>
  <c r="T5" i="68" a="1"/>
  <c r="W6" i="68" a="1"/>
  <c r="E3" i="68" a="1"/>
  <c r="X11" i="68" a="1"/>
  <c r="K9" i="68" a="1"/>
  <c r="E10" i="68" a="1"/>
  <c r="I8" i="68" a="1"/>
  <c r="S10" i="68" a="1"/>
  <c r="F5" i="68" a="1"/>
  <c r="Y6" i="68" a="1"/>
  <c r="I7" i="68" a="1"/>
  <c r="C7" i="68" a="1"/>
  <c r="E7" i="68" a="1"/>
  <c r="X3" i="68" a="1"/>
  <c r="K10" i="68" a="1"/>
  <c r="G7" i="68" a="1"/>
  <c r="N7" i="68" a="1"/>
  <c r="G11" i="68" a="1"/>
  <c r="Y9" i="68" a="1"/>
  <c r="O11" i="68" a="1"/>
  <c r="S8" i="68" a="1"/>
  <c r="E8" i="68" a="1"/>
  <c r="Y10" i="68" a="1"/>
  <c r="D11" i="68" a="1"/>
  <c r="O7" i="68" a="1"/>
  <c r="S7" i="68" a="1"/>
  <c r="N3" i="68" a="1"/>
  <c r="C6" i="68" a="1"/>
  <c r="X8" i="68" a="1"/>
  <c r="P10" i="68" a="1"/>
  <c r="S12" i="68" a="1"/>
  <c r="M9" i="68" a="1"/>
  <c r="I3" i="68" a="1"/>
  <c r="X9" i="68" a="1"/>
  <c r="G6" i="68" a="1"/>
  <c r="H10" i="68" a="1"/>
  <c r="H3" i="68" a="1"/>
  <c r="M4" i="68" a="1"/>
  <c r="F11" i="68" a="1"/>
  <c r="V5" i="68" a="1"/>
  <c r="W12" i="68" a="1"/>
  <c r="C8" i="68" a="1"/>
  <c r="Q3" i="68" a="1"/>
  <c r="C11" i="68" a="1"/>
  <c r="O10" i="68" a="1"/>
  <c r="L8" i="68" a="1"/>
  <c r="D4" i="68" a="1"/>
  <c r="M5" i="68" a="1"/>
  <c r="O8" i="68" a="1"/>
  <c r="L6" i="68" a="1"/>
  <c r="G9" i="68" a="1"/>
  <c r="K12" i="68" a="1"/>
  <c r="M11" i="68" a="1"/>
  <c r="P9" i="68" a="1"/>
  <c r="P4" i="68" a="1"/>
  <c r="N9" i="68" a="1"/>
  <c r="I6" i="68" a="1"/>
  <c r="S4" i="68" a="1"/>
  <c r="H6" i="68" a="1"/>
  <c r="H9" i="68" a="1"/>
  <c r="G3" i="68" a="1"/>
  <c r="I4" i="68" a="1"/>
  <c r="E9" i="68" a="1"/>
  <c r="K5" i="68" a="1"/>
  <c r="Q4" i="68" a="1"/>
  <c r="D5" i="68" a="1"/>
  <c r="D6" i="68" a="1"/>
  <c r="V10" i="68" a="1"/>
  <c r="V6" i="68" a="1"/>
  <c r="U12" i="68" a="1"/>
  <c r="Q11" i="68" a="1"/>
  <c r="E5" i="68" a="1"/>
  <c r="C5" i="68" a="1"/>
  <c r="T12" i="68" a="1"/>
  <c r="S5" i="68" a="1"/>
  <c r="U9" i="68" a="1"/>
  <c r="D9" i="68" a="1"/>
  <c r="Q8" i="68" a="1"/>
  <c r="O4" i="68" a="1"/>
  <c r="Q12" i="68" a="1"/>
  <c r="Q5" i="68" a="1"/>
  <c r="T7" i="68" a="1"/>
  <c r="O6" i="68" a="1"/>
  <c r="X4" i="68" a="1"/>
  <c r="F8" i="68" a="1"/>
  <c r="N4" i="68" a="1"/>
  <c r="X12" i="68" a="1"/>
  <c r="P6" i="68" a="1"/>
  <c r="U7" i="68" a="1"/>
  <c r="I5" i="68" a="1"/>
  <c r="K4" i="68" a="1"/>
  <c r="C12" i="68" a="1"/>
  <c r="V12" i="68" a="1"/>
  <c r="C10" i="68" a="1"/>
  <c r="F9" i="68" a="1"/>
  <c r="X6" i="68" a="1"/>
  <c r="F10" i="68" a="1"/>
  <c r="W10" i="68" a="1"/>
  <c r="O5" i="68" a="1"/>
  <c r="N12" i="68" a="1"/>
  <c r="V3" i="68" a="1"/>
  <c r="V8" i="68" a="1"/>
  <c r="H12" i="68" a="1"/>
  <c r="D3" i="68" a="1"/>
  <c r="I11" i="68" a="1"/>
  <c r="L7" i="68" a="1"/>
  <c r="Y8" i="68" a="1"/>
  <c r="K6" i="68" a="1"/>
  <c r="Q9" i="68" a="1"/>
  <c r="W9" i="68" a="1"/>
  <c r="M3" i="68" a="1"/>
  <c r="P7" i="68" a="1"/>
  <c r="H11" i="68" a="1"/>
  <c r="S9" i="68" a="1"/>
  <c r="Y11" i="68" a="1"/>
  <c r="E12" i="68" a="1"/>
  <c r="Y5" i="68" a="1"/>
  <c r="M10" i="68" a="1"/>
  <c r="S3" i="68" a="1"/>
  <c r="T8" i="68" a="1"/>
  <c r="K11" i="68" a="1"/>
  <c r="T3" i="68" a="1"/>
  <c r="H4" i="68" a="1"/>
  <c r="N5" i="68" a="1"/>
  <c r="I12" i="68" a="1"/>
  <c r="O12" i="68" a="1"/>
  <c r="T6" i="68" a="1"/>
  <c r="C9" i="68" a="1"/>
  <c r="Y3" i="68" a="1"/>
  <c r="G5" i="68" a="1"/>
  <c r="V7" i="68" a="1"/>
  <c r="H8" i="68" a="1"/>
  <c r="F3" i="68" a="1"/>
  <c r="Q7" i="68" a="1"/>
  <c r="O3" i="68" a="1"/>
  <c r="T4" i="68" a="1"/>
  <c r="L11" i="68" a="1"/>
  <c r="M7" i="68" a="1"/>
  <c r="L12" i="68" a="1"/>
  <c r="N8" i="68" a="1"/>
  <c r="H7" i="68" a="1"/>
  <c r="Y7" i="68" a="1"/>
  <c r="G10" i="68" a="1"/>
  <c r="O9" i="68" a="1"/>
  <c r="H5" i="68" a="1"/>
  <c r="F4" i="68" a="1"/>
  <c r="M8" i="68" a="1"/>
  <c r="V4" i="68" a="1"/>
  <c r="D10" i="68" a="1"/>
  <c r="P11" i="68" a="1"/>
  <c r="L10" i="68" a="1"/>
  <c r="P3" i="68" a="1"/>
  <c r="U8" i="68" a="1"/>
  <c r="L3" i="68" a="1"/>
  <c r="T11" i="68" a="1"/>
  <c r="V9" i="68" a="1"/>
  <c r="Q6" i="68" a="1"/>
  <c r="N11" i="68" a="1"/>
  <c r="L9" i="68" a="1"/>
  <c r="X10" i="68" a="1"/>
  <c r="G4" i="68" a="1"/>
  <c r="S6" i="68" a="1"/>
  <c r="V11" i="68" a="1"/>
  <c r="S11" i="68" a="1"/>
  <c r="U11" i="68" a="1"/>
  <c r="E4" i="68" a="1"/>
  <c r="F7" i="68" a="1"/>
  <c r="W7" i="68" a="1"/>
  <c r="W8" i="68" a="1"/>
  <c r="Y4" i="68" a="1"/>
  <c r="F6" i="68" a="1"/>
  <c r="L5" i="68" a="1"/>
  <c r="P12" i="68" a="1"/>
  <c r="E11" i="68" a="1"/>
  <c r="W4" i="68" a="1"/>
  <c r="U5" i="68" a="1"/>
  <c r="P8" i="68" a="1"/>
  <c r="C3" i="68" a="1"/>
  <c r="G12" i="68" a="1"/>
  <c r="F12" i="68" a="1"/>
  <c r="T10" i="68" a="1"/>
  <c r="D12" i="68" a="1"/>
  <c r="G8" i="68" a="1"/>
  <c r="D8" i="68" a="1"/>
  <c r="N10" i="68" a="1"/>
  <c r="U10" i="68" a="1"/>
  <c r="K8" i="68" a="1"/>
  <c r="K7" i="68" a="1"/>
  <c r="E6" i="68" a="1"/>
  <c r="U3" i="68" a="1"/>
  <c r="K3" i="68" a="1"/>
  <c r="N6" i="68" a="1"/>
  <c r="W3" i="68" l="1"/>
  <c r="M4" i="68"/>
  <c r="C5" i="68"/>
  <c r="I5" i="68"/>
  <c r="W5" i="68"/>
  <c r="D5" i="68"/>
  <c r="L6" i="68"/>
  <c r="F8" i="68"/>
  <c r="U8" i="68"/>
  <c r="K10" i="68"/>
  <c r="K6" i="68"/>
  <c r="N10" i="68"/>
  <c r="N8" i="68"/>
  <c r="L10" i="68"/>
  <c r="N9" i="68"/>
  <c r="V12" i="68"/>
  <c r="G12" i="68"/>
  <c r="S10" i="68"/>
  <c r="M12" i="68"/>
  <c r="O12" i="68"/>
  <c r="N12" i="68"/>
  <c r="C8" i="68"/>
  <c r="N11" i="68"/>
  <c r="Y9" i="68"/>
  <c r="N7" i="68"/>
  <c r="W8" i="68"/>
  <c r="Q12" i="68"/>
  <c r="L11" i="68"/>
  <c r="C4" i="68"/>
  <c r="O11" i="68"/>
  <c r="P9" i="68"/>
  <c r="N6" i="68"/>
  <c r="E8" i="68"/>
  <c r="W10" i="68"/>
  <c r="X8" i="68"/>
  <c r="K3" i="68"/>
  <c r="G11" i="68"/>
  <c r="W12" i="68"/>
  <c r="M10" i="68"/>
  <c r="S9" i="68"/>
  <c r="K12" i="68"/>
  <c r="E6" i="68"/>
  <c r="M6" i="68"/>
  <c r="H4" i="68"/>
  <c r="E7" i="68"/>
  <c r="V8" i="68"/>
  <c r="X3" i="68"/>
  <c r="K7" i="68"/>
  <c r="U10" i="68"/>
  <c r="P8" i="68"/>
  <c r="V3" i="68"/>
  <c r="H9" i="68"/>
  <c r="S12" i="68"/>
  <c r="Q4" i="68"/>
  <c r="S6" i="68"/>
  <c r="X4" i="68"/>
  <c r="F6" i="68"/>
  <c r="C11" i="68"/>
  <c r="M9" i="68"/>
  <c r="U11" i="68"/>
  <c r="C7" i="68"/>
  <c r="E3" i="68"/>
  <c r="T5" i="68"/>
  <c r="G3" i="68"/>
  <c r="K5" i="68"/>
  <c r="Q10" i="68"/>
  <c r="I3" i="68"/>
  <c r="Q5" i="68"/>
  <c r="Y10" i="68"/>
  <c r="T12" i="68"/>
  <c r="V6" i="68"/>
  <c r="U12" i="68"/>
  <c r="F9" i="68"/>
  <c r="I9" i="68"/>
  <c r="O10" i="68"/>
  <c r="Q9" i="68"/>
  <c r="I10" i="68"/>
  <c r="P3" i="68"/>
  <c r="E5" i="68"/>
  <c r="X9" i="68"/>
  <c r="M11" i="68"/>
  <c r="C6" i="68"/>
  <c r="V4" i="68"/>
  <c r="I6" i="68"/>
  <c r="O5" i="68"/>
  <c r="F7" i="68"/>
  <c r="O8" i="68"/>
  <c r="M7" i="68"/>
  <c r="N3" i="68"/>
  <c r="X10" i="68"/>
  <c r="S7" i="68"/>
  <c r="E9" i="68"/>
  <c r="G4" i="68"/>
  <c r="Q7" i="68"/>
  <c r="D11" i="68"/>
  <c r="T9" i="68"/>
  <c r="S4" i="68"/>
  <c r="O9" i="68"/>
  <c r="Y12" i="68"/>
  <c r="U5" i="68"/>
  <c r="L8" i="68"/>
  <c r="D6" i="68"/>
  <c r="T6" i="68"/>
  <c r="I11" i="68"/>
  <c r="P10" i="68"/>
  <c r="X12" i="68"/>
  <c r="P7" i="68"/>
  <c r="Y11" i="68"/>
  <c r="D4" i="68"/>
  <c r="G9" i="68"/>
  <c r="F12" i="68"/>
  <c r="H12" i="68"/>
  <c r="G5" i="68"/>
  <c r="W6" i="68"/>
  <c r="T8" i="68"/>
  <c r="S3" i="68"/>
  <c r="D9" i="68"/>
  <c r="D12" i="68"/>
  <c r="N5" i="68"/>
  <c r="X5" i="68"/>
  <c r="O7" i="68"/>
  <c r="O3" i="68"/>
  <c r="Q6" i="68"/>
  <c r="G6" i="68"/>
  <c r="V7" i="68"/>
  <c r="C10" i="68"/>
  <c r="U7" i="68"/>
  <c r="E11" i="68"/>
  <c r="F5" i="68"/>
  <c r="V11" i="68"/>
  <c r="F4" i="68"/>
  <c r="S5" i="68"/>
  <c r="G10" i="68"/>
  <c r="E12" i="68"/>
  <c r="T4" i="68"/>
  <c r="V10" i="68"/>
  <c r="D7" i="68"/>
  <c r="L12" i="68"/>
  <c r="P5" i="68"/>
  <c r="I8" i="68"/>
  <c r="O4" i="68"/>
  <c r="S11" i="68"/>
  <c r="Y7" i="68"/>
  <c r="L9" i="68"/>
  <c r="N4" i="68"/>
  <c r="X7" i="68"/>
  <c r="K11" i="68"/>
  <c r="F11" i="68"/>
  <c r="H5" i="68"/>
  <c r="V9" i="68"/>
  <c r="M3" i="68"/>
  <c r="X6" i="68"/>
  <c r="F3" i="68"/>
  <c r="G7" i="68"/>
  <c r="I7" i="68"/>
  <c r="P11" i="68"/>
  <c r="T11" i="68"/>
  <c r="H3" i="68"/>
  <c r="M8" i="68"/>
  <c r="Y5" i="68"/>
  <c r="X11" i="68"/>
  <c r="M5" i="68"/>
  <c r="C3" i="68"/>
  <c r="O6" i="68"/>
  <c r="Y6" i="68"/>
  <c r="P6" i="68"/>
  <c r="K4" i="68"/>
  <c r="L3" i="68"/>
  <c r="H7" i="68"/>
  <c r="T7" i="68"/>
  <c r="C9" i="68"/>
  <c r="Y3" i="68"/>
  <c r="K9" i="68"/>
  <c r="H11" i="68"/>
  <c r="T3" i="68"/>
  <c r="H10" i="68"/>
  <c r="Q8" i="68"/>
  <c r="L4" i="68"/>
  <c r="W4" i="68"/>
  <c r="D3" i="68"/>
  <c r="U9" i="68"/>
  <c r="Y4" i="68"/>
  <c r="F10" i="68"/>
  <c r="L7" i="68"/>
  <c r="U6" i="68"/>
  <c r="S8" i="68"/>
  <c r="C12" i="68"/>
  <c r="D10" i="68"/>
  <c r="Q3" i="68"/>
  <c r="Y8" i="68"/>
  <c r="U3" i="68"/>
  <c r="T10" i="68"/>
  <c r="L5" i="68"/>
  <c r="H8" i="68"/>
  <c r="H6" i="68"/>
  <c r="U4" i="68"/>
  <c r="G8" i="68"/>
  <c r="Q11" i="68"/>
  <c r="I12" i="68"/>
  <c r="V5" i="68"/>
  <c r="E10" i="68"/>
  <c r="P4" i="68"/>
  <c r="D8" i="68"/>
  <c r="I4" i="68"/>
  <c r="K8" i="68"/>
  <c r="W7" i="68"/>
  <c r="W11" i="68"/>
  <c r="P12" i="68"/>
  <c r="E4" i="68"/>
  <c r="W9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C16" i="68" l="1"/>
  <c r="K16" i="68"/>
  <c r="S16" i="68"/>
  <c r="F13" i="68"/>
  <c r="L13" i="68"/>
  <c r="S13" i="68"/>
  <c r="Z13" i="68" s="1"/>
  <c r="C13" i="68"/>
  <c r="J13" i="68" s="1"/>
  <c r="Q13" i="68"/>
  <c r="D13" i="68"/>
  <c r="K13" i="68"/>
  <c r="U13" i="68"/>
  <c r="X13" i="68"/>
  <c r="Y13" i="68"/>
  <c r="G13" i="68"/>
  <c r="T13" i="68"/>
  <c r="I13" i="68"/>
  <c r="V13" i="68"/>
  <c r="P13" i="68"/>
  <c r="O13" i="68"/>
  <c r="E13" i="68"/>
  <c r="M13" i="68"/>
  <c r="N13" i="68"/>
  <c r="H13" i="68"/>
  <c r="W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14" i="68" l="1"/>
  <c r="V14" i="68"/>
  <c r="O14" i="68"/>
  <c r="N14" i="68"/>
  <c r="W14" i="68"/>
  <c r="S14" i="68"/>
  <c r="U14" i="68"/>
  <c r="M14" i="68"/>
  <c r="Q14" i="68"/>
  <c r="T14" i="68"/>
  <c r="P14" i="68"/>
  <c r="K14" i="68"/>
  <c r="R13" i="68"/>
  <c r="Y14" i="68"/>
  <c r="X14" i="68"/>
  <c r="D14" i="66"/>
  <c r="K14" i="66" s="1"/>
  <c r="D14" i="65"/>
  <c r="H14" i="65" s="1"/>
  <c r="E14" i="66"/>
  <c r="J14" i="66"/>
  <c r="I14" i="66"/>
  <c r="H14" i="66"/>
  <c r="F14" i="66"/>
  <c r="G14" i="66"/>
  <c r="F14" i="65"/>
  <c r="G14" i="65"/>
  <c r="K14" i="65"/>
  <c r="J14" i="65"/>
  <c r="I14" i="65"/>
  <c r="E14" i="65"/>
  <c r="D14" i="60"/>
  <c r="D14" i="59"/>
  <c r="D14" i="57"/>
  <c r="F14" i="57" s="1"/>
  <c r="D14" i="58"/>
  <c r="D14" i="64"/>
  <c r="F14" i="64" s="1"/>
  <c r="D14" i="63"/>
  <c r="D14" i="62"/>
  <c r="D14" i="61"/>
  <c r="I14" i="63"/>
  <c r="H14" i="63"/>
  <c r="G14" i="63"/>
  <c r="F14" i="63"/>
  <c r="E14" i="63"/>
  <c r="J14" i="63"/>
  <c r="K14" i="63"/>
  <c r="K14" i="64"/>
  <c r="I14" i="64"/>
  <c r="J14" i="64"/>
  <c r="H14" i="64"/>
  <c r="G14" i="64"/>
  <c r="K14" i="62"/>
  <c r="J14" i="62"/>
  <c r="I14" i="62"/>
  <c r="H14" i="62"/>
  <c r="G14" i="62"/>
  <c r="E14" i="62"/>
  <c r="F14" i="62"/>
  <c r="E14" i="61"/>
  <c r="G14" i="61"/>
  <c r="F14" i="61"/>
  <c r="K14" i="61"/>
  <c r="I14" i="61"/>
  <c r="H14" i="61"/>
  <c r="J14" i="61"/>
  <c r="I14" i="59"/>
  <c r="H14" i="59"/>
  <c r="G14" i="59"/>
  <c r="F14" i="59"/>
  <c r="E14" i="59"/>
  <c r="K14" i="59"/>
  <c r="J14" i="59"/>
  <c r="J14" i="60"/>
  <c r="K14" i="60"/>
  <c r="I14" i="60"/>
  <c r="H14" i="60"/>
  <c r="G14" i="60"/>
  <c r="F14" i="60"/>
  <c r="E14" i="60"/>
  <c r="J14" i="58"/>
  <c r="F14" i="58"/>
  <c r="I14" i="58"/>
  <c r="E14" i="58"/>
  <c r="K14" i="58"/>
  <c r="H14" i="58"/>
  <c r="G14" i="58"/>
  <c r="G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14" i="57" l="1"/>
  <c r="J14" i="57"/>
  <c r="I14" i="57"/>
  <c r="E14" i="57"/>
  <c r="H14" i="57"/>
  <c r="E14" i="64"/>
  <c r="G14" i="26"/>
  <c r="E14" i="26"/>
  <c r="D14" i="26"/>
  <c r="K14" i="26"/>
  <c r="P14" i="25"/>
  <c r="N14" i="25"/>
  <c r="M14" i="25"/>
  <c r="T14" i="25"/>
  <c r="D14" i="25"/>
  <c r="H4" i="23" a="1"/>
  <c r="I4" i="23" a="1"/>
  <c r="T14" i="66" l="1"/>
  <c r="T15" i="66" s="1"/>
  <c r="T14" i="65"/>
  <c r="T14" i="60"/>
  <c r="T15" i="60" s="1"/>
  <c r="T14" i="59"/>
  <c r="T15" i="59" s="1"/>
  <c r="T14" i="57"/>
  <c r="T15" i="57" s="1"/>
  <c r="T14" i="63"/>
  <c r="Y14" i="63" s="1"/>
  <c r="Y15" i="63" s="1"/>
  <c r="T14" i="62"/>
  <c r="T15" i="62" s="1"/>
  <c r="T14" i="58"/>
  <c r="T15" i="58" s="1"/>
  <c r="AA14" i="65"/>
  <c r="T15" i="65"/>
  <c r="T14" i="64"/>
  <c r="W14" i="64" s="1"/>
  <c r="W15" i="64" s="1"/>
  <c r="T14" i="61"/>
  <c r="L14" i="57"/>
  <c r="L14" i="59"/>
  <c r="L14" i="60"/>
  <c r="L14" i="65"/>
  <c r="L14" i="66"/>
  <c r="R14" i="66" s="1"/>
  <c r="R2" i="66" s="1"/>
  <c r="L14" i="58"/>
  <c r="L14" i="64"/>
  <c r="S14" i="64" s="1"/>
  <c r="J2" i="64" s="1"/>
  <c r="L14" i="63"/>
  <c r="L14" i="62"/>
  <c r="L14" i="61"/>
  <c r="S14" i="66"/>
  <c r="J2" i="66" s="1"/>
  <c r="X14" i="65"/>
  <c r="X15" i="65" s="1"/>
  <c r="U14" i="65"/>
  <c r="U15" i="65" s="1"/>
  <c r="Z14" i="63"/>
  <c r="Z15" i="63" s="1"/>
  <c r="V14" i="65"/>
  <c r="V15" i="65" s="1"/>
  <c r="Z14" i="65"/>
  <c r="Z15" i="65" s="1"/>
  <c r="Y14" i="65"/>
  <c r="Y15" i="65" s="1"/>
  <c r="W14" i="65"/>
  <c r="W15" i="65" s="1"/>
  <c r="R14" i="63"/>
  <c r="R2" i="63" s="1"/>
  <c r="Q14" i="63"/>
  <c r="H2" i="63" s="1"/>
  <c r="O14" i="63"/>
  <c r="P14" i="63"/>
  <c r="P2" i="63" s="1"/>
  <c r="N14" i="63"/>
  <c r="M14" i="63"/>
  <c r="S14" i="63"/>
  <c r="J2" i="63" s="1"/>
  <c r="M14" i="64"/>
  <c r="Q14" i="64"/>
  <c r="H2" i="64" s="1"/>
  <c r="O14" i="64"/>
  <c r="N14" i="64"/>
  <c r="P14" i="64"/>
  <c r="P2" i="64" s="1"/>
  <c r="R14" i="64"/>
  <c r="R2" i="64" s="1"/>
  <c r="AA14" i="62"/>
  <c r="Z14" i="62"/>
  <c r="Z15" i="62" s="1"/>
  <c r="W14" i="62"/>
  <c r="W15" i="62" s="1"/>
  <c r="V14" i="62"/>
  <c r="V15" i="62" s="1"/>
  <c r="U14" i="59"/>
  <c r="U15" i="59" s="1"/>
  <c r="Y14" i="59"/>
  <c r="Y15" i="59" s="1"/>
  <c r="X14" i="59"/>
  <c r="X15" i="59" s="1"/>
  <c r="AA14" i="59"/>
  <c r="Z14" i="59"/>
  <c r="Z15" i="59" s="1"/>
  <c r="W14" i="59"/>
  <c r="W15" i="59" s="1"/>
  <c r="V14" i="59"/>
  <c r="V15" i="59" s="1"/>
  <c r="V14" i="63"/>
  <c r="V15" i="63" s="1"/>
  <c r="Y14" i="60"/>
  <c r="Y15" i="60" s="1"/>
  <c r="AA14" i="60"/>
  <c r="Z14" i="60"/>
  <c r="Z15" i="60" s="1"/>
  <c r="V14" i="60"/>
  <c r="V15" i="60" s="1"/>
  <c r="U14" i="60"/>
  <c r="U15" i="60" s="1"/>
  <c r="W14" i="60"/>
  <c r="W15" i="60" s="1"/>
  <c r="X14" i="60"/>
  <c r="X15" i="60" s="1"/>
  <c r="O14" i="59"/>
  <c r="Q14" i="59"/>
  <c r="H2" i="59" s="1"/>
  <c r="P14" i="59"/>
  <c r="P2" i="59" s="1"/>
  <c r="N14" i="59"/>
  <c r="M14" i="59"/>
  <c r="S14" i="59"/>
  <c r="J2" i="59" s="1"/>
  <c r="R14" i="59"/>
  <c r="R2" i="59" s="1"/>
  <c r="X14" i="57"/>
  <c r="X15" i="57" s="1"/>
  <c r="V14" i="57"/>
  <c r="V15" i="57" s="1"/>
  <c r="W14" i="57"/>
  <c r="W15" i="57" s="1"/>
  <c r="AA14" i="57"/>
  <c r="Y14" i="57"/>
  <c r="Y15" i="57" s="1"/>
  <c r="U14" i="57"/>
  <c r="U15" i="57" s="1"/>
  <c r="Z14" i="57"/>
  <c r="Z15" i="57" s="1"/>
  <c r="M14" i="66"/>
  <c r="O14" i="66"/>
  <c r="N14" i="66"/>
  <c r="P14" i="66"/>
  <c r="P2" i="66" s="1"/>
  <c r="N14" i="58"/>
  <c r="S14" i="58"/>
  <c r="J2" i="58" s="1"/>
  <c r="Q14" i="58"/>
  <c r="H2" i="58" s="1"/>
  <c r="M14" i="58"/>
  <c r="R14" i="58"/>
  <c r="R2" i="58" s="1"/>
  <c r="O14" i="58"/>
  <c r="P14" i="58"/>
  <c r="P2" i="58" s="1"/>
  <c r="O14" i="61"/>
  <c r="R14" i="61"/>
  <c r="R2" i="61" s="1"/>
  <c r="M14" i="61"/>
  <c r="Q14" i="61"/>
  <c r="H2" i="61" s="1"/>
  <c r="N14" i="61"/>
  <c r="P14" i="61"/>
  <c r="P2" i="61" s="1"/>
  <c r="S14" i="61"/>
  <c r="J2" i="61" s="1"/>
  <c r="AA14" i="64"/>
  <c r="W14" i="63"/>
  <c r="W15" i="63" s="1"/>
  <c r="R14" i="60"/>
  <c r="R2" i="60" s="1"/>
  <c r="Q14" i="60"/>
  <c r="H2" i="60" s="1"/>
  <c r="O14" i="60"/>
  <c r="N14" i="60"/>
  <c r="M14" i="60"/>
  <c r="P14" i="60"/>
  <c r="P2" i="60" s="1"/>
  <c r="S14" i="60"/>
  <c r="J2" i="60" s="1"/>
  <c r="W14" i="58"/>
  <c r="W15" i="58" s="1"/>
  <c r="Z14" i="58"/>
  <c r="Z15" i="58" s="1"/>
  <c r="Y14" i="58"/>
  <c r="Y15" i="58" s="1"/>
  <c r="X14" i="58"/>
  <c r="X15" i="58" s="1"/>
  <c r="V14" i="58"/>
  <c r="V15" i="58" s="1"/>
  <c r="U14" i="58"/>
  <c r="U15" i="58" s="1"/>
  <c r="AA14" i="58"/>
  <c r="V14" i="66"/>
  <c r="V15" i="66" s="1"/>
  <c r="Z14" i="66"/>
  <c r="Y14" i="66"/>
  <c r="Y15" i="66" s="1"/>
  <c r="W14" i="66"/>
  <c r="W15" i="66" s="1"/>
  <c r="X14" i="66"/>
  <c r="X15" i="66" s="1"/>
  <c r="U14" i="66"/>
  <c r="U15" i="66" s="1"/>
  <c r="AA14" i="66"/>
  <c r="N14" i="65"/>
  <c r="O14" i="65"/>
  <c r="R14" i="65"/>
  <c r="R2" i="65" s="1"/>
  <c r="P14" i="65"/>
  <c r="P2" i="65" s="1"/>
  <c r="Q14" i="65"/>
  <c r="H2" i="65" s="1"/>
  <c r="S14" i="65"/>
  <c r="J2" i="65" s="1"/>
  <c r="M14" i="65"/>
  <c r="Z14" i="61"/>
  <c r="W14" i="61"/>
  <c r="AA14" i="61"/>
  <c r="X14" i="61"/>
  <c r="Y14" i="61"/>
  <c r="U14" i="61"/>
  <c r="V14" i="61"/>
  <c r="Q14" i="57"/>
  <c r="H2" i="57" s="1"/>
  <c r="O14" i="57"/>
  <c r="S14" i="57"/>
  <c r="J2" i="57" s="1"/>
  <c r="R14" i="57"/>
  <c r="R2" i="57" s="1"/>
  <c r="N14" i="57"/>
  <c r="M14" i="57"/>
  <c r="P14" i="57"/>
  <c r="P2" i="57" s="1"/>
  <c r="R14" i="62"/>
  <c r="R2" i="62" s="1"/>
  <c r="P14" i="62"/>
  <c r="P2" i="62" s="1"/>
  <c r="O14" i="62"/>
  <c r="Q14" i="62"/>
  <c r="H2" i="62" s="1"/>
  <c r="M14" i="62"/>
  <c r="N14" i="62"/>
  <c r="S14" i="62"/>
  <c r="J2" i="62" s="1"/>
  <c r="H4" i="23"/>
  <c r="I4" i="23"/>
  <c r="G12" i="23" a="1"/>
  <c r="F12" i="23" a="1"/>
  <c r="E8" i="23" a="1"/>
  <c r="F8" i="23" a="1"/>
  <c r="D13" i="23" a="1"/>
  <c r="D12" i="23" a="1"/>
  <c r="D11" i="23" a="1"/>
  <c r="E5" i="23" a="1"/>
  <c r="F11" i="23" a="1"/>
  <c r="E12" i="23" a="1"/>
  <c r="G13" i="23" a="1"/>
  <c r="E9" i="23" a="1"/>
  <c r="D6" i="23" a="1"/>
  <c r="D7" i="23" a="1"/>
  <c r="E13" i="23" a="1"/>
  <c r="F10" i="23" a="1"/>
  <c r="D5" i="23" a="1"/>
  <c r="G11" i="23" a="1"/>
  <c r="D9" i="23" a="1"/>
  <c r="F6" i="23" a="1"/>
  <c r="F9" i="23" a="1"/>
  <c r="G8" i="23" a="1"/>
  <c r="E10" i="23" a="1"/>
  <c r="G9" i="23" a="1"/>
  <c r="F13" i="23" a="1"/>
  <c r="D4" i="23" a="1"/>
  <c r="G7" i="23" a="1"/>
  <c r="F7" i="23" a="1"/>
  <c r="F5" i="23" a="1"/>
  <c r="G6" i="23" a="1"/>
  <c r="D8" i="23" a="1"/>
  <c r="G4" i="23" a="1"/>
  <c r="G5" i="23" a="1"/>
  <c r="E7" i="23" a="1"/>
  <c r="E11" i="23" a="1"/>
  <c r="G10" i="23" a="1"/>
  <c r="D10" i="23" a="1"/>
  <c r="E6" i="23" a="1"/>
  <c r="F4" i="23" a="1"/>
  <c r="E4" i="23" a="1"/>
  <c r="T15" i="63" l="1"/>
  <c r="X14" i="63"/>
  <c r="X15" i="63" s="1"/>
  <c r="AA14" i="63"/>
  <c r="U14" i="63"/>
  <c r="U15" i="63" s="1"/>
  <c r="U14" i="62"/>
  <c r="U15" i="62" s="1"/>
  <c r="X14" i="62"/>
  <c r="X15" i="62" s="1"/>
  <c r="Y14" i="62"/>
  <c r="Y15" i="62" s="1"/>
  <c r="X14" i="64"/>
  <c r="X15" i="64" s="1"/>
  <c r="Z2" i="66"/>
  <c r="Z15" i="66"/>
  <c r="V14" i="64"/>
  <c r="V15" i="64" s="1"/>
  <c r="Y14" i="64"/>
  <c r="Y15" i="64" s="1"/>
  <c r="T15" i="64"/>
  <c r="Z14" i="64"/>
  <c r="Z15" i="64" s="1"/>
  <c r="U14" i="64"/>
  <c r="U15" i="64" s="1"/>
  <c r="Q14" i="66"/>
  <c r="H2" i="66" s="1"/>
  <c r="X2" i="66"/>
  <c r="Z2" i="61"/>
  <c r="Z2" i="58"/>
  <c r="Z2" i="63"/>
  <c r="X2" i="64"/>
  <c r="Z2" i="60"/>
  <c r="X2" i="58"/>
  <c r="Z2" i="59"/>
  <c r="X2" i="61"/>
  <c r="X2" i="57"/>
  <c r="Z2" i="62"/>
  <c r="X2" i="65"/>
  <c r="Z2" i="57"/>
  <c r="X2" i="60"/>
  <c r="Z2" i="65"/>
  <c r="X2" i="59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X2" i="63" l="1"/>
  <c r="X2" i="62"/>
  <c r="Z2" i="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<sst xmlns="http://schemas.openxmlformats.org/spreadsheetml/2006/main" count="677" uniqueCount="22">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</sst>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F2BB-D13C-E849-9763-F2D39477BF9A}">
  <dimension ref="B2:Z16"/>
  <sheetViews>
    <sheetView topLeftCell="F1" zoomScale="136" zoomScaleNormal="85" workbookViewId="0">
      <selection activeCell="O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56</v>
      </c>
      <c r="C3" s="5" cm="1">
        <f t="array" aca="1" ref="C3" ca="1">INDIRECT("'results" &amp; $B3 &amp; "'!D$14")</f>
        <v>688163.60850281816</v>
      </c>
      <c r="D3" s="33" cm="1">
        <f t="array" aca="1" ref="D3" ca="1">INDIRECT("'results" &amp; $B3 &amp; "'!E$14")</f>
        <v>71.228360166001949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98</v>
      </c>
      <c r="G3" s="5" cm="1">
        <f t="array" aca="1" ref="G3" ca="1">INDIRECT("'results" &amp; $B3 &amp; "'!H$14")</f>
        <v>149.84144721699965</v>
      </c>
      <c r="H3" s="33" cm="1">
        <f t="array" aca="1" ref="H3" ca="1">INDIRECT("'results" &amp; $B3 &amp; "'!I$14")</f>
        <v>30.764753738664602</v>
      </c>
      <c r="I3" s="5" cm="1">
        <f t="array" aca="1" ref="I3" ca="1">INDIRECT("'results" &amp; $B3 &amp; "'!J$14")</f>
        <v>4743.1514630634238</v>
      </c>
      <c r="J3" s="5"/>
      <c r="K3" s="5" cm="1">
        <f t="array" aca="1" ref="K3" ca="1">INDIRECT("'results" &amp; $B3 &amp; "'!L$14")</f>
        <v>929715.79119362275</v>
      </c>
      <c r="L3" s="5" cm="1">
        <f t="array" aca="1" ref="L3" ca="1">INDIRECT("'results" &amp; $B3 &amp; "'!M$14")</f>
        <v>157.69643479199979</v>
      </c>
      <c r="M3" s="5" cm="1">
        <f t="array" aca="1" ref="M3" ca="1">INDIRECT("'results" &amp; $B3 &amp; "'!N$14")</f>
        <v>18</v>
      </c>
      <c r="N3" s="5" cm="1">
        <f t="array" aca="1" ref="N3" ca="1">INDIRECT("'results" &amp; $B3 &amp; "'!O$14")</f>
        <v>88</v>
      </c>
      <c r="O3" s="5" cm="1">
        <f t="array" aca="1" ref="O3" ca="1">INDIRECT("'results" &amp; $B3 &amp; "'!P$14")</f>
        <v>105.78265194124984</v>
      </c>
      <c r="P3" s="5" cm="1">
        <f t="array" aca="1" ref="P3" ca="1">INDIRECT("'results" &amp; $B3 &amp; "'!Q$14")</f>
        <v>16.434242639820145</v>
      </c>
      <c r="Q3" s="5" cm="1">
        <f t="array" aca="1" ref="Q3" ca="1">INDIRECT("'results" &amp; $B3 &amp; "'!R$14")</f>
        <v>4160.7007461566545</v>
      </c>
      <c r="R3" s="5"/>
      <c r="S3" s="5" cm="1">
        <f t="array" aca="1" ref="S3" ca="1">INDIRECT("'results" &amp; $B3 &amp; "'!T$14")</f>
        <v>961233.04565212352</v>
      </c>
      <c r="T3" s="5" cm="1">
        <f t="array" aca="1" ref="T3" ca="1">INDIRECT("'results" &amp; $B3 &amp; "'!U$14")</f>
        <v>49.653966958998353</v>
      </c>
      <c r="U3" s="5" cm="1">
        <f t="array" aca="1" ref="U3" ca="1">INDIRECT("'results" &amp; $B3 &amp; "'!V$14")</f>
        <v>12</v>
      </c>
      <c r="V3" s="5" cm="1">
        <f t="array" aca="1" ref="V3" ca="1">INDIRECT("'results" &amp; $B3 &amp; "'!W$14")</f>
        <v>88</v>
      </c>
      <c r="W3" s="5" cm="1">
        <f t="array" aca="1" ref="W3" ca="1">INDIRECT("'results" &amp; $B3 &amp; "'!X$14")</f>
        <v>805.20941377939664</v>
      </c>
      <c r="X3" s="5" cm="1">
        <f t="array" aca="1" ref="X3" ca="1">INDIRECT("'results" &amp; $B3 &amp; "'!Y$14")</f>
        <v>45.653067831135218</v>
      </c>
      <c r="Y3" s="5" cm="1">
        <f t="array" aca="1" ref="Y3" ca="1">INDIRECT("'results" &amp; $B3 &amp; "'!Z$14")</f>
        <v>5969.4562326258601</v>
      </c>
      <c r="Z3" s="5"/>
    </row>
    <row r="4" spans="2:26" x14ac:dyDescent="0.2">
      <c r="B4" s="4">
        <v>257</v>
      </c>
      <c r="C4" s="5" cm="1">
        <f t="array" aca="1" ref="C4" ca="1">INDIRECT("'results" &amp; $B4 &amp; "'!D$14")</f>
        <v>587127.73142363934</v>
      </c>
      <c r="D4" s="33" cm="1">
        <f t="array" aca="1" ref="D4" ca="1">INDIRECT("'results" &amp; $B4 &amp; "'!E$14")</f>
        <v>52.846238958001777</v>
      </c>
      <c r="E4" s="5" cm="1">
        <f t="array" aca="1" ref="E4" ca="1">INDIRECT("'results" &amp; $B4 &amp; "'!F$14")</f>
        <v>10</v>
      </c>
      <c r="F4" s="5" cm="1">
        <f t="array" aca="1" ref="F4" ca="1">INDIRECT("'results" &amp; $B4 &amp; "'!G$14")</f>
        <v>100</v>
      </c>
      <c r="G4" s="5" cm="1">
        <f t="array" aca="1" ref="G4" ca="1">INDIRECT("'results" &amp; $B4 &amp; "'!H$14")</f>
        <v>44.694110109216005</v>
      </c>
      <c r="H4" s="33" cm="1">
        <f t="array" aca="1" ref="H4" ca="1">INDIRECT("'results" &amp; $B4 &amp; "'!I$14")</f>
        <v>35.66148318076521</v>
      </c>
      <c r="I4" s="5" cm="1">
        <f t="array" aca="1" ref="I4" ca="1">INDIRECT("'results" &amp; $B4 &amp; "'!J$14")</f>
        <v>4405.7505531446432</v>
      </c>
      <c r="J4" s="5"/>
      <c r="K4" s="5" cm="1">
        <f t="array" aca="1" ref="K4" ca="1">INDIRECT("'results" &amp; $B4 &amp; "'!L$14")</f>
        <v>914724.02493511164</v>
      </c>
      <c r="L4" s="5" cm="1">
        <f t="array" aca="1" ref="L4" ca="1">INDIRECT("'results" &amp; $B4 &amp; "'!M$14")</f>
        <v>240.01143441700009</v>
      </c>
      <c r="M4" s="5" cm="1">
        <f t="array" aca="1" ref="M4" ca="1">INDIRECT("'results" &amp; $B4 &amp; "'!N$14")</f>
        <v>17</v>
      </c>
      <c r="N4" s="5" cm="1">
        <f t="array" aca="1" ref="N4" ca="1">INDIRECT("'results" &amp; $B4 &amp; "'!O$14")</f>
        <v>84</v>
      </c>
      <c r="O4" s="5" cm="1">
        <f t="array" aca="1" ref="O4" ca="1">INDIRECT("'results" &amp; $B4 &amp; "'!P$14")</f>
        <v>27.181201656302967</v>
      </c>
      <c r="P4" s="5" cm="1">
        <f t="array" aca="1" ref="P4" ca="1">INDIRECT("'results" &amp; $B4 &amp; "'!Q$14")</f>
        <v>16.994332494853353</v>
      </c>
      <c r="Q4" s="5" cm="1">
        <f t="array" aca="1" ref="Q4" ca="1">INDIRECT("'results" &amp; $B4 &amp; "'!R$14")</f>
        <v>3623.1936235622493</v>
      </c>
      <c r="R4" s="5"/>
      <c r="S4" s="5" cm="1">
        <f t="array" aca="1" ref="S4" ca="1">INDIRECT("'results" &amp; $B4 &amp; "'!T$14")</f>
        <v>820437.03550415416</v>
      </c>
      <c r="T4" s="5" cm="1">
        <f t="array" aca="1" ref="T4" ca="1">INDIRECT("'results" &amp; $B4 &amp; "'!U$14")</f>
        <v>136.2214610829997</v>
      </c>
      <c r="U4" s="5" cm="1">
        <f t="array" aca="1" ref="U4" ca="1">INDIRECT("'results" &amp; $B4 &amp; "'!V$14")</f>
        <v>15</v>
      </c>
      <c r="V4" s="5" cm="1">
        <f t="array" aca="1" ref="V4" ca="1">INDIRECT("'results" &amp; $B4 &amp; "'!W$14")</f>
        <v>97</v>
      </c>
      <c r="W4" s="5" cm="1">
        <f t="array" aca="1" ref="W4" ca="1">INDIRECT("'results" &amp; $B4 &amp; "'!X$14")</f>
        <v>686.55790105459812</v>
      </c>
      <c r="X4" s="5" cm="1">
        <f t="array" aca="1" ref="X4" ca="1">INDIRECT("'results" &amp; $B4 &amp; "'!Y$14")</f>
        <v>45.25431210399006</v>
      </c>
      <c r="Y4" s="5" cm="1">
        <f t="array" aca="1" ref="Y4" ca="1">INDIRECT("'results" &amp; $B4 &amp; "'!Z$14")</f>
        <v>5533.5201246012102</v>
      </c>
      <c r="Z4" s="5"/>
    </row>
    <row r="5" spans="2:26" x14ac:dyDescent="0.2">
      <c r="B5" s="4">
        <v>403</v>
      </c>
      <c r="C5" s="5" cm="1">
        <f t="array" aca="1" ref="C5" ca="1">INDIRECT("'results" &amp; $B5 &amp; "'!D$14")</f>
        <v>619100.17866000929</v>
      </c>
      <c r="D5" s="33" cm="1">
        <f t="array" aca="1" ref="D5" ca="1">INDIRECT("'results" &amp; $B5 &amp; "'!E$14")</f>
        <v>57.744407875004981</v>
      </c>
      <c r="E5" s="5" cm="1">
        <f t="array" aca="1" ref="E5" ca="1">INDIRECT("'results" &amp; $B5 &amp; "'!F$14")</f>
        <v>10</v>
      </c>
      <c r="F5" s="5" cm="1">
        <f t="array" aca="1" ref="F5" ca="1">INDIRECT("'results" &amp; $B5 &amp; "'!G$14")</f>
        <v>95</v>
      </c>
      <c r="G5" s="5" cm="1">
        <f t="array" aca="1" ref="G5" ca="1">INDIRECT("'results" &amp; $B5 &amp; "'!H$14")</f>
        <v>8.7076488555108593</v>
      </c>
      <c r="H5" s="33" cm="1">
        <f t="array" aca="1" ref="H5" ca="1">INDIRECT("'results" &amp; $B5 &amp; "'!I$14")</f>
        <v>40.232291717952485</v>
      </c>
      <c r="I5" s="5" cm="1">
        <f t="array" aca="1" ref="I5" ca="1">INDIRECT("'results" &amp; $B5 &amp; "'!J$14")</f>
        <v>4077.118685122824</v>
      </c>
      <c r="J5" s="5"/>
      <c r="K5" s="5" cm="1">
        <f t="array" aca="1" ref="K5" ca="1">INDIRECT("'results" &amp; $B5 &amp; "'!L$14")</f>
        <v>879052.93582514045</v>
      </c>
      <c r="L5" s="5" cm="1">
        <f t="array" aca="1" ref="L5" ca="1">INDIRECT("'results" &amp; $B5 &amp; "'!M$14")</f>
        <v>173.70309695899999</v>
      </c>
      <c r="M5" s="5" cm="1">
        <f t="array" aca="1" ref="M5" ca="1">INDIRECT("'results" &amp; $B5 &amp; "'!N$14")</f>
        <v>21</v>
      </c>
      <c r="N5" s="5" cm="1">
        <f t="array" aca="1" ref="N5" ca="1">INDIRECT("'results" &amp; $B5 &amp; "'!O$14")</f>
        <v>90</v>
      </c>
      <c r="O5" s="5" cm="1">
        <f t="array" aca="1" ref="O5" ca="1">INDIRECT("'results" &amp; $B5 &amp; "'!P$14")</f>
        <v>32.63092216691534</v>
      </c>
      <c r="P5" s="5" cm="1">
        <f t="array" aca="1" ref="P5" ca="1">INDIRECT("'results" &amp; $B5 &amp; "'!Q$14")</f>
        <v>18.070875395311091</v>
      </c>
      <c r="Q5" s="5" cm="1">
        <f t="array" aca="1" ref="Q5" ca="1">INDIRECT("'results" &amp; $B5 &amp; "'!R$14")</f>
        <v>3614.9759695355879</v>
      </c>
      <c r="R5" s="5"/>
      <c r="S5" s="5" cm="1">
        <f t="array" aca="1" ref="S5" ca="1">INDIRECT("'results" &amp; $B5 &amp; "'!T$14")</f>
        <v>823195.8024375519</v>
      </c>
      <c r="T5" s="5" cm="1">
        <f t="array" aca="1" ref="T5" ca="1">INDIRECT("'results" &amp; $B5 &amp; "'!U$14")</f>
        <v>152.9467835409996</v>
      </c>
      <c r="U5" s="5" cm="1">
        <f t="array" aca="1" ref="U5" ca="1">INDIRECT("'results" &amp; $B5 &amp; "'!V$14")</f>
        <v>12</v>
      </c>
      <c r="V5" s="5" cm="1">
        <f t="array" aca="1" ref="V5" ca="1">INDIRECT("'results" &amp; $B5 &amp; "'!W$14")</f>
        <v>94</v>
      </c>
      <c r="W5" s="5" cm="1">
        <f t="array" aca="1" ref="W5" ca="1">INDIRECT("'results" &amp; $B5 &amp; "'!X$14")</f>
        <v>629.29682499516912</v>
      </c>
      <c r="X5" s="5" cm="1">
        <f t="array" aca="1" ref="X5" ca="1">INDIRECT("'results" &amp; $B5 &amp; "'!Y$14")</f>
        <v>61.949813067862799</v>
      </c>
      <c r="Y5" s="5" cm="1">
        <f t="array" aca="1" ref="Y5" ca="1">INDIRECT("'results" &amp; $B5 &amp; "'!Z$14")</f>
        <v>5895.3831726117878</v>
      </c>
      <c r="Z5" s="5"/>
    </row>
    <row r="6" spans="2:26" x14ac:dyDescent="0.2">
      <c r="B6" s="4">
        <v>580</v>
      </c>
      <c r="C6" s="5" cm="1">
        <f t="array" aca="1" ref="C6" ca="1">INDIRECT("'results" &amp; $B6 &amp; "'!D$14")</f>
        <v>876190.56935597328</v>
      </c>
      <c r="D6" s="33" cm="1">
        <f t="array" aca="1" ref="D6" ca="1">INDIRECT("'results" &amp; $B6 &amp; "'!E$14")</f>
        <v>115.14504620799561</v>
      </c>
      <c r="E6" s="5" cm="1">
        <f t="array" aca="1" ref="E6" ca="1">INDIRECT("'results" &amp; $B6 &amp; "'!F$14")</f>
        <v>11</v>
      </c>
      <c r="F6" s="5" cm="1">
        <f t="array" aca="1" ref="F6" ca="1">INDIRECT("'results" &amp; $B6 &amp; "'!G$14")</f>
        <v>92</v>
      </c>
      <c r="G6" s="5" cm="1">
        <f t="array" aca="1" ref="G6" ca="1">INDIRECT("'results" &amp; $B6 &amp; "'!H$14")</f>
        <v>407.74807052252237</v>
      </c>
      <c r="H6" s="33" cm="1">
        <f t="array" aca="1" ref="H6" ca="1">INDIRECT("'results" &amp; $B6 &amp; "'!I$14")</f>
        <v>33.097548949297021</v>
      </c>
      <c r="I6" s="5" cm="1">
        <f t="array" aca="1" ref="I6" ca="1">INDIRECT("'results" &amp; $B6 &amp; "'!J$14")</f>
        <v>5661.9571565186543</v>
      </c>
      <c r="J6" s="5"/>
      <c r="K6" s="5" cm="1">
        <f t="array" aca="1" ref="K6" ca="1">INDIRECT("'results" &amp; $B6 &amp; "'!L$14")</f>
        <v>1043449.4681347749</v>
      </c>
      <c r="L6" s="5" cm="1">
        <f t="array" aca="1" ref="L6" ca="1">INDIRECT("'results" &amp; $B6 &amp; "'!M$14")</f>
        <v>131.18775050000019</v>
      </c>
      <c r="M6" s="5" cm="1">
        <f t="array" aca="1" ref="M6" ca="1">INDIRECT("'results" &amp; $B6 &amp; "'!N$14")</f>
        <v>16</v>
      </c>
      <c r="N6" s="5" cm="1">
        <f t="array" aca="1" ref="N6" ca="1">INDIRECT("'results" &amp; $B6 &amp; "'!O$14")</f>
        <v>82</v>
      </c>
      <c r="O6" s="5" cm="1">
        <f t="array" aca="1" ref="O6" ca="1">INDIRECT("'results" &amp; $B6 &amp; "'!P$14")</f>
        <v>218.29194324460752</v>
      </c>
      <c r="P6" s="5" cm="1">
        <f t="array" aca="1" ref="P6" ca="1">INDIRECT("'results" &amp; $B6 &amp; "'!Q$14")</f>
        <v>19.741193432239758</v>
      </c>
      <c r="Q6" s="5" cm="1">
        <f t="array" aca="1" ref="Q6" ca="1">INDIRECT("'results" &amp; $B6 &amp; "'!R$14")</f>
        <v>4858.9672110587408</v>
      </c>
      <c r="R6" s="5"/>
      <c r="S6" s="5" cm="1">
        <f t="array" aca="1" ref="S6" ca="1">INDIRECT("'results" &amp; $B6 &amp; "'!T$14")</f>
        <v>1143266.808685621</v>
      </c>
      <c r="T6" s="5" cm="1">
        <f t="array" aca="1" ref="T6" ca="1">INDIRECT("'results" &amp; $B6 &amp; "'!U$14")</f>
        <v>164.556936084</v>
      </c>
      <c r="U6" s="5" cm="1">
        <f t="array" aca="1" ref="U6" ca="1">INDIRECT("'results" &amp; $B6 &amp; "'!V$14")</f>
        <v>11</v>
      </c>
      <c r="V6" s="5" cm="1">
        <f t="array" aca="1" ref="V6" ca="1">INDIRECT("'results" &amp; $B6 &amp; "'!W$14")</f>
        <v>76</v>
      </c>
      <c r="W6" s="5" cm="1">
        <f t="array" aca="1" ref="W6" ca="1">INDIRECT("'results" &amp; $B6 &amp; "'!X$14")</f>
        <v>686.46561943571476</v>
      </c>
      <c r="X6" s="5" cm="1">
        <f t="array" aca="1" ref="X6" ca="1">INDIRECT("'results" &amp; $B6 &amp; "'!Y$14")</f>
        <v>41.020381017947372</v>
      </c>
      <c r="Y6" s="5" cm="1">
        <f t="array" aca="1" ref="Y6" ca="1">INDIRECT("'results" &amp; $B6 &amp; "'!Z$14")</f>
        <v>6307.7956714023485</v>
      </c>
      <c r="Z6" s="5"/>
    </row>
    <row r="7" spans="2:26" x14ac:dyDescent="0.2">
      <c r="B7" s="4">
        <v>583</v>
      </c>
      <c r="C7" s="5" cm="1">
        <f t="array" aca="1" ref="C7" ca="1">INDIRECT("'results" &amp; $B7 &amp; "'!D$14")</f>
        <v>677620.1733718951</v>
      </c>
      <c r="D7" s="33" cm="1">
        <f t="array" aca="1" ref="D7" ca="1">INDIRECT("'results" &amp; $B7 &amp; "'!E$14")</f>
        <v>101.9261437499954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97</v>
      </c>
      <c r="G7" s="5" cm="1">
        <f t="array" aca="1" ref="G7" ca="1">INDIRECT("'results" &amp; $B7 &amp; "'!H$14")</f>
        <v>103.75519738935229</v>
      </c>
      <c r="H7" s="33" cm="1">
        <f t="array" aca="1" ref="H7" ca="1">INDIRECT("'results" &amp; $B7 &amp; "'!I$14")</f>
        <v>37.239010055052873</v>
      </c>
      <c r="I7" s="5" cm="1">
        <f t="array" aca="1" ref="I7" ca="1">INDIRECT("'results" &amp; $B7 &amp; "'!J$14")</f>
        <v>4678.8221246730618</v>
      </c>
      <c r="J7" s="5"/>
      <c r="K7" s="5" cm="1">
        <f t="array" aca="1" ref="K7" ca="1">INDIRECT("'results" &amp; $B7 &amp; "'!L$14")</f>
        <v>872746.65412188205</v>
      </c>
      <c r="L7" s="5" cm="1">
        <f t="array" aca="1" ref="L7" ca="1">INDIRECT("'results" &amp; $B7 &amp; "'!M$14")</f>
        <v>72.739902249999886</v>
      </c>
      <c r="M7" s="5" cm="1">
        <f t="array" aca="1" ref="M7" ca="1">INDIRECT("'results" &amp; $B7 &amp; "'!N$14")</f>
        <v>17</v>
      </c>
      <c r="N7" s="5" cm="1">
        <f t="array" aca="1" ref="N7" ca="1">INDIRECT("'results" &amp; $B7 &amp; "'!O$14")</f>
        <v>90</v>
      </c>
      <c r="O7" s="5" cm="1">
        <f t="array" aca="1" ref="O7" ca="1">INDIRECT("'results" &amp; $B7 &amp; "'!P$14")</f>
        <v>88.505396925286192</v>
      </c>
      <c r="P7" s="5" cm="1">
        <f t="array" aca="1" ref="P7" ca="1">INDIRECT("'results" &amp; $B7 &amp; "'!Q$14")</f>
        <v>20.054168098832594</v>
      </c>
      <c r="Q7" s="5" cm="1">
        <f t="array" aca="1" ref="Q7" ca="1">INDIRECT("'results" &amp; $B7 &amp; "'!R$14")</f>
        <v>4184.0298106132386</v>
      </c>
      <c r="R7" s="5"/>
      <c r="S7" s="5" cm="1">
        <f t="array" aca="1" ref="S7" ca="1">INDIRECT("'results" &amp; $B7 &amp; "'!T$14")</f>
        <v>925527.61815173202</v>
      </c>
      <c r="T7" s="5" cm="1">
        <f t="array" aca="1" ref="T7" ca="1">INDIRECT("'results" &amp; $B7 &amp; "'!U$14")</f>
        <v>69.893708958999923</v>
      </c>
      <c r="U7" s="5" cm="1">
        <f t="array" aca="1" ref="U7" ca="1">INDIRECT("'results" &amp; $B7 &amp; "'!V$14")</f>
        <v>11</v>
      </c>
      <c r="V7" s="5" cm="1">
        <f t="array" aca="1" ref="V7" ca="1">INDIRECT("'results" &amp; $B7 &amp; "'!W$14")</f>
        <v>90</v>
      </c>
      <c r="W7" s="5" cm="1">
        <f t="array" aca="1" ref="W7" ca="1">INDIRECT("'results" &amp; $B7 &amp; "'!X$14")</f>
        <v>631.04574262130325</v>
      </c>
      <c r="X7" s="5" cm="1">
        <f t="array" aca="1" ref="X7" ca="1">INDIRECT("'results" &amp; $B7 &amp; "'!Y$14")</f>
        <v>53.450776763173764</v>
      </c>
      <c r="Y7" s="5" cm="1">
        <f t="array" aca="1" ref="Y7" ca="1">INDIRECT("'results" &amp; $B7 &amp; "'!Z$14")</f>
        <v>6126.3061735225829</v>
      </c>
      <c r="Z7" s="5"/>
    </row>
    <row r="8" spans="2:26" x14ac:dyDescent="0.2">
      <c r="B8" s="4">
        <v>597</v>
      </c>
      <c r="C8" s="5" cm="1">
        <f t="array" aca="1" ref="C8" ca="1">INDIRECT("'results" &amp; $B8 &amp; "'!D$14")</f>
        <v>670012.87636957341</v>
      </c>
      <c r="D8" s="33" cm="1">
        <f t="array" aca="1" ref="D8" ca="1">INDIRECT("'results" &amp; $B8 &amp; "'!E$14")</f>
        <v>46.334400416999422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97</v>
      </c>
      <c r="G8" s="5" cm="1">
        <f t="array" aca="1" ref="G8" ca="1">INDIRECT("'results" &amp; $B8 &amp; "'!H$14")</f>
        <v>66.328980866973694</v>
      </c>
      <c r="H8" s="33" cm="1">
        <f t="array" aca="1" ref="H8" ca="1">INDIRECT("'results" &amp; $B8 &amp; "'!I$14")</f>
        <v>36.146575466363011</v>
      </c>
      <c r="I8" s="5" cm="1">
        <f t="array" aca="1" ref="I8" ca="1">INDIRECT("'results" &amp; $B8 &amp; "'!J$14")</f>
        <v>4660.9954918261637</v>
      </c>
      <c r="J8" s="5"/>
      <c r="K8" s="5" cm="1">
        <f t="array" aca="1" ref="K8" ca="1">INDIRECT("'results" &amp; $B8 &amp; "'!L$14")</f>
        <v>876230.55752358946</v>
      </c>
      <c r="L8" s="5" cm="1">
        <f t="array" aca="1" ref="L8" ca="1">INDIRECT("'results" &amp; $B8 &amp; "'!M$14")</f>
        <v>188.71787895800031</v>
      </c>
      <c r="M8" s="5" cm="1">
        <f t="array" aca="1" ref="M8" ca="1">INDIRECT("'results" &amp; $B8 &amp; "'!N$14")</f>
        <v>18</v>
      </c>
      <c r="N8" s="5" cm="1">
        <f t="array" aca="1" ref="N8" ca="1">INDIRECT("'results" &amp; $B8 &amp; "'!O$14")</f>
        <v>90</v>
      </c>
      <c r="O8" s="5" cm="1">
        <f t="array" aca="1" ref="O8" ca="1">INDIRECT("'results" &amp; $B8 &amp; "'!P$14")</f>
        <v>30.69182402617275</v>
      </c>
      <c r="P8" s="5" cm="1">
        <f t="array" aca="1" ref="P8" ca="1">INDIRECT("'results" &amp; $B8 &amp; "'!Q$14")</f>
        <v>18.844414841538956</v>
      </c>
      <c r="Q8" s="5" cm="1">
        <f t="array" aca="1" ref="Q8" ca="1">INDIRECT("'results" &amp; $B8 &amp; "'!R$14")</f>
        <v>4060.1083733515852</v>
      </c>
      <c r="R8" s="5"/>
      <c r="S8" s="5" cm="1">
        <f t="array" aca="1" ref="S8" ca="1">INDIRECT("'results" &amp; $B8 &amp; "'!T$14")</f>
        <v>924825.91742103943</v>
      </c>
      <c r="T8" s="5" cm="1">
        <f t="array" aca="1" ref="T8" ca="1">INDIRECT("'results" &amp; $B8 &amp; "'!U$14")</f>
        <v>93.950536833001024</v>
      </c>
      <c r="U8" s="5" cm="1">
        <f t="array" aca="1" ref="U8" ca="1">INDIRECT("'results" &amp; $B8 &amp; "'!V$14")</f>
        <v>14</v>
      </c>
      <c r="V8" s="5" cm="1">
        <f t="array" aca="1" ref="V8" ca="1">INDIRECT("'results" &amp; $B8 &amp; "'!W$14")</f>
        <v>95</v>
      </c>
      <c r="W8" s="5" cm="1">
        <f t="array" aca="1" ref="W8" ca="1">INDIRECT("'results" &amp; $B8 &amp; "'!X$14")</f>
        <v>918.10008456151456</v>
      </c>
      <c r="X8" s="5" cm="1">
        <f t="array" aca="1" ref="X8" ca="1">INDIRECT("'results" &amp; $B8 &amp; "'!Y$14")</f>
        <v>49.518175196315198</v>
      </c>
      <c r="Y8" s="5" cm="1">
        <f t="array" aca="1" ref="Y8" ca="1">INDIRECT("'results" &amp; $B8 &amp; "'!Z$14")</f>
        <v>6195.9831304200006</v>
      </c>
      <c r="Z8" s="5"/>
    </row>
    <row r="9" spans="2:26" x14ac:dyDescent="0.2">
      <c r="B9" s="4">
        <v>663</v>
      </c>
      <c r="C9" s="5" cm="1">
        <f t="array" aca="1" ref="C9" ca="1">INDIRECT("'results" &amp; $B9 &amp; "'!D$14")</f>
        <v>668274.36063704395</v>
      </c>
      <c r="D9" s="33" cm="1">
        <f t="array" aca="1" ref="D9" ca="1">INDIRECT("'results" &amp; $B9 &amp; "'!E$14")</f>
        <v>100.9504830000005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95</v>
      </c>
      <c r="G9" s="5" cm="1">
        <f t="array" aca="1" ref="G9" ca="1">INDIRECT("'results" &amp; $B9 &amp; "'!H$14")</f>
        <v>36.580532297596697</v>
      </c>
      <c r="H9" s="33" cm="1">
        <f t="array" aca="1" ref="H9" ca="1">INDIRECT("'results" &amp; $B9 &amp; "'!I$14")</f>
        <v>36.302124691699809</v>
      </c>
      <c r="I9" s="5" cm="1">
        <f t="array" aca="1" ref="I9" ca="1">INDIRECT("'results" &amp; $B9 &amp; "'!J$14")</f>
        <v>4438.9951659391591</v>
      </c>
      <c r="J9" s="5"/>
      <c r="K9" s="5" cm="1">
        <f t="array" aca="1" ref="K9" ca="1">INDIRECT("'results" &amp; $B9 &amp; "'!L$14")</f>
        <v>843781.47496652137</v>
      </c>
      <c r="L9" s="5" cm="1">
        <f t="array" aca="1" ref="L9" ca="1">INDIRECT("'results" &amp; $B9 &amp; "'!M$14")</f>
        <v>241.78255337500011</v>
      </c>
      <c r="M9" s="5" cm="1">
        <f t="array" aca="1" ref="M9" ca="1">INDIRECT("'results" &amp; $B9 &amp; "'!N$14")</f>
        <v>15</v>
      </c>
      <c r="N9" s="5" cm="1">
        <f t="array" aca="1" ref="N9" ca="1">INDIRECT("'results" &amp; $B9 &amp; "'!O$14")</f>
        <v>87</v>
      </c>
      <c r="O9" s="5" cm="1">
        <f t="array" aca="1" ref="O9" ca="1">INDIRECT("'results" &amp; $B9 &amp; "'!P$14")</f>
        <v>29.366502454562568</v>
      </c>
      <c r="P9" s="5" cm="1">
        <f t="array" aca="1" ref="P9" ca="1">INDIRECT("'results" &amp; $B9 &amp; "'!Q$14")</f>
        <v>20.662831941801567</v>
      </c>
      <c r="Q9" s="5" cm="1">
        <f t="array" aca="1" ref="Q9" ca="1">INDIRECT("'results" &amp; $B9 &amp; "'!R$14")</f>
        <v>3822.4183452538064</v>
      </c>
      <c r="R9" s="5"/>
      <c r="S9" s="5" cm="1">
        <f t="array" aca="1" ref="S9" ca="1">INDIRECT("'results" &amp; $B9 &amp; "'!T$14")</f>
        <v>841402.95357212925</v>
      </c>
      <c r="T9" s="5" cm="1">
        <f t="array" aca="1" ref="T9" ca="1">INDIRECT("'results" &amp; $B9 &amp; "'!U$14")</f>
        <v>79.144456583000647</v>
      </c>
      <c r="U9" s="5" cm="1">
        <f t="array" aca="1" ref="U9" ca="1">INDIRECT("'results" &amp; $B9 &amp; "'!V$14")</f>
        <v>12</v>
      </c>
      <c r="V9" s="5" cm="1">
        <f t="array" aca="1" ref="V9" ca="1">INDIRECT("'results" &amp; $B9 &amp; "'!W$14")</f>
        <v>95</v>
      </c>
      <c r="W9" s="5" cm="1">
        <f t="array" aca="1" ref="W9" ca="1">INDIRECT("'results" &amp; $B9 &amp; "'!X$14")</f>
        <v>636.18711020476155</v>
      </c>
      <c r="X9" s="5" cm="1">
        <f t="array" aca="1" ref="X9" ca="1">INDIRECT("'results" &amp; $B9 &amp; "'!Y$14")</f>
        <v>55.031412662872633</v>
      </c>
      <c r="Y9" s="5" cm="1">
        <f t="array" aca="1" ref="Y9" ca="1">INDIRECT("'results" &amp; $B9 &amp; "'!Z$14")</f>
        <v>5924.8298047061762</v>
      </c>
      <c r="Z9" s="5"/>
    </row>
    <row r="10" spans="2:26" x14ac:dyDescent="0.2">
      <c r="B10" s="4">
        <v>795</v>
      </c>
      <c r="C10" s="5" cm="1">
        <f t="array" aca="1" ref="C10" ca="1">INDIRECT("'results" &amp; $B10 &amp; "'!D$14")</f>
        <v>533750.15232311364</v>
      </c>
      <c r="D10" s="33" cm="1">
        <f t="array" aca="1" ref="D10" ca="1">INDIRECT("'results" &amp; $B10 &amp; "'!E$14")</f>
        <v>38.851455250005529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100</v>
      </c>
      <c r="G10" s="5" cm="1">
        <f t="array" aca="1" ref="G10" ca="1">INDIRECT("'results" &amp; $B10 &amp; "'!H$14")</f>
        <v>0.42838649651186644</v>
      </c>
      <c r="H10" s="33" cm="1">
        <f t="array" aca="1" ref="H10" ca="1">INDIRECT("'results" &amp; $B10 &amp; "'!I$14")</f>
        <v>37.205274232923365</v>
      </c>
      <c r="I10" s="5" cm="1">
        <f t="array" aca="1" ref="I10" ca="1">INDIRECT("'results" &amp; $B10 &amp; "'!J$14")</f>
        <v>3951.9448819987606</v>
      </c>
      <c r="J10" s="5"/>
      <c r="K10" s="5" cm="1">
        <f t="array" aca="1" ref="K10" ca="1">INDIRECT("'results" &amp; $B10 &amp; "'!L$14")</f>
        <v>799448.68087388668</v>
      </c>
      <c r="L10" s="5" cm="1">
        <f t="array" aca="1" ref="L10" ca="1">INDIRECT("'results" &amp; $B10 &amp; "'!M$14")</f>
        <v>77.248306125000454</v>
      </c>
      <c r="M10" s="5" cm="1">
        <f t="array" aca="1" ref="M10" ca="1">INDIRECT("'results" &amp; $B10 &amp; "'!N$14")</f>
        <v>19</v>
      </c>
      <c r="N10" s="5" cm="1">
        <f t="array" aca="1" ref="N10" ca="1">INDIRECT("'results" &amp; $B10 &amp; "'!O$14")</f>
        <v>93</v>
      </c>
      <c r="O10" s="5" cm="1">
        <f t="array" aca="1" ref="O10" ca="1">INDIRECT("'results" &amp; $B10 &amp; "'!P$14")</f>
        <v>33.09440690856573</v>
      </c>
      <c r="P10" s="5" cm="1">
        <f t="array" aca="1" ref="P10" ca="1">INDIRECT("'results" &amp; $B10 &amp; "'!Q$14")</f>
        <v>17.424806030252764</v>
      </c>
      <c r="Q10" s="5" cm="1">
        <f t="array" aca="1" ref="Q10" ca="1">INDIRECT("'results" &amp; $B10 &amp; "'!R$14")</f>
        <v>3607.808492509876</v>
      </c>
      <c r="R10" s="5"/>
      <c r="S10" s="5" cm="1">
        <f t="array" aca="1" ref="S10" ca="1">INDIRECT("'results" &amp; $B10 &amp; "'!T$14")</f>
        <v>689720.41653379519</v>
      </c>
      <c r="T10" s="5" cm="1">
        <f t="array" aca="1" ref="T10" ca="1">INDIRECT("'results" &amp; $B10 &amp; "'!U$14")</f>
        <v>99.994946167000307</v>
      </c>
      <c r="U10" s="5" cm="1">
        <f t="array" aca="1" ref="U10" ca="1">INDIRECT("'results" &amp; $B10 &amp; "'!V$14")</f>
        <v>12</v>
      </c>
      <c r="V10" s="5" cm="1">
        <f t="array" aca="1" ref="V10" ca="1">INDIRECT("'results" &amp; $B10 &amp; "'!W$14")</f>
        <v>99</v>
      </c>
      <c r="W10" s="5" cm="1">
        <f t="array" aca="1" ref="W10" ca="1">INDIRECT("'results" &amp; $B10 &amp; "'!X$14")</f>
        <v>295.69445977647717</v>
      </c>
      <c r="X10" s="5" cm="1">
        <f t="array" aca="1" ref="X10" ca="1">INDIRECT("'results" &amp; $B10 &amp; "'!Y$14")</f>
        <v>54.80578616995556</v>
      </c>
      <c r="Y10" s="5" cm="1">
        <f t="array" aca="1" ref="Y10" ca="1">INDIRECT("'results" &amp; $B10 &amp; "'!Z$14")</f>
        <v>5305.7523881383677</v>
      </c>
      <c r="Z10" s="5"/>
    </row>
    <row r="11" spans="2:26" x14ac:dyDescent="0.2">
      <c r="B11" s="4">
        <v>918</v>
      </c>
      <c r="C11" s="5" cm="1">
        <f t="array" aca="1" ref="C11" ca="1">INDIRECT("'results" &amp; $B11 &amp; "'!D$14")</f>
        <v>758398.63145678502</v>
      </c>
      <c r="D11" s="33" cm="1">
        <f t="array" aca="1" ref="D11" ca="1">INDIRECT("'results" &amp; $B11 &amp; "'!E$14")</f>
        <v>67.776345790996857</v>
      </c>
      <c r="E11" s="5" cm="1">
        <f t="array" aca="1" ref="E11" ca="1">INDIRECT("'results" &amp; $B11 &amp; "'!F$14")</f>
        <v>11</v>
      </c>
      <c r="F11" s="5" cm="1">
        <f t="array" aca="1" ref="F11" ca="1">INDIRECT("'results" &amp; $B11 &amp; "'!G$14")</f>
        <v>99</v>
      </c>
      <c r="G11" s="5" cm="1">
        <f t="array" aca="1" ref="G11" ca="1">INDIRECT("'results" &amp; $B11 &amp; "'!H$14")</f>
        <v>439.70248390590154</v>
      </c>
      <c r="H11" s="33" cm="1">
        <f t="array" aca="1" ref="H11" ca="1">INDIRECT("'results" &amp; $B11 &amp; "'!I$14")</f>
        <v>32.559115588135406</v>
      </c>
      <c r="I11" s="5" cm="1">
        <f t="array" aca="1" ref="I11" ca="1">INDIRECT("'results" &amp; $B11 &amp; "'!J$14")</f>
        <v>5465.7842843901371</v>
      </c>
      <c r="J11" s="5"/>
      <c r="K11" s="5" cm="1">
        <f t="array" aca="1" ref="K11" ca="1">INDIRECT("'results" &amp; $B11 &amp; "'!L$14")</f>
        <v>931108.82223991095</v>
      </c>
      <c r="L11" s="5" cm="1">
        <f t="array" aca="1" ref="L11" ca="1">INDIRECT("'results" &amp; $B11 &amp; "'!M$14")</f>
        <v>156.60350429199929</v>
      </c>
      <c r="M11" s="5" cm="1">
        <f t="array" aca="1" ref="M11" ca="1">INDIRECT("'results" &amp; $B11 &amp; "'!N$14")</f>
        <v>20</v>
      </c>
      <c r="N11" s="5" cm="1">
        <f t="array" aca="1" ref="N11" ca="1">INDIRECT("'results" &amp; $B11 &amp; "'!O$14")</f>
        <v>93</v>
      </c>
      <c r="O11" s="5" cm="1">
        <f t="array" aca="1" ref="O11" ca="1">INDIRECT("'results" &amp; $B11 &amp; "'!P$14")</f>
        <v>314.32940171386969</v>
      </c>
      <c r="P11" s="5" cm="1">
        <f t="array" aca="1" ref="P11" ca="1">INDIRECT("'results" &amp; $B11 &amp; "'!Q$14")</f>
        <v>16.733970925741357</v>
      </c>
      <c r="Q11" s="5" cm="1">
        <f t="array" aca="1" ref="Q11" ca="1">INDIRECT("'results" &amp; $B11 &amp; "'!R$14")</f>
        <v>4632.7555613476197</v>
      </c>
      <c r="R11" s="5"/>
      <c r="S11" s="5" cm="1">
        <f t="array" aca="1" ref="S11" ca="1">INDIRECT("'results" &amp; $B11 &amp; "'!T$14")</f>
        <v>1068108.769149276</v>
      </c>
      <c r="T11" s="5" cm="1">
        <f t="array" aca="1" ref="T11" ca="1">INDIRECT("'results" &amp; $B11 &amp; "'!U$14")</f>
        <v>107.2869204580002</v>
      </c>
      <c r="U11" s="5" cm="1">
        <f t="array" aca="1" ref="U11" ca="1">INDIRECT("'results" &amp; $B11 &amp; "'!V$14")</f>
        <v>12</v>
      </c>
      <c r="V11" s="5" cm="1">
        <f t="array" aca="1" ref="V11" ca="1">INDIRECT("'results" &amp; $B11 &amp; "'!W$14")</f>
        <v>82</v>
      </c>
      <c r="W11" s="5" cm="1">
        <f t="array" aca="1" ref="W11" ca="1">INDIRECT("'results" &amp; $B11 &amp; "'!X$14")</f>
        <v>826.48463954089777</v>
      </c>
      <c r="X11" s="5" cm="1">
        <f t="array" aca="1" ref="X11" ca="1">INDIRECT("'results" &amp; $B11 &amp; "'!Y$14")</f>
        <v>43.737929186074922</v>
      </c>
      <c r="Y11" s="5" cm="1">
        <f t="array" aca="1" ref="Y11" ca="1">INDIRECT("'results" &amp; $B11 &amp; "'!Z$14")</f>
        <v>6234.4224971136873</v>
      </c>
      <c r="Z11" s="5"/>
    </row>
    <row r="12" spans="2:26" x14ac:dyDescent="0.2">
      <c r="B12" s="4">
        <v>944</v>
      </c>
      <c r="C12" s="5" cm="1">
        <f t="array" aca="1" ref="C12" ca="1">INDIRECT("'results" &amp; $B12 &amp; "'!D$14")</f>
        <v>693313.41777641373</v>
      </c>
      <c r="D12" s="33" cm="1">
        <f t="array" aca="1" ref="D12" ca="1">INDIRECT("'results" &amp; $B12 &amp; "'!E$14")</f>
        <v>81.592898166003579</v>
      </c>
      <c r="E12" s="5" cm="1">
        <f t="array" aca="1" ref="E12" ca="1">INDIRECT("'results" &amp; $B12 &amp; "'!F$14")</f>
        <v>9</v>
      </c>
      <c r="F12" s="5" cm="1">
        <f t="array" aca="1" ref="F12" ca="1">INDIRECT("'results" &amp; $B12 &amp; "'!G$14")</f>
        <v>92</v>
      </c>
      <c r="G12" s="5" cm="1">
        <f t="array" aca="1" ref="G12" ca="1">INDIRECT("'results" &amp; $B12 &amp; "'!H$14")</f>
        <v>43.450803169412204</v>
      </c>
      <c r="H12" s="33" cm="1">
        <f t="array" aca="1" ref="H12" ca="1">INDIRECT("'results" &amp; $B12 &amp; "'!I$14")</f>
        <v>48.844052455957829</v>
      </c>
      <c r="I12" s="5" cm="1">
        <f t="array" aca="1" ref="I12" ca="1">INDIRECT("'results" &amp; $B12 &amp; "'!J$14")</f>
        <v>4467.9023127113305</v>
      </c>
      <c r="J12" s="5"/>
      <c r="K12" s="5" cm="1">
        <f t="array" aca="1" ref="K12" ca="1">INDIRECT("'results" &amp; $B12 &amp; "'!L$14")</f>
        <v>958445.34521520301</v>
      </c>
      <c r="L12" s="5" cm="1">
        <f t="array" aca="1" ref="L12" ca="1">INDIRECT("'results" &amp; $B12 &amp; "'!M$14")</f>
        <v>267.64251899999999</v>
      </c>
      <c r="M12" s="5" cm="1">
        <f t="array" aca="1" ref="M12" ca="1">INDIRECT("'results" &amp; $B12 &amp; "'!N$14")</f>
        <v>21</v>
      </c>
      <c r="N12" s="5" cm="1">
        <f t="array" aca="1" ref="N12" ca="1">INDIRECT("'results" &amp; $B12 &amp; "'!O$14")</f>
        <v>87</v>
      </c>
      <c r="O12" s="5" cm="1">
        <f t="array" aca="1" ref="O12" ca="1">INDIRECT("'results" &amp; $B12 &amp; "'!P$14")</f>
        <v>39.80298093779745</v>
      </c>
      <c r="P12" s="5" cm="1">
        <f t="array" aca="1" ref="P12" ca="1">INDIRECT("'results" &amp; $B12 &amp; "'!Q$14")</f>
        <v>19.246688851495993</v>
      </c>
      <c r="Q12" s="5" cm="1">
        <f t="array" aca="1" ref="Q12" ca="1">INDIRECT("'results" &amp; $B12 &amp; "'!R$14")</f>
        <v>3870.5517818695857</v>
      </c>
      <c r="R12" s="5"/>
      <c r="S12" s="5" cm="1">
        <f t="array" aca="1" ref="S12" ca="1">INDIRECT("'results" &amp; $B12 &amp; "'!T$14")</f>
        <v>864145.30917336396</v>
      </c>
      <c r="T12" s="5" cm="1">
        <f t="array" aca="1" ref="T12" ca="1">INDIRECT("'results" &amp; $B12 &amp; "'!U$14")</f>
        <v>86.053928999999698</v>
      </c>
      <c r="U12" s="5" cm="1">
        <f t="array" aca="1" ref="U12" ca="1">INDIRECT("'results" &amp; $B12 &amp; "'!V$14")</f>
        <v>14</v>
      </c>
      <c r="V12" s="5" cm="1">
        <f t="array" aca="1" ref="V12" ca="1">INDIRECT("'results" &amp; $B12 &amp; "'!W$14")</f>
        <v>92</v>
      </c>
      <c r="W12" s="5" cm="1">
        <f t="array" aca="1" ref="W12" ca="1">INDIRECT("'results" &amp; $B12 &amp; "'!X$14")</f>
        <v>598.74006490328134</v>
      </c>
      <c r="X12" s="5" cm="1">
        <f t="array" aca="1" ref="X12" ca="1">INDIRECT("'results" &amp; $B12 &amp; "'!Y$14")</f>
        <v>56.148997791723055</v>
      </c>
      <c r="Y12" s="5" cm="1">
        <f t="array" aca="1" ref="Y12" ca="1">INDIRECT("'results" &amp; $B12 &amp; "'!Z$14")</f>
        <v>5571.3148385399118</v>
      </c>
      <c r="Z12" s="5"/>
    </row>
    <row r="13" spans="2:26" x14ac:dyDescent="0.2">
      <c r="B13" s="8" t="s">
        <v>3</v>
      </c>
      <c r="C13" s="9">
        <f ca="1">AVERAGE(C3:C12)</f>
        <v>677195.16998772637</v>
      </c>
      <c r="D13" s="10">
        <f t="shared" ref="D13:I13" ca="1" si="0">AVERAGE(D3:D12)</f>
        <v>73.439577958100557</v>
      </c>
      <c r="E13" s="9">
        <f t="shared" ca="1" si="0"/>
        <v>10.199999999999999</v>
      </c>
      <c r="F13" s="9">
        <f t="shared" ca="1" si="0"/>
        <v>96.5</v>
      </c>
      <c r="G13" s="9">
        <f t="shared" ca="1" si="0"/>
        <v>130.12376608299971</v>
      </c>
      <c r="H13" s="10">
        <f t="shared" ca="1" si="0"/>
        <v>36.805223007681164</v>
      </c>
      <c r="I13" s="9">
        <f t="shared" ca="1" si="0"/>
        <v>4655.2422119388157</v>
      </c>
      <c r="J13" s="32" t="e">
        <f ca="1">(C13-$D$15)/$D$15</f>
        <v>#DIV/0!</v>
      </c>
      <c r="K13" s="16">
        <f ca="1">AVERAGE(K3:K12)</f>
        <v>904870.37550296425</v>
      </c>
      <c r="L13" s="41">
        <f t="shared" ref="L13:Q13" ca="1" si="1">AVERAGE(L3:L12)</f>
        <v>170.73333806680003</v>
      </c>
      <c r="M13" s="16">
        <f t="shared" ca="1" si="1"/>
        <v>18.2</v>
      </c>
      <c r="N13" s="16">
        <f ca="1">AVERAGE(N3:N12)</f>
        <v>88.4</v>
      </c>
      <c r="O13" s="16">
        <f t="shared" ca="1" si="1"/>
        <v>91.96772319753299</v>
      </c>
      <c r="P13" s="41">
        <f t="shared" ca="1" si="1"/>
        <v>18.420752465188755</v>
      </c>
      <c r="Q13" s="16">
        <f t="shared" ca="1" si="1"/>
        <v>4043.5509915258945</v>
      </c>
      <c r="R13" s="42" t="e">
        <f ca="1">(K13-$D$15)/$D$15</f>
        <v>#DIV/0!</v>
      </c>
      <c r="S13" s="38">
        <f ca="1">AVERAGE(S3:S12)</f>
        <v>906186.36762807856</v>
      </c>
      <c r="T13" s="43">
        <f t="shared" ref="T13:Y13" ca="1" si="2">AVERAGE(T3:T12)</f>
        <v>103.97036456669994</v>
      </c>
      <c r="U13" s="38">
        <f t="shared" ca="1" si="2"/>
        <v>12.5</v>
      </c>
      <c r="V13" s="38">
        <f t="shared" ca="1" si="2"/>
        <v>90.8</v>
      </c>
      <c r="W13" s="38">
        <f t="shared" ca="1" si="2"/>
        <v>671.37818608731141</v>
      </c>
      <c r="X13" s="43">
        <f t="shared" ca="1" si="2"/>
        <v>50.657065179105061</v>
      </c>
      <c r="Y13" s="38">
        <f t="shared" ca="1" si="2"/>
        <v>5906.4764033681931</v>
      </c>
      <c r="Z13" s="44" t="e">
        <f ca="1">(S13-$D$15)/$D$15</f>
        <v>#DIV/0!</v>
      </c>
    </row>
    <row r="14" spans="2:26" x14ac:dyDescent="0.2">
      <c r="K14" s="45">
        <f ca="1">(K13-C13)/C13</f>
        <v>0.33620323299022392</v>
      </c>
      <c r="L14" s="45">
        <f t="shared" ref="L14:Q14" ca="1" si="3">(L13-D13)/D13</f>
        <v>1.3248137150816475</v>
      </c>
      <c r="M14" s="45">
        <f t="shared" ca="1" si="3"/>
        <v>0.78431372549019618</v>
      </c>
      <c r="N14" s="45">
        <f t="shared" ca="1" si="3"/>
        <v>-8.3937823834196831E-2</v>
      </c>
      <c r="O14" s="45">
        <f t="shared" ca="1" si="3"/>
        <v>-0.29322885460545928</v>
      </c>
      <c r="P14" s="45">
        <f t="shared" ca="1" si="3"/>
        <v>-0.49950710904959367</v>
      </c>
      <c r="Q14" s="45">
        <f t="shared" ca="1" si="3"/>
        <v>-0.13139836609235506</v>
      </c>
      <c r="S14" s="45">
        <f ca="1">(S13-C13)/C13</f>
        <v>0.33814653114626092</v>
      </c>
      <c r="T14" s="45">
        <f t="shared" ref="T14:Y14" ca="1" si="4">(T13-D13)/D13</f>
        <v>0.41572660760684244</v>
      </c>
      <c r="U14" s="45">
        <f t="shared" ca="1" si="4"/>
        <v>0.22549019607843146</v>
      </c>
      <c r="V14" s="45">
        <f ca="1">(V13-F13)/F13</f>
        <v>-5.9067357512953396E-2</v>
      </c>
      <c r="W14" s="45">
        <f t="shared" ca="1" si="4"/>
        <v>4.1595354660967274</v>
      </c>
      <c r="X14" s="45">
        <f t="shared" ca="1" si="4"/>
        <v>0.37635533871192817</v>
      </c>
      <c r="Y14" s="45">
        <f t="shared" ca="1" si="4"/>
        <v>0.26877961112753002</v>
      </c>
    </row>
    <row r="16" spans="2:26" x14ac:dyDescent="0.2">
      <c r="B16" s="1" t="s">
        <v>21</v>
      </c>
      <c r="C16">
        <f ca="1">_xlfn.STDEV.S(C3:C12)</f>
        <v>93552.283117310246</v>
      </c>
      <c r="J16" s="1" t="s">
        <v>21</v>
      </c>
      <c r="K16">
        <f ca="1">_xlfn.STDEV.S(K3:K12)</f>
        <v>67364.339212195133</v>
      </c>
      <c r="R16" s="1" t="s">
        <v>21</v>
      </c>
      <c r="S16">
        <f ca="1">_xlfn.STDEV.S(S3:S12)</f>
        <v>130486.22080615307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B977-47C8-1B4C-AEDA-1F434A49BE13}">
  <dimension ref="B1:AA17"/>
  <sheetViews>
    <sheetView zoomScaleNormal="10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-0.89032245119723008</v>
      </c>
      <c r="J2" s="28" t="e">
        <f>(S14-J14)/J14</f>
        <v>#DIV/0!</v>
      </c>
      <c r="K2" s="28"/>
      <c r="L2" s="1" t="s">
        <v>19</v>
      </c>
      <c r="P2" s="1">
        <f>(P14-H14)/H14</f>
        <v>-0.29403610345503461</v>
      </c>
      <c r="R2" s="1">
        <f>(R14-J14)/J14</f>
        <v>-0.12279825374384865</v>
      </c>
      <c r="T2" s="1" t="s">
        <v>20</v>
      </c>
      <c r="X2" s="1">
        <f>(X14-P14)/P14</f>
        <v>6.6119231178529949</v>
      </c>
      <c r="Z2" s="1">
        <f>(Z14-R14)/R14</f>
        <v>0.43472376333241441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252</v>
      </c>
      <c r="D4" s="23">
        <v>701569.47923786531</v>
      </c>
      <c r="E4" s="33">
        <v>34.058168750001641</v>
      </c>
      <c r="F4" s="5">
        <v>9</v>
      </c>
      <c r="G4" s="23">
        <v>97</v>
      </c>
      <c r="H4" s="33">
        <v>231.03003873807666</v>
      </c>
      <c r="I4" s="23">
        <v>37.239661755850783</v>
      </c>
      <c r="J4" s="5">
        <v>5035.5875965228424</v>
      </c>
      <c r="K4" s="31"/>
      <c r="L4" s="23">
        <v>950895.42290717619</v>
      </c>
      <c r="M4" s="33">
        <v>92.427466417000005</v>
      </c>
      <c r="N4" s="5">
        <v>19</v>
      </c>
      <c r="O4" s="5">
        <v>89</v>
      </c>
      <c r="P4" s="33">
        <v>149.27981785112274</v>
      </c>
      <c r="Q4" s="5">
        <v>15.647023229327239</v>
      </c>
      <c r="R4" s="5">
        <v>4339.0098780463341</v>
      </c>
      <c r="S4" s="35"/>
      <c r="T4" s="23">
        <v>985809.79053190234</v>
      </c>
      <c r="U4" s="33">
        <v>103.7215512920002</v>
      </c>
      <c r="V4" s="5">
        <v>10</v>
      </c>
      <c r="W4" s="5">
        <v>84</v>
      </c>
      <c r="X4" s="33">
        <v>630.81283773258167</v>
      </c>
      <c r="Y4" s="5">
        <v>47.417153800108053</v>
      </c>
      <c r="Z4" s="5">
        <v>6018.910045042152</v>
      </c>
      <c r="AA4" s="35"/>
    </row>
    <row r="5" spans="2:27" x14ac:dyDescent="0.2">
      <c r="B5" s="4">
        <v>2</v>
      </c>
      <c r="C5" s="4">
        <v>287</v>
      </c>
      <c r="D5" s="23">
        <v>694578.88622167765</v>
      </c>
      <c r="E5" s="33">
        <v>46.74106579200452</v>
      </c>
      <c r="F5" s="5">
        <v>10</v>
      </c>
      <c r="G5" s="23">
        <v>98</v>
      </c>
      <c r="H5" s="33">
        <v>188.89266984891555</v>
      </c>
      <c r="I5" s="23">
        <v>33.654121314766769</v>
      </c>
      <c r="J5" s="5">
        <v>4941.9456616538237</v>
      </c>
      <c r="K5" s="31"/>
      <c r="L5" s="23">
        <v>932444.79243866401</v>
      </c>
      <c r="M5" s="33">
        <v>111.8056013749999</v>
      </c>
      <c r="N5" s="5">
        <v>20</v>
      </c>
      <c r="O5" s="5">
        <v>91</v>
      </c>
      <c r="P5" s="33">
        <v>207.7093310388924</v>
      </c>
      <c r="Q5" s="5">
        <v>15.064920734123172</v>
      </c>
      <c r="R5" s="5">
        <v>4213.4895015825741</v>
      </c>
      <c r="S5" s="35"/>
      <c r="T5" s="23">
        <v>976379.00422932208</v>
      </c>
      <c r="U5" s="33">
        <v>68.777657374999762</v>
      </c>
      <c r="V5" s="5">
        <v>11</v>
      </c>
      <c r="W5" s="5">
        <v>86</v>
      </c>
      <c r="X5" s="33">
        <v>686.46156240530172</v>
      </c>
      <c r="Y5" s="5">
        <v>45.897493290089322</v>
      </c>
      <c r="Z5" s="5">
        <v>6058.9901404985194</v>
      </c>
      <c r="AA5" s="35"/>
    </row>
    <row r="6" spans="2:27" x14ac:dyDescent="0.2">
      <c r="B6" s="4">
        <v>3</v>
      </c>
      <c r="C6" s="4">
        <v>490</v>
      </c>
      <c r="D6" s="23">
        <v>701754.84056908009</v>
      </c>
      <c r="E6" s="33">
        <v>39.384160292000161</v>
      </c>
      <c r="F6" s="5">
        <v>9</v>
      </c>
      <c r="G6" s="23">
        <v>97</v>
      </c>
      <c r="H6" s="33">
        <v>226.6683598698159</v>
      </c>
      <c r="I6" s="23">
        <v>37.293735012311643</v>
      </c>
      <c r="J6" s="5">
        <v>5046.252724493942</v>
      </c>
      <c r="K6" s="31"/>
      <c r="L6" s="23">
        <v>949662.01522223419</v>
      </c>
      <c r="M6" s="33">
        <v>84.939405416999762</v>
      </c>
      <c r="N6" s="5">
        <v>19</v>
      </c>
      <c r="O6" s="5">
        <v>89</v>
      </c>
      <c r="P6" s="33">
        <v>147.39950579460856</v>
      </c>
      <c r="Q6" s="5">
        <v>15.61001882704806</v>
      </c>
      <c r="R6" s="5">
        <v>4298.2517156226995</v>
      </c>
      <c r="S6" s="35"/>
      <c r="T6" s="23">
        <v>978226.53614183562</v>
      </c>
      <c r="U6" s="33">
        <v>167.71278504200021</v>
      </c>
      <c r="V6" s="5">
        <v>13</v>
      </c>
      <c r="W6" s="5">
        <v>90</v>
      </c>
      <c r="X6" s="33">
        <v>863.98628043503902</v>
      </c>
      <c r="Y6" s="5">
        <v>42.406770019995079</v>
      </c>
      <c r="Z6" s="5">
        <v>6210.1253788995637</v>
      </c>
      <c r="AA6" s="35"/>
    </row>
    <row r="7" spans="2:27" x14ac:dyDescent="0.2">
      <c r="B7" s="4">
        <v>4</v>
      </c>
      <c r="C7" s="4">
        <v>616</v>
      </c>
      <c r="D7" s="23">
        <v>701321.13151829888</v>
      </c>
      <c r="E7" s="33">
        <v>33.307557667001667</v>
      </c>
      <c r="F7" s="5">
        <v>9</v>
      </c>
      <c r="G7" s="23">
        <v>97</v>
      </c>
      <c r="H7" s="33">
        <v>213.2096996743787</v>
      </c>
      <c r="I7" s="23">
        <v>37.355361688613215</v>
      </c>
      <c r="J7" s="5">
        <v>5037.8894576486036</v>
      </c>
      <c r="K7" s="31"/>
      <c r="L7" s="23">
        <v>949088.51518648863</v>
      </c>
      <c r="M7" s="33">
        <v>99.114868915999978</v>
      </c>
      <c r="N7" s="5">
        <v>18</v>
      </c>
      <c r="O7" s="5">
        <v>88</v>
      </c>
      <c r="P7" s="33">
        <v>190.78999335120227</v>
      </c>
      <c r="Q7" s="5">
        <v>15.784048526276397</v>
      </c>
      <c r="R7" s="5">
        <v>4319.7630781342359</v>
      </c>
      <c r="S7" s="35"/>
      <c r="T7" s="23">
        <v>1025443.463581042</v>
      </c>
      <c r="U7" s="33">
        <v>69.033158333000756</v>
      </c>
      <c r="V7" s="5">
        <v>10</v>
      </c>
      <c r="W7" s="5">
        <v>83</v>
      </c>
      <c r="X7" s="33">
        <v>732.76538512493948</v>
      </c>
      <c r="Y7" s="5">
        <v>46.297618428713307</v>
      </c>
      <c r="Z7" s="5">
        <v>6195.5994064143179</v>
      </c>
      <c r="AA7" s="35"/>
    </row>
    <row r="8" spans="2:27" x14ac:dyDescent="0.2">
      <c r="B8" s="4">
        <v>5</v>
      </c>
      <c r="C8" s="4">
        <v>423</v>
      </c>
      <c r="D8" s="23">
        <v>701990.63797161996</v>
      </c>
      <c r="E8" s="33">
        <v>41.986296500006567</v>
      </c>
      <c r="F8" s="5">
        <v>9</v>
      </c>
      <c r="G8" s="23">
        <v>97</v>
      </c>
      <c r="H8" s="33">
        <v>229.97051566400341</v>
      </c>
      <c r="I8" s="23">
        <v>37.301491924322484</v>
      </c>
      <c r="J8" s="5">
        <v>5036.2605728811996</v>
      </c>
      <c r="K8" s="31"/>
      <c r="L8" s="23">
        <v>931399.78395431116</v>
      </c>
      <c r="M8" s="33">
        <v>113.6071093330002</v>
      </c>
      <c r="N8" s="5">
        <v>18</v>
      </c>
      <c r="O8" s="5">
        <v>89</v>
      </c>
      <c r="P8" s="33">
        <v>199.43860236773887</v>
      </c>
      <c r="Q8" s="5">
        <v>16.27973186473956</v>
      </c>
      <c r="R8" s="5">
        <v>4282.1288735501994</v>
      </c>
      <c r="S8" s="35"/>
      <c r="T8" s="23">
        <v>990006.56890764378</v>
      </c>
      <c r="U8" s="33">
        <v>45.721649625000282</v>
      </c>
      <c r="V8" s="5">
        <v>10</v>
      </c>
      <c r="W8" s="5">
        <v>83</v>
      </c>
      <c r="X8" s="33">
        <v>566.50141833596535</v>
      </c>
      <c r="Y8" s="5">
        <v>46.274315601975488</v>
      </c>
      <c r="Z8" s="5">
        <v>5930.422366447684</v>
      </c>
      <c r="AA8" s="35"/>
    </row>
    <row r="9" spans="2:27" x14ac:dyDescent="0.2">
      <c r="B9" s="4">
        <v>6</v>
      </c>
      <c r="C9" s="4">
        <v>617</v>
      </c>
      <c r="D9" s="23">
        <v>694189.59309318347</v>
      </c>
      <c r="E9" s="33">
        <v>43.070357333999709</v>
      </c>
      <c r="F9" s="5">
        <v>10</v>
      </c>
      <c r="G9" s="23">
        <v>98</v>
      </c>
      <c r="H9" s="33">
        <v>192.27770383479478</v>
      </c>
      <c r="I9" s="23">
        <v>33.652526752782123</v>
      </c>
      <c r="J9" s="5">
        <v>4938.8649599343635</v>
      </c>
      <c r="K9" s="31"/>
      <c r="L9" s="23">
        <v>943820.34002379526</v>
      </c>
      <c r="M9" s="33">
        <v>126.26532533300001</v>
      </c>
      <c r="N9" s="5">
        <v>19</v>
      </c>
      <c r="O9" s="5">
        <v>91</v>
      </c>
      <c r="P9" s="33">
        <v>283.73767497072339</v>
      </c>
      <c r="Q9" s="5">
        <v>15.897445689583899</v>
      </c>
      <c r="R9" s="5">
        <v>4496.3347651712256</v>
      </c>
      <c r="S9" s="35"/>
      <c r="T9" s="23">
        <v>985650.04709231365</v>
      </c>
      <c r="U9" s="33">
        <v>77.15260279100039</v>
      </c>
      <c r="V9" s="5">
        <v>10</v>
      </c>
      <c r="W9" s="5">
        <v>84</v>
      </c>
      <c r="X9" s="33">
        <v>675.12880824143599</v>
      </c>
      <c r="Y9" s="5">
        <v>49.322576779687267</v>
      </c>
      <c r="Z9" s="5">
        <v>6040.1744077495341</v>
      </c>
      <c r="AA9" s="35"/>
    </row>
    <row r="10" spans="2:27" x14ac:dyDescent="0.2">
      <c r="B10" s="4">
        <v>7</v>
      </c>
      <c r="C10" s="4">
        <v>810</v>
      </c>
      <c r="D10" s="23">
        <v>701977.02354793297</v>
      </c>
      <c r="E10" s="33">
        <v>33.395313208005973</v>
      </c>
      <c r="F10" s="5">
        <v>10</v>
      </c>
      <c r="G10" s="23">
        <v>97</v>
      </c>
      <c r="H10" s="33">
        <v>180.41909417285731</v>
      </c>
      <c r="I10" s="23">
        <v>33.399613273592244</v>
      </c>
      <c r="J10" s="5">
        <v>4875.1991985745517</v>
      </c>
      <c r="K10" s="31"/>
      <c r="L10" s="23">
        <v>929715.79119362275</v>
      </c>
      <c r="M10" s="33">
        <v>157.69643479199979</v>
      </c>
      <c r="N10" s="5">
        <v>18</v>
      </c>
      <c r="O10" s="5">
        <v>88</v>
      </c>
      <c r="P10" s="33">
        <v>105.78265194124984</v>
      </c>
      <c r="Q10" s="5">
        <v>16.434242639820145</v>
      </c>
      <c r="R10" s="5">
        <v>4160.7007461566545</v>
      </c>
      <c r="S10" s="35"/>
      <c r="T10" s="23">
        <v>961233.04565212352</v>
      </c>
      <c r="U10" s="33">
        <v>49.653966958998353</v>
      </c>
      <c r="V10" s="5">
        <v>12</v>
      </c>
      <c r="W10" s="5">
        <v>88</v>
      </c>
      <c r="X10" s="33">
        <v>805.20941377939664</v>
      </c>
      <c r="Y10" s="5">
        <v>45.653067831135218</v>
      </c>
      <c r="Z10" s="5">
        <v>5969.4562326258601</v>
      </c>
      <c r="AA10" s="35"/>
    </row>
    <row r="11" spans="2:27" x14ac:dyDescent="0.2">
      <c r="B11" s="4">
        <v>8</v>
      </c>
      <c r="C11" s="4">
        <v>51</v>
      </c>
      <c r="D11" s="23">
        <v>699889.57683086896</v>
      </c>
      <c r="E11" s="33">
        <v>69.117840833001537</v>
      </c>
      <c r="F11" s="5">
        <v>9</v>
      </c>
      <c r="G11" s="23">
        <v>97</v>
      </c>
      <c r="H11" s="33">
        <v>204.14893693575729</v>
      </c>
      <c r="I11" s="23">
        <v>36.580549547777025</v>
      </c>
      <c r="J11" s="5">
        <v>5024.9047926849935</v>
      </c>
      <c r="K11" s="31"/>
      <c r="L11" s="23">
        <v>938936.12462877412</v>
      </c>
      <c r="M11" s="33">
        <v>101.3668601249997</v>
      </c>
      <c r="N11" s="5">
        <v>19</v>
      </c>
      <c r="O11" s="5">
        <v>90</v>
      </c>
      <c r="P11" s="33">
        <v>131.52574545665942</v>
      </c>
      <c r="Q11" s="5">
        <v>15.417576315319282</v>
      </c>
      <c r="R11" s="5">
        <v>4337.2295905400588</v>
      </c>
      <c r="S11" s="35"/>
      <c r="T11" s="23">
        <v>971698.19460310601</v>
      </c>
      <c r="U11" s="33">
        <v>82.557189625000319</v>
      </c>
      <c r="V11" s="5">
        <v>13</v>
      </c>
      <c r="W11" s="5">
        <v>91</v>
      </c>
      <c r="X11" s="33">
        <v>1027.6728131757432</v>
      </c>
      <c r="Y11" s="5">
        <v>45.055467722899046</v>
      </c>
      <c r="Z11" s="5">
        <v>6284.4338179883525</v>
      </c>
      <c r="AA11" s="35"/>
    </row>
    <row r="12" spans="2:27" x14ac:dyDescent="0.2">
      <c r="B12" s="4">
        <v>9</v>
      </c>
      <c r="C12" s="4">
        <v>686</v>
      </c>
      <c r="D12" s="23">
        <v>701576.93629120442</v>
      </c>
      <c r="E12" s="33">
        <v>66.321276334005233</v>
      </c>
      <c r="F12" s="5">
        <v>9</v>
      </c>
      <c r="G12" s="23">
        <v>97</v>
      </c>
      <c r="H12" s="33">
        <v>230.35708931039056</v>
      </c>
      <c r="I12" s="23">
        <v>37.357136069686504</v>
      </c>
      <c r="J12" s="5">
        <v>5031.1312240305588</v>
      </c>
      <c r="K12" s="31"/>
      <c r="L12" s="23">
        <v>947134.88684576412</v>
      </c>
      <c r="M12" s="33">
        <v>75.186574792000101</v>
      </c>
      <c r="N12" s="5">
        <v>18</v>
      </c>
      <c r="O12" s="5">
        <v>87</v>
      </c>
      <c r="P12" s="33">
        <v>130.60321265658251</v>
      </c>
      <c r="Q12" s="5">
        <v>16.080157966009953</v>
      </c>
      <c r="R12" s="5">
        <v>4174.2523518852868</v>
      </c>
      <c r="S12" s="35"/>
      <c r="T12" s="23">
        <v>984143.14636360086</v>
      </c>
      <c r="U12" s="33">
        <v>59.210387332999737</v>
      </c>
      <c r="V12" s="5">
        <v>10</v>
      </c>
      <c r="W12" s="5">
        <v>84</v>
      </c>
      <c r="X12" s="33">
        <v>653.20607767852084</v>
      </c>
      <c r="Y12" s="5">
        <v>48.347819250417089</v>
      </c>
      <c r="Z12" s="5">
        <v>6009.4953492711484</v>
      </c>
      <c r="AA12" s="35"/>
    </row>
    <row r="13" spans="2:27" x14ac:dyDescent="0.2">
      <c r="B13" s="4">
        <v>10</v>
      </c>
      <c r="C13" s="4">
        <v>157</v>
      </c>
      <c r="D13" s="23">
        <v>688163.60850281816</v>
      </c>
      <c r="E13" s="33">
        <v>71.228360166001949</v>
      </c>
      <c r="F13" s="5">
        <v>11</v>
      </c>
      <c r="G13" s="23">
        <v>98</v>
      </c>
      <c r="H13" s="33">
        <v>149.84144721699965</v>
      </c>
      <c r="I13" s="23">
        <v>30.764753738664602</v>
      </c>
      <c r="J13" s="5">
        <v>4743.1514630634238</v>
      </c>
      <c r="K13" s="31"/>
      <c r="L13" s="23">
        <v>939423.21591995494</v>
      </c>
      <c r="M13" s="33">
        <v>144.91631983299979</v>
      </c>
      <c r="N13" s="5">
        <v>19</v>
      </c>
      <c r="O13" s="5">
        <v>90</v>
      </c>
      <c r="P13" s="33">
        <v>156.30610106776439</v>
      </c>
      <c r="Q13" s="5">
        <v>15.273117907995163</v>
      </c>
      <c r="R13" s="5">
        <v>4330.4369150346329</v>
      </c>
      <c r="S13" s="35"/>
      <c r="T13" s="23">
        <v>979188.90415122884</v>
      </c>
      <c r="U13" s="33">
        <v>91.500407999999879</v>
      </c>
      <c r="V13" s="5">
        <v>11</v>
      </c>
      <c r="W13" s="5">
        <v>86</v>
      </c>
      <c r="X13" s="33">
        <v>655.06616790586577</v>
      </c>
      <c r="Y13" s="5">
        <v>46.020543661522453</v>
      </c>
      <c r="Z13" s="5">
        <v>5966.4844282611248</v>
      </c>
      <c r="AA13" s="35"/>
    </row>
    <row r="14" spans="2:27" x14ac:dyDescent="0.2">
      <c r="B14" s="47" t="s">
        <v>3</v>
      </c>
      <c r="C14" s="48"/>
      <c r="D14" s="9">
        <f>MIN(D4:D13)</f>
        <v>688163.60850281816</v>
      </c>
      <c r="E14" s="22">
        <f>INDEX(E4:E13, MATCH($D$14, D4:D13, 0))</f>
        <v>71.228360166001949</v>
      </c>
      <c r="F14" s="9">
        <f>INDEX(F4:F13, MATCH($D$14, D4:D13, 0))</f>
        <v>11</v>
      </c>
      <c r="G14" s="9">
        <f>INDEX(G4:G13, MATCH($D$14, D4:D13, 0))</f>
        <v>98</v>
      </c>
      <c r="H14" s="22">
        <f>INDEX(H4:H13, MATCH($D$14, D4:D13, 0))</f>
        <v>149.84144721699965</v>
      </c>
      <c r="I14" s="22">
        <f>INDEX(I4:I13, MATCH($D$14, D4:D13, 0))</f>
        <v>30.764753738664602</v>
      </c>
      <c r="J14" s="22">
        <f>INDEX(J4:J13, MATCH($D$14, D4:D13, 0))</f>
        <v>4743.1514630634238</v>
      </c>
      <c r="K14" s="32" t="e">
        <f>(D14-$D$15)/$D$15</f>
        <v>#DIV/0!</v>
      </c>
      <c r="L14" s="16">
        <f>MIN(L4:L13)</f>
        <v>929715.79119362275</v>
      </c>
      <c r="M14" s="21">
        <f>INDEX(M4:M13, MATCH($L$14, L4:L13, 0))</f>
        <v>157.69643479199979</v>
      </c>
      <c r="N14" s="16">
        <f>INDEX(N4:N13, MATCH($L$14, L4:L13, 0))</f>
        <v>18</v>
      </c>
      <c r="O14" s="16">
        <f>INDEX(O4:O13, MATCH($L$14, L4:L13, 0))</f>
        <v>88</v>
      </c>
      <c r="P14" s="21">
        <f>INDEX(P4:P13, MATCH($L$14, L4:L13, 0))</f>
        <v>105.78265194124984</v>
      </c>
      <c r="Q14" s="21">
        <f>INDEX(Q4:Q13, MATCH($L$14, L4:L13, 0))</f>
        <v>16.434242639820145</v>
      </c>
      <c r="R14" s="21">
        <f>INDEX(R4:R13, MATCH($L$14, L4:L13, 0))</f>
        <v>4160.7007461566545</v>
      </c>
      <c r="S14" s="36" t="e">
        <f>(L14-$D$15)/$D$15</f>
        <v>#DIV/0!</v>
      </c>
      <c r="T14" s="38">
        <f>MIN(T4:T13)</f>
        <v>961233.04565212352</v>
      </c>
      <c r="U14" s="39">
        <f>INDEX(U4:U13, MATCH($T$14, T4:T13, 0))</f>
        <v>49.653966958998353</v>
      </c>
      <c r="V14" s="38">
        <f>INDEX(V4:V13, MATCH($T$14, T4:T13, 0))</f>
        <v>12</v>
      </c>
      <c r="W14" s="38">
        <f>INDEX(W4:W13, MATCH($T$14, T4:T13, 0))</f>
        <v>88</v>
      </c>
      <c r="X14" s="39">
        <f>INDEX(X4:X13, MATCH($T$14, T4:T13, 0))</f>
        <v>805.20941377939664</v>
      </c>
      <c r="Y14" s="39">
        <f>INDEX(Y4:Y13, MATCH($T$14, T4:T13, 0))</f>
        <v>45.653067831135218</v>
      </c>
      <c r="Z14" s="39">
        <f>INDEX(Z4:Z13, MATCH($T$14, T4:T13, 0))</f>
        <v>5969.4562326258601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0.35100981758731781</v>
      </c>
      <c r="M15" s="46">
        <f t="shared" ref="M15:R15" si="0">(M14-E14)/E14</f>
        <v>1.2139557112430897</v>
      </c>
      <c r="N15" s="46">
        <f t="shared" si="0"/>
        <v>0.63636363636363635</v>
      </c>
      <c r="O15" s="46">
        <f t="shared" si="0"/>
        <v>-0.10204081632653061</v>
      </c>
      <c r="P15" s="46">
        <f t="shared" si="0"/>
        <v>-0.29403610345503461</v>
      </c>
      <c r="Q15" s="46">
        <f t="shared" si="0"/>
        <v>-0.4658093876056002</v>
      </c>
      <c r="R15" s="46">
        <f t="shared" si="0"/>
        <v>-0.12279825374384865</v>
      </c>
      <c r="T15" s="46">
        <f>(T14-D14)/D14</f>
        <v>0.3968088893038102</v>
      </c>
      <c r="U15" s="46">
        <f t="shared" ref="U15:Z15" si="1">(U14-E14)/E14</f>
        <v>-0.30289049413356117</v>
      </c>
      <c r="V15" s="46">
        <f t="shared" si="1"/>
        <v>9.0909090909090912E-2</v>
      </c>
      <c r="W15" s="46">
        <f t="shared" si="1"/>
        <v>-0.10204081632653061</v>
      </c>
      <c r="X15" s="46">
        <f t="shared" si="1"/>
        <v>4.3737429044802019</v>
      </c>
      <c r="Y15" s="46">
        <f t="shared" si="1"/>
        <v>0.48394062305654811</v>
      </c>
      <c r="Z15" s="46">
        <f t="shared" si="1"/>
        <v>0.25854219059039119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07" priority="3"/>
    <cfRule type="duplicateValues" dxfId="106" priority="4"/>
  </conditionalFormatting>
  <conditionalFormatting sqref="C14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ACEB-EA0B-1843-AEF3-ACB6211B0564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2.33203125" style="1" customWidth="1"/>
    <col min="2" max="2" width="8.1640625" style="1" bestFit="1" customWidth="1"/>
    <col min="3" max="3" width="5.1640625" style="1" bestFit="1" customWidth="1"/>
    <col min="4" max="4" width="8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2" style="1" bestFit="1" customWidth="1"/>
    <col min="9" max="9" width="24.83203125" style="1" bestFit="1" customWidth="1"/>
    <col min="10" max="10" width="18.6640625" style="1" bestFit="1" customWidth="1"/>
    <col min="11" max="11" width="7.33203125" style="1" bestFit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-0.6197634888953949</v>
      </c>
      <c r="J2" s="28" t="e">
        <f>(S14-J14)/J14</f>
        <v>#DIV/0!</v>
      </c>
      <c r="K2" s="28"/>
      <c r="L2" s="1" t="s">
        <v>19</v>
      </c>
      <c r="P2" s="1">
        <f>(P14-H14)/H14</f>
        <v>-0.39183929180193799</v>
      </c>
      <c r="R2" s="1">
        <f>(R14-J14)/J14</f>
        <v>-0.17762170602778157</v>
      </c>
      <c r="T2" s="1" t="s">
        <v>20</v>
      </c>
      <c r="X2" s="1">
        <f>(X14-P14)/P14</f>
        <v>24.258555884904901</v>
      </c>
      <c r="Z2" s="1">
        <f>(Z14-R14)/R14</f>
        <v>0.52724935499328007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128</v>
      </c>
      <c r="D4" s="23">
        <v>588187.32269399986</v>
      </c>
      <c r="E4" s="33">
        <v>51.855034083004277</v>
      </c>
      <c r="F4" s="5">
        <v>10</v>
      </c>
      <c r="G4" s="23">
        <v>100</v>
      </c>
      <c r="H4" s="33">
        <v>38.163522879734217</v>
      </c>
      <c r="I4" s="23">
        <v>35.771677160768419</v>
      </c>
      <c r="J4" s="5">
        <v>4415.5526568796022</v>
      </c>
      <c r="K4" s="31"/>
      <c r="L4" s="23">
        <v>923150.53233407973</v>
      </c>
      <c r="M4" s="33">
        <v>134.91088687499999</v>
      </c>
      <c r="N4" s="5">
        <v>16</v>
      </c>
      <c r="O4" s="5">
        <v>82</v>
      </c>
      <c r="P4" s="33">
        <v>35.393245444633735</v>
      </c>
      <c r="Q4" s="5">
        <v>17.346259657799799</v>
      </c>
      <c r="R4" s="5">
        <v>3559.8457118643096</v>
      </c>
      <c r="S4" s="35"/>
      <c r="T4" s="23">
        <v>845666.24852112588</v>
      </c>
      <c r="U4" s="33">
        <v>115.49824137499949</v>
      </c>
      <c r="V4" s="5">
        <v>15</v>
      </c>
      <c r="W4" s="5">
        <v>98</v>
      </c>
      <c r="X4" s="33">
        <v>792.56180627605511</v>
      </c>
      <c r="Y4" s="5">
        <v>47.168160457420207</v>
      </c>
      <c r="Z4" s="5">
        <v>5886.0953173053213</v>
      </c>
      <c r="AA4" s="35"/>
    </row>
    <row r="5" spans="2:27" x14ac:dyDescent="0.2">
      <c r="B5" s="4">
        <v>2</v>
      </c>
      <c r="C5" s="4">
        <v>220</v>
      </c>
      <c r="D5" s="23">
        <v>588509.36813282291</v>
      </c>
      <c r="E5" s="33">
        <v>58.80556549999892</v>
      </c>
      <c r="F5" s="5">
        <v>10</v>
      </c>
      <c r="G5" s="23">
        <v>100</v>
      </c>
      <c r="H5" s="33">
        <v>41.59599171263735</v>
      </c>
      <c r="I5" s="23">
        <v>35.581911278779756</v>
      </c>
      <c r="J5" s="5">
        <v>4413.7624245707802</v>
      </c>
      <c r="K5" s="31"/>
      <c r="L5" s="23">
        <v>928400.5060089929</v>
      </c>
      <c r="M5" s="33">
        <v>178.79189737499971</v>
      </c>
      <c r="N5" s="5">
        <v>17</v>
      </c>
      <c r="O5" s="5">
        <v>84</v>
      </c>
      <c r="P5" s="33">
        <v>58.008268784818611</v>
      </c>
      <c r="Q5" s="5">
        <v>16.574775278015267</v>
      </c>
      <c r="R5" s="5">
        <v>3739.7384074297747</v>
      </c>
      <c r="S5" s="35"/>
      <c r="T5" s="23">
        <v>831431.13966241316</v>
      </c>
      <c r="U5" s="33">
        <v>200.07651870800149</v>
      </c>
      <c r="V5" s="5">
        <v>14</v>
      </c>
      <c r="W5" s="5">
        <v>97</v>
      </c>
      <c r="X5" s="33">
        <v>727.3450724700449</v>
      </c>
      <c r="Y5" s="5">
        <v>47.788435437495664</v>
      </c>
      <c r="Z5" s="5">
        <v>5719.7076478667504</v>
      </c>
      <c r="AA5" s="35"/>
    </row>
    <row r="6" spans="2:27" x14ac:dyDescent="0.2">
      <c r="B6" s="4">
        <v>3</v>
      </c>
      <c r="C6" s="4">
        <v>503</v>
      </c>
      <c r="D6" s="23">
        <v>594909.65585196333</v>
      </c>
      <c r="E6" s="33">
        <v>39.71069616600289</v>
      </c>
      <c r="F6" s="5">
        <v>10</v>
      </c>
      <c r="G6" s="23">
        <v>100</v>
      </c>
      <c r="H6" s="33">
        <v>45.432699621883039</v>
      </c>
      <c r="I6" s="23">
        <v>35.732889431397183</v>
      </c>
      <c r="J6" s="5">
        <v>4471.1457390049336</v>
      </c>
      <c r="K6" s="31"/>
      <c r="L6" s="23">
        <v>914724.02493511164</v>
      </c>
      <c r="M6" s="33">
        <v>240.01143441700009</v>
      </c>
      <c r="N6" s="5">
        <v>17</v>
      </c>
      <c r="O6" s="5">
        <v>84</v>
      </c>
      <c r="P6" s="33">
        <v>27.181201656302967</v>
      </c>
      <c r="Q6" s="5">
        <v>16.994332494853353</v>
      </c>
      <c r="R6" s="5">
        <v>3623.1936235622493</v>
      </c>
      <c r="S6" s="35"/>
      <c r="T6" s="23">
        <v>831243.48254076438</v>
      </c>
      <c r="U6" s="33">
        <v>147.4877494170014</v>
      </c>
      <c r="V6" s="5">
        <v>14</v>
      </c>
      <c r="W6" s="5">
        <v>95</v>
      </c>
      <c r="X6" s="33">
        <v>605.29330983980606</v>
      </c>
      <c r="Y6" s="5">
        <v>45.165633233079973</v>
      </c>
      <c r="Z6" s="5">
        <v>5535.2425452503303</v>
      </c>
      <c r="AA6" s="35"/>
    </row>
    <row r="7" spans="2:27" x14ac:dyDescent="0.2">
      <c r="B7" s="4">
        <v>4</v>
      </c>
      <c r="C7" s="4">
        <v>515</v>
      </c>
      <c r="D7" s="23">
        <v>588246.46463093488</v>
      </c>
      <c r="E7" s="33">
        <v>41.03424937499949</v>
      </c>
      <c r="F7" s="5">
        <v>10</v>
      </c>
      <c r="G7" s="23">
        <v>100</v>
      </c>
      <c r="H7" s="33">
        <v>37.902397933512418</v>
      </c>
      <c r="I7" s="23">
        <v>35.820699038984188</v>
      </c>
      <c r="J7" s="5">
        <v>4413.997069780462</v>
      </c>
      <c r="K7" s="31"/>
      <c r="L7" s="23">
        <v>947077.83671583713</v>
      </c>
      <c r="M7" s="33">
        <v>72.167292166999687</v>
      </c>
      <c r="N7" s="5">
        <v>18</v>
      </c>
      <c r="O7" s="5">
        <v>85</v>
      </c>
      <c r="P7" s="33">
        <v>77.020911310608554</v>
      </c>
      <c r="Q7" s="5">
        <v>16.323768409768078</v>
      </c>
      <c r="R7" s="5">
        <v>3916.4738610704067</v>
      </c>
      <c r="S7" s="35"/>
      <c r="T7" s="23">
        <v>830895.17162204324</v>
      </c>
      <c r="U7" s="33">
        <v>63.936509666998973</v>
      </c>
      <c r="V7" s="5">
        <v>14</v>
      </c>
      <c r="W7" s="5">
        <v>96</v>
      </c>
      <c r="X7" s="33">
        <v>740.8300432061925</v>
      </c>
      <c r="Y7" s="5">
        <v>46.432473913253105</v>
      </c>
      <c r="Z7" s="5">
        <v>5609.9624832103291</v>
      </c>
      <c r="AA7" s="35"/>
    </row>
    <row r="8" spans="2:27" x14ac:dyDescent="0.2">
      <c r="B8" s="4">
        <v>5</v>
      </c>
      <c r="C8" s="4">
        <v>567</v>
      </c>
      <c r="D8" s="23">
        <v>587127.73142363934</v>
      </c>
      <c r="E8" s="33">
        <v>52.846238958001777</v>
      </c>
      <c r="F8" s="5">
        <v>10</v>
      </c>
      <c r="G8" s="23">
        <v>100</v>
      </c>
      <c r="H8" s="33">
        <v>44.694110109216005</v>
      </c>
      <c r="I8" s="23">
        <v>35.66148318076521</v>
      </c>
      <c r="J8" s="5">
        <v>4405.7505531446432</v>
      </c>
      <c r="K8" s="31"/>
      <c r="L8" s="23">
        <v>926963.90983923292</v>
      </c>
      <c r="M8" s="33">
        <v>128.32448250000019</v>
      </c>
      <c r="N8" s="5">
        <v>17</v>
      </c>
      <c r="O8" s="5">
        <v>83</v>
      </c>
      <c r="P8" s="33">
        <v>15.740770768834803</v>
      </c>
      <c r="Q8" s="5">
        <v>16.879740292011252</v>
      </c>
      <c r="R8" s="5">
        <v>3577.4937648958407</v>
      </c>
      <c r="S8" s="35"/>
      <c r="T8" s="23">
        <v>821843.92096609541</v>
      </c>
      <c r="U8" s="33">
        <v>222.41256529200109</v>
      </c>
      <c r="V8" s="5">
        <v>15</v>
      </c>
      <c r="W8" s="5">
        <v>97</v>
      </c>
      <c r="X8" s="33">
        <v>657.77475924907128</v>
      </c>
      <c r="Y8" s="5">
        <v>45.332475798279837</v>
      </c>
      <c r="Z8" s="5">
        <v>5557.9428300416703</v>
      </c>
      <c r="AA8" s="35"/>
    </row>
    <row r="9" spans="2:27" x14ac:dyDescent="0.2">
      <c r="B9" s="4">
        <v>6</v>
      </c>
      <c r="C9" s="4">
        <v>734</v>
      </c>
      <c r="D9" s="23">
        <v>588900.79700762511</v>
      </c>
      <c r="E9" s="33">
        <v>27.91801800000394</v>
      </c>
      <c r="F9" s="5">
        <v>10</v>
      </c>
      <c r="G9" s="23">
        <v>100</v>
      </c>
      <c r="H9" s="33">
        <v>43.2355927614515</v>
      </c>
      <c r="I9" s="23">
        <v>35.611797448273805</v>
      </c>
      <c r="J9" s="5">
        <v>4408.6962164036231</v>
      </c>
      <c r="K9" s="31"/>
      <c r="L9" s="23">
        <v>937142.5419730196</v>
      </c>
      <c r="M9" s="33">
        <v>121.7045053329998</v>
      </c>
      <c r="N9" s="5">
        <v>16</v>
      </c>
      <c r="O9" s="5">
        <v>82</v>
      </c>
      <c r="P9" s="33">
        <v>38.728340285922059</v>
      </c>
      <c r="Q9" s="5">
        <v>17.944170334936022</v>
      </c>
      <c r="R9" s="5">
        <v>3705.8360435356749</v>
      </c>
      <c r="S9" s="35"/>
      <c r="T9" s="23">
        <v>820437.03550415416</v>
      </c>
      <c r="U9" s="33">
        <v>136.2214610829997</v>
      </c>
      <c r="V9" s="5">
        <v>15</v>
      </c>
      <c r="W9" s="5">
        <v>97</v>
      </c>
      <c r="X9" s="33">
        <v>686.55790105459812</v>
      </c>
      <c r="Y9" s="5">
        <v>45.25431210399006</v>
      </c>
      <c r="Z9" s="5">
        <v>5533.5201246012102</v>
      </c>
      <c r="AA9" s="35"/>
    </row>
    <row r="10" spans="2:27" x14ac:dyDescent="0.2">
      <c r="B10" s="4">
        <v>7</v>
      </c>
      <c r="C10" s="4">
        <v>863</v>
      </c>
      <c r="D10" s="23">
        <v>592919.91579927818</v>
      </c>
      <c r="E10" s="33">
        <v>48.025904999994957</v>
      </c>
      <c r="F10" s="5">
        <v>10</v>
      </c>
      <c r="G10" s="23">
        <v>100</v>
      </c>
      <c r="H10" s="33">
        <v>53.174962593436824</v>
      </c>
      <c r="I10" s="23">
        <v>35.572992985268492</v>
      </c>
      <c r="J10" s="5">
        <v>4442.1318186263616</v>
      </c>
      <c r="K10" s="31"/>
      <c r="L10" s="23">
        <v>965201.83083480084</v>
      </c>
      <c r="M10" s="33">
        <v>78.90093191599999</v>
      </c>
      <c r="N10" s="5">
        <v>19</v>
      </c>
      <c r="O10" s="5">
        <v>85</v>
      </c>
      <c r="P10" s="33">
        <v>56.16103035763237</v>
      </c>
      <c r="Q10" s="5">
        <v>15.206820817628602</v>
      </c>
      <c r="R10" s="5">
        <v>3927.3372657441801</v>
      </c>
      <c r="S10" s="35"/>
      <c r="T10" s="23">
        <v>835056.12318564299</v>
      </c>
      <c r="U10" s="33">
        <v>86.888266374999148</v>
      </c>
      <c r="V10" s="5">
        <v>14</v>
      </c>
      <c r="W10" s="5">
        <v>97</v>
      </c>
      <c r="X10" s="33">
        <v>711.35597366388788</v>
      </c>
      <c r="Y10" s="5">
        <v>47.80296960454195</v>
      </c>
      <c r="Z10" s="5">
        <v>5756.2032897622621</v>
      </c>
      <c r="AA10" s="35"/>
    </row>
    <row r="11" spans="2:27" x14ac:dyDescent="0.2">
      <c r="B11" s="4">
        <v>8</v>
      </c>
      <c r="C11" s="4">
        <v>913</v>
      </c>
      <c r="D11" s="23">
        <v>600114.92229516059</v>
      </c>
      <c r="E11" s="33">
        <v>74.29712400000426</v>
      </c>
      <c r="F11" s="5">
        <v>11</v>
      </c>
      <c r="G11" s="23">
        <v>100</v>
      </c>
      <c r="H11" s="33">
        <v>78.832353962400134</v>
      </c>
      <c r="I11" s="23">
        <v>32.528644810112148</v>
      </c>
      <c r="J11" s="5">
        <v>4325.9646628889905</v>
      </c>
      <c r="K11" s="31"/>
      <c r="L11" s="23">
        <v>928516.13613564661</v>
      </c>
      <c r="M11" s="33">
        <v>109.20038612499999</v>
      </c>
      <c r="N11" s="5">
        <v>17</v>
      </c>
      <c r="O11" s="5">
        <v>83</v>
      </c>
      <c r="P11" s="33">
        <v>17.442624093845268</v>
      </c>
      <c r="Q11" s="5">
        <v>16.777524696664955</v>
      </c>
      <c r="R11" s="5">
        <v>3613.198883119479</v>
      </c>
      <c r="S11" s="35"/>
      <c r="T11" s="23">
        <v>840343.11088771361</v>
      </c>
      <c r="U11" s="33">
        <v>126.6092427499989</v>
      </c>
      <c r="V11" s="5">
        <v>14</v>
      </c>
      <c r="W11" s="5">
        <v>97</v>
      </c>
      <c r="X11" s="33">
        <v>783.75935577433597</v>
      </c>
      <c r="Y11" s="5">
        <v>48.221041827321528</v>
      </c>
      <c r="Z11" s="5">
        <v>5807.6783610482717</v>
      </c>
      <c r="AA11" s="35"/>
    </row>
    <row r="12" spans="2:27" x14ac:dyDescent="0.2">
      <c r="B12" s="4">
        <v>9</v>
      </c>
      <c r="C12" s="4">
        <v>928</v>
      </c>
      <c r="D12" s="23">
        <v>588950.9759330732</v>
      </c>
      <c r="E12" s="33">
        <v>39.457899666005687</v>
      </c>
      <c r="F12" s="5">
        <v>10</v>
      </c>
      <c r="G12" s="23">
        <v>100</v>
      </c>
      <c r="H12" s="33">
        <v>37.231473082039081</v>
      </c>
      <c r="I12" s="23">
        <v>35.61098651846121</v>
      </c>
      <c r="J12" s="5">
        <v>4416.1560369233121</v>
      </c>
      <c r="K12" s="31"/>
      <c r="L12" s="23">
        <v>920889.86237067403</v>
      </c>
      <c r="M12" s="33">
        <v>182.28154649999991</v>
      </c>
      <c r="N12" s="5">
        <v>17</v>
      </c>
      <c r="O12" s="5">
        <v>84</v>
      </c>
      <c r="P12" s="33">
        <v>42.830806451427527</v>
      </c>
      <c r="Q12" s="5">
        <v>16.797691215188454</v>
      </c>
      <c r="R12" s="5">
        <v>3686.7291830031249</v>
      </c>
      <c r="S12" s="35"/>
      <c r="T12" s="23">
        <v>848878.16304656584</v>
      </c>
      <c r="U12" s="33">
        <v>133.55141112500129</v>
      </c>
      <c r="V12" s="5">
        <v>14</v>
      </c>
      <c r="W12" s="5">
        <v>95</v>
      </c>
      <c r="X12" s="33">
        <v>689.00997391016756</v>
      </c>
      <c r="Y12" s="5">
        <v>47.491050366626233</v>
      </c>
      <c r="Z12" s="5">
        <v>5726.0596913948775</v>
      </c>
      <c r="AA12" s="35"/>
    </row>
    <row r="13" spans="2:27" x14ac:dyDescent="0.2">
      <c r="B13" s="4">
        <v>10</v>
      </c>
      <c r="C13" s="4">
        <v>947</v>
      </c>
      <c r="D13" s="23">
        <v>590715.79088358686</v>
      </c>
      <c r="E13" s="33">
        <v>26.619874833006179</v>
      </c>
      <c r="F13" s="5">
        <v>10</v>
      </c>
      <c r="G13" s="23">
        <v>100</v>
      </c>
      <c r="H13" s="33">
        <v>52.421653988893638</v>
      </c>
      <c r="I13" s="23">
        <v>35.518501365230989</v>
      </c>
      <c r="J13" s="5">
        <v>4424.5019323228535</v>
      </c>
      <c r="K13" s="31"/>
      <c r="L13" s="23">
        <v>922760.33821933309</v>
      </c>
      <c r="M13" s="33">
        <v>105.95834316700029</v>
      </c>
      <c r="N13" s="5">
        <v>18</v>
      </c>
      <c r="O13" s="5">
        <v>85</v>
      </c>
      <c r="P13" s="33">
        <v>33.51399371996704</v>
      </c>
      <c r="Q13" s="5">
        <v>16.124922970078856</v>
      </c>
      <c r="R13" s="5">
        <v>3666.7924906401095</v>
      </c>
      <c r="S13" s="35"/>
      <c r="T13" s="23">
        <v>855503.82562983874</v>
      </c>
      <c r="U13" s="33">
        <v>106.9824073330001</v>
      </c>
      <c r="V13" s="5">
        <v>13</v>
      </c>
      <c r="W13" s="5">
        <v>95</v>
      </c>
      <c r="X13" s="33">
        <v>729.33195674556941</v>
      </c>
      <c r="Y13" s="5">
        <v>49.782764311103911</v>
      </c>
      <c r="Z13" s="5">
        <v>5892.302672282367</v>
      </c>
      <c r="AA13" s="35"/>
    </row>
    <row r="14" spans="2:27" x14ac:dyDescent="0.2">
      <c r="B14" s="47" t="s">
        <v>3</v>
      </c>
      <c r="C14" s="48"/>
      <c r="D14" s="9">
        <f>MIN(D4:D13)</f>
        <v>587127.73142363934</v>
      </c>
      <c r="E14" s="22">
        <f>INDEX(E4:E13, MATCH($D$14, D4:D13, 0))</f>
        <v>52.846238958001777</v>
      </c>
      <c r="F14" s="9">
        <f>INDEX(F4:F13, MATCH($D$14, D4:D13, 0))</f>
        <v>10</v>
      </c>
      <c r="G14" s="9">
        <f>INDEX(G4:G13, MATCH($D$14, D4:D13, 0))</f>
        <v>100</v>
      </c>
      <c r="H14" s="22">
        <f>INDEX(H4:H13, MATCH($D$14, D4:D13, 0))</f>
        <v>44.694110109216005</v>
      </c>
      <c r="I14" s="22">
        <f>INDEX(I4:I13, MATCH($D$14, D4:D13, 0))</f>
        <v>35.66148318076521</v>
      </c>
      <c r="J14" s="22">
        <f>INDEX(J4:J13, MATCH($D$14, D4:D13, 0))</f>
        <v>4405.7505531446432</v>
      </c>
      <c r="K14" s="32" t="e">
        <f>(D14-$D$15)/$D$15</f>
        <v>#DIV/0!</v>
      </c>
      <c r="L14" s="16">
        <f>MIN(L4:L13)</f>
        <v>914724.02493511164</v>
      </c>
      <c r="M14" s="21">
        <f>INDEX(M4:M13, MATCH($L$14, L4:L13, 0))</f>
        <v>240.01143441700009</v>
      </c>
      <c r="N14" s="16">
        <f>INDEX(N4:N13, MATCH($L$14, L4:L13, 0))</f>
        <v>17</v>
      </c>
      <c r="O14" s="16">
        <f>INDEX(O4:O13, MATCH($L$14, L4:L13, 0))</f>
        <v>84</v>
      </c>
      <c r="P14" s="21">
        <f>INDEX(P4:P13, MATCH($L$14, L4:L13, 0))</f>
        <v>27.181201656302967</v>
      </c>
      <c r="Q14" s="21">
        <f>INDEX(Q4:Q13, MATCH($L$14, L4:L13, 0))</f>
        <v>16.994332494853353</v>
      </c>
      <c r="R14" s="21">
        <f>INDEX(R4:R13, MATCH($L$14, L4:L13, 0))</f>
        <v>3623.1936235622493</v>
      </c>
      <c r="S14" s="36" t="e">
        <f>(L14-$D$15)/$D$15</f>
        <v>#DIV/0!</v>
      </c>
      <c r="T14" s="38">
        <f>MIN(T4:T13)</f>
        <v>820437.03550415416</v>
      </c>
      <c r="U14" s="39">
        <f>INDEX(U4:U13, MATCH($T$14, T4:T13, 0))</f>
        <v>136.2214610829997</v>
      </c>
      <c r="V14" s="38">
        <f>INDEX(V4:V13, MATCH($T$14, T4:T13, 0))</f>
        <v>15</v>
      </c>
      <c r="W14" s="38">
        <f>INDEX(W4:W13, MATCH($T$14, T4:T13, 0))</f>
        <v>97</v>
      </c>
      <c r="X14" s="39">
        <f>INDEX(X4:X13, MATCH($T$14, T4:T13, 0))</f>
        <v>686.55790105459812</v>
      </c>
      <c r="Y14" s="39">
        <f>INDEX(Y4:Y13, MATCH($T$14, T4:T13, 0))</f>
        <v>45.25431210399006</v>
      </c>
      <c r="Z14" s="39">
        <f>INDEX(Z4:Z13, MATCH($T$14, T4:T13, 0))</f>
        <v>5533.5201246012102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0.55796426565839841</v>
      </c>
      <c r="M15" s="46">
        <f t="shared" ref="M15:R15" si="0">(M14-E14)/E14</f>
        <v>3.5416937732833391</v>
      </c>
      <c r="N15" s="46">
        <f t="shared" si="0"/>
        <v>0.7</v>
      </c>
      <c r="O15" s="46">
        <f t="shared" si="0"/>
        <v>-0.16</v>
      </c>
      <c r="P15" s="46">
        <f t="shared" si="0"/>
        <v>-0.39183929180193799</v>
      </c>
      <c r="Q15" s="46">
        <f t="shared" si="0"/>
        <v>-0.5234541309257823</v>
      </c>
      <c r="R15" s="46">
        <f t="shared" si="0"/>
        <v>-0.17762170602778157</v>
      </c>
      <c r="T15" s="46">
        <f>(T14-D14)/D14</f>
        <v>0.39737401521607152</v>
      </c>
      <c r="U15" s="46">
        <f t="shared" ref="U15:Z15" si="1">(U14-E14)/E14</f>
        <v>1.5776945298086074</v>
      </c>
      <c r="V15" s="46">
        <f t="shared" si="1"/>
        <v>0.5</v>
      </c>
      <c r="W15" s="46">
        <f t="shared" si="1"/>
        <v>-0.03</v>
      </c>
      <c r="X15" s="46">
        <f t="shared" si="1"/>
        <v>14.36126123502409</v>
      </c>
      <c r="Y15" s="46">
        <f t="shared" si="1"/>
        <v>0.26899691397016684</v>
      </c>
      <c r="Z15" s="46">
        <f t="shared" si="1"/>
        <v>0.25597671902954461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103" priority="7"/>
    <cfRule type="duplicateValues" dxfId="102" priority="8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3"/>
    <cfRule type="duplicateValues" dxfId="98" priority="4"/>
  </conditionalFormatting>
  <conditionalFormatting sqref="C17:C28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13BE-4F7E-FF47-BED7-6BA7599EF56C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1.0752875655837308</v>
      </c>
      <c r="J2" s="28" t="e">
        <f>(S14-J14)/J14</f>
        <v>#DIV/0!</v>
      </c>
      <c r="K2" s="28"/>
      <c r="L2" s="1" t="s">
        <v>19</v>
      </c>
      <c r="P2" s="1">
        <f>(P14-H14)/H14</f>
        <v>2.7473860864593802</v>
      </c>
      <c r="R2" s="1">
        <f>(R14-J14)/J14</f>
        <v>-0.11335032195004988</v>
      </c>
      <c r="T2" s="1" t="s">
        <v>20</v>
      </c>
      <c r="X2" s="1">
        <f>(X14-P14)/P14</f>
        <v>18.28529085927018</v>
      </c>
      <c r="Z2" s="1">
        <f>(Z14-R14)/R14</f>
        <v>0.63082223015971017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111</v>
      </c>
      <c r="D4" s="23">
        <v>643005.51590747817</v>
      </c>
      <c r="E4" s="33">
        <v>41.314695207998739</v>
      </c>
      <c r="F4" s="5">
        <v>10</v>
      </c>
      <c r="G4" s="23">
        <v>95</v>
      </c>
      <c r="H4" s="33">
        <v>50.805793882215376</v>
      </c>
      <c r="I4" s="23">
        <v>40.727265802819645</v>
      </c>
      <c r="J4" s="5">
        <v>4348.5560310977444</v>
      </c>
      <c r="K4" s="31"/>
      <c r="L4" s="23">
        <v>882326.96178536117</v>
      </c>
      <c r="M4" s="33">
        <v>118.545608292</v>
      </c>
      <c r="N4" s="5">
        <v>21</v>
      </c>
      <c r="O4" s="5">
        <v>90</v>
      </c>
      <c r="P4" s="33">
        <v>23.976471688099689</v>
      </c>
      <c r="Q4" s="5">
        <v>18.087276164502494</v>
      </c>
      <c r="R4" s="5">
        <v>3638.6291156454677</v>
      </c>
      <c r="S4" s="35"/>
      <c r="T4" s="23">
        <v>842155.86350550794</v>
      </c>
      <c r="U4" s="33">
        <v>151.57613820899951</v>
      </c>
      <c r="V4" s="5">
        <v>13</v>
      </c>
      <c r="W4" s="5">
        <v>93</v>
      </c>
      <c r="X4" s="33">
        <v>641.73217582692791</v>
      </c>
      <c r="Y4" s="5">
        <v>57.102086029227586</v>
      </c>
      <c r="Z4" s="5">
        <v>5795.5643237357226</v>
      </c>
      <c r="AA4" s="35"/>
    </row>
    <row r="5" spans="2:27" x14ac:dyDescent="0.2">
      <c r="B5" s="4">
        <v>2</v>
      </c>
      <c r="C5" s="4">
        <v>147</v>
      </c>
      <c r="D5" s="23">
        <v>645510.70275175641</v>
      </c>
      <c r="E5" s="33">
        <v>67.517087249994802</v>
      </c>
      <c r="F5" s="5">
        <v>10</v>
      </c>
      <c r="G5" s="23">
        <v>95</v>
      </c>
      <c r="H5" s="33">
        <v>26.150602062758242</v>
      </c>
      <c r="I5" s="23">
        <v>40.112010132826285</v>
      </c>
      <c r="J5" s="5">
        <v>4334.6922527364195</v>
      </c>
      <c r="K5" s="31"/>
      <c r="L5" s="23">
        <v>888230.43497838546</v>
      </c>
      <c r="M5" s="33">
        <v>92.568267417000243</v>
      </c>
      <c r="N5" s="5">
        <v>19</v>
      </c>
      <c r="O5" s="5">
        <v>87</v>
      </c>
      <c r="P5" s="33">
        <v>24.254009234857197</v>
      </c>
      <c r="Q5" s="5">
        <v>18.612197599214479</v>
      </c>
      <c r="R5" s="5">
        <v>3575.8727008287124</v>
      </c>
      <c r="S5" s="35"/>
      <c r="T5" s="23">
        <v>849537.79951052205</v>
      </c>
      <c r="U5" s="33">
        <v>68.161221582999133</v>
      </c>
      <c r="V5" s="5">
        <v>11</v>
      </c>
      <c r="W5" s="5">
        <v>92</v>
      </c>
      <c r="X5" s="33">
        <v>635.40446893089518</v>
      </c>
      <c r="Y5" s="5">
        <v>65.65532809922145</v>
      </c>
      <c r="Z5" s="5">
        <v>6084.4793184499795</v>
      </c>
      <c r="AA5" s="35"/>
    </row>
    <row r="6" spans="2:27" x14ac:dyDescent="0.2">
      <c r="B6" s="4">
        <v>3</v>
      </c>
      <c r="C6" s="4">
        <v>203</v>
      </c>
      <c r="D6" s="23">
        <v>638794.60402398964</v>
      </c>
      <c r="E6" s="33">
        <v>61.552858124996419</v>
      </c>
      <c r="F6" s="5">
        <v>9</v>
      </c>
      <c r="G6" s="23">
        <v>95</v>
      </c>
      <c r="H6" s="33">
        <v>42.429516289148495</v>
      </c>
      <c r="I6" s="23">
        <v>44.327824417736664</v>
      </c>
      <c r="J6" s="5">
        <v>4472.7476422209693</v>
      </c>
      <c r="K6" s="31"/>
      <c r="L6" s="23">
        <v>896410.99321997946</v>
      </c>
      <c r="M6" s="33">
        <v>199.1402807909999</v>
      </c>
      <c r="N6" s="5">
        <v>20</v>
      </c>
      <c r="O6" s="5">
        <v>88</v>
      </c>
      <c r="P6" s="33">
        <v>70.748894032155576</v>
      </c>
      <c r="Q6" s="5">
        <v>18.031333782082122</v>
      </c>
      <c r="R6" s="5">
        <v>3596.3558292666717</v>
      </c>
      <c r="S6" s="35"/>
      <c r="T6" s="23">
        <v>844357.11455436365</v>
      </c>
      <c r="U6" s="33">
        <v>47.392268166000576</v>
      </c>
      <c r="V6" s="5">
        <v>13</v>
      </c>
      <c r="W6" s="5">
        <v>92</v>
      </c>
      <c r="X6" s="33">
        <v>643.55891064169543</v>
      </c>
      <c r="Y6" s="5">
        <v>55.562368231806389</v>
      </c>
      <c r="Z6" s="5">
        <v>5643.1635653717713</v>
      </c>
      <c r="AA6" s="35"/>
    </row>
    <row r="7" spans="2:27" x14ac:dyDescent="0.2">
      <c r="B7" s="4">
        <v>4</v>
      </c>
      <c r="C7" s="4">
        <v>225</v>
      </c>
      <c r="D7" s="23">
        <v>619100.17866000929</v>
      </c>
      <c r="E7" s="33">
        <v>57.744407875004981</v>
      </c>
      <c r="F7" s="5">
        <v>10</v>
      </c>
      <c r="G7" s="23">
        <v>95</v>
      </c>
      <c r="H7" s="33">
        <v>8.7076488555108593</v>
      </c>
      <c r="I7" s="23">
        <v>40.232291717952485</v>
      </c>
      <c r="J7" s="5">
        <v>4077.118685122824</v>
      </c>
      <c r="K7" s="31"/>
      <c r="L7" s="23">
        <v>885039.04770957015</v>
      </c>
      <c r="M7" s="33">
        <v>159.4405164580003</v>
      </c>
      <c r="N7" s="5">
        <v>20</v>
      </c>
      <c r="O7" s="5">
        <v>88</v>
      </c>
      <c r="P7" s="33">
        <v>16.947396533226186</v>
      </c>
      <c r="Q7" s="5">
        <v>18.19280039573805</v>
      </c>
      <c r="R7" s="5">
        <v>3502.0904402983938</v>
      </c>
      <c r="S7" s="35"/>
      <c r="T7" s="23">
        <v>840069.07161373214</v>
      </c>
      <c r="U7" s="33">
        <v>140.80173712499891</v>
      </c>
      <c r="V7" s="5">
        <v>13</v>
      </c>
      <c r="W7" s="5">
        <v>93</v>
      </c>
      <c r="X7" s="33">
        <v>713.24249271634358</v>
      </c>
      <c r="Y7" s="5">
        <v>57.922649309135053</v>
      </c>
      <c r="Z7" s="5">
        <v>5761.9080631246679</v>
      </c>
      <c r="AA7" s="35"/>
    </row>
    <row r="8" spans="2:27" x14ac:dyDescent="0.2">
      <c r="B8" s="4">
        <v>5</v>
      </c>
      <c r="C8" s="4">
        <v>284</v>
      </c>
      <c r="D8" s="23">
        <v>650907.05682302604</v>
      </c>
      <c r="E8" s="33">
        <v>52.511316582997097</v>
      </c>
      <c r="F8" s="5">
        <v>9</v>
      </c>
      <c r="G8" s="23">
        <v>95</v>
      </c>
      <c r="H8" s="33">
        <v>65.320242892661099</v>
      </c>
      <c r="I8" s="23">
        <v>45.638549707872841</v>
      </c>
      <c r="J8" s="5">
        <v>4603.2552056629056</v>
      </c>
      <c r="K8" s="31"/>
      <c r="L8" s="23">
        <v>902444.05388306291</v>
      </c>
      <c r="M8" s="33">
        <v>97.144939165999858</v>
      </c>
      <c r="N8" s="5">
        <v>19</v>
      </c>
      <c r="O8" s="5">
        <v>87</v>
      </c>
      <c r="P8" s="33">
        <v>61.153739590888314</v>
      </c>
      <c r="Q8" s="5">
        <v>18.334495112774079</v>
      </c>
      <c r="R8" s="5">
        <v>3693.5405858132149</v>
      </c>
      <c r="S8" s="35"/>
      <c r="T8" s="23">
        <v>853558.02166806394</v>
      </c>
      <c r="U8" s="33">
        <v>90.424580790999244</v>
      </c>
      <c r="V8" s="5">
        <v>13</v>
      </c>
      <c r="W8" s="5">
        <v>94</v>
      </c>
      <c r="X8" s="33">
        <v>850.00129547444863</v>
      </c>
      <c r="Y8" s="5">
        <v>59.207221038022688</v>
      </c>
      <c r="Z8" s="5">
        <v>5982.3345820625191</v>
      </c>
      <c r="AA8" s="35"/>
    </row>
    <row r="9" spans="2:27" x14ac:dyDescent="0.2">
      <c r="B9" s="4">
        <v>6</v>
      </c>
      <c r="C9" s="4">
        <v>302</v>
      </c>
      <c r="D9" s="23">
        <v>619794.96441403695</v>
      </c>
      <c r="E9" s="33">
        <v>40.02788479100127</v>
      </c>
      <c r="F9" s="5">
        <v>10</v>
      </c>
      <c r="G9" s="23">
        <v>95</v>
      </c>
      <c r="H9" s="33">
        <v>7.877661303284051</v>
      </c>
      <c r="I9" s="23">
        <v>40.094687745862942</v>
      </c>
      <c r="J9" s="5">
        <v>4101.7609626192552</v>
      </c>
      <c r="K9" s="31"/>
      <c r="L9" s="23">
        <v>893265.57004065695</v>
      </c>
      <c r="M9" s="33">
        <v>80.573805709000226</v>
      </c>
      <c r="N9" s="5">
        <v>19</v>
      </c>
      <c r="O9" s="5">
        <v>87</v>
      </c>
      <c r="P9" s="33">
        <v>52.429428263836598</v>
      </c>
      <c r="Q9" s="5">
        <v>18.633474657219164</v>
      </c>
      <c r="R9" s="5">
        <v>3599.0019160043203</v>
      </c>
      <c r="S9" s="35"/>
      <c r="T9" s="23">
        <v>827221.40099677641</v>
      </c>
      <c r="U9" s="33">
        <v>153.0378306250004</v>
      </c>
      <c r="V9" s="5">
        <v>12</v>
      </c>
      <c r="W9" s="5">
        <v>93</v>
      </c>
      <c r="X9" s="33">
        <v>583.21274686480217</v>
      </c>
      <c r="Y9" s="5">
        <v>62.352783224614733</v>
      </c>
      <c r="Z9" s="5">
        <v>5843.9483009911883</v>
      </c>
      <c r="AA9" s="35"/>
    </row>
    <row r="10" spans="2:27" x14ac:dyDescent="0.2">
      <c r="B10" s="4">
        <v>7</v>
      </c>
      <c r="C10" s="4">
        <v>481</v>
      </c>
      <c r="D10" s="23">
        <v>636322.72347254388</v>
      </c>
      <c r="E10" s="33">
        <v>102.73956916600579</v>
      </c>
      <c r="F10" s="5">
        <v>10</v>
      </c>
      <c r="G10" s="23">
        <v>95</v>
      </c>
      <c r="H10" s="33">
        <v>15.187907682427488</v>
      </c>
      <c r="I10" s="23">
        <v>40.700140766772776</v>
      </c>
      <c r="J10" s="5">
        <v>4289.0076021938139</v>
      </c>
      <c r="K10" s="31"/>
      <c r="L10" s="23">
        <v>882552.04159765295</v>
      </c>
      <c r="M10" s="33">
        <v>166.42799308399981</v>
      </c>
      <c r="N10" s="5">
        <v>21</v>
      </c>
      <c r="O10" s="5">
        <v>90</v>
      </c>
      <c r="P10" s="33">
        <v>22.19512481982839</v>
      </c>
      <c r="Q10" s="5">
        <v>17.717957636841486</v>
      </c>
      <c r="R10" s="5">
        <v>3634.682409949351</v>
      </c>
      <c r="S10" s="35"/>
      <c r="T10" s="23">
        <v>830802.49758897838</v>
      </c>
      <c r="U10" s="33">
        <v>64.37987908300056</v>
      </c>
      <c r="V10" s="5">
        <v>13</v>
      </c>
      <c r="W10" s="5">
        <v>95</v>
      </c>
      <c r="X10" s="33">
        <v>709.09743982290843</v>
      </c>
      <c r="Y10" s="5">
        <v>60.619273563212623</v>
      </c>
      <c r="Z10" s="5">
        <v>5974.9226888484418</v>
      </c>
      <c r="AA10" s="35"/>
    </row>
    <row r="11" spans="2:27" x14ac:dyDescent="0.2">
      <c r="B11" s="4">
        <v>8</v>
      </c>
      <c r="C11" s="4">
        <v>535</v>
      </c>
      <c r="D11" s="23">
        <v>643997.55380814255</v>
      </c>
      <c r="E11" s="33">
        <v>77.855496332995244</v>
      </c>
      <c r="F11" s="5">
        <v>8</v>
      </c>
      <c r="G11" s="23">
        <v>95</v>
      </c>
      <c r="H11" s="33">
        <v>116.37519068960094</v>
      </c>
      <c r="I11" s="23">
        <v>49.745375526781743</v>
      </c>
      <c r="J11" s="5">
        <v>4682.0263128351826</v>
      </c>
      <c r="K11" s="31"/>
      <c r="L11" s="23">
        <v>890784.7704320394</v>
      </c>
      <c r="M11" s="33">
        <v>112.50381275000019</v>
      </c>
      <c r="N11" s="5">
        <v>19</v>
      </c>
      <c r="O11" s="5">
        <v>87</v>
      </c>
      <c r="P11" s="33">
        <v>41.306684058023812</v>
      </c>
      <c r="Q11" s="5">
        <v>18.401224231440619</v>
      </c>
      <c r="R11" s="5">
        <v>3577.0850076354777</v>
      </c>
      <c r="S11" s="35"/>
      <c r="T11" s="23">
        <v>839871.19441136729</v>
      </c>
      <c r="U11" s="33">
        <v>78.786963292001019</v>
      </c>
      <c r="V11" s="5">
        <v>12</v>
      </c>
      <c r="W11" s="5">
        <v>92</v>
      </c>
      <c r="X11" s="33">
        <v>619.18707549447788</v>
      </c>
      <c r="Y11" s="5">
        <v>61.439781641235847</v>
      </c>
      <c r="Z11" s="5">
        <v>5839.8393882165246</v>
      </c>
      <c r="AA11" s="35"/>
    </row>
    <row r="12" spans="2:27" x14ac:dyDescent="0.2">
      <c r="B12" s="4">
        <v>9</v>
      </c>
      <c r="C12" s="4">
        <v>671</v>
      </c>
      <c r="D12" s="23">
        <v>619322.44988970831</v>
      </c>
      <c r="E12" s="33">
        <v>87.503409917000681</v>
      </c>
      <c r="F12" s="5">
        <v>10</v>
      </c>
      <c r="G12" s="23">
        <v>95</v>
      </c>
      <c r="H12" s="33">
        <v>9.5189363220972734</v>
      </c>
      <c r="I12" s="23">
        <v>40.188356338077853</v>
      </c>
      <c r="J12" s="5">
        <v>4094.4376170021646</v>
      </c>
      <c r="K12" s="31"/>
      <c r="L12" s="23">
        <v>879052.93582514045</v>
      </c>
      <c r="M12" s="33">
        <v>173.70309695899999</v>
      </c>
      <c r="N12" s="5">
        <v>21</v>
      </c>
      <c r="O12" s="5">
        <v>90</v>
      </c>
      <c r="P12" s="33">
        <v>32.63092216691534</v>
      </c>
      <c r="Q12" s="5">
        <v>18.070875395311091</v>
      </c>
      <c r="R12" s="5">
        <v>3614.9759695355879</v>
      </c>
      <c r="S12" s="35"/>
      <c r="T12" s="23">
        <v>836210.27452582307</v>
      </c>
      <c r="U12" s="33">
        <v>119.88005304100081</v>
      </c>
      <c r="V12" s="5">
        <v>13</v>
      </c>
      <c r="W12" s="5">
        <v>92</v>
      </c>
      <c r="X12" s="33">
        <v>622.1766625001876</v>
      </c>
      <c r="Y12" s="5">
        <v>55.871089317619635</v>
      </c>
      <c r="Z12" s="5">
        <v>5577.3421027480726</v>
      </c>
      <c r="AA12" s="35"/>
    </row>
    <row r="13" spans="2:27" x14ac:dyDescent="0.2">
      <c r="B13" s="4">
        <v>10</v>
      </c>
      <c r="C13" s="4">
        <v>899</v>
      </c>
      <c r="D13" s="23">
        <v>646057.54215953127</v>
      </c>
      <c r="E13" s="33">
        <v>34.777945791000093</v>
      </c>
      <c r="F13" s="5">
        <v>9</v>
      </c>
      <c r="G13" s="23">
        <v>95</v>
      </c>
      <c r="H13" s="33">
        <v>48.34338363061169</v>
      </c>
      <c r="I13" s="23">
        <v>44.412746934830452</v>
      </c>
      <c r="J13" s="5">
        <v>4550.4434886749341</v>
      </c>
      <c r="K13" s="31"/>
      <c r="L13" s="23">
        <v>885580.4894371191</v>
      </c>
      <c r="M13" s="33">
        <v>107.0511565000002</v>
      </c>
      <c r="N13" s="5">
        <v>21</v>
      </c>
      <c r="O13" s="5">
        <v>90</v>
      </c>
      <c r="P13" s="33">
        <v>59.246318896403317</v>
      </c>
      <c r="Q13" s="5">
        <v>17.851436099879404</v>
      </c>
      <c r="R13" s="5">
        <v>3664.8215707159256</v>
      </c>
      <c r="S13" s="35"/>
      <c r="T13" s="23">
        <v>823195.8024375519</v>
      </c>
      <c r="U13" s="33">
        <v>152.9467835409996</v>
      </c>
      <c r="V13" s="5">
        <v>12</v>
      </c>
      <c r="W13" s="5">
        <v>94</v>
      </c>
      <c r="X13" s="33">
        <v>629.29682499516912</v>
      </c>
      <c r="Y13" s="5">
        <v>61.949813067862799</v>
      </c>
      <c r="Z13" s="5">
        <v>5895.3831726117878</v>
      </c>
      <c r="AA13" s="35"/>
    </row>
    <row r="14" spans="2:27" x14ac:dyDescent="0.2">
      <c r="B14" s="47" t="s">
        <v>3</v>
      </c>
      <c r="C14" s="48"/>
      <c r="D14" s="9">
        <f>MIN(D4:D13)</f>
        <v>619100.17866000929</v>
      </c>
      <c r="E14" s="22">
        <f>INDEX(E4:E13, MATCH($D$14, D4:D13, 0))</f>
        <v>57.744407875004981</v>
      </c>
      <c r="F14" s="9">
        <f>INDEX(F4:F13, MATCH($D$14, D4:D13, 0))</f>
        <v>10</v>
      </c>
      <c r="G14" s="9">
        <f>INDEX(G4:G13, MATCH($D$14, D4:D13, 0))</f>
        <v>95</v>
      </c>
      <c r="H14" s="22">
        <f>INDEX(H4:H13, MATCH($D$14, D4:D13, 0))</f>
        <v>8.7076488555108593</v>
      </c>
      <c r="I14" s="22">
        <f>INDEX(I4:I13, MATCH($D$14, D4:D13, 0))</f>
        <v>40.232291717952485</v>
      </c>
      <c r="J14" s="22">
        <f>INDEX(J4:J13, MATCH($D$14, D4:D13, 0))</f>
        <v>4077.118685122824</v>
      </c>
      <c r="K14" s="32" t="e">
        <f>(D14-$D$15)/$D$15</f>
        <v>#DIV/0!</v>
      </c>
      <c r="L14" s="16">
        <f>MIN(L4:L13)</f>
        <v>879052.93582514045</v>
      </c>
      <c r="M14" s="21">
        <f>INDEX(M4:M13, MATCH($L$14, L4:L13, 0))</f>
        <v>173.70309695899999</v>
      </c>
      <c r="N14" s="16">
        <f>INDEX(N4:N13, MATCH($L$14, L4:L13, 0))</f>
        <v>21</v>
      </c>
      <c r="O14" s="16">
        <f>INDEX(O4:O13, MATCH($L$14, L4:L13, 0))</f>
        <v>90</v>
      </c>
      <c r="P14" s="21">
        <f>INDEX(P4:P13, MATCH($L$14, L4:L13, 0))</f>
        <v>32.63092216691534</v>
      </c>
      <c r="Q14" s="21">
        <f>INDEX(Q4:Q13, MATCH($L$14, L4:L13, 0))</f>
        <v>18.070875395311091</v>
      </c>
      <c r="R14" s="21">
        <f>INDEX(R4:R13, MATCH($L$14, L4:L13, 0))</f>
        <v>3614.9759695355879</v>
      </c>
      <c r="S14" s="36" t="e">
        <f>(L14-$D$15)/$D$15</f>
        <v>#DIV/0!</v>
      </c>
      <c r="T14" s="38">
        <f>MIN(T4:T13)</f>
        <v>823195.8024375519</v>
      </c>
      <c r="U14" s="39">
        <f>INDEX(U4:U13, MATCH($T$14, T4:T13, 0))</f>
        <v>152.9467835409996</v>
      </c>
      <c r="V14" s="38">
        <f>INDEX(V4:V13, MATCH($T$14, T4:T13, 0))</f>
        <v>12</v>
      </c>
      <c r="W14" s="38">
        <f>INDEX(W4:W13, MATCH($T$14, T4:T13, 0))</f>
        <v>94</v>
      </c>
      <c r="X14" s="39">
        <f>INDEX(X4:X13, MATCH($T$14, T4:T13, 0))</f>
        <v>629.29682499516912</v>
      </c>
      <c r="Y14" s="39">
        <f>INDEX(Y4:Y13, MATCH($T$14, T4:T13, 0))</f>
        <v>61.949813067862799</v>
      </c>
      <c r="Z14" s="39">
        <f>INDEX(Z4:Z13, MATCH($T$14, T4:T13, 0))</f>
        <v>5895.3831726117878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0.41988803448220163</v>
      </c>
      <c r="M15" s="46">
        <f t="shared" ref="M15:R15" si="0">(M14-E14)/E14</f>
        <v>2.0081371227323372</v>
      </c>
      <c r="N15" s="46">
        <f t="shared" si="0"/>
        <v>1.1000000000000001</v>
      </c>
      <c r="O15" s="46">
        <f t="shared" si="0"/>
        <v>-5.2631578947368418E-2</v>
      </c>
      <c r="P15" s="46">
        <f t="shared" si="0"/>
        <v>2.7473860864593802</v>
      </c>
      <c r="Q15" s="46">
        <f t="shared" si="0"/>
        <v>-0.5508365389176304</v>
      </c>
      <c r="R15" s="46">
        <f t="shared" si="0"/>
        <v>-0.11335032195004988</v>
      </c>
      <c r="T15" s="46">
        <f>(T14-D14)/D14</f>
        <v>0.3296649408489763</v>
      </c>
      <c r="U15" s="46">
        <f t="shared" ref="U15:Z15" si="1">(U14-E14)/E14</f>
        <v>1.6486856332836959</v>
      </c>
      <c r="V15" s="46">
        <f t="shared" si="1"/>
        <v>0.2</v>
      </c>
      <c r="W15" s="46">
        <f t="shared" si="1"/>
        <v>-1.0526315789473684E-2</v>
      </c>
      <c r="X15" s="46">
        <f t="shared" si="1"/>
        <v>71.269430639351327</v>
      </c>
      <c r="Y15" s="46">
        <f t="shared" si="1"/>
        <v>0.53980323820876219</v>
      </c>
      <c r="Z15" s="46">
        <f t="shared" si="1"/>
        <v>0.44596800532780867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17:C28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C39B-CB72-CC40-8D90-9E099C200F3A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-0.95158482685904133</v>
      </c>
      <c r="J2" s="28" t="e">
        <f>(S14-J14)/J14</f>
        <v>#DIV/0!</v>
      </c>
      <c r="K2" s="28"/>
      <c r="L2" s="1" t="s">
        <v>19</v>
      </c>
      <c r="P2" s="1">
        <f>(P14-H14)/H14</f>
        <v>-0.4646401564454492</v>
      </c>
      <c r="R2" s="1">
        <f>(R14-J14)/J14</f>
        <v>-0.14182197485112108</v>
      </c>
      <c r="T2" s="1" t="s">
        <v>20</v>
      </c>
      <c r="X2" s="1">
        <f>(X14-P14)/P14</f>
        <v>2.1447134934636325</v>
      </c>
      <c r="Z2" s="1">
        <f>(Z14-R14)/R14</f>
        <v>0.29817621675778222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229</v>
      </c>
      <c r="D4" s="23">
        <v>879536.34055337007</v>
      </c>
      <c r="E4" s="33">
        <v>147.16862412499901</v>
      </c>
      <c r="F4" s="5">
        <v>11</v>
      </c>
      <c r="G4" s="23">
        <v>92</v>
      </c>
      <c r="H4" s="33">
        <v>408.74249061474808</v>
      </c>
      <c r="I4" s="23">
        <v>32.337186262332231</v>
      </c>
      <c r="J4" s="5">
        <v>5657.2582009233392</v>
      </c>
      <c r="K4" s="31"/>
      <c r="L4" s="23">
        <v>1055619.97663103</v>
      </c>
      <c r="M4" s="33">
        <v>100.21074950000001</v>
      </c>
      <c r="N4" s="5">
        <v>18</v>
      </c>
      <c r="O4" s="5">
        <v>85</v>
      </c>
      <c r="P4" s="33">
        <v>328.57330727221029</v>
      </c>
      <c r="Q4" s="5">
        <v>18.578783100947899</v>
      </c>
      <c r="R4" s="5">
        <v>5000.5173146577454</v>
      </c>
      <c r="S4" s="35"/>
      <c r="T4" s="23">
        <v>1143266.808685621</v>
      </c>
      <c r="U4" s="33">
        <v>164.556936084</v>
      </c>
      <c r="V4" s="5">
        <v>11</v>
      </c>
      <c r="W4" s="5">
        <v>76</v>
      </c>
      <c r="X4" s="33">
        <v>686.46561943571476</v>
      </c>
      <c r="Y4" s="5">
        <v>41.020381017947372</v>
      </c>
      <c r="Z4" s="5">
        <v>6307.7956714023485</v>
      </c>
      <c r="AA4" s="35"/>
    </row>
    <row r="5" spans="2:27" x14ac:dyDescent="0.2">
      <c r="B5" s="4">
        <v>2</v>
      </c>
      <c r="C5" s="4">
        <v>235</v>
      </c>
      <c r="D5" s="23">
        <v>880071.59464473964</v>
      </c>
      <c r="E5" s="33">
        <v>104.4287240839985</v>
      </c>
      <c r="F5" s="5">
        <v>11</v>
      </c>
      <c r="G5" s="23">
        <v>92</v>
      </c>
      <c r="H5" s="33">
        <v>419.97825251602404</v>
      </c>
      <c r="I5" s="23">
        <v>32.206089300551213</v>
      </c>
      <c r="J5" s="5">
        <v>5663.4696916886287</v>
      </c>
      <c r="K5" s="31"/>
      <c r="L5" s="23">
        <v>1054501.3528329339</v>
      </c>
      <c r="M5" s="33">
        <v>182.5128782080001</v>
      </c>
      <c r="N5" s="5">
        <v>18</v>
      </c>
      <c r="O5" s="5">
        <v>85</v>
      </c>
      <c r="P5" s="33">
        <v>333.84581279949384</v>
      </c>
      <c r="Q5" s="5">
        <v>18.307318688050611</v>
      </c>
      <c r="R5" s="5">
        <v>4963.6096680754899</v>
      </c>
      <c r="S5" s="35"/>
      <c r="T5" s="23">
        <v>1147512.9389199601</v>
      </c>
      <c r="U5" s="33">
        <v>114.57070562499941</v>
      </c>
      <c r="V5" s="5">
        <v>10</v>
      </c>
      <c r="W5" s="5">
        <v>76</v>
      </c>
      <c r="X5" s="33">
        <v>733.08348481324526</v>
      </c>
      <c r="Y5" s="5">
        <v>43.56286020684707</v>
      </c>
      <c r="Z5" s="5">
        <v>6478.9478378524791</v>
      </c>
      <c r="AA5" s="35"/>
    </row>
    <row r="6" spans="2:27" x14ac:dyDescent="0.2">
      <c r="B6" s="4">
        <v>3</v>
      </c>
      <c r="C6" s="4">
        <v>271</v>
      </c>
      <c r="D6" s="23">
        <v>877418.15060435142</v>
      </c>
      <c r="E6" s="33">
        <v>78.877154040994355</v>
      </c>
      <c r="F6" s="5">
        <v>11</v>
      </c>
      <c r="G6" s="23">
        <v>92</v>
      </c>
      <c r="H6" s="33">
        <v>391.34762760074</v>
      </c>
      <c r="I6" s="23">
        <v>33.081924250746631</v>
      </c>
      <c r="J6" s="5">
        <v>5679.2571930759668</v>
      </c>
      <c r="K6" s="31"/>
      <c r="L6" s="23">
        <v>1070370.0397233029</v>
      </c>
      <c r="M6" s="33">
        <v>109.71015383299979</v>
      </c>
      <c r="N6" s="5">
        <v>16</v>
      </c>
      <c r="O6" s="5">
        <v>82</v>
      </c>
      <c r="P6" s="33">
        <v>385.21532984689225</v>
      </c>
      <c r="Q6" s="5">
        <v>19.768370571923558</v>
      </c>
      <c r="R6" s="5">
        <v>5098.3350664696154</v>
      </c>
      <c r="S6" s="35"/>
      <c r="T6" s="23">
        <v>1147146.1533251309</v>
      </c>
      <c r="U6" s="33">
        <v>62.629925332999854</v>
      </c>
      <c r="V6" s="5">
        <v>10</v>
      </c>
      <c r="W6" s="5">
        <v>78</v>
      </c>
      <c r="X6" s="33">
        <v>925.77592806601695</v>
      </c>
      <c r="Y6" s="5">
        <v>45.503123105186106</v>
      </c>
      <c r="Z6" s="5">
        <v>6704.7196283431758</v>
      </c>
      <c r="AA6" s="35"/>
    </row>
    <row r="7" spans="2:27" x14ac:dyDescent="0.2">
      <c r="B7" s="4">
        <v>4</v>
      </c>
      <c r="C7" s="4">
        <v>310</v>
      </c>
      <c r="D7" s="23">
        <v>876699.08658936701</v>
      </c>
      <c r="E7" s="33">
        <v>95.545199500003946</v>
      </c>
      <c r="F7" s="5">
        <v>11</v>
      </c>
      <c r="G7" s="23">
        <v>93</v>
      </c>
      <c r="H7" s="33">
        <v>474.31455559842937</v>
      </c>
      <c r="I7" s="23">
        <v>33.267863295099957</v>
      </c>
      <c r="J7" s="5">
        <v>5749.1470454257524</v>
      </c>
      <c r="K7" s="31"/>
      <c r="L7" s="23">
        <v>1096384.439540454</v>
      </c>
      <c r="M7" s="33">
        <v>118.655711375</v>
      </c>
      <c r="N7" s="5">
        <v>15</v>
      </c>
      <c r="O7" s="5">
        <v>80</v>
      </c>
      <c r="P7" s="33">
        <v>411.45489728123584</v>
      </c>
      <c r="Q7" s="5">
        <v>20.332273124342425</v>
      </c>
      <c r="R7" s="5">
        <v>5184.2458374191274</v>
      </c>
      <c r="S7" s="35"/>
      <c r="T7" s="23">
        <v>1153054.858500981</v>
      </c>
      <c r="U7" s="33">
        <v>61.459508750000168</v>
      </c>
      <c r="V7" s="5">
        <v>10</v>
      </c>
      <c r="W7" s="5">
        <v>75</v>
      </c>
      <c r="X7" s="33">
        <v>724.77458518789979</v>
      </c>
      <c r="Y7" s="5">
        <v>43.447117812874502</v>
      </c>
      <c r="Z7" s="5">
        <v>6404.5177601779606</v>
      </c>
      <c r="AA7" s="35"/>
    </row>
    <row r="8" spans="2:27" x14ac:dyDescent="0.2">
      <c r="B8" s="4">
        <v>5</v>
      </c>
      <c r="C8" s="4">
        <v>319</v>
      </c>
      <c r="D8" s="23">
        <v>879293.02359049441</v>
      </c>
      <c r="E8" s="33">
        <v>41.666723499998618</v>
      </c>
      <c r="F8" s="5">
        <v>11</v>
      </c>
      <c r="G8" s="23">
        <v>93</v>
      </c>
      <c r="H8" s="33">
        <v>488.30698582811641</v>
      </c>
      <c r="I8" s="23">
        <v>32.873425468864021</v>
      </c>
      <c r="J8" s="5">
        <v>5765.3004134109669</v>
      </c>
      <c r="K8" s="31"/>
      <c r="L8" s="23">
        <v>1044572.458550613</v>
      </c>
      <c r="M8" s="33">
        <v>179.2150794170002</v>
      </c>
      <c r="N8" s="5">
        <v>18</v>
      </c>
      <c r="O8" s="5">
        <v>86</v>
      </c>
      <c r="P8" s="33">
        <v>370.35151712784932</v>
      </c>
      <c r="Q8" s="5">
        <v>18.743476728239674</v>
      </c>
      <c r="R8" s="5">
        <v>5021.0639686754075</v>
      </c>
      <c r="S8" s="35"/>
      <c r="T8" s="23">
        <v>1143840.2288436401</v>
      </c>
      <c r="U8" s="33">
        <v>108.0214145829996</v>
      </c>
      <c r="V8" s="5">
        <v>11</v>
      </c>
      <c r="W8" s="5">
        <v>78</v>
      </c>
      <c r="X8" s="33">
        <v>901.09172204633944</v>
      </c>
      <c r="Y8" s="5">
        <v>42.760386894920188</v>
      </c>
      <c r="Z8" s="5">
        <v>6517.6463915080649</v>
      </c>
      <c r="AA8" s="35"/>
    </row>
    <row r="9" spans="2:27" x14ac:dyDescent="0.2">
      <c r="B9" s="4">
        <v>6</v>
      </c>
      <c r="C9" s="4">
        <v>329</v>
      </c>
      <c r="D9" s="23">
        <v>876190.56935597328</v>
      </c>
      <c r="E9" s="33">
        <v>115.14504620799561</v>
      </c>
      <c r="F9" s="5">
        <v>11</v>
      </c>
      <c r="G9" s="23">
        <v>92</v>
      </c>
      <c r="H9" s="33">
        <v>407.74807052252237</v>
      </c>
      <c r="I9" s="23">
        <v>33.097548949297021</v>
      </c>
      <c r="J9" s="5">
        <v>5661.9571565186543</v>
      </c>
      <c r="K9" s="31"/>
      <c r="L9" s="23">
        <v>1078231.9035078471</v>
      </c>
      <c r="M9" s="33">
        <v>74.62468062500011</v>
      </c>
      <c r="N9" s="5">
        <v>17</v>
      </c>
      <c r="O9" s="5">
        <v>84</v>
      </c>
      <c r="P9" s="33">
        <v>495.83094947800419</v>
      </c>
      <c r="Q9" s="5">
        <v>19.426130961094309</v>
      </c>
      <c r="R9" s="5">
        <v>5226.4208470442463</v>
      </c>
      <c r="S9" s="35"/>
      <c r="T9" s="23">
        <v>1199517.3265751221</v>
      </c>
      <c r="U9" s="33">
        <v>86.262809959000151</v>
      </c>
      <c r="V9" s="5">
        <v>11</v>
      </c>
      <c r="W9" s="5">
        <v>71</v>
      </c>
      <c r="X9" s="33">
        <v>616.80329995334546</v>
      </c>
      <c r="Y9" s="5">
        <v>36.28570235598135</v>
      </c>
      <c r="Z9" s="5">
        <v>6102.8971296121908</v>
      </c>
      <c r="AA9" s="35"/>
    </row>
    <row r="10" spans="2:27" x14ac:dyDescent="0.2">
      <c r="B10" s="4">
        <v>7</v>
      </c>
      <c r="C10" s="4">
        <v>376</v>
      </c>
      <c r="D10" s="23">
        <v>888403.03224116203</v>
      </c>
      <c r="E10" s="33">
        <v>50.267308125003183</v>
      </c>
      <c r="F10" s="5">
        <v>10</v>
      </c>
      <c r="G10" s="23">
        <v>92</v>
      </c>
      <c r="H10" s="33">
        <v>570.04629302221667</v>
      </c>
      <c r="I10" s="23">
        <v>35.662882178330577</v>
      </c>
      <c r="J10" s="5">
        <v>5878.7659957444484</v>
      </c>
      <c r="K10" s="31"/>
      <c r="L10" s="23">
        <v>1049773.383054218</v>
      </c>
      <c r="M10" s="33">
        <v>187.7087406669998</v>
      </c>
      <c r="N10" s="5">
        <v>17</v>
      </c>
      <c r="O10" s="5">
        <v>85</v>
      </c>
      <c r="P10" s="33">
        <v>460.80308946023166</v>
      </c>
      <c r="Q10" s="5">
        <v>19.636604404392404</v>
      </c>
      <c r="R10" s="5">
        <v>5064.6294154799643</v>
      </c>
      <c r="S10" s="35"/>
      <c r="T10" s="23">
        <v>1148884.4995248369</v>
      </c>
      <c r="U10" s="33">
        <v>67.509997959001339</v>
      </c>
      <c r="V10" s="5">
        <v>11</v>
      </c>
      <c r="W10" s="5">
        <v>79</v>
      </c>
      <c r="X10" s="33">
        <v>950.94996131899359</v>
      </c>
      <c r="Y10" s="5">
        <v>43.646323539117951</v>
      </c>
      <c r="Z10" s="5">
        <v>6674.2853767066999</v>
      </c>
      <c r="AA10" s="35"/>
    </row>
    <row r="11" spans="2:27" x14ac:dyDescent="0.2">
      <c r="B11" s="4">
        <v>8</v>
      </c>
      <c r="C11" s="4">
        <v>495</v>
      </c>
      <c r="D11" s="23">
        <v>879233.66036528233</v>
      </c>
      <c r="E11" s="33">
        <v>107.2474044589981</v>
      </c>
      <c r="F11" s="5">
        <v>11</v>
      </c>
      <c r="G11" s="23">
        <v>93</v>
      </c>
      <c r="H11" s="33">
        <v>484.55737212160761</v>
      </c>
      <c r="I11" s="23">
        <v>32.987061248004856</v>
      </c>
      <c r="J11" s="5">
        <v>5759.5125590905518</v>
      </c>
      <c r="K11" s="31"/>
      <c r="L11" s="23">
        <v>1046606.10634751</v>
      </c>
      <c r="M11" s="33">
        <v>86.04515924999987</v>
      </c>
      <c r="N11" s="5">
        <v>17</v>
      </c>
      <c r="O11" s="5">
        <v>84</v>
      </c>
      <c r="P11" s="33">
        <v>292.16423984206921</v>
      </c>
      <c r="Q11" s="5">
        <v>19.028358388537384</v>
      </c>
      <c r="R11" s="5">
        <v>4956.3103474080781</v>
      </c>
      <c r="S11" s="35"/>
      <c r="T11" s="23">
        <v>1153313.8392775331</v>
      </c>
      <c r="U11" s="33">
        <v>63.651119042000573</v>
      </c>
      <c r="V11" s="5">
        <v>10</v>
      </c>
      <c r="W11" s="5">
        <v>75</v>
      </c>
      <c r="X11" s="33">
        <v>742.24203925756797</v>
      </c>
      <c r="Y11" s="5">
        <v>43.569159935564215</v>
      </c>
      <c r="Z11" s="5">
        <v>6431.733939420742</v>
      </c>
      <c r="AA11" s="35"/>
    </row>
    <row r="12" spans="2:27" x14ac:dyDescent="0.2">
      <c r="B12" s="4">
        <v>9</v>
      </c>
      <c r="C12" s="4">
        <v>594</v>
      </c>
      <c r="D12" s="23">
        <v>888954.77852696937</v>
      </c>
      <c r="E12" s="33">
        <v>66.751608041995496</v>
      </c>
      <c r="F12" s="5">
        <v>10</v>
      </c>
      <c r="G12" s="23">
        <v>91</v>
      </c>
      <c r="H12" s="33">
        <v>482.75932062865922</v>
      </c>
      <c r="I12" s="23">
        <v>35.251878650608866</v>
      </c>
      <c r="J12" s="5">
        <v>5775.8689126376639</v>
      </c>
      <c r="K12" s="31"/>
      <c r="L12" s="23">
        <v>1053977.7654889859</v>
      </c>
      <c r="M12" s="33">
        <v>171.5316733330001</v>
      </c>
      <c r="N12" s="5">
        <v>18</v>
      </c>
      <c r="O12" s="5">
        <v>85</v>
      </c>
      <c r="P12" s="33">
        <v>305.35475985200043</v>
      </c>
      <c r="Q12" s="5">
        <v>18.586310240796408</v>
      </c>
      <c r="R12" s="5">
        <v>4982.4980807878574</v>
      </c>
      <c r="S12" s="35"/>
      <c r="T12" s="23">
        <v>1149450.1787759559</v>
      </c>
      <c r="U12" s="33">
        <v>70.591178250000667</v>
      </c>
      <c r="V12" s="5">
        <v>10</v>
      </c>
      <c r="W12" s="5">
        <v>77</v>
      </c>
      <c r="X12" s="33">
        <v>843.47198197748116</v>
      </c>
      <c r="Y12" s="5">
        <v>44.75506206470908</v>
      </c>
      <c r="Z12" s="5">
        <v>6606.1382767108889</v>
      </c>
      <c r="AA12" s="35"/>
    </row>
    <row r="13" spans="2:27" x14ac:dyDescent="0.2">
      <c r="B13" s="4">
        <v>10</v>
      </c>
      <c r="C13" s="4">
        <v>742</v>
      </c>
      <c r="D13" s="23">
        <v>879328.560499229</v>
      </c>
      <c r="E13" s="33">
        <v>96.176100292002957</v>
      </c>
      <c r="F13" s="5">
        <v>11</v>
      </c>
      <c r="G13" s="23">
        <v>92</v>
      </c>
      <c r="H13" s="33">
        <v>403.55138334304002</v>
      </c>
      <c r="I13" s="23">
        <v>32.51257586737794</v>
      </c>
      <c r="J13" s="5">
        <v>5664.9358101804773</v>
      </c>
      <c r="K13" s="31"/>
      <c r="L13" s="23">
        <v>1043449.4681347749</v>
      </c>
      <c r="M13" s="33">
        <v>131.18775050000019</v>
      </c>
      <c r="N13" s="5">
        <v>16</v>
      </c>
      <c r="O13" s="5">
        <v>82</v>
      </c>
      <c r="P13" s="33">
        <v>218.29194324460752</v>
      </c>
      <c r="Q13" s="5">
        <v>19.741193432239758</v>
      </c>
      <c r="R13" s="5">
        <v>4858.9672110587408</v>
      </c>
      <c r="S13" s="35"/>
      <c r="T13" s="23">
        <v>1146650.7995673509</v>
      </c>
      <c r="U13" s="33">
        <v>75.812828333000652</v>
      </c>
      <c r="V13" s="5">
        <v>11</v>
      </c>
      <c r="W13" s="5">
        <v>79</v>
      </c>
      <c r="X13" s="33">
        <v>928.27635592857155</v>
      </c>
      <c r="Y13" s="5">
        <v>42.936458040184114</v>
      </c>
      <c r="Z13" s="5">
        <v>6655.547805600474</v>
      </c>
      <c r="AA13" s="35"/>
    </row>
    <row r="14" spans="2:27" x14ac:dyDescent="0.2">
      <c r="B14" s="47" t="s">
        <v>3</v>
      </c>
      <c r="C14" s="48"/>
      <c r="D14" s="9">
        <f>MIN(D4:D13)</f>
        <v>876190.56935597328</v>
      </c>
      <c r="E14" s="22">
        <f>INDEX(E4:E13, MATCH($D$14, D4:D13, 0))</f>
        <v>115.14504620799561</v>
      </c>
      <c r="F14" s="9">
        <f>INDEX(F4:F13, MATCH($D$14, D4:D13, 0))</f>
        <v>11</v>
      </c>
      <c r="G14" s="9">
        <f>INDEX(G4:G13, MATCH($D$14, D4:D13, 0))</f>
        <v>92</v>
      </c>
      <c r="H14" s="22">
        <f>INDEX(H4:H13, MATCH($D$14, D4:D13, 0))</f>
        <v>407.74807052252237</v>
      </c>
      <c r="I14" s="22">
        <f>INDEX(I4:I13, MATCH($D$14, D4:D13, 0))</f>
        <v>33.097548949297021</v>
      </c>
      <c r="J14" s="22">
        <f>INDEX(J4:J13, MATCH($D$14, D4:D13, 0))</f>
        <v>5661.9571565186543</v>
      </c>
      <c r="K14" s="32" t="e">
        <f>(D14-$D$15)/$D$15</f>
        <v>#DIV/0!</v>
      </c>
      <c r="L14" s="16">
        <f>MIN(L4:L13)</f>
        <v>1043449.4681347749</v>
      </c>
      <c r="M14" s="21">
        <f>INDEX(M4:M13, MATCH($L$14, L4:L13, 0))</f>
        <v>131.18775050000019</v>
      </c>
      <c r="N14" s="16">
        <f>INDEX(N4:N13, MATCH($L$14, L4:L13, 0))</f>
        <v>16</v>
      </c>
      <c r="O14" s="16">
        <f>INDEX(O4:O13, MATCH($L$14, L4:L13, 0))</f>
        <v>82</v>
      </c>
      <c r="P14" s="21">
        <f>INDEX(P4:P13, MATCH($L$14, L4:L13, 0))</f>
        <v>218.29194324460752</v>
      </c>
      <c r="Q14" s="21">
        <f>INDEX(Q4:Q13, MATCH($L$14, L4:L13, 0))</f>
        <v>19.741193432239758</v>
      </c>
      <c r="R14" s="21">
        <f>INDEX(R4:R13, MATCH($L$14, L4:L13, 0))</f>
        <v>4858.9672110587408</v>
      </c>
      <c r="S14" s="36" t="e">
        <f>(L14-$D$15)/$D$15</f>
        <v>#DIV/0!</v>
      </c>
      <c r="T14" s="38">
        <f>MIN(T4:T13)</f>
        <v>1143266.808685621</v>
      </c>
      <c r="U14" s="39">
        <f>INDEX(U4:U13, MATCH($T$14, T4:T13, 0))</f>
        <v>164.556936084</v>
      </c>
      <c r="V14" s="38">
        <f>INDEX(V4:V13, MATCH($T$14, T4:T13, 0))</f>
        <v>11</v>
      </c>
      <c r="W14" s="38">
        <f>INDEX(W4:W13, MATCH($T$14, T4:T13, 0))</f>
        <v>76</v>
      </c>
      <c r="X14" s="39">
        <f>INDEX(X4:X13, MATCH($T$14, T4:T13, 0))</f>
        <v>686.46561943571476</v>
      </c>
      <c r="Y14" s="39">
        <f>INDEX(Y4:Y13, MATCH($T$14, T4:T13, 0))</f>
        <v>41.020381017947372</v>
      </c>
      <c r="Z14" s="39">
        <f>INDEX(Z4:Z13, MATCH($T$14, T4:T13, 0))</f>
        <v>6307.7956714023485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0.19089328809113074</v>
      </c>
      <c r="M15" s="46">
        <f t="shared" ref="M15:R15" si="0">(M14-E14)/E14</f>
        <v>0.13932604849561117</v>
      </c>
      <c r="N15" s="46">
        <f t="shared" si="0"/>
        <v>0.45454545454545453</v>
      </c>
      <c r="O15" s="46">
        <f t="shared" si="0"/>
        <v>-0.10869565217391304</v>
      </c>
      <c r="P15" s="46">
        <f t="shared" si="0"/>
        <v>-0.4646401564454492</v>
      </c>
      <c r="Q15" s="46">
        <f t="shared" si="0"/>
        <v>-0.40354515488497972</v>
      </c>
      <c r="R15" s="46">
        <f t="shared" si="0"/>
        <v>-0.14182197485112108</v>
      </c>
      <c r="T15" s="46">
        <f>(T14-D14)/D14</f>
        <v>0.30481524073690602</v>
      </c>
      <c r="U15" s="46">
        <f t="shared" ref="U15:Z15" si="1">(U14-E14)/E14</f>
        <v>0.42912736156054676</v>
      </c>
      <c r="V15" s="46">
        <f t="shared" si="1"/>
        <v>0</v>
      </c>
      <c r="W15" s="46">
        <f t="shared" si="1"/>
        <v>-0.17391304347826086</v>
      </c>
      <c r="X15" s="46">
        <f t="shared" si="1"/>
        <v>0.68355332388457535</v>
      </c>
      <c r="Y15" s="46">
        <f t="shared" si="1"/>
        <v>0.23937821138319151</v>
      </c>
      <c r="Z15" s="46">
        <f t="shared" si="1"/>
        <v>0.11406630199243656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17:C2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AB40-1042-6A48-99A5-953E9E3FA137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-0.80671649610402441</v>
      </c>
      <c r="J2" s="28" t="e">
        <f>(S14-J14)/J14</f>
        <v>#DIV/0!</v>
      </c>
      <c r="K2" s="28"/>
      <c r="L2" s="1" t="s">
        <v>19</v>
      </c>
      <c r="P2" s="1">
        <f>(P14-H14)/H14</f>
        <v>-0.14697866562616249</v>
      </c>
      <c r="R2" s="1">
        <f>(R14-J14)/J14</f>
        <v>-0.10575146925347101</v>
      </c>
      <c r="T2" s="1" t="s">
        <v>20</v>
      </c>
      <c r="X2" s="1">
        <f>(X14-P14)/P14</f>
        <v>6.1300255639101264</v>
      </c>
      <c r="Z2" s="1">
        <f>(Z14-R14)/R14</f>
        <v>0.46421188443317318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84</v>
      </c>
      <c r="D4" s="23">
        <v>678655.84129695815</v>
      </c>
      <c r="E4" s="33">
        <v>43.684448917003458</v>
      </c>
      <c r="F4" s="5">
        <v>10</v>
      </c>
      <c r="G4" s="23">
        <v>97</v>
      </c>
      <c r="H4" s="33">
        <v>115.09507489046425</v>
      </c>
      <c r="I4" s="23">
        <v>37.304906563941223</v>
      </c>
      <c r="J4" s="5">
        <v>4681.3802907661184</v>
      </c>
      <c r="K4" s="31"/>
      <c r="L4" s="23">
        <v>884267.7831654714</v>
      </c>
      <c r="M4" s="33">
        <v>155.23364229199979</v>
      </c>
      <c r="N4" s="5">
        <v>18</v>
      </c>
      <c r="O4" s="5">
        <v>90</v>
      </c>
      <c r="P4" s="33">
        <v>117.29847234014203</v>
      </c>
      <c r="Q4" s="5">
        <v>19.07385749204278</v>
      </c>
      <c r="R4" s="5">
        <v>4111.9605919924079</v>
      </c>
      <c r="S4" s="35"/>
      <c r="T4" s="23">
        <v>943902.0241409986</v>
      </c>
      <c r="U4" s="33">
        <v>100.97952149999951</v>
      </c>
      <c r="V4" s="5">
        <v>11</v>
      </c>
      <c r="W4" s="5">
        <v>88</v>
      </c>
      <c r="X4" s="33">
        <v>626.10193040815909</v>
      </c>
      <c r="Y4" s="5">
        <v>50.60349580086568</v>
      </c>
      <c r="Z4" s="5">
        <v>5983.6194894180289</v>
      </c>
      <c r="AA4" s="35"/>
    </row>
    <row r="5" spans="2:27" x14ac:dyDescent="0.2">
      <c r="B5" s="4">
        <v>2</v>
      </c>
      <c r="C5" s="4">
        <v>93</v>
      </c>
      <c r="D5" s="23">
        <v>699850.47446963028</v>
      </c>
      <c r="E5" s="33">
        <v>42.414353375002968</v>
      </c>
      <c r="F5" s="5">
        <v>10</v>
      </c>
      <c r="G5" s="23">
        <v>97</v>
      </c>
      <c r="H5" s="33">
        <v>145.23076183181945</v>
      </c>
      <c r="I5" s="23">
        <v>37.675605921067174</v>
      </c>
      <c r="J5" s="5">
        <v>4875.1726715580262</v>
      </c>
      <c r="K5" s="31"/>
      <c r="L5" s="23">
        <v>898191.47632251051</v>
      </c>
      <c r="M5" s="33">
        <v>176.25426841600029</v>
      </c>
      <c r="N5" s="5">
        <v>19</v>
      </c>
      <c r="O5" s="5">
        <v>92</v>
      </c>
      <c r="P5" s="33">
        <v>193.31423547215599</v>
      </c>
      <c r="Q5" s="5">
        <v>18.127354446280616</v>
      </c>
      <c r="R5" s="5">
        <v>4290.6890798295653</v>
      </c>
      <c r="S5" s="35"/>
      <c r="T5" s="23">
        <v>955643.3864266458</v>
      </c>
      <c r="U5" s="33">
        <v>52.94095974999982</v>
      </c>
      <c r="V5" s="5">
        <v>10</v>
      </c>
      <c r="W5" s="5">
        <v>84</v>
      </c>
      <c r="X5" s="33">
        <v>433.1790368298519</v>
      </c>
      <c r="Y5" s="5">
        <v>50.216692290877688</v>
      </c>
      <c r="Z5" s="5">
        <v>5722.3558919462221</v>
      </c>
      <c r="AA5" s="35"/>
    </row>
    <row r="6" spans="2:27" x14ac:dyDescent="0.2">
      <c r="B6" s="4">
        <v>3</v>
      </c>
      <c r="C6" s="4">
        <v>272</v>
      </c>
      <c r="D6" s="23">
        <v>687224.68735917495</v>
      </c>
      <c r="E6" s="33">
        <v>64.144859333995555</v>
      </c>
      <c r="F6" s="5">
        <v>10</v>
      </c>
      <c r="G6" s="23">
        <v>97</v>
      </c>
      <c r="H6" s="33">
        <v>93.030764161031655</v>
      </c>
      <c r="I6" s="23">
        <v>37.363040618188919</v>
      </c>
      <c r="J6" s="5">
        <v>4777.2055387210257</v>
      </c>
      <c r="K6" s="31"/>
      <c r="L6" s="23">
        <v>879835.92196182592</v>
      </c>
      <c r="M6" s="33">
        <v>100.760671125</v>
      </c>
      <c r="N6" s="5">
        <v>18</v>
      </c>
      <c r="O6" s="5">
        <v>91</v>
      </c>
      <c r="P6" s="33">
        <v>122.83372204488393</v>
      </c>
      <c r="Q6" s="5">
        <v>19.081463845853968</v>
      </c>
      <c r="R6" s="5">
        <v>4190.0490995021792</v>
      </c>
      <c r="S6" s="35"/>
      <c r="T6" s="23">
        <v>945895.32970350108</v>
      </c>
      <c r="U6" s="33">
        <v>68.879031166999994</v>
      </c>
      <c r="V6" s="5">
        <v>12</v>
      </c>
      <c r="W6" s="5">
        <v>90</v>
      </c>
      <c r="X6" s="33">
        <v>703.75342088685682</v>
      </c>
      <c r="Y6" s="5">
        <v>49.879746764245148</v>
      </c>
      <c r="Z6" s="5">
        <v>6121.9608612696857</v>
      </c>
      <c r="AA6" s="35"/>
    </row>
    <row r="7" spans="2:27" x14ac:dyDescent="0.2">
      <c r="B7" s="4">
        <v>4</v>
      </c>
      <c r="C7" s="4">
        <v>342</v>
      </c>
      <c r="D7" s="23">
        <v>677620.1733718951</v>
      </c>
      <c r="E7" s="33">
        <v>101.9261437499954</v>
      </c>
      <c r="F7" s="5">
        <v>10</v>
      </c>
      <c r="G7" s="23">
        <v>97</v>
      </c>
      <c r="H7" s="33">
        <v>103.75519738935229</v>
      </c>
      <c r="I7" s="23">
        <v>37.239010055052873</v>
      </c>
      <c r="J7" s="5">
        <v>4678.8221246730618</v>
      </c>
      <c r="K7" s="31"/>
      <c r="L7" s="23">
        <v>910727.93327181344</v>
      </c>
      <c r="M7" s="33">
        <v>94.785839041000145</v>
      </c>
      <c r="N7" s="5">
        <v>18</v>
      </c>
      <c r="O7" s="5">
        <v>91</v>
      </c>
      <c r="P7" s="33">
        <v>196.40762651205219</v>
      </c>
      <c r="Q7" s="5">
        <v>18.728421087800836</v>
      </c>
      <c r="R7" s="5">
        <v>4433.8510000643064</v>
      </c>
      <c r="S7" s="35"/>
      <c r="T7" s="23">
        <v>939594.75734198419</v>
      </c>
      <c r="U7" s="33">
        <v>65.621240667000166</v>
      </c>
      <c r="V7" s="5">
        <v>12</v>
      </c>
      <c r="W7" s="5">
        <v>90</v>
      </c>
      <c r="X7" s="33">
        <v>687.13989469038461</v>
      </c>
      <c r="Y7" s="5">
        <v>50.363203748967386</v>
      </c>
      <c r="Z7" s="5">
        <v>6079.3100040477866</v>
      </c>
      <c r="AA7" s="35"/>
    </row>
    <row r="8" spans="2:27" x14ac:dyDescent="0.2">
      <c r="B8" s="4">
        <v>5</v>
      </c>
      <c r="C8" s="4">
        <v>647</v>
      </c>
      <c r="D8" s="23">
        <v>693268.20543658</v>
      </c>
      <c r="E8" s="33">
        <v>74.096963875002984</v>
      </c>
      <c r="F8" s="5">
        <v>11</v>
      </c>
      <c r="G8" s="23">
        <v>97</v>
      </c>
      <c r="H8" s="33">
        <v>149.3636148697818</v>
      </c>
      <c r="I8" s="23">
        <v>33.735377329799121</v>
      </c>
      <c r="J8" s="5">
        <v>4617.8839315172963</v>
      </c>
      <c r="K8" s="31"/>
      <c r="L8" s="23">
        <v>875802.80745113804</v>
      </c>
      <c r="M8" s="33">
        <v>115.9570141250001</v>
      </c>
      <c r="N8" s="5">
        <v>18</v>
      </c>
      <c r="O8" s="5">
        <v>91</v>
      </c>
      <c r="P8" s="33">
        <v>90.574691272643761</v>
      </c>
      <c r="Q8" s="5">
        <v>18.939582253497843</v>
      </c>
      <c r="R8" s="5">
        <v>4175.7944856910435</v>
      </c>
      <c r="S8" s="35"/>
      <c r="T8" s="23">
        <v>980136.99988898181</v>
      </c>
      <c r="U8" s="33">
        <v>56.29507329199987</v>
      </c>
      <c r="V8" s="5">
        <v>10</v>
      </c>
      <c r="W8" s="5">
        <v>83</v>
      </c>
      <c r="X8" s="33">
        <v>505.26991335211721</v>
      </c>
      <c r="Y8" s="5">
        <v>48.443182655992111</v>
      </c>
      <c r="Z8" s="5">
        <v>5777.3327698300973</v>
      </c>
      <c r="AA8" s="35"/>
    </row>
    <row r="9" spans="2:27" x14ac:dyDescent="0.2">
      <c r="B9" s="4">
        <v>6</v>
      </c>
      <c r="C9" s="4">
        <v>661</v>
      </c>
      <c r="D9" s="23">
        <v>681757.9252635974</v>
      </c>
      <c r="E9" s="33">
        <v>40.07356958300079</v>
      </c>
      <c r="F9" s="5">
        <v>10</v>
      </c>
      <c r="G9" s="23">
        <v>97</v>
      </c>
      <c r="H9" s="33">
        <v>98.189809709229593</v>
      </c>
      <c r="I9" s="23">
        <v>37.171997450680912</v>
      </c>
      <c r="J9" s="5">
        <v>4726.8002731775696</v>
      </c>
      <c r="K9" s="31"/>
      <c r="L9" s="23">
        <v>908119.26990714646</v>
      </c>
      <c r="M9" s="33">
        <v>145.66583416700001</v>
      </c>
      <c r="N9" s="5">
        <v>18</v>
      </c>
      <c r="O9" s="5">
        <v>91</v>
      </c>
      <c r="P9" s="33">
        <v>167.31731530822168</v>
      </c>
      <c r="Q9" s="5">
        <v>19.024419287068383</v>
      </c>
      <c r="R9" s="5">
        <v>4450.4534543610089</v>
      </c>
      <c r="S9" s="35"/>
      <c r="T9" s="23">
        <v>951190.62291391508</v>
      </c>
      <c r="U9" s="33">
        <v>90.5619647909989</v>
      </c>
      <c r="V9" s="5">
        <v>10</v>
      </c>
      <c r="W9" s="5">
        <v>87</v>
      </c>
      <c r="X9" s="33">
        <v>584.84262570952671</v>
      </c>
      <c r="Y9" s="5">
        <v>53.641718325941532</v>
      </c>
      <c r="Z9" s="5">
        <v>6066.0624193143658</v>
      </c>
      <c r="AA9" s="35"/>
    </row>
    <row r="10" spans="2:27" x14ac:dyDescent="0.2">
      <c r="B10" s="4">
        <v>7</v>
      </c>
      <c r="C10" s="4">
        <v>771</v>
      </c>
      <c r="D10" s="23">
        <v>688044.54029341321</v>
      </c>
      <c r="E10" s="33">
        <v>58.019266667004558</v>
      </c>
      <c r="F10" s="5">
        <v>10</v>
      </c>
      <c r="G10" s="23">
        <v>97</v>
      </c>
      <c r="H10" s="33">
        <v>72.083045937565359</v>
      </c>
      <c r="I10" s="23">
        <v>37.44726937649579</v>
      </c>
      <c r="J10" s="5">
        <v>4802.1841498872282</v>
      </c>
      <c r="K10" s="31"/>
      <c r="L10" s="23">
        <v>886638.34029451199</v>
      </c>
      <c r="M10" s="33">
        <v>149.757095292</v>
      </c>
      <c r="N10" s="5">
        <v>15</v>
      </c>
      <c r="O10" s="5">
        <v>87</v>
      </c>
      <c r="P10" s="33">
        <v>78.244752621010051</v>
      </c>
      <c r="Q10" s="5">
        <v>21.052544469605337</v>
      </c>
      <c r="R10" s="5">
        <v>4214.3230239458562</v>
      </c>
      <c r="S10" s="35"/>
      <c r="T10" s="23">
        <v>942640.03638240753</v>
      </c>
      <c r="U10" s="33">
        <v>88.993624082999304</v>
      </c>
      <c r="V10" s="5">
        <v>10</v>
      </c>
      <c r="W10" s="5">
        <v>87</v>
      </c>
      <c r="X10" s="33">
        <v>505.33016537721909</v>
      </c>
      <c r="Y10" s="5">
        <v>54.060612356895078</v>
      </c>
      <c r="Z10" s="5">
        <v>6043.5691972723625</v>
      </c>
      <c r="AA10" s="35"/>
    </row>
    <row r="11" spans="2:27" x14ac:dyDescent="0.2">
      <c r="B11" s="4">
        <v>8</v>
      </c>
      <c r="C11" s="4">
        <v>789</v>
      </c>
      <c r="D11" s="23">
        <v>689819.23779651697</v>
      </c>
      <c r="E11" s="33">
        <v>74.748335582997242</v>
      </c>
      <c r="F11" s="5">
        <v>10</v>
      </c>
      <c r="G11" s="23">
        <v>97</v>
      </c>
      <c r="H11" s="33">
        <v>121.10272558389057</v>
      </c>
      <c r="I11" s="23">
        <v>38.329812863072064</v>
      </c>
      <c r="J11" s="5">
        <v>4805.0737041709017</v>
      </c>
      <c r="K11" s="31"/>
      <c r="L11" s="23">
        <v>891613.33958349307</v>
      </c>
      <c r="M11" s="33">
        <v>177.35870191699999</v>
      </c>
      <c r="N11" s="5">
        <v>19</v>
      </c>
      <c r="O11" s="5">
        <v>93</v>
      </c>
      <c r="P11" s="33">
        <v>182.22442599339112</v>
      </c>
      <c r="Q11" s="5">
        <v>19.262866576751126</v>
      </c>
      <c r="R11" s="5">
        <v>4432.5659512691773</v>
      </c>
      <c r="S11" s="35"/>
      <c r="T11" s="23">
        <v>933022.55632649211</v>
      </c>
      <c r="U11" s="33">
        <v>59.285754249998718</v>
      </c>
      <c r="V11" s="5">
        <v>11</v>
      </c>
      <c r="W11" s="5">
        <v>89</v>
      </c>
      <c r="X11" s="33">
        <v>634.2298385932653</v>
      </c>
      <c r="Y11" s="5">
        <v>51.896437747124622</v>
      </c>
      <c r="Z11" s="5">
        <v>6041.2831800169251</v>
      </c>
      <c r="AA11" s="35"/>
    </row>
    <row r="12" spans="2:27" x14ac:dyDescent="0.2">
      <c r="B12" s="4">
        <v>9</v>
      </c>
      <c r="C12" s="4">
        <v>808</v>
      </c>
      <c r="D12" s="23">
        <v>691010.16732978483</v>
      </c>
      <c r="E12" s="33">
        <v>68.752549208998971</v>
      </c>
      <c r="F12" s="5">
        <v>11</v>
      </c>
      <c r="G12" s="23">
        <v>97</v>
      </c>
      <c r="H12" s="33">
        <v>141.63439277023156</v>
      </c>
      <c r="I12" s="23">
        <v>33.823759241814066</v>
      </c>
      <c r="J12" s="5">
        <v>4576.1801980608361</v>
      </c>
      <c r="K12" s="31"/>
      <c r="L12" s="23">
        <v>872746.65412188205</v>
      </c>
      <c r="M12" s="33">
        <v>72.739902249999886</v>
      </c>
      <c r="N12" s="5">
        <v>17</v>
      </c>
      <c r="O12" s="5">
        <v>90</v>
      </c>
      <c r="P12" s="33">
        <v>88.505396925286192</v>
      </c>
      <c r="Q12" s="5">
        <v>20.054168098832594</v>
      </c>
      <c r="R12" s="5">
        <v>4184.0298106132386</v>
      </c>
      <c r="S12" s="35"/>
      <c r="T12" s="23">
        <v>925527.61815173202</v>
      </c>
      <c r="U12" s="33">
        <v>69.893708958999923</v>
      </c>
      <c r="V12" s="5">
        <v>11</v>
      </c>
      <c r="W12" s="5">
        <v>90</v>
      </c>
      <c r="X12" s="33">
        <v>631.04574262130325</v>
      </c>
      <c r="Y12" s="5">
        <v>53.450776763173764</v>
      </c>
      <c r="Z12" s="5">
        <v>6126.3061735225829</v>
      </c>
      <c r="AA12" s="35"/>
    </row>
    <row r="13" spans="2:27" x14ac:dyDescent="0.2">
      <c r="B13" s="4">
        <v>10</v>
      </c>
      <c r="C13" s="4">
        <v>832</v>
      </c>
      <c r="D13" s="23">
        <v>679389.24665400526</v>
      </c>
      <c r="E13" s="33">
        <v>82.896564665999904</v>
      </c>
      <c r="F13" s="5">
        <v>10</v>
      </c>
      <c r="G13" s="23">
        <v>97</v>
      </c>
      <c r="H13" s="33">
        <v>102.14549976600003</v>
      </c>
      <c r="I13" s="23">
        <v>37.179180648033473</v>
      </c>
      <c r="J13" s="5">
        <v>4704.0948399321178</v>
      </c>
      <c r="K13" s="31"/>
      <c r="L13" s="23">
        <v>893275.8897567431</v>
      </c>
      <c r="M13" s="33">
        <v>167.5029709580003</v>
      </c>
      <c r="N13" s="5">
        <v>17</v>
      </c>
      <c r="O13" s="5">
        <v>91</v>
      </c>
      <c r="P13" s="33">
        <v>179.5590518275279</v>
      </c>
      <c r="Q13" s="5">
        <v>20.162866316954588</v>
      </c>
      <c r="R13" s="5">
        <v>4478.5898263086283</v>
      </c>
      <c r="S13" s="35"/>
      <c r="T13" s="23">
        <v>944142.80007595883</v>
      </c>
      <c r="U13" s="33">
        <v>55.939327000000048</v>
      </c>
      <c r="V13" s="5">
        <v>10</v>
      </c>
      <c r="W13" s="5">
        <v>88</v>
      </c>
      <c r="X13" s="33">
        <v>616.70013331972814</v>
      </c>
      <c r="Y13" s="5">
        <v>55.273640489775424</v>
      </c>
      <c r="Z13" s="5">
        <v>6134.4193072470516</v>
      </c>
      <c r="AA13" s="35"/>
    </row>
    <row r="14" spans="2:27" x14ac:dyDescent="0.2">
      <c r="B14" s="47" t="s">
        <v>3</v>
      </c>
      <c r="C14" s="48"/>
      <c r="D14" s="9">
        <f>MIN(D4:D13)</f>
        <v>677620.1733718951</v>
      </c>
      <c r="E14" s="22">
        <f>INDEX(E4:E13, MATCH($D$14, D4:D13, 0))</f>
        <v>101.9261437499954</v>
      </c>
      <c r="F14" s="9">
        <f>INDEX(F4:F13, MATCH($D$14, D4:D13, 0))</f>
        <v>10</v>
      </c>
      <c r="G14" s="9">
        <f>INDEX(G4:G13, MATCH($D$14, D4:D13, 0))</f>
        <v>97</v>
      </c>
      <c r="H14" s="22">
        <f>INDEX(H4:H13, MATCH($D$14, D4:D13, 0))</f>
        <v>103.75519738935229</v>
      </c>
      <c r="I14" s="22">
        <f>INDEX(I4:I13, MATCH($D$14, D4:D13, 0))</f>
        <v>37.239010055052873</v>
      </c>
      <c r="J14" s="22">
        <f>INDEX(J4:J13, MATCH($D$14, D4:D13, 0))</f>
        <v>4678.8221246730618</v>
      </c>
      <c r="K14" s="32" t="e">
        <f>(D14-$D$15)/$D$15</f>
        <v>#DIV/0!</v>
      </c>
      <c r="L14" s="16">
        <f>MIN(L4:L13)</f>
        <v>872746.65412188205</v>
      </c>
      <c r="M14" s="21">
        <f>INDEX(M4:M13, MATCH($L$14, L4:L13, 0))</f>
        <v>72.739902249999886</v>
      </c>
      <c r="N14" s="16">
        <f>INDEX(N4:N13, MATCH($L$14, L4:L13, 0))</f>
        <v>17</v>
      </c>
      <c r="O14" s="16">
        <f>INDEX(O4:O13, MATCH($L$14, L4:L13, 0))</f>
        <v>90</v>
      </c>
      <c r="P14" s="21">
        <f>INDEX(P4:P13, MATCH($L$14, L4:L13, 0))</f>
        <v>88.505396925286192</v>
      </c>
      <c r="Q14" s="21">
        <f>INDEX(Q4:Q13, MATCH($L$14, L4:L13, 0))</f>
        <v>20.054168098832594</v>
      </c>
      <c r="R14" s="21">
        <f>INDEX(R4:R13, MATCH($L$14, L4:L13, 0))</f>
        <v>4184.0298106132386</v>
      </c>
      <c r="S14" s="36" t="e">
        <f>(L14-$D$15)/$D$15</f>
        <v>#DIV/0!</v>
      </c>
      <c r="T14" s="38">
        <f>MIN(T4:T13)</f>
        <v>925527.61815173202</v>
      </c>
      <c r="U14" s="39">
        <f>INDEX(U4:U13, MATCH($T$14, T4:T13, 0))</f>
        <v>69.893708958999923</v>
      </c>
      <c r="V14" s="38">
        <f>INDEX(V4:V13, MATCH($T$14, T4:T13, 0))</f>
        <v>11</v>
      </c>
      <c r="W14" s="38">
        <f>INDEX(W4:W13, MATCH($T$14, T4:T13, 0))</f>
        <v>90</v>
      </c>
      <c r="X14" s="39">
        <f>INDEX(X4:X13, MATCH($T$14, T4:T13, 0))</f>
        <v>631.04574262130325</v>
      </c>
      <c r="Y14" s="39">
        <f>INDEX(Y4:Y13, MATCH($T$14, T4:T13, 0))</f>
        <v>53.450776763173764</v>
      </c>
      <c r="Z14" s="39">
        <f>INDEX(Z4:Z13, MATCH($T$14, T4:T13, 0))</f>
        <v>6126.3061735225829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0.28795848827673048</v>
      </c>
      <c r="M15" s="46">
        <f t="shared" ref="M15:R15" si="0">(M14-E14)/E14</f>
        <v>-0.28634696090910272</v>
      </c>
      <c r="N15" s="46">
        <f t="shared" si="0"/>
        <v>0.7</v>
      </c>
      <c r="O15" s="46">
        <f t="shared" si="0"/>
        <v>-7.2164948453608241E-2</v>
      </c>
      <c r="P15" s="46">
        <f t="shared" si="0"/>
        <v>-0.14697866562616249</v>
      </c>
      <c r="Q15" s="46">
        <f t="shared" si="0"/>
        <v>-0.46147418878253743</v>
      </c>
      <c r="R15" s="46">
        <f t="shared" si="0"/>
        <v>-0.10575146925347101</v>
      </c>
      <c r="T15" s="46">
        <f>(T14-D14)/D14</f>
        <v>0.36585015399737669</v>
      </c>
      <c r="U15" s="46">
        <f t="shared" ref="U15:Z15" si="1">(U14-E14)/E14</f>
        <v>-0.31427103599214629</v>
      </c>
      <c r="V15" s="46">
        <f t="shared" si="1"/>
        <v>0.1</v>
      </c>
      <c r="W15" s="46">
        <f t="shared" si="1"/>
        <v>-7.2164948453608241E-2</v>
      </c>
      <c r="X15" s="46">
        <f t="shared" si="1"/>
        <v>5.0820639206461893</v>
      </c>
      <c r="Y15" s="46">
        <f t="shared" si="1"/>
        <v>0.43534365398419483</v>
      </c>
      <c r="Z15" s="46">
        <f t="shared" si="1"/>
        <v>0.30936932635597164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17:C28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A7B9-4F27-7A42-8412-24C05335CE30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-0.71589470250820775</v>
      </c>
      <c r="J2" s="28" t="e">
        <f>(S14-J14)/J14</f>
        <v>#DIV/0!</v>
      </c>
      <c r="K2" s="28"/>
      <c r="L2" s="1" t="s">
        <v>19</v>
      </c>
      <c r="P2" s="1">
        <f>(P14-H14)/H14</f>
        <v>-0.53727882405238758</v>
      </c>
      <c r="R2" s="1">
        <f>(R14-J14)/J14</f>
        <v>-0.12891819344780203</v>
      </c>
      <c r="T2" s="1" t="s">
        <v>20</v>
      </c>
      <c r="X2" s="1">
        <f>(X14-P14)/P14</f>
        <v>28.913506729955046</v>
      </c>
      <c r="Z2" s="1">
        <f>(Z14-R14)/R14</f>
        <v>0.52606348418854365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143</v>
      </c>
      <c r="D4" s="23">
        <v>692111.0817427747</v>
      </c>
      <c r="E4" s="33">
        <v>81.79542683299951</v>
      </c>
      <c r="F4" s="5">
        <v>10</v>
      </c>
      <c r="G4" s="23">
        <v>97</v>
      </c>
      <c r="H4" s="33">
        <v>195.62552459526847</v>
      </c>
      <c r="I4" s="23">
        <v>36.822984437311035</v>
      </c>
      <c r="J4" s="5">
        <v>4832.3575752255638</v>
      </c>
      <c r="K4" s="31"/>
      <c r="L4" s="23">
        <v>896895.89555164252</v>
      </c>
      <c r="M4" s="33">
        <v>212.15605441600059</v>
      </c>
      <c r="N4" s="5">
        <v>20</v>
      </c>
      <c r="O4" s="5">
        <v>93</v>
      </c>
      <c r="P4" s="33">
        <v>108.31543703839728</v>
      </c>
      <c r="Q4" s="5">
        <v>17.304533753185677</v>
      </c>
      <c r="R4" s="5">
        <v>4325.7469683974196</v>
      </c>
      <c r="S4" s="35"/>
      <c r="T4" s="23">
        <v>926401.17428213893</v>
      </c>
      <c r="U4" s="33">
        <v>106.81997050000059</v>
      </c>
      <c r="V4" s="5">
        <v>14</v>
      </c>
      <c r="W4" s="5">
        <v>95</v>
      </c>
      <c r="X4" s="33">
        <v>905.62445512418594</v>
      </c>
      <c r="Y4" s="5">
        <v>48.826200926799196</v>
      </c>
      <c r="Z4" s="5">
        <v>6233.7930159426223</v>
      </c>
      <c r="AA4" s="35"/>
    </row>
    <row r="5" spans="2:27" x14ac:dyDescent="0.2">
      <c r="B5" s="4">
        <v>2</v>
      </c>
      <c r="C5" s="4">
        <v>298</v>
      </c>
      <c r="D5" s="23">
        <v>687083.88629568287</v>
      </c>
      <c r="E5" s="33">
        <v>37.182586666000127</v>
      </c>
      <c r="F5" s="5">
        <v>9</v>
      </c>
      <c r="G5" s="23">
        <v>97</v>
      </c>
      <c r="H5" s="33">
        <v>255.01993610765911</v>
      </c>
      <c r="I5" s="23">
        <v>40.774888055807985</v>
      </c>
      <c r="J5" s="5">
        <v>4905.323613942769</v>
      </c>
      <c r="K5" s="31"/>
      <c r="L5" s="23">
        <v>890650.32270808471</v>
      </c>
      <c r="M5" s="33">
        <v>95.151615292000315</v>
      </c>
      <c r="N5" s="5">
        <v>20</v>
      </c>
      <c r="O5" s="5">
        <v>92</v>
      </c>
      <c r="P5" s="33">
        <v>59.895772019703251</v>
      </c>
      <c r="Q5" s="5">
        <v>16.817983213191987</v>
      </c>
      <c r="R5" s="5">
        <v>4072.2745413026037</v>
      </c>
      <c r="S5" s="35"/>
      <c r="T5" s="23">
        <v>940768.25618867052</v>
      </c>
      <c r="U5" s="33">
        <v>73.061538207999547</v>
      </c>
      <c r="V5" s="5">
        <v>13</v>
      </c>
      <c r="W5" s="5">
        <v>92</v>
      </c>
      <c r="X5" s="33">
        <v>809.44976726042057</v>
      </c>
      <c r="Y5" s="5">
        <v>51.426400323835388</v>
      </c>
      <c r="Z5" s="5">
        <v>6256.5373419087546</v>
      </c>
      <c r="AA5" s="35"/>
    </row>
    <row r="6" spans="2:27" x14ac:dyDescent="0.2">
      <c r="B6" s="4">
        <v>3</v>
      </c>
      <c r="C6" s="4">
        <v>351</v>
      </c>
      <c r="D6" s="23">
        <v>672964.29322168941</v>
      </c>
      <c r="E6" s="33">
        <v>44.764459500001983</v>
      </c>
      <c r="F6" s="5">
        <v>10</v>
      </c>
      <c r="G6" s="23">
        <v>97</v>
      </c>
      <c r="H6" s="33">
        <v>96.305100341074834</v>
      </c>
      <c r="I6" s="23">
        <v>36.496548891245915</v>
      </c>
      <c r="J6" s="5">
        <v>4704.740264727634</v>
      </c>
      <c r="K6" s="31"/>
      <c r="L6" s="23">
        <v>902507.38304929144</v>
      </c>
      <c r="M6" s="33">
        <v>105.6366565419994</v>
      </c>
      <c r="N6" s="5">
        <v>19</v>
      </c>
      <c r="O6" s="5">
        <v>91</v>
      </c>
      <c r="P6" s="33">
        <v>119.79964715574101</v>
      </c>
      <c r="Q6" s="5">
        <v>17.691423468536758</v>
      </c>
      <c r="R6" s="5">
        <v>4218.6095221035121</v>
      </c>
      <c r="S6" s="35"/>
      <c r="T6" s="23">
        <v>967808.24331331626</v>
      </c>
      <c r="U6" s="33">
        <v>114.30879470800031</v>
      </c>
      <c r="V6" s="5">
        <v>14</v>
      </c>
      <c r="W6" s="5">
        <v>91</v>
      </c>
      <c r="X6" s="33">
        <v>929.56223009380778</v>
      </c>
      <c r="Y6" s="5">
        <v>47.454697313261455</v>
      </c>
      <c r="Z6" s="5">
        <v>6111.995693380296</v>
      </c>
      <c r="AA6" s="35"/>
    </row>
    <row r="7" spans="2:27" x14ac:dyDescent="0.2">
      <c r="B7" s="4">
        <v>4</v>
      </c>
      <c r="C7" s="4">
        <v>481</v>
      </c>
      <c r="D7" s="23">
        <v>688886.79416762444</v>
      </c>
      <c r="E7" s="33">
        <v>74.074791042003199</v>
      </c>
      <c r="F7" s="5">
        <v>11</v>
      </c>
      <c r="G7" s="23">
        <v>97</v>
      </c>
      <c r="H7" s="33">
        <v>115.02162479538295</v>
      </c>
      <c r="I7" s="23">
        <v>34.001351686075708</v>
      </c>
      <c r="J7" s="5">
        <v>4650.1859178283921</v>
      </c>
      <c r="K7" s="31"/>
      <c r="L7" s="23">
        <v>888227.32139764063</v>
      </c>
      <c r="M7" s="33">
        <v>109.5564312910001</v>
      </c>
      <c r="N7" s="5">
        <v>19</v>
      </c>
      <c r="O7" s="5">
        <v>91</v>
      </c>
      <c r="P7" s="33">
        <v>71.707111244303448</v>
      </c>
      <c r="Q7" s="5">
        <v>17.685239909417451</v>
      </c>
      <c r="R7" s="5">
        <v>4124.8007036508579</v>
      </c>
      <c r="S7" s="35"/>
      <c r="T7" s="23">
        <v>924825.91742103943</v>
      </c>
      <c r="U7" s="33">
        <v>93.950536833001024</v>
      </c>
      <c r="V7" s="5">
        <v>14</v>
      </c>
      <c r="W7" s="5">
        <v>95</v>
      </c>
      <c r="X7" s="33">
        <v>918.10008456151456</v>
      </c>
      <c r="Y7" s="5">
        <v>49.518175196315198</v>
      </c>
      <c r="Z7" s="5">
        <v>6195.9831304200006</v>
      </c>
      <c r="AA7" s="35"/>
    </row>
    <row r="8" spans="2:27" x14ac:dyDescent="0.2">
      <c r="B8" s="4">
        <v>5</v>
      </c>
      <c r="C8" s="4">
        <v>503</v>
      </c>
      <c r="D8" s="23">
        <v>693306.30461402121</v>
      </c>
      <c r="E8" s="33">
        <v>111.72137158300031</v>
      </c>
      <c r="F8" s="5">
        <v>10</v>
      </c>
      <c r="G8" s="23">
        <v>97</v>
      </c>
      <c r="H8" s="33">
        <v>117.94468259638533</v>
      </c>
      <c r="I8" s="23">
        <v>36.372592683874267</v>
      </c>
      <c r="J8" s="5">
        <v>4871.9314716483505</v>
      </c>
      <c r="K8" s="31"/>
      <c r="L8" s="23">
        <v>876230.55752358946</v>
      </c>
      <c r="M8" s="33">
        <v>188.71787895800031</v>
      </c>
      <c r="N8" s="5">
        <v>18</v>
      </c>
      <c r="O8" s="5">
        <v>90</v>
      </c>
      <c r="P8" s="33">
        <v>30.69182402617275</v>
      </c>
      <c r="Q8" s="5">
        <v>18.844414841538956</v>
      </c>
      <c r="R8" s="5">
        <v>4060.1083733515852</v>
      </c>
      <c r="S8" s="35"/>
      <c r="T8" s="23">
        <v>939552.30871624267</v>
      </c>
      <c r="U8" s="33">
        <v>132.58283437499989</v>
      </c>
      <c r="V8" s="5">
        <v>13</v>
      </c>
      <c r="W8" s="5">
        <v>93</v>
      </c>
      <c r="X8" s="33">
        <v>932.05787440388679</v>
      </c>
      <c r="Y8" s="5">
        <v>51.110535615018257</v>
      </c>
      <c r="Z8" s="5">
        <v>6281.1627963414539</v>
      </c>
      <c r="AA8" s="35"/>
    </row>
    <row r="9" spans="2:27" x14ac:dyDescent="0.2">
      <c r="B9" s="4">
        <v>6</v>
      </c>
      <c r="C9" s="4">
        <v>535</v>
      </c>
      <c r="D9" s="23">
        <v>704446.23764975066</v>
      </c>
      <c r="E9" s="33">
        <v>90.859901499999978</v>
      </c>
      <c r="F9" s="5">
        <v>10</v>
      </c>
      <c r="G9" s="23">
        <v>97</v>
      </c>
      <c r="H9" s="33">
        <v>238.12913700116908</v>
      </c>
      <c r="I9" s="23">
        <v>37.367516510018632</v>
      </c>
      <c r="J9" s="5">
        <v>4913.6920472971951</v>
      </c>
      <c r="K9" s="31"/>
      <c r="L9" s="23">
        <v>909807.04415245005</v>
      </c>
      <c r="M9" s="33">
        <v>145.534746458</v>
      </c>
      <c r="N9" s="5">
        <v>19</v>
      </c>
      <c r="O9" s="5">
        <v>92</v>
      </c>
      <c r="P9" s="33">
        <v>185.32271560282101</v>
      </c>
      <c r="Q9" s="5">
        <v>18.098615701534289</v>
      </c>
      <c r="R9" s="5">
        <v>4429.3013574851093</v>
      </c>
      <c r="S9" s="35"/>
      <c r="T9" s="23">
        <v>929899.14918287448</v>
      </c>
      <c r="U9" s="33">
        <v>86.024823540999932</v>
      </c>
      <c r="V9" s="5">
        <v>14</v>
      </c>
      <c r="W9" s="5">
        <v>95</v>
      </c>
      <c r="X9" s="33">
        <v>910.17177774690344</v>
      </c>
      <c r="Y9" s="5">
        <v>50.358571655029472</v>
      </c>
      <c r="Z9" s="5">
        <v>6297.4047491446299</v>
      </c>
      <c r="AA9" s="35"/>
    </row>
    <row r="10" spans="2:27" x14ac:dyDescent="0.2">
      <c r="B10" s="4">
        <v>7</v>
      </c>
      <c r="C10" s="4">
        <v>668</v>
      </c>
      <c r="D10" s="23">
        <v>685531.69571406546</v>
      </c>
      <c r="E10" s="33">
        <v>82.211052083002869</v>
      </c>
      <c r="F10" s="5">
        <v>9</v>
      </c>
      <c r="G10" s="23">
        <v>97</v>
      </c>
      <c r="H10" s="33">
        <v>208.10912728732058</v>
      </c>
      <c r="I10" s="23">
        <v>40.337914328140926</v>
      </c>
      <c r="J10" s="5">
        <v>4898.5673008278463</v>
      </c>
      <c r="K10" s="31"/>
      <c r="L10" s="23">
        <v>883161.93134185346</v>
      </c>
      <c r="M10" s="33">
        <v>227.83243800000039</v>
      </c>
      <c r="N10" s="5">
        <v>19</v>
      </c>
      <c r="O10" s="5">
        <v>91</v>
      </c>
      <c r="P10" s="33">
        <v>88.048913622315879</v>
      </c>
      <c r="Q10" s="5">
        <v>17.512009582078626</v>
      </c>
      <c r="R10" s="5">
        <v>4024.9974675343224</v>
      </c>
      <c r="S10" s="35"/>
      <c r="T10" s="23">
        <v>951735.31563899189</v>
      </c>
      <c r="U10" s="33">
        <v>123.83542725000009</v>
      </c>
      <c r="V10" s="5">
        <v>13</v>
      </c>
      <c r="W10" s="5">
        <v>92</v>
      </c>
      <c r="X10" s="33">
        <v>890.16018466952517</v>
      </c>
      <c r="Y10" s="5">
        <v>49.769416417887783</v>
      </c>
      <c r="Z10" s="5">
        <v>6247.5358138257816</v>
      </c>
      <c r="AA10" s="35"/>
    </row>
    <row r="11" spans="2:27" x14ac:dyDescent="0.2">
      <c r="B11" s="4">
        <v>8</v>
      </c>
      <c r="C11" s="4">
        <v>794</v>
      </c>
      <c r="D11" s="23">
        <v>707127.95637835504</v>
      </c>
      <c r="E11" s="33">
        <v>41.181825917003152</v>
      </c>
      <c r="F11" s="5">
        <v>10</v>
      </c>
      <c r="G11" s="23">
        <v>97</v>
      </c>
      <c r="H11" s="33">
        <v>135.86675599421179</v>
      </c>
      <c r="I11" s="23">
        <v>35.704099462937265</v>
      </c>
      <c r="J11" s="5">
        <v>4975.9570381446483</v>
      </c>
      <c r="K11" s="31"/>
      <c r="L11" s="23">
        <v>904616.57440600405</v>
      </c>
      <c r="M11" s="33">
        <v>132.3018274589995</v>
      </c>
      <c r="N11" s="5">
        <v>18</v>
      </c>
      <c r="O11" s="5">
        <v>90</v>
      </c>
      <c r="P11" s="33">
        <v>156.56967441346777</v>
      </c>
      <c r="Q11" s="5">
        <v>18.681245355363863</v>
      </c>
      <c r="R11" s="5">
        <v>4253.2794839037306</v>
      </c>
      <c r="S11" s="35"/>
      <c r="T11" s="23">
        <v>970178.55886599422</v>
      </c>
      <c r="U11" s="33">
        <v>57.952906750000693</v>
      </c>
      <c r="V11" s="5">
        <v>11</v>
      </c>
      <c r="W11" s="5">
        <v>89</v>
      </c>
      <c r="X11" s="33">
        <v>858.94908854809819</v>
      </c>
      <c r="Y11" s="5">
        <v>53.810643916699995</v>
      </c>
      <c r="Z11" s="5">
        <v>6389.3804809918292</v>
      </c>
      <c r="AA11" s="35"/>
    </row>
    <row r="12" spans="2:27" x14ac:dyDescent="0.2">
      <c r="B12" s="4">
        <v>9</v>
      </c>
      <c r="C12" s="4">
        <v>931</v>
      </c>
      <c r="D12" s="23">
        <v>670012.87636957341</v>
      </c>
      <c r="E12" s="33">
        <v>46.334400416999422</v>
      </c>
      <c r="F12" s="5">
        <v>10</v>
      </c>
      <c r="G12" s="23">
        <v>97</v>
      </c>
      <c r="H12" s="33">
        <v>66.328980866973694</v>
      </c>
      <c r="I12" s="23">
        <v>36.146575466363011</v>
      </c>
      <c r="J12" s="5">
        <v>4660.9954918261637</v>
      </c>
      <c r="K12" s="31"/>
      <c r="L12" s="23">
        <v>883201.36276431871</v>
      </c>
      <c r="M12" s="33">
        <v>175.78045062500041</v>
      </c>
      <c r="N12" s="5">
        <v>19</v>
      </c>
      <c r="O12" s="5">
        <v>92</v>
      </c>
      <c r="P12" s="33">
        <v>80.080632488509394</v>
      </c>
      <c r="Q12" s="5">
        <v>17.831183458488805</v>
      </c>
      <c r="R12" s="5">
        <v>4224.8623316179383</v>
      </c>
      <c r="S12" s="35"/>
      <c r="T12" s="23">
        <v>983078.67898062465</v>
      </c>
      <c r="U12" s="33">
        <v>91.413608625000052</v>
      </c>
      <c r="V12" s="5">
        <v>13</v>
      </c>
      <c r="W12" s="5">
        <v>89</v>
      </c>
      <c r="X12" s="33">
        <v>817.41867958074317</v>
      </c>
      <c r="Y12" s="5">
        <v>47.253073369156901</v>
      </c>
      <c r="Z12" s="5">
        <v>6194.9218866498268</v>
      </c>
      <c r="AA12" s="35"/>
    </row>
    <row r="13" spans="2:27" x14ac:dyDescent="0.2">
      <c r="B13" s="4">
        <v>10</v>
      </c>
      <c r="C13" s="4">
        <v>941</v>
      </c>
      <c r="D13" s="23">
        <v>706201.78843432793</v>
      </c>
      <c r="E13" s="33">
        <v>55.260571083999821</v>
      </c>
      <c r="F13" s="5">
        <v>10</v>
      </c>
      <c r="G13" s="23">
        <v>97</v>
      </c>
      <c r="H13" s="33">
        <v>159.75466513034931</v>
      </c>
      <c r="I13" s="23">
        <v>36.240409466901241</v>
      </c>
      <c r="J13" s="5">
        <v>4911.1116353236694</v>
      </c>
      <c r="K13" s="31"/>
      <c r="L13" s="23">
        <v>907863.94072648045</v>
      </c>
      <c r="M13" s="33">
        <v>74.337295416000416</v>
      </c>
      <c r="N13" s="5">
        <v>21</v>
      </c>
      <c r="O13" s="5">
        <v>94</v>
      </c>
      <c r="P13" s="33">
        <v>135.76474828471959</v>
      </c>
      <c r="Q13" s="5">
        <v>16.397407293718096</v>
      </c>
      <c r="R13" s="5">
        <v>4329.9244091088385</v>
      </c>
      <c r="S13" s="35"/>
      <c r="T13" s="23">
        <v>929510.77988259029</v>
      </c>
      <c r="U13" s="33">
        <v>117.2338697089999</v>
      </c>
      <c r="V13" s="5">
        <v>14</v>
      </c>
      <c r="W13" s="5">
        <v>94</v>
      </c>
      <c r="X13" s="33">
        <v>818.62506169749554</v>
      </c>
      <c r="Y13" s="5">
        <v>49.980991064670263</v>
      </c>
      <c r="Z13" s="5">
        <v>6211.5529025762944</v>
      </c>
      <c r="AA13" s="35"/>
    </row>
    <row r="14" spans="2:27" x14ac:dyDescent="0.2">
      <c r="B14" s="47" t="s">
        <v>3</v>
      </c>
      <c r="C14" s="48"/>
      <c r="D14" s="9">
        <f>MIN(D4:D13)</f>
        <v>670012.87636957341</v>
      </c>
      <c r="E14" s="22">
        <f>INDEX(E4:E13, MATCH($D$14, D4:D13, 0))</f>
        <v>46.334400416999422</v>
      </c>
      <c r="F14" s="9">
        <f>INDEX(F4:F13, MATCH($D$14, D4:D13, 0))</f>
        <v>10</v>
      </c>
      <c r="G14" s="9">
        <f>INDEX(G4:G13, MATCH($D$14, D4:D13, 0))</f>
        <v>97</v>
      </c>
      <c r="H14" s="22">
        <f>INDEX(H4:H13, MATCH($D$14, D4:D13, 0))</f>
        <v>66.328980866973694</v>
      </c>
      <c r="I14" s="22">
        <f>INDEX(I4:I13, MATCH($D$14, D4:D13, 0))</f>
        <v>36.146575466363011</v>
      </c>
      <c r="J14" s="22">
        <f>INDEX(J4:J13, MATCH($D$14, D4:D13, 0))</f>
        <v>4660.9954918261637</v>
      </c>
      <c r="K14" s="32" t="e">
        <f>(D14-$D$15)/$D$15</f>
        <v>#DIV/0!</v>
      </c>
      <c r="L14" s="16">
        <f>MIN(L4:L13)</f>
        <v>876230.55752358946</v>
      </c>
      <c r="M14" s="21">
        <f>INDEX(M4:M13, MATCH($L$14, L4:L13, 0))</f>
        <v>188.71787895800031</v>
      </c>
      <c r="N14" s="16">
        <f>INDEX(N4:N13, MATCH($L$14, L4:L13, 0))</f>
        <v>18</v>
      </c>
      <c r="O14" s="16">
        <f>INDEX(O4:O13, MATCH($L$14, L4:L13, 0))</f>
        <v>90</v>
      </c>
      <c r="P14" s="21">
        <f>INDEX(P4:P13, MATCH($L$14, L4:L13, 0))</f>
        <v>30.69182402617275</v>
      </c>
      <c r="Q14" s="21">
        <f>INDEX(Q4:Q13, MATCH($L$14, L4:L13, 0))</f>
        <v>18.844414841538956</v>
      </c>
      <c r="R14" s="21">
        <f>INDEX(R4:R13, MATCH($L$14, L4:L13, 0))</f>
        <v>4060.1083733515852</v>
      </c>
      <c r="S14" s="36" t="e">
        <f>(L14-$D$15)/$D$15</f>
        <v>#DIV/0!</v>
      </c>
      <c r="T14" s="38">
        <f>MIN(T4:T13)</f>
        <v>924825.91742103943</v>
      </c>
      <c r="U14" s="39">
        <f>INDEX(U4:U13, MATCH($T$14, T4:T13, 0))</f>
        <v>93.950536833001024</v>
      </c>
      <c r="V14" s="38">
        <f>INDEX(V4:V13, MATCH($T$14, T4:T13, 0))</f>
        <v>14</v>
      </c>
      <c r="W14" s="38">
        <f>INDEX(W4:W13, MATCH($T$14, T4:T13, 0))</f>
        <v>95</v>
      </c>
      <c r="X14" s="39">
        <f>INDEX(X4:X13, MATCH($T$14, T4:T13, 0))</f>
        <v>918.10008456151456</v>
      </c>
      <c r="Y14" s="39">
        <f>INDEX(Y4:Y13, MATCH($T$14, T4:T13, 0))</f>
        <v>49.518175196315198</v>
      </c>
      <c r="Z14" s="39">
        <f>INDEX(Z4:Z13, MATCH($T$14, T4:T13, 0))</f>
        <v>6195.9831304200006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0.30778166872164431</v>
      </c>
      <c r="M15" s="46">
        <f t="shared" ref="M15:R15" si="0">(M14-E14)/E14</f>
        <v>3.0729539447922254</v>
      </c>
      <c r="N15" s="46">
        <f t="shared" si="0"/>
        <v>0.8</v>
      </c>
      <c r="O15" s="46">
        <f t="shared" si="0"/>
        <v>-7.2164948453608241E-2</v>
      </c>
      <c r="P15" s="46">
        <f t="shared" si="0"/>
        <v>-0.53727882405238758</v>
      </c>
      <c r="Q15" s="46">
        <f t="shared" si="0"/>
        <v>-0.47866666209984288</v>
      </c>
      <c r="R15" s="46">
        <f t="shared" si="0"/>
        <v>-0.12891819344780203</v>
      </c>
      <c r="T15" s="46">
        <f>(T14-D14)/D14</f>
        <v>0.38031066273256714</v>
      </c>
      <c r="U15" s="46">
        <f t="shared" ref="U15:Z15" si="1">(U14-E14)/E14</f>
        <v>1.0276627297961523</v>
      </c>
      <c r="V15" s="46">
        <f t="shared" si="1"/>
        <v>0.4</v>
      </c>
      <c r="W15" s="46">
        <f t="shared" si="1"/>
        <v>-2.0618556701030927E-2</v>
      </c>
      <c r="X15" s="46">
        <f t="shared" si="1"/>
        <v>12.841613010801616</v>
      </c>
      <c r="Y15" s="46">
        <f t="shared" si="1"/>
        <v>0.36992715236317264</v>
      </c>
      <c r="Z15" s="46">
        <f t="shared" si="1"/>
        <v>0.32932613672029826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17:C2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4990-1AFA-6644-B2B4-E111D76880D7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-0.43514129937471979</v>
      </c>
      <c r="J2" s="28" t="e">
        <f>(S14-J14)/J14</f>
        <v>#DIV/0!</v>
      </c>
      <c r="K2" s="28"/>
      <c r="L2" s="1" t="s">
        <v>19</v>
      </c>
      <c r="P2" s="1">
        <f>(P14-H14)/H14</f>
        <v>-0.19720953714793493</v>
      </c>
      <c r="R2" s="1">
        <f>(R14-J14)/J14</f>
        <v>-0.13890008833900214</v>
      </c>
      <c r="T2" s="1" t="s">
        <v>20</v>
      </c>
      <c r="X2" s="1">
        <f>(X14-P14)/P14</f>
        <v>20.663700373890439</v>
      </c>
      <c r="Z2" s="1">
        <f>(Z14-R14)/R14</f>
        <v>0.55002128745611467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193</v>
      </c>
      <c r="D4" s="23">
        <v>668522.82547681802</v>
      </c>
      <c r="E4" s="33">
        <v>119.57696020799629</v>
      </c>
      <c r="F4" s="5">
        <v>10</v>
      </c>
      <c r="G4" s="23">
        <v>95</v>
      </c>
      <c r="H4" s="33">
        <v>37.873781859444847</v>
      </c>
      <c r="I4" s="23">
        <v>36.435721071372491</v>
      </c>
      <c r="J4" s="5">
        <v>4435.9357009478617</v>
      </c>
      <c r="K4" s="31"/>
      <c r="L4" s="23">
        <v>852694.11891495122</v>
      </c>
      <c r="M4" s="33">
        <v>152.51796629200001</v>
      </c>
      <c r="N4" s="5">
        <v>17</v>
      </c>
      <c r="O4" s="5">
        <v>90</v>
      </c>
      <c r="P4" s="33">
        <v>65.207100897513115</v>
      </c>
      <c r="Q4" s="5">
        <v>19.319208582152672</v>
      </c>
      <c r="R4" s="5">
        <v>4011.6975955794651</v>
      </c>
      <c r="S4" s="35"/>
      <c r="T4" s="23">
        <v>865439.94715525792</v>
      </c>
      <c r="U4" s="33">
        <v>35.67538762500044</v>
      </c>
      <c r="V4" s="5">
        <v>12</v>
      </c>
      <c r="W4" s="5">
        <v>95</v>
      </c>
      <c r="X4" s="33">
        <v>724.03558210791869</v>
      </c>
      <c r="Y4" s="5">
        <v>56.252517950773068</v>
      </c>
      <c r="Z4" s="5">
        <v>6171.3334289877139</v>
      </c>
      <c r="AA4" s="35"/>
    </row>
    <row r="5" spans="2:27" x14ac:dyDescent="0.2">
      <c r="B5" s="4">
        <v>2</v>
      </c>
      <c r="C5" s="4">
        <v>218</v>
      </c>
      <c r="D5" s="23">
        <v>704093.32157643535</v>
      </c>
      <c r="E5" s="33">
        <v>106.6495354169965</v>
      </c>
      <c r="F5" s="5">
        <v>9</v>
      </c>
      <c r="G5" s="23">
        <v>95</v>
      </c>
      <c r="H5" s="33">
        <v>110.2491868227408</v>
      </c>
      <c r="I5" s="23">
        <v>39.262047933461425</v>
      </c>
      <c r="J5" s="5">
        <v>4915.9939692675316</v>
      </c>
      <c r="K5" s="31"/>
      <c r="L5" s="23">
        <v>849563.46326480329</v>
      </c>
      <c r="M5" s="33">
        <v>211.4400727080006</v>
      </c>
      <c r="N5" s="5">
        <v>15</v>
      </c>
      <c r="O5" s="5">
        <v>87</v>
      </c>
      <c r="P5" s="33">
        <v>20.780843871021329</v>
      </c>
      <c r="Q5" s="5">
        <v>21.163924824620093</v>
      </c>
      <c r="R5" s="5">
        <v>3907.3827871775902</v>
      </c>
      <c r="S5" s="35"/>
      <c r="T5" s="23">
        <v>871491.4586546442</v>
      </c>
      <c r="U5" s="33">
        <v>123.8056886659997</v>
      </c>
      <c r="V5" s="5">
        <v>13</v>
      </c>
      <c r="W5" s="5">
        <v>94</v>
      </c>
      <c r="X5" s="33">
        <v>647.89319996217932</v>
      </c>
      <c r="Y5" s="5">
        <v>46.70114622466339</v>
      </c>
      <c r="Z5" s="5">
        <v>5808.7070897568128</v>
      </c>
      <c r="AA5" s="35"/>
    </row>
    <row r="6" spans="2:27" x14ac:dyDescent="0.2">
      <c r="B6" s="4">
        <v>3</v>
      </c>
      <c r="C6" s="4">
        <v>312</v>
      </c>
      <c r="D6" s="23">
        <v>668274.36063704395</v>
      </c>
      <c r="E6" s="33">
        <v>100.9504830000005</v>
      </c>
      <c r="F6" s="5">
        <v>10</v>
      </c>
      <c r="G6" s="23">
        <v>95</v>
      </c>
      <c r="H6" s="33">
        <v>36.580532297596697</v>
      </c>
      <c r="I6" s="23">
        <v>36.302124691699809</v>
      </c>
      <c r="J6" s="5">
        <v>4438.9951659391591</v>
      </c>
      <c r="K6" s="31"/>
      <c r="L6" s="23">
        <v>868564.16163047636</v>
      </c>
      <c r="M6" s="33">
        <v>86.817878166999435</v>
      </c>
      <c r="N6" s="5">
        <v>17</v>
      </c>
      <c r="O6" s="5">
        <v>89</v>
      </c>
      <c r="P6" s="33">
        <v>54.010268850184708</v>
      </c>
      <c r="Q6" s="5">
        <v>18.942025097985237</v>
      </c>
      <c r="R6" s="5">
        <v>4013.8981144924201</v>
      </c>
      <c r="S6" s="35"/>
      <c r="T6" s="23">
        <v>883862.90507911006</v>
      </c>
      <c r="U6" s="33">
        <v>96.912800291000167</v>
      </c>
      <c r="V6" s="5">
        <v>13</v>
      </c>
      <c r="W6" s="5">
        <v>95</v>
      </c>
      <c r="X6" s="33">
        <v>654.60453345809958</v>
      </c>
      <c r="Y6" s="5">
        <v>49.362049417289526</v>
      </c>
      <c r="Z6" s="5">
        <v>6108.2415471730837</v>
      </c>
      <c r="AA6" s="35"/>
    </row>
    <row r="7" spans="2:27" x14ac:dyDescent="0.2">
      <c r="B7" s="4">
        <v>4</v>
      </c>
      <c r="C7" s="4">
        <v>444</v>
      </c>
      <c r="D7" s="23">
        <v>704029.03674464487</v>
      </c>
      <c r="E7" s="33">
        <v>45.579572958005883</v>
      </c>
      <c r="F7" s="5">
        <v>9</v>
      </c>
      <c r="G7" s="23">
        <v>95</v>
      </c>
      <c r="H7" s="33">
        <v>130.66676280959666</v>
      </c>
      <c r="I7" s="23">
        <v>40.709847551752908</v>
      </c>
      <c r="J7" s="5">
        <v>4927.6447207496576</v>
      </c>
      <c r="K7" s="31"/>
      <c r="L7" s="23">
        <v>853218.62251346663</v>
      </c>
      <c r="M7" s="33">
        <v>103.58425137500031</v>
      </c>
      <c r="N7" s="5">
        <v>15</v>
      </c>
      <c r="O7" s="5">
        <v>87</v>
      </c>
      <c r="P7" s="33">
        <v>25.952520858155282</v>
      </c>
      <c r="Q7" s="5">
        <v>20.878289463945553</v>
      </c>
      <c r="R7" s="5">
        <v>3942.3685808135874</v>
      </c>
      <c r="S7" s="35"/>
      <c r="T7" s="23">
        <v>859501.24851435702</v>
      </c>
      <c r="U7" s="33">
        <v>39.860349749998932</v>
      </c>
      <c r="V7" s="5">
        <v>12</v>
      </c>
      <c r="W7" s="5">
        <v>94</v>
      </c>
      <c r="X7" s="33">
        <v>660.4707825876194</v>
      </c>
      <c r="Y7" s="5">
        <v>52.53935315426353</v>
      </c>
      <c r="Z7" s="5">
        <v>5954.2631821697605</v>
      </c>
      <c r="AA7" s="35"/>
    </row>
    <row r="8" spans="2:27" x14ac:dyDescent="0.2">
      <c r="B8" s="4">
        <v>5</v>
      </c>
      <c r="C8" s="4">
        <v>484</v>
      </c>
      <c r="D8" s="23">
        <v>670117.21988591505</v>
      </c>
      <c r="E8" s="33">
        <v>51.688483083002211</v>
      </c>
      <c r="F8" s="5">
        <v>10</v>
      </c>
      <c r="G8" s="23">
        <v>95</v>
      </c>
      <c r="H8" s="33">
        <v>45.964517342871694</v>
      </c>
      <c r="I8" s="23">
        <v>36.598973037313655</v>
      </c>
      <c r="J8" s="5">
        <v>4460.8180647514801</v>
      </c>
      <c r="K8" s="31"/>
      <c r="L8" s="23">
        <v>873805.24340748473</v>
      </c>
      <c r="M8" s="33">
        <v>118.2148417909993</v>
      </c>
      <c r="N8" s="5">
        <v>15</v>
      </c>
      <c r="O8" s="5">
        <v>87</v>
      </c>
      <c r="P8" s="33">
        <v>30.004578860525118</v>
      </c>
      <c r="Q8" s="5">
        <v>20.985176717484194</v>
      </c>
      <c r="R8" s="5">
        <v>4149.9889170015567</v>
      </c>
      <c r="S8" s="35"/>
      <c r="T8" s="23">
        <v>884524.29449102934</v>
      </c>
      <c r="U8" s="33">
        <v>112.9021552089998</v>
      </c>
      <c r="V8" s="5">
        <v>13</v>
      </c>
      <c r="W8" s="5">
        <v>95</v>
      </c>
      <c r="X8" s="33">
        <v>774.17046923731959</v>
      </c>
      <c r="Y8" s="5">
        <v>49.309660850574723</v>
      </c>
      <c r="Z8" s="5">
        <v>6013.4399017524647</v>
      </c>
      <c r="AA8" s="35"/>
    </row>
    <row r="9" spans="2:27" x14ac:dyDescent="0.2">
      <c r="B9" s="4">
        <v>6</v>
      </c>
      <c r="C9" s="4">
        <v>528</v>
      </c>
      <c r="D9" s="23">
        <v>723521.68484604766</v>
      </c>
      <c r="E9" s="33">
        <v>34.15709825000522</v>
      </c>
      <c r="F9" s="5">
        <v>10</v>
      </c>
      <c r="G9" s="23">
        <v>95</v>
      </c>
      <c r="H9" s="33">
        <v>223.83598340212393</v>
      </c>
      <c r="I9" s="23">
        <v>36.945278001521658</v>
      </c>
      <c r="J9" s="5">
        <v>4876.1391192506308</v>
      </c>
      <c r="K9" s="31"/>
      <c r="L9" s="23">
        <v>882488.34335133096</v>
      </c>
      <c r="M9" s="33">
        <v>71.93910812500053</v>
      </c>
      <c r="N9" s="5">
        <v>17</v>
      </c>
      <c r="O9" s="5">
        <v>89</v>
      </c>
      <c r="P9" s="33">
        <v>84.328251244246061</v>
      </c>
      <c r="Q9" s="5">
        <v>18.830286369746403</v>
      </c>
      <c r="R9" s="5">
        <v>4131.8694871392136</v>
      </c>
      <c r="S9" s="35"/>
      <c r="T9" s="23">
        <v>873996.52274941478</v>
      </c>
      <c r="U9" s="33">
        <v>87.594575250001071</v>
      </c>
      <c r="V9" s="5">
        <v>13</v>
      </c>
      <c r="W9" s="5">
        <v>94</v>
      </c>
      <c r="X9" s="33">
        <v>691.20947811640644</v>
      </c>
      <c r="Y9" s="5">
        <v>50.149638053188511</v>
      </c>
      <c r="Z9" s="5">
        <v>5892.3927578508337</v>
      </c>
      <c r="AA9" s="35"/>
    </row>
    <row r="10" spans="2:27" x14ac:dyDescent="0.2">
      <c r="B10" s="4">
        <v>7</v>
      </c>
      <c r="C10" s="4">
        <v>703</v>
      </c>
      <c r="D10" s="23">
        <v>722448.46139737987</v>
      </c>
      <c r="E10" s="33">
        <v>36.304941166999917</v>
      </c>
      <c r="F10" s="5">
        <v>10</v>
      </c>
      <c r="G10" s="23">
        <v>95</v>
      </c>
      <c r="H10" s="33">
        <v>135.62305130695324</v>
      </c>
      <c r="I10" s="23">
        <v>37.351607464897576</v>
      </c>
      <c r="J10" s="5">
        <v>4948.8519996639689</v>
      </c>
      <c r="K10" s="31"/>
      <c r="L10" s="23">
        <v>854370.49855144229</v>
      </c>
      <c r="M10" s="33">
        <v>277.34071904100068</v>
      </c>
      <c r="N10" s="5">
        <v>15</v>
      </c>
      <c r="O10" s="5">
        <v>87</v>
      </c>
      <c r="P10" s="33">
        <v>31.235048397993587</v>
      </c>
      <c r="Q10" s="5">
        <v>21.402366466219892</v>
      </c>
      <c r="R10" s="5">
        <v>3949.1288059111585</v>
      </c>
      <c r="S10" s="35"/>
      <c r="T10" s="23">
        <v>892873.23496656772</v>
      </c>
      <c r="U10" s="33">
        <v>75.826794167000116</v>
      </c>
      <c r="V10" s="5">
        <v>13</v>
      </c>
      <c r="W10" s="5">
        <v>94</v>
      </c>
      <c r="X10" s="33">
        <v>683.12197574560207</v>
      </c>
      <c r="Y10" s="5">
        <v>46.388117938481678</v>
      </c>
      <c r="Z10" s="5">
        <v>5952.8449654875412</v>
      </c>
      <c r="AA10" s="35"/>
    </row>
    <row r="11" spans="2:27" x14ac:dyDescent="0.2">
      <c r="B11" s="4">
        <v>8</v>
      </c>
      <c r="C11" s="4">
        <v>766</v>
      </c>
      <c r="D11" s="23">
        <v>674248.29762992298</v>
      </c>
      <c r="E11" s="33">
        <v>91.698295000001963</v>
      </c>
      <c r="F11" s="5">
        <v>9</v>
      </c>
      <c r="G11" s="23">
        <v>95</v>
      </c>
      <c r="H11" s="33">
        <v>93.793961475633765</v>
      </c>
      <c r="I11" s="23">
        <v>38.634914544025008</v>
      </c>
      <c r="J11" s="5">
        <v>4631.2893206142999</v>
      </c>
      <c r="K11" s="31"/>
      <c r="L11" s="23">
        <v>861609.94413350243</v>
      </c>
      <c r="M11" s="33">
        <v>111.6150022909997</v>
      </c>
      <c r="N11" s="5">
        <v>17</v>
      </c>
      <c r="O11" s="5">
        <v>89</v>
      </c>
      <c r="P11" s="33">
        <v>79.863020373426707</v>
      </c>
      <c r="Q11" s="5">
        <v>19.379230926297176</v>
      </c>
      <c r="R11" s="5">
        <v>3946.3060907453805</v>
      </c>
      <c r="S11" s="35"/>
      <c r="T11" s="23">
        <v>841402.95357212925</v>
      </c>
      <c r="U11" s="33">
        <v>79.144456583000647</v>
      </c>
      <c r="V11" s="5">
        <v>12</v>
      </c>
      <c r="W11" s="5">
        <v>95</v>
      </c>
      <c r="X11" s="33">
        <v>636.18711020476155</v>
      </c>
      <c r="Y11" s="5">
        <v>55.031412662872633</v>
      </c>
      <c r="Z11" s="5">
        <v>5924.8298047061762</v>
      </c>
      <c r="AA11" s="35"/>
    </row>
    <row r="12" spans="2:27" x14ac:dyDescent="0.2">
      <c r="B12" s="4">
        <v>9</v>
      </c>
      <c r="C12" s="4">
        <v>905</v>
      </c>
      <c r="D12" s="23">
        <v>674374.53826768766</v>
      </c>
      <c r="E12" s="33">
        <v>67.926087625004584</v>
      </c>
      <c r="F12" s="5">
        <v>9</v>
      </c>
      <c r="G12" s="23">
        <v>95</v>
      </c>
      <c r="H12" s="33">
        <v>86.947866389293011</v>
      </c>
      <c r="I12" s="23">
        <v>38.645984565713462</v>
      </c>
      <c r="J12" s="5">
        <v>4642.1561408218186</v>
      </c>
      <c r="K12" s="31"/>
      <c r="L12" s="23">
        <v>843781.47496652137</v>
      </c>
      <c r="M12" s="33">
        <v>241.78255337500011</v>
      </c>
      <c r="N12" s="5">
        <v>15</v>
      </c>
      <c r="O12" s="5">
        <v>87</v>
      </c>
      <c r="P12" s="33">
        <v>29.366502454562568</v>
      </c>
      <c r="Q12" s="5">
        <v>20.662831941801567</v>
      </c>
      <c r="R12" s="5">
        <v>3822.4183452538064</v>
      </c>
      <c r="S12" s="35"/>
      <c r="T12" s="23">
        <v>879399.39442376839</v>
      </c>
      <c r="U12" s="33">
        <v>62.712276042000667</v>
      </c>
      <c r="V12" s="5">
        <v>13</v>
      </c>
      <c r="W12" s="5">
        <v>95</v>
      </c>
      <c r="X12" s="33">
        <v>698.92378804560565</v>
      </c>
      <c r="Y12" s="5">
        <v>49.66210778107795</v>
      </c>
      <c r="Z12" s="5">
        <v>6072.6261177893484</v>
      </c>
      <c r="AA12" s="35"/>
    </row>
    <row r="13" spans="2:27" x14ac:dyDescent="0.2">
      <c r="B13" s="4">
        <v>10</v>
      </c>
      <c r="C13" s="4">
        <v>947</v>
      </c>
      <c r="D13" s="23">
        <v>670375.00668025354</v>
      </c>
      <c r="E13" s="33">
        <v>32.068182208997307</v>
      </c>
      <c r="F13" s="5">
        <v>10</v>
      </c>
      <c r="G13" s="23">
        <v>95</v>
      </c>
      <c r="H13" s="33">
        <v>41.552327210124908</v>
      </c>
      <c r="I13" s="23">
        <v>35.928367423656795</v>
      </c>
      <c r="J13" s="5">
        <v>4439.6550204867917</v>
      </c>
      <c r="K13" s="31"/>
      <c r="L13" s="23">
        <v>858904.6640820324</v>
      </c>
      <c r="M13" s="33">
        <v>210.9761458749999</v>
      </c>
      <c r="N13" s="5">
        <v>16</v>
      </c>
      <c r="O13" s="5">
        <v>89</v>
      </c>
      <c r="P13" s="33">
        <v>75.115612798346589</v>
      </c>
      <c r="Q13" s="5">
        <v>19.445889146119693</v>
      </c>
      <c r="R13" s="5">
        <v>4109.1867822919721</v>
      </c>
      <c r="S13" s="35"/>
      <c r="T13" s="23">
        <v>867499.70445810293</v>
      </c>
      <c r="U13" s="33">
        <v>47.850337916001081</v>
      </c>
      <c r="V13" s="5">
        <v>12</v>
      </c>
      <c r="W13" s="5">
        <v>94</v>
      </c>
      <c r="X13" s="33">
        <v>694.40590687621716</v>
      </c>
      <c r="Y13" s="5">
        <v>53.315211543045926</v>
      </c>
      <c r="Z13" s="5">
        <v>6021.9885184954301</v>
      </c>
      <c r="AA13" s="35"/>
    </row>
    <row r="14" spans="2:27" x14ac:dyDescent="0.2">
      <c r="B14" s="47" t="s">
        <v>3</v>
      </c>
      <c r="C14" s="48"/>
      <c r="D14" s="9">
        <f>MIN(D4:D13)</f>
        <v>668274.36063704395</v>
      </c>
      <c r="E14" s="22">
        <f>INDEX(E4:E13, MATCH($D$14, D4:D13, 0))</f>
        <v>100.9504830000005</v>
      </c>
      <c r="F14" s="9">
        <f>INDEX(F4:F13, MATCH($D$14, D4:D13, 0))</f>
        <v>10</v>
      </c>
      <c r="G14" s="9">
        <f>INDEX(G4:G13, MATCH($D$14, D4:D13, 0))</f>
        <v>95</v>
      </c>
      <c r="H14" s="22">
        <f>INDEX(H4:H13, MATCH($D$14, D4:D13, 0))</f>
        <v>36.580532297596697</v>
      </c>
      <c r="I14" s="22">
        <f>INDEX(I4:I13, MATCH($D$14, D4:D13, 0))</f>
        <v>36.302124691699809</v>
      </c>
      <c r="J14" s="22">
        <f>INDEX(J4:J13, MATCH($D$14, D4:D13, 0))</f>
        <v>4438.9951659391591</v>
      </c>
      <c r="K14" s="32" t="e">
        <f>(D14-$D$15)/$D$15</f>
        <v>#DIV/0!</v>
      </c>
      <c r="L14" s="16">
        <f>MIN(L4:L13)</f>
        <v>843781.47496652137</v>
      </c>
      <c r="M14" s="21">
        <f>INDEX(M4:M13, MATCH($L$14, L4:L13, 0))</f>
        <v>241.78255337500011</v>
      </c>
      <c r="N14" s="16">
        <f>INDEX(N4:N13, MATCH($L$14, L4:L13, 0))</f>
        <v>15</v>
      </c>
      <c r="O14" s="16">
        <f>INDEX(O4:O13, MATCH($L$14, L4:L13, 0))</f>
        <v>87</v>
      </c>
      <c r="P14" s="21">
        <f>INDEX(P4:P13, MATCH($L$14, L4:L13, 0))</f>
        <v>29.366502454562568</v>
      </c>
      <c r="Q14" s="21">
        <f>INDEX(Q4:Q13, MATCH($L$14, L4:L13, 0))</f>
        <v>20.662831941801567</v>
      </c>
      <c r="R14" s="21">
        <f>INDEX(R4:R13, MATCH($L$14, L4:L13, 0))</f>
        <v>3822.4183452538064</v>
      </c>
      <c r="S14" s="36" t="e">
        <f>(L14-$D$15)/$D$15</f>
        <v>#DIV/0!</v>
      </c>
      <c r="T14" s="38">
        <f>MIN(T4:T13)</f>
        <v>841402.95357212925</v>
      </c>
      <c r="U14" s="39">
        <f>INDEX(U4:U13, MATCH($T$14, T4:T13, 0))</f>
        <v>79.144456583000647</v>
      </c>
      <c r="V14" s="38">
        <f>INDEX(V4:V13, MATCH($T$14, T4:T13, 0))</f>
        <v>12</v>
      </c>
      <c r="W14" s="38">
        <f>INDEX(W4:W13, MATCH($T$14, T4:T13, 0))</f>
        <v>95</v>
      </c>
      <c r="X14" s="39">
        <f>INDEX(X4:X13, MATCH($T$14, T4:T13, 0))</f>
        <v>636.18711020476155</v>
      </c>
      <c r="Y14" s="39">
        <f>INDEX(Y4:Y13, MATCH($T$14, T4:T13, 0))</f>
        <v>55.031412662872633</v>
      </c>
      <c r="Z14" s="39">
        <f>INDEX(Z4:Z13, MATCH($T$14, T4:T13, 0))</f>
        <v>5924.8298047061762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0.2626273349200054</v>
      </c>
      <c r="M15" s="46">
        <f t="shared" ref="M15:R15" si="0">(M14-E14)/E14</f>
        <v>1.3950608871777157</v>
      </c>
      <c r="N15" s="46">
        <f t="shared" si="0"/>
        <v>0.5</v>
      </c>
      <c r="O15" s="46">
        <f t="shared" si="0"/>
        <v>-8.4210526315789472E-2</v>
      </c>
      <c r="P15" s="46">
        <f t="shared" si="0"/>
        <v>-0.19720953714793493</v>
      </c>
      <c r="Q15" s="46">
        <f t="shared" si="0"/>
        <v>-0.43080929512299432</v>
      </c>
      <c r="R15" s="46">
        <f t="shared" si="0"/>
        <v>-0.13890008833900214</v>
      </c>
      <c r="T15" s="46">
        <f>(T14-D14)/D14</f>
        <v>0.25906813598242423</v>
      </c>
      <c r="U15" s="46">
        <f t="shared" ref="U15:Z15" si="1">(U14-E14)/E14</f>
        <v>-0.21600715290287167</v>
      </c>
      <c r="V15" s="46">
        <f t="shared" si="1"/>
        <v>0.2</v>
      </c>
      <c r="W15" s="46">
        <f t="shared" si="1"/>
        <v>0</v>
      </c>
      <c r="X15" s="46">
        <f t="shared" si="1"/>
        <v>16.391412050243957</v>
      </c>
      <c r="Y15" s="46">
        <f t="shared" si="1"/>
        <v>0.51592814828976452</v>
      </c>
      <c r="Z15" s="46">
        <f t="shared" si="1"/>
        <v>0.33472319370112646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17:C28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701F-EB74-EB42-B3CE-68157CF49B17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39.675432517444193</v>
      </c>
      <c r="J2" s="28" t="e">
        <f>(S14-J14)/J14</f>
        <v>#DIV/0!</v>
      </c>
      <c r="K2" s="28"/>
      <c r="L2" s="1" t="s">
        <v>19</v>
      </c>
      <c r="P2" s="1">
        <f>(P14-H14)/H14</f>
        <v>76.253618351737657</v>
      </c>
      <c r="R2" s="1">
        <f>(R14-J14)/J14</f>
        <v>-8.708026041973338E-2</v>
      </c>
      <c r="T2" s="1" t="s">
        <v>20</v>
      </c>
      <c r="X2" s="1">
        <f>(X14-P14)/P14</f>
        <v>7.9348771408241632</v>
      </c>
      <c r="Z2" s="1">
        <f>(Z14-R14)/R14</f>
        <v>0.47063027296309401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533754.73501798476</v>
      </c>
      <c r="E4" s="33">
        <v>36.449106749998457</v>
      </c>
      <c r="F4" s="5">
        <v>10</v>
      </c>
      <c r="G4" s="23">
        <v>100</v>
      </c>
      <c r="H4" s="33">
        <v>6.3687174374681854</v>
      </c>
      <c r="I4" s="23">
        <v>37.065515047218561</v>
      </c>
      <c r="J4" s="5">
        <v>3944.5597052311668</v>
      </c>
      <c r="K4" s="31"/>
      <c r="L4" s="23">
        <v>810404.06150361942</v>
      </c>
      <c r="M4" s="33">
        <v>149.40393829199999</v>
      </c>
      <c r="N4" s="5">
        <v>21</v>
      </c>
      <c r="O4" s="5">
        <v>96</v>
      </c>
      <c r="P4" s="33">
        <v>55.351015409010834</v>
      </c>
      <c r="Q4" s="5">
        <v>16.700678379101099</v>
      </c>
      <c r="R4" s="5">
        <v>3807.8622338838577</v>
      </c>
      <c r="S4" s="35"/>
      <c r="T4" s="23">
        <v>701785.25810174621</v>
      </c>
      <c r="U4" s="33">
        <v>139.3328935829995</v>
      </c>
      <c r="V4" s="5">
        <v>11</v>
      </c>
      <c r="W4" s="5">
        <v>98</v>
      </c>
      <c r="X4" s="33">
        <v>263.68939365279834</v>
      </c>
      <c r="Y4" s="5">
        <v>59.100670334545434</v>
      </c>
      <c r="Z4" s="5">
        <v>5473.8628884010604</v>
      </c>
      <c r="AA4" s="35"/>
    </row>
    <row r="5" spans="2:27" x14ac:dyDescent="0.2">
      <c r="B5" s="4">
        <v>2</v>
      </c>
      <c r="C5" s="4">
        <v>120</v>
      </c>
      <c r="D5" s="23">
        <v>547040.32672450365</v>
      </c>
      <c r="E5" s="33">
        <v>45.00428545899922</v>
      </c>
      <c r="F5" s="5">
        <v>9</v>
      </c>
      <c r="G5" s="23">
        <v>100</v>
      </c>
      <c r="H5" s="33">
        <v>10.62798124558063</v>
      </c>
      <c r="I5" s="23">
        <v>41.046791488622326</v>
      </c>
      <c r="J5" s="5">
        <v>4281.8214145629017</v>
      </c>
      <c r="K5" s="31"/>
      <c r="L5" s="23">
        <v>811961.01704662212</v>
      </c>
      <c r="M5" s="33">
        <v>147.68182354199959</v>
      </c>
      <c r="N5" s="5">
        <v>21</v>
      </c>
      <c r="O5" s="5">
        <v>95</v>
      </c>
      <c r="P5" s="33">
        <v>36.102944973226585</v>
      </c>
      <c r="Q5" s="5">
        <v>16.235531152427214</v>
      </c>
      <c r="R5" s="5">
        <v>3681.9024342171806</v>
      </c>
      <c r="S5" s="35"/>
      <c r="T5" s="23">
        <v>722756.94972427411</v>
      </c>
      <c r="U5" s="33">
        <v>37.500229166998913</v>
      </c>
      <c r="V5" s="5">
        <v>11</v>
      </c>
      <c r="W5" s="5">
        <v>97</v>
      </c>
      <c r="X5" s="33">
        <v>351.35336128083082</v>
      </c>
      <c r="Y5" s="5">
        <v>56.166467920820949</v>
      </c>
      <c r="Z5" s="5">
        <v>5429.5894232845922</v>
      </c>
      <c r="AA5" s="35"/>
    </row>
    <row r="6" spans="2:27" x14ac:dyDescent="0.2">
      <c r="B6" s="4">
        <v>3</v>
      </c>
      <c r="C6" s="4">
        <v>314</v>
      </c>
      <c r="D6" s="23">
        <v>548673.53527621424</v>
      </c>
      <c r="E6" s="33">
        <v>48.024880874996597</v>
      </c>
      <c r="F6" s="5">
        <v>9</v>
      </c>
      <c r="G6" s="23">
        <v>100</v>
      </c>
      <c r="H6" s="33">
        <v>12.550395519870269</v>
      </c>
      <c r="I6" s="23">
        <v>40.717542403366679</v>
      </c>
      <c r="J6" s="5">
        <v>4287.792529620503</v>
      </c>
      <c r="K6" s="31"/>
      <c r="L6" s="23">
        <v>802188.32989451056</v>
      </c>
      <c r="M6" s="33">
        <v>128.17883683299991</v>
      </c>
      <c r="N6" s="5">
        <v>20</v>
      </c>
      <c r="O6" s="5">
        <v>94</v>
      </c>
      <c r="P6" s="33">
        <v>21.758774378447914</v>
      </c>
      <c r="Q6" s="5">
        <v>16.7054709699147</v>
      </c>
      <c r="R6" s="5">
        <v>3615.2691189972152</v>
      </c>
      <c r="S6" s="35"/>
      <c r="T6" s="23">
        <v>696648.7466505866</v>
      </c>
      <c r="U6" s="33">
        <v>107.8533590829993</v>
      </c>
      <c r="V6" s="5">
        <v>11</v>
      </c>
      <c r="W6" s="5">
        <v>98</v>
      </c>
      <c r="X6" s="33">
        <v>326.56926621203502</v>
      </c>
      <c r="Y6" s="5">
        <v>58.724290635428702</v>
      </c>
      <c r="Z6" s="5">
        <v>5374.0451031043531</v>
      </c>
      <c r="AA6" s="35"/>
    </row>
    <row r="7" spans="2:27" x14ac:dyDescent="0.2">
      <c r="B7" s="4">
        <v>4</v>
      </c>
      <c r="C7" s="4">
        <v>330</v>
      </c>
      <c r="D7" s="23">
        <v>539761.68403373857</v>
      </c>
      <c r="E7" s="33">
        <v>25.21358620899991</v>
      </c>
      <c r="F7" s="5">
        <v>10</v>
      </c>
      <c r="G7" s="23">
        <v>100</v>
      </c>
      <c r="H7" s="33">
        <v>0.37215151704202071</v>
      </c>
      <c r="I7" s="23">
        <v>36.929913071658618</v>
      </c>
      <c r="J7" s="5">
        <v>4001.0266627600054</v>
      </c>
      <c r="K7" s="31"/>
      <c r="L7" s="23">
        <v>824627.25131280429</v>
      </c>
      <c r="M7" s="33">
        <v>98.470919917000174</v>
      </c>
      <c r="N7" s="5">
        <v>20</v>
      </c>
      <c r="O7" s="5">
        <v>94</v>
      </c>
      <c r="P7" s="33">
        <v>86.40492930105917</v>
      </c>
      <c r="Q7" s="5">
        <v>17.070772233772509</v>
      </c>
      <c r="R7" s="5">
        <v>3807.6639759032537</v>
      </c>
      <c r="S7" s="35"/>
      <c r="T7" s="23">
        <v>697199.86467666202</v>
      </c>
      <c r="U7" s="33">
        <v>81.074940583999705</v>
      </c>
      <c r="V7" s="5">
        <v>11</v>
      </c>
      <c r="W7" s="5">
        <v>98</v>
      </c>
      <c r="X7" s="33">
        <v>325.57852702501452</v>
      </c>
      <c r="Y7" s="5">
        <v>57.903920709320566</v>
      </c>
      <c r="Z7" s="5">
        <v>5389.149151822563</v>
      </c>
      <c r="AA7" s="35"/>
    </row>
    <row r="8" spans="2:27" x14ac:dyDescent="0.2">
      <c r="B8" s="4">
        <v>5</v>
      </c>
      <c r="C8" s="4">
        <v>526</v>
      </c>
      <c r="D8" s="23">
        <v>591351.76990232675</v>
      </c>
      <c r="E8" s="33">
        <v>57.544209624997173</v>
      </c>
      <c r="F8" s="5">
        <v>9</v>
      </c>
      <c r="G8" s="23">
        <v>100</v>
      </c>
      <c r="H8" s="33">
        <v>71.841858847457871</v>
      </c>
      <c r="I8" s="23">
        <v>39.586797346986629</v>
      </c>
      <c r="J8" s="5">
        <v>4625.0137002049814</v>
      </c>
      <c r="K8" s="31"/>
      <c r="L8" s="23">
        <v>806401.25020099292</v>
      </c>
      <c r="M8" s="33">
        <v>252.3050302089996</v>
      </c>
      <c r="N8" s="5">
        <v>22</v>
      </c>
      <c r="O8" s="5">
        <v>97</v>
      </c>
      <c r="P8" s="33">
        <v>58.771652089554081</v>
      </c>
      <c r="Q8" s="5">
        <v>15.929043159743639</v>
      </c>
      <c r="R8" s="5">
        <v>3721.9867498481881</v>
      </c>
      <c r="S8" s="35"/>
      <c r="T8" s="23">
        <v>721406.15559691912</v>
      </c>
      <c r="U8" s="33">
        <v>49.659898167001302</v>
      </c>
      <c r="V8" s="5">
        <v>12</v>
      </c>
      <c r="W8" s="5">
        <v>100</v>
      </c>
      <c r="X8" s="33">
        <v>492.22851138640516</v>
      </c>
      <c r="Y8" s="5">
        <v>56.21415825099097</v>
      </c>
      <c r="Z8" s="5">
        <v>5658.0308121563939</v>
      </c>
      <c r="AA8" s="35"/>
    </row>
    <row r="9" spans="2:27" x14ac:dyDescent="0.2">
      <c r="B9" s="4">
        <v>6</v>
      </c>
      <c r="C9" s="4">
        <v>603</v>
      </c>
      <c r="D9" s="23">
        <v>533750.15232311364</v>
      </c>
      <c r="E9" s="33">
        <v>38.851455250005529</v>
      </c>
      <c r="F9" s="5">
        <v>10</v>
      </c>
      <c r="G9" s="23">
        <v>100</v>
      </c>
      <c r="H9" s="33">
        <v>0.42838649651186644</v>
      </c>
      <c r="I9" s="23">
        <v>37.205274232923365</v>
      </c>
      <c r="J9" s="5">
        <v>3951.9448819987606</v>
      </c>
      <c r="K9" s="31"/>
      <c r="L9" s="23">
        <v>834601.04027460923</v>
      </c>
      <c r="M9" s="33">
        <v>154.96108550000011</v>
      </c>
      <c r="N9" s="5">
        <v>21</v>
      </c>
      <c r="O9" s="5">
        <v>94</v>
      </c>
      <c r="P9" s="33">
        <v>54.878776320361872</v>
      </c>
      <c r="Q9" s="5">
        <v>15.805530666592558</v>
      </c>
      <c r="R9" s="5">
        <v>3713.5360126880828</v>
      </c>
      <c r="S9" s="35"/>
      <c r="T9" s="23">
        <v>690947.73221581464</v>
      </c>
      <c r="U9" s="33">
        <v>51.733608500000628</v>
      </c>
      <c r="V9" s="5">
        <v>12</v>
      </c>
      <c r="W9" s="5">
        <v>99</v>
      </c>
      <c r="X9" s="33">
        <v>301.00223180358978</v>
      </c>
      <c r="Y9" s="5">
        <v>54.861079276483622</v>
      </c>
      <c r="Z9" s="5">
        <v>5313.6428896577645</v>
      </c>
      <c r="AA9" s="35"/>
    </row>
    <row r="10" spans="2:27" x14ac:dyDescent="0.2">
      <c r="B10" s="4">
        <v>7</v>
      </c>
      <c r="C10" s="4">
        <v>677</v>
      </c>
      <c r="D10" s="23">
        <v>545655.4048286702</v>
      </c>
      <c r="E10" s="33">
        <v>25.239846999997098</v>
      </c>
      <c r="F10" s="5">
        <v>9</v>
      </c>
      <c r="G10" s="23">
        <v>100</v>
      </c>
      <c r="H10" s="33">
        <v>17.380010715987993</v>
      </c>
      <c r="I10" s="23">
        <v>40.986829467757047</v>
      </c>
      <c r="J10" s="5">
        <v>4261.3984581189798</v>
      </c>
      <c r="K10" s="31"/>
      <c r="L10" s="23">
        <v>803546.32596104848</v>
      </c>
      <c r="M10" s="33">
        <v>106.1792488750007</v>
      </c>
      <c r="N10" s="5">
        <v>21</v>
      </c>
      <c r="O10" s="5">
        <v>95</v>
      </c>
      <c r="P10" s="33">
        <v>3.9734879462421597</v>
      </c>
      <c r="Q10" s="5">
        <v>16.154359020346647</v>
      </c>
      <c r="R10" s="5">
        <v>3604.070643677685</v>
      </c>
      <c r="S10" s="35"/>
      <c r="T10" s="23">
        <v>747779.05159516237</v>
      </c>
      <c r="U10" s="33">
        <v>49.167841374999632</v>
      </c>
      <c r="V10" s="5">
        <v>12</v>
      </c>
      <c r="W10" s="5">
        <v>99</v>
      </c>
      <c r="X10" s="33">
        <v>491.17496451361637</v>
      </c>
      <c r="Y10" s="5">
        <v>54.075118514362053</v>
      </c>
      <c r="Z10" s="5">
        <v>5729.236321236167</v>
      </c>
      <c r="AA10" s="35"/>
    </row>
    <row r="11" spans="2:27" x14ac:dyDescent="0.2">
      <c r="B11" s="4">
        <v>8</v>
      </c>
      <c r="C11" s="4">
        <v>940</v>
      </c>
      <c r="D11" s="23">
        <v>561869.46794426453</v>
      </c>
      <c r="E11" s="33">
        <v>37.562527582995237</v>
      </c>
      <c r="F11" s="5">
        <v>9</v>
      </c>
      <c r="G11" s="23">
        <v>100</v>
      </c>
      <c r="H11" s="33">
        <v>37.852245186947528</v>
      </c>
      <c r="I11" s="23">
        <v>41.422560974852914</v>
      </c>
      <c r="J11" s="5">
        <v>4388.2066324668212</v>
      </c>
      <c r="K11" s="31"/>
      <c r="L11" s="23">
        <v>803632.5766178784</v>
      </c>
      <c r="M11" s="33">
        <v>293.77408433300019</v>
      </c>
      <c r="N11" s="5">
        <v>20</v>
      </c>
      <c r="O11" s="5">
        <v>94</v>
      </c>
      <c r="P11" s="33">
        <v>22.5253767793509</v>
      </c>
      <c r="Q11" s="5">
        <v>16.589970289606427</v>
      </c>
      <c r="R11" s="5">
        <v>3621.4913185992091</v>
      </c>
      <c r="S11" s="35"/>
      <c r="T11" s="23">
        <v>689720.41653379519</v>
      </c>
      <c r="U11" s="33">
        <v>99.994946167000307</v>
      </c>
      <c r="V11" s="5">
        <v>12</v>
      </c>
      <c r="W11" s="5">
        <v>99</v>
      </c>
      <c r="X11" s="33">
        <v>295.69445977647717</v>
      </c>
      <c r="Y11" s="5">
        <v>54.80578616995556</v>
      </c>
      <c r="Z11" s="5">
        <v>5305.7523881383677</v>
      </c>
      <c r="AA11" s="35"/>
    </row>
    <row r="12" spans="2:27" x14ac:dyDescent="0.2">
      <c r="B12" s="4">
        <v>9</v>
      </c>
      <c r="C12" s="4">
        <v>962</v>
      </c>
      <c r="D12" s="23">
        <v>545966.32967382134</v>
      </c>
      <c r="E12" s="33">
        <v>59.869104917001103</v>
      </c>
      <c r="F12" s="5">
        <v>9</v>
      </c>
      <c r="G12" s="23">
        <v>100</v>
      </c>
      <c r="H12" s="33">
        <v>11.492062186536939</v>
      </c>
      <c r="I12" s="23">
        <v>41.107412691733693</v>
      </c>
      <c r="J12" s="5">
        <v>4270.6780520949778</v>
      </c>
      <c r="K12" s="31"/>
      <c r="L12" s="23">
        <v>799448.68087388668</v>
      </c>
      <c r="M12" s="33">
        <v>77.248306125000454</v>
      </c>
      <c r="N12" s="5">
        <v>19</v>
      </c>
      <c r="O12" s="5">
        <v>93</v>
      </c>
      <c r="P12" s="33">
        <v>33.09440690856573</v>
      </c>
      <c r="Q12" s="5">
        <v>17.424806030252764</v>
      </c>
      <c r="R12" s="5">
        <v>3607.808492509876</v>
      </c>
      <c r="S12" s="35"/>
      <c r="T12" s="23">
        <v>719204.16744360246</v>
      </c>
      <c r="U12" s="33">
        <v>70.808888166000543</v>
      </c>
      <c r="V12" s="5">
        <v>12</v>
      </c>
      <c r="W12" s="5">
        <v>100</v>
      </c>
      <c r="X12" s="33">
        <v>453.89849510146274</v>
      </c>
      <c r="Y12" s="5">
        <v>56.050453746720471</v>
      </c>
      <c r="Z12" s="5">
        <v>5666.892986957756</v>
      </c>
      <c r="AA12" s="35"/>
    </row>
    <row r="13" spans="2:27" x14ac:dyDescent="0.2">
      <c r="B13" s="4">
        <v>10</v>
      </c>
      <c r="C13" s="4">
        <v>969</v>
      </c>
      <c r="D13" s="23">
        <v>561880.85975918185</v>
      </c>
      <c r="E13" s="33">
        <v>79.416588958003558</v>
      </c>
      <c r="F13" s="5">
        <v>9</v>
      </c>
      <c r="G13" s="23">
        <v>100</v>
      </c>
      <c r="H13" s="33">
        <v>37.880530274233415</v>
      </c>
      <c r="I13" s="23">
        <v>41.424213568858249</v>
      </c>
      <c r="J13" s="5">
        <v>4386.3670737621414</v>
      </c>
      <c r="K13" s="31"/>
      <c r="L13" s="23">
        <v>818089.18816136732</v>
      </c>
      <c r="M13" s="33">
        <v>123.260371542</v>
      </c>
      <c r="N13" s="5">
        <v>20</v>
      </c>
      <c r="O13" s="5">
        <v>94</v>
      </c>
      <c r="P13" s="33">
        <v>26.873791926793594</v>
      </c>
      <c r="Q13" s="5">
        <v>16.802770230941412</v>
      </c>
      <c r="R13" s="5">
        <v>3761.930859861257</v>
      </c>
      <c r="S13" s="35"/>
      <c r="T13" s="23">
        <v>716692.42642600765</v>
      </c>
      <c r="U13" s="33">
        <v>53.949347541998577</v>
      </c>
      <c r="V13" s="5">
        <v>12</v>
      </c>
      <c r="W13" s="5">
        <v>99</v>
      </c>
      <c r="X13" s="33">
        <v>398.65360473530041</v>
      </c>
      <c r="Y13" s="5">
        <v>54.71211851403794</v>
      </c>
      <c r="Z13" s="5">
        <v>5513.4154898667521</v>
      </c>
      <c r="AA13" s="35"/>
    </row>
    <row r="14" spans="2:27" x14ac:dyDescent="0.2">
      <c r="B14" s="47" t="s">
        <v>3</v>
      </c>
      <c r="C14" s="48"/>
      <c r="D14" s="9">
        <f>MIN(D4:D13)</f>
        <v>533750.15232311364</v>
      </c>
      <c r="E14" s="22">
        <f>INDEX(E4:E13, MATCH($D$14, D4:D13, 0))</f>
        <v>38.851455250005529</v>
      </c>
      <c r="F14" s="9">
        <f>INDEX(F4:F13, MATCH($D$14, D4:D13, 0))</f>
        <v>10</v>
      </c>
      <c r="G14" s="9">
        <f>INDEX(G4:G13, MATCH($D$14, D4:D13, 0))</f>
        <v>100</v>
      </c>
      <c r="H14" s="22">
        <f>INDEX(H4:H13, MATCH($D$14, D4:D13, 0))</f>
        <v>0.42838649651186644</v>
      </c>
      <c r="I14" s="22">
        <f>INDEX(I4:I13, MATCH($D$14, D4:D13, 0))</f>
        <v>37.205274232923365</v>
      </c>
      <c r="J14" s="22">
        <f>INDEX(J4:J13, MATCH($D$14, D4:D13, 0))</f>
        <v>3951.9448819987606</v>
      </c>
      <c r="K14" s="32" t="e">
        <f>(D14-$D$15)/$D$15</f>
        <v>#DIV/0!</v>
      </c>
      <c r="L14" s="16">
        <f>MIN(L4:L13)</f>
        <v>799448.68087388668</v>
      </c>
      <c r="M14" s="21">
        <f>INDEX(M4:M13, MATCH($L$14, L4:L13, 0))</f>
        <v>77.248306125000454</v>
      </c>
      <c r="N14" s="16">
        <f>INDEX(N4:N13, MATCH($L$14, L4:L13, 0))</f>
        <v>19</v>
      </c>
      <c r="O14" s="16">
        <f>INDEX(O4:O13, MATCH($L$14, L4:L13, 0))</f>
        <v>93</v>
      </c>
      <c r="P14" s="21">
        <f>INDEX(P4:P13, MATCH($L$14, L4:L13, 0))</f>
        <v>33.09440690856573</v>
      </c>
      <c r="Q14" s="21">
        <f>INDEX(Q4:Q13, MATCH($L$14, L4:L13, 0))</f>
        <v>17.424806030252764</v>
      </c>
      <c r="R14" s="21">
        <f>INDEX(R4:R13, MATCH($L$14, L4:L13, 0))</f>
        <v>3607.808492509876</v>
      </c>
      <c r="S14" s="36" t="e">
        <f>(L14-$D$15)/$D$15</f>
        <v>#DIV/0!</v>
      </c>
      <c r="T14" s="38">
        <f>MIN(T4:T13)</f>
        <v>689720.41653379519</v>
      </c>
      <c r="U14" s="39">
        <f>INDEX(U4:U13, MATCH($T$14, T4:T13, 0))</f>
        <v>99.994946167000307</v>
      </c>
      <c r="V14" s="38">
        <f>INDEX(V4:V13, MATCH($T$14, T4:T13, 0))</f>
        <v>12</v>
      </c>
      <c r="W14" s="38">
        <f>INDEX(W4:W13, MATCH($T$14, T4:T13, 0))</f>
        <v>99</v>
      </c>
      <c r="X14" s="39">
        <f>INDEX(X4:X13, MATCH($T$14, T4:T13, 0))</f>
        <v>295.69445977647717</v>
      </c>
      <c r="Y14" s="39">
        <f>INDEX(Y4:Y13, MATCH($T$14, T4:T13, 0))</f>
        <v>54.80578616995556</v>
      </c>
      <c r="Z14" s="39">
        <f>INDEX(Z4:Z13, MATCH($T$14, T4:T13, 0))</f>
        <v>5305.7523881383677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0.49779569597186452</v>
      </c>
      <c r="M15" s="46">
        <f t="shared" ref="M15:R15" si="0">(M14-E14)/E14</f>
        <v>0.98829890998714809</v>
      </c>
      <c r="N15" s="46">
        <f t="shared" si="0"/>
        <v>0.9</v>
      </c>
      <c r="O15" s="46">
        <f t="shared" si="0"/>
        <v>-7.0000000000000007E-2</v>
      </c>
      <c r="P15" s="46">
        <f t="shared" si="0"/>
        <v>76.253618351737657</v>
      </c>
      <c r="Q15" s="46">
        <f t="shared" si="0"/>
        <v>-0.53165763753910578</v>
      </c>
      <c r="R15" s="46">
        <f t="shared" si="0"/>
        <v>-8.708026041973338E-2</v>
      </c>
      <c r="T15" s="46">
        <f>(T14-D14)/D14</f>
        <v>0.29221586828936885</v>
      </c>
      <c r="U15" s="46">
        <f t="shared" ref="U15:Z15" si="1">(U14-E14)/E14</f>
        <v>1.5737760792624642</v>
      </c>
      <c r="V15" s="46">
        <f t="shared" si="1"/>
        <v>0.2</v>
      </c>
      <c r="W15" s="46">
        <f t="shared" si="1"/>
        <v>-0.01</v>
      </c>
      <c r="X15" s="46">
        <f t="shared" si="1"/>
        <v>689.25158865689491</v>
      </c>
      <c r="Y15" s="46">
        <f t="shared" si="1"/>
        <v>0.473064969951419</v>
      </c>
      <c r="Z15" s="46">
        <f t="shared" si="1"/>
        <v>0.3425674058123242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17:C2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AECC-68EC-744E-BECD-652E8A69BEB6}">
  <dimension ref="B1:AA17"/>
  <sheetViews>
    <sheetView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-0.96194251445410872</v>
      </c>
      <c r="J2" s="28" t="e">
        <f>(S14-J14)/J14</f>
        <v>#DIV/0!</v>
      </c>
      <c r="K2" s="28"/>
      <c r="L2" s="1" t="s">
        <v>19</v>
      </c>
      <c r="P2" s="1">
        <f>(P14-H14)/H14</f>
        <v>-0.28513162145079513</v>
      </c>
      <c r="R2" s="1">
        <f>(R14-J14)/J14</f>
        <v>-0.15240790336742413</v>
      </c>
      <c r="T2" s="1" t="s">
        <v>20</v>
      </c>
      <c r="X2" s="1">
        <f>(X14-P14)/P14</f>
        <v>1.6293583579344475</v>
      </c>
      <c r="Z2" s="1">
        <f>(Z14-R14)/R14</f>
        <v>0.34572662307703528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</v>
      </c>
      <c r="D4" s="23">
        <v>763621.84614749032</v>
      </c>
      <c r="E4" s="33">
        <v>52.48637495800358</v>
      </c>
      <c r="F4" s="5">
        <v>11</v>
      </c>
      <c r="G4" s="23">
        <v>99</v>
      </c>
      <c r="H4" s="33">
        <v>450.66939528219945</v>
      </c>
      <c r="I4" s="23">
        <v>32.393618127143981</v>
      </c>
      <c r="J4" s="5">
        <v>5519.5544897291584</v>
      </c>
      <c r="K4" s="31"/>
      <c r="L4" s="23">
        <v>965080.3192692413</v>
      </c>
      <c r="M4" s="33">
        <v>88.645741625000028</v>
      </c>
      <c r="N4" s="5">
        <v>21</v>
      </c>
      <c r="O4" s="5">
        <v>94</v>
      </c>
      <c r="P4" s="33">
        <v>351.25950187276311</v>
      </c>
      <c r="Q4" s="5">
        <v>16.02063328414868</v>
      </c>
      <c r="R4" s="5">
        <v>4891.2742029934907</v>
      </c>
      <c r="S4" s="35"/>
      <c r="T4" s="23">
        <v>1084950.065282325</v>
      </c>
      <c r="U4" s="33">
        <v>183.42506062499891</v>
      </c>
      <c r="V4" s="5">
        <v>11</v>
      </c>
      <c r="W4" s="5">
        <v>81</v>
      </c>
      <c r="X4" s="33">
        <v>919.88948115299354</v>
      </c>
      <c r="Y4" s="5">
        <v>47.097069087887668</v>
      </c>
      <c r="Z4" s="5">
        <v>6372.057325285572</v>
      </c>
      <c r="AA4" s="35"/>
    </row>
    <row r="5" spans="2:27" x14ac:dyDescent="0.2">
      <c r="B5" s="4">
        <v>2</v>
      </c>
      <c r="C5" s="4">
        <v>91</v>
      </c>
      <c r="D5" s="23">
        <v>765971.98714003433</v>
      </c>
      <c r="E5" s="33">
        <v>49.924461624999822</v>
      </c>
      <c r="F5" s="5">
        <v>10</v>
      </c>
      <c r="G5" s="23">
        <v>99</v>
      </c>
      <c r="H5" s="33">
        <v>512.5844361490125</v>
      </c>
      <c r="I5" s="23">
        <v>36.23552916090911</v>
      </c>
      <c r="J5" s="5">
        <v>5704.7225925292296</v>
      </c>
      <c r="K5" s="31"/>
      <c r="L5" s="23">
        <v>956011.33333178191</v>
      </c>
      <c r="M5" s="33">
        <v>79.215404082999157</v>
      </c>
      <c r="N5" s="5">
        <v>19</v>
      </c>
      <c r="O5" s="5">
        <v>92</v>
      </c>
      <c r="P5" s="33">
        <v>352.79231931360817</v>
      </c>
      <c r="Q5" s="5">
        <v>16.852244370176994</v>
      </c>
      <c r="R5" s="5">
        <v>4850.1658763429759</v>
      </c>
      <c r="S5" s="35"/>
      <c r="T5" s="23">
        <v>1068108.769149276</v>
      </c>
      <c r="U5" s="33">
        <v>107.2869204580002</v>
      </c>
      <c r="V5" s="5">
        <v>12</v>
      </c>
      <c r="W5" s="5">
        <v>82</v>
      </c>
      <c r="X5" s="33">
        <v>826.48463954089777</v>
      </c>
      <c r="Y5" s="5">
        <v>43.737929186074922</v>
      </c>
      <c r="Z5" s="5">
        <v>6234.4224971136873</v>
      </c>
      <c r="AA5" s="35"/>
    </row>
    <row r="6" spans="2:27" x14ac:dyDescent="0.2">
      <c r="B6" s="4">
        <v>3</v>
      </c>
      <c r="C6" s="4">
        <v>160</v>
      </c>
      <c r="D6" s="23">
        <v>813490.5328103418</v>
      </c>
      <c r="E6" s="33">
        <v>42.544969040995063</v>
      </c>
      <c r="F6" s="5">
        <v>11</v>
      </c>
      <c r="G6" s="23">
        <v>99</v>
      </c>
      <c r="H6" s="33">
        <v>605.5312114521563</v>
      </c>
      <c r="I6" s="23">
        <v>32.223974559473021</v>
      </c>
      <c r="J6" s="5">
        <v>5892.6023987279677</v>
      </c>
      <c r="K6" s="31"/>
      <c r="L6" s="23">
        <v>954192.38877838163</v>
      </c>
      <c r="M6" s="33">
        <v>152.78129262499991</v>
      </c>
      <c r="N6" s="5">
        <v>20</v>
      </c>
      <c r="O6" s="5">
        <v>93</v>
      </c>
      <c r="P6" s="33">
        <v>370.22022277744594</v>
      </c>
      <c r="Q6" s="5">
        <v>16.334571698537918</v>
      </c>
      <c r="R6" s="5">
        <v>4778.7819019270928</v>
      </c>
      <c r="S6" s="35"/>
      <c r="T6" s="23">
        <v>1117031.1653190141</v>
      </c>
      <c r="U6" s="33">
        <v>105.50021137499969</v>
      </c>
      <c r="V6" s="5">
        <v>12</v>
      </c>
      <c r="W6" s="5">
        <v>81</v>
      </c>
      <c r="X6" s="33">
        <v>970.92902590180188</v>
      </c>
      <c r="Y6" s="5">
        <v>42.540753989319903</v>
      </c>
      <c r="Z6" s="5">
        <v>6527.5341920926976</v>
      </c>
      <c r="AA6" s="35"/>
    </row>
    <row r="7" spans="2:27" x14ac:dyDescent="0.2">
      <c r="B7" s="4">
        <v>4</v>
      </c>
      <c r="C7" s="4">
        <v>352</v>
      </c>
      <c r="D7" s="23">
        <v>759030.00722686341</v>
      </c>
      <c r="E7" s="33">
        <v>120.8738542499996</v>
      </c>
      <c r="F7" s="5">
        <v>11</v>
      </c>
      <c r="G7" s="23">
        <v>99</v>
      </c>
      <c r="H7" s="33">
        <v>480.93853906796971</v>
      </c>
      <c r="I7" s="23">
        <v>32.613967265566188</v>
      </c>
      <c r="J7" s="5">
        <v>5478.7041016179046</v>
      </c>
      <c r="K7" s="31"/>
      <c r="L7" s="23">
        <v>1024496.152773365</v>
      </c>
      <c r="M7" s="33">
        <v>88.521996000000399</v>
      </c>
      <c r="N7" s="5">
        <v>18</v>
      </c>
      <c r="O7" s="5">
        <v>90</v>
      </c>
      <c r="P7" s="33">
        <v>684.35941026364287</v>
      </c>
      <c r="Q7" s="5">
        <v>17.420182364134742</v>
      </c>
      <c r="R7" s="5">
        <v>5283.6359432621603</v>
      </c>
      <c r="S7" s="35"/>
      <c r="T7" s="23">
        <v>1068224.603905177</v>
      </c>
      <c r="U7" s="33">
        <v>107.776538125001</v>
      </c>
      <c r="V7" s="5">
        <v>12</v>
      </c>
      <c r="W7" s="5">
        <v>82</v>
      </c>
      <c r="X7" s="33">
        <v>812.94310904580743</v>
      </c>
      <c r="Y7" s="5">
        <v>44.047627005986129</v>
      </c>
      <c r="Z7" s="5">
        <v>6235.3201327378229</v>
      </c>
      <c r="AA7" s="35"/>
    </row>
    <row r="8" spans="2:27" x14ac:dyDescent="0.2">
      <c r="B8" s="4">
        <v>5</v>
      </c>
      <c r="C8" s="4">
        <v>442</v>
      </c>
      <c r="D8" s="23">
        <v>764800.11979231192</v>
      </c>
      <c r="E8" s="33">
        <v>41.221913207999023</v>
      </c>
      <c r="F8" s="5">
        <v>11</v>
      </c>
      <c r="G8" s="23">
        <v>99</v>
      </c>
      <c r="H8" s="33">
        <v>475.97436329487198</v>
      </c>
      <c r="I8" s="23">
        <v>33.234874649225844</v>
      </c>
      <c r="J8" s="5">
        <v>5533.1081675131609</v>
      </c>
      <c r="K8" s="31"/>
      <c r="L8" s="23">
        <v>977103.65713264211</v>
      </c>
      <c r="M8" s="33">
        <v>196.41578545799979</v>
      </c>
      <c r="N8" s="5">
        <v>17</v>
      </c>
      <c r="O8" s="5">
        <v>89</v>
      </c>
      <c r="P8" s="33">
        <v>464.3418129962734</v>
      </c>
      <c r="Q8" s="5">
        <v>18.215089272264539</v>
      </c>
      <c r="R8" s="5">
        <v>4959.2890343577774</v>
      </c>
      <c r="S8" s="35"/>
      <c r="T8" s="23">
        <v>1157861.685907162</v>
      </c>
      <c r="U8" s="33">
        <v>72.727120208999622</v>
      </c>
      <c r="V8" s="5">
        <v>10</v>
      </c>
      <c r="W8" s="5">
        <v>75</v>
      </c>
      <c r="X8" s="33">
        <v>780.2534899643706</v>
      </c>
      <c r="Y8" s="5">
        <v>42.713421967756389</v>
      </c>
      <c r="Z8" s="5">
        <v>6434.8501676189308</v>
      </c>
      <c r="AA8" s="35"/>
    </row>
    <row r="9" spans="2:27" x14ac:dyDescent="0.2">
      <c r="B9" s="4">
        <v>6</v>
      </c>
      <c r="C9" s="4">
        <v>459</v>
      </c>
      <c r="D9" s="23">
        <v>758398.63145678502</v>
      </c>
      <c r="E9" s="33">
        <v>67.776345790996857</v>
      </c>
      <c r="F9" s="5">
        <v>11</v>
      </c>
      <c r="G9" s="23">
        <v>99</v>
      </c>
      <c r="H9" s="33">
        <v>439.70248390590154</v>
      </c>
      <c r="I9" s="23">
        <v>32.559115588135406</v>
      </c>
      <c r="J9" s="5">
        <v>5465.7842843901371</v>
      </c>
      <c r="K9" s="31"/>
      <c r="L9" s="23">
        <v>948900.88905057078</v>
      </c>
      <c r="M9" s="33">
        <v>106.9118532500006</v>
      </c>
      <c r="N9" s="5">
        <v>20</v>
      </c>
      <c r="O9" s="5">
        <v>93</v>
      </c>
      <c r="P9" s="33">
        <v>365.76444164712399</v>
      </c>
      <c r="Q9" s="5">
        <v>16.651821157788284</v>
      </c>
      <c r="R9" s="5">
        <v>4771.9966711355637</v>
      </c>
      <c r="S9" s="35"/>
      <c r="T9" s="23">
        <v>1170590.7333082231</v>
      </c>
      <c r="U9" s="33">
        <v>146.44715662499951</v>
      </c>
      <c r="V9" s="5">
        <v>11</v>
      </c>
      <c r="W9" s="5">
        <v>76</v>
      </c>
      <c r="X9" s="33">
        <v>970.96739406921404</v>
      </c>
      <c r="Y9" s="5">
        <v>43.631416530402255</v>
      </c>
      <c r="Z9" s="5">
        <v>6583.5067798894424</v>
      </c>
      <c r="AA9" s="35"/>
    </row>
    <row r="10" spans="2:27" x14ac:dyDescent="0.2">
      <c r="B10" s="4">
        <v>7</v>
      </c>
      <c r="C10" s="4">
        <v>754</v>
      </c>
      <c r="D10" s="23">
        <v>794770.76468793221</v>
      </c>
      <c r="E10" s="33">
        <v>37.541037208000489</v>
      </c>
      <c r="F10" s="5">
        <v>10</v>
      </c>
      <c r="G10" s="23">
        <v>99</v>
      </c>
      <c r="H10" s="33">
        <v>564.61127148601167</v>
      </c>
      <c r="I10" s="23">
        <v>35.603466298107762</v>
      </c>
      <c r="J10" s="5">
        <v>5934.5138080352526</v>
      </c>
      <c r="K10" s="31"/>
      <c r="L10" s="23">
        <v>947804.46280194237</v>
      </c>
      <c r="M10" s="33">
        <v>487.76354566699962</v>
      </c>
      <c r="N10" s="5">
        <v>20</v>
      </c>
      <c r="O10" s="5">
        <v>93</v>
      </c>
      <c r="P10" s="33">
        <v>280.233912283878</v>
      </c>
      <c r="Q10" s="5">
        <v>16.595110002225244</v>
      </c>
      <c r="R10" s="5">
        <v>4759.3041175592416</v>
      </c>
      <c r="S10" s="35"/>
      <c r="T10" s="23">
        <v>1084629.4983681459</v>
      </c>
      <c r="U10" s="33">
        <v>40.867727916998767</v>
      </c>
      <c r="V10" s="5">
        <v>11</v>
      </c>
      <c r="W10" s="5">
        <v>81</v>
      </c>
      <c r="X10" s="33">
        <v>845.13207860922375</v>
      </c>
      <c r="Y10" s="5">
        <v>44.47937099910348</v>
      </c>
      <c r="Z10" s="5">
        <v>6356.457833632192</v>
      </c>
      <c r="AA10" s="35"/>
    </row>
    <row r="11" spans="2:27" x14ac:dyDescent="0.2">
      <c r="B11" s="4">
        <v>8</v>
      </c>
      <c r="C11" s="4">
        <v>794</v>
      </c>
      <c r="D11" s="23">
        <v>759789.83403159073</v>
      </c>
      <c r="E11" s="33">
        <v>68.410155541998392</v>
      </c>
      <c r="F11" s="5">
        <v>11</v>
      </c>
      <c r="G11" s="23">
        <v>99</v>
      </c>
      <c r="H11" s="33">
        <v>479.7110622850318</v>
      </c>
      <c r="I11" s="23">
        <v>32.594342536959388</v>
      </c>
      <c r="J11" s="5">
        <v>5480.9461629212228</v>
      </c>
      <c r="K11" s="31"/>
      <c r="L11" s="23">
        <v>1014533.662383918</v>
      </c>
      <c r="M11" s="33">
        <v>112.9635787080006</v>
      </c>
      <c r="N11" s="5">
        <v>20</v>
      </c>
      <c r="O11" s="5">
        <v>93</v>
      </c>
      <c r="P11" s="33">
        <v>564.77728210247392</v>
      </c>
      <c r="Q11" s="5">
        <v>16.69604669320556</v>
      </c>
      <c r="R11" s="5">
        <v>5292.6001733178118</v>
      </c>
      <c r="S11" s="35"/>
      <c r="T11" s="23">
        <v>1086951.578357022</v>
      </c>
      <c r="U11" s="33">
        <v>139.07507287499899</v>
      </c>
      <c r="V11" s="5">
        <v>12</v>
      </c>
      <c r="W11" s="5">
        <v>83</v>
      </c>
      <c r="X11" s="33">
        <v>955.14546013833149</v>
      </c>
      <c r="Y11" s="5">
        <v>42.638158790687115</v>
      </c>
      <c r="Z11" s="5">
        <v>6440.051611287734</v>
      </c>
      <c r="AA11" s="35"/>
    </row>
    <row r="12" spans="2:27" x14ac:dyDescent="0.2">
      <c r="B12" s="4">
        <v>9</v>
      </c>
      <c r="C12" s="4">
        <v>860</v>
      </c>
      <c r="D12" s="23">
        <v>761855.5287853654</v>
      </c>
      <c r="E12" s="33">
        <v>35.91053125000326</v>
      </c>
      <c r="F12" s="5">
        <v>11</v>
      </c>
      <c r="G12" s="23">
        <v>99</v>
      </c>
      <c r="H12" s="33">
        <v>486.4681816473676</v>
      </c>
      <c r="I12" s="23">
        <v>32.607066632084575</v>
      </c>
      <c r="J12" s="5">
        <v>5498.3358454339195</v>
      </c>
      <c r="K12" s="31"/>
      <c r="L12" s="23">
        <v>931108.82223991095</v>
      </c>
      <c r="M12" s="33">
        <v>156.60350429199929</v>
      </c>
      <c r="N12" s="5">
        <v>20</v>
      </c>
      <c r="O12" s="5">
        <v>93</v>
      </c>
      <c r="P12" s="33">
        <v>314.32940171386969</v>
      </c>
      <c r="Q12" s="5">
        <v>16.733970925741357</v>
      </c>
      <c r="R12" s="5">
        <v>4632.7555613476197</v>
      </c>
      <c r="S12" s="35"/>
      <c r="T12" s="23">
        <v>1084819.649488644</v>
      </c>
      <c r="U12" s="33">
        <v>53.751778083000318</v>
      </c>
      <c r="V12" s="5">
        <v>11</v>
      </c>
      <c r="W12" s="5">
        <v>81</v>
      </c>
      <c r="X12" s="33">
        <v>891.92855551487798</v>
      </c>
      <c r="Y12" s="5">
        <v>46.384402036344021</v>
      </c>
      <c r="Z12" s="5">
        <v>6449.2447451958242</v>
      </c>
      <c r="AA12" s="35"/>
    </row>
    <row r="13" spans="2:27" x14ac:dyDescent="0.2">
      <c r="B13" s="4">
        <v>10</v>
      </c>
      <c r="C13" s="4">
        <v>946</v>
      </c>
      <c r="D13" s="23">
        <v>765159.63836767105</v>
      </c>
      <c r="E13" s="33">
        <v>86.357637875000364</v>
      </c>
      <c r="F13" s="5">
        <v>11</v>
      </c>
      <c r="G13" s="23">
        <v>99</v>
      </c>
      <c r="H13" s="33">
        <v>548.02398329686866</v>
      </c>
      <c r="I13" s="23">
        <v>32.409140467061292</v>
      </c>
      <c r="J13" s="5">
        <v>5482.9929004410824</v>
      </c>
      <c r="K13" s="31"/>
      <c r="L13" s="23">
        <v>1019929.810105028</v>
      </c>
      <c r="M13" s="33">
        <v>95.665929416999461</v>
      </c>
      <c r="N13" s="5">
        <v>20</v>
      </c>
      <c r="O13" s="5">
        <v>93</v>
      </c>
      <c r="P13" s="33">
        <v>471.11384880377034</v>
      </c>
      <c r="Q13" s="5">
        <v>16.672911250356115</v>
      </c>
      <c r="R13" s="5">
        <v>5426.3730054288999</v>
      </c>
      <c r="S13" s="35"/>
      <c r="T13" s="23">
        <v>1126280.613229298</v>
      </c>
      <c r="U13" s="33">
        <v>62.980184541000199</v>
      </c>
      <c r="V13" s="5">
        <v>11</v>
      </c>
      <c r="W13" s="5">
        <v>78</v>
      </c>
      <c r="X13" s="33">
        <v>781.02822809924521</v>
      </c>
      <c r="Y13" s="5">
        <v>41.494758191801004</v>
      </c>
      <c r="Z13" s="5">
        <v>6404.2403526841026</v>
      </c>
      <c r="AA13" s="35"/>
    </row>
    <row r="14" spans="2:27" x14ac:dyDescent="0.2">
      <c r="B14" s="47" t="s">
        <v>3</v>
      </c>
      <c r="C14" s="48"/>
      <c r="D14" s="9">
        <f>MIN(D4:D13)</f>
        <v>758398.63145678502</v>
      </c>
      <c r="E14" s="22">
        <f>INDEX(E4:E13, MATCH($D$14, D4:D13, 0))</f>
        <v>67.776345790996857</v>
      </c>
      <c r="F14" s="9">
        <f>INDEX(F4:F13, MATCH($D$14, D4:D13, 0))</f>
        <v>11</v>
      </c>
      <c r="G14" s="9">
        <f>INDEX(G4:G13, MATCH($D$14, D4:D13, 0))</f>
        <v>99</v>
      </c>
      <c r="H14" s="22">
        <f>INDEX(H4:H13, MATCH($D$14, D4:D13, 0))</f>
        <v>439.70248390590154</v>
      </c>
      <c r="I14" s="22">
        <f>INDEX(I4:I13, MATCH($D$14, D4:D13, 0))</f>
        <v>32.559115588135406</v>
      </c>
      <c r="J14" s="22">
        <f>INDEX(J4:J13, MATCH($D$14, D4:D13, 0))</f>
        <v>5465.7842843901371</v>
      </c>
      <c r="K14" s="32" t="e">
        <f>(D14-$D$15)/$D$15</f>
        <v>#DIV/0!</v>
      </c>
      <c r="L14" s="16">
        <f>MIN(L4:L13)</f>
        <v>931108.82223991095</v>
      </c>
      <c r="M14" s="21">
        <f>INDEX(M4:M13, MATCH($L$14, L4:L13, 0))</f>
        <v>156.60350429199929</v>
      </c>
      <c r="N14" s="16">
        <f>INDEX(N4:N13, MATCH($L$14, L4:L13, 0))</f>
        <v>20</v>
      </c>
      <c r="O14" s="16">
        <f>INDEX(O4:O13, MATCH($L$14, L4:L13, 0))</f>
        <v>93</v>
      </c>
      <c r="P14" s="21">
        <f>INDEX(P4:P13, MATCH($L$14, L4:L13, 0))</f>
        <v>314.32940171386969</v>
      </c>
      <c r="Q14" s="21">
        <f>INDEX(Q4:Q13, MATCH($L$14, L4:L13, 0))</f>
        <v>16.733970925741357</v>
      </c>
      <c r="R14" s="21">
        <f>INDEX(R4:R13, MATCH($L$14, L4:L13, 0))</f>
        <v>4632.7555613476197</v>
      </c>
      <c r="S14" s="36" t="e">
        <f>(L14-$D$15)/$D$15</f>
        <v>#DIV/0!</v>
      </c>
      <c r="T14" s="38">
        <f>MIN(T4:T13)</f>
        <v>1068108.769149276</v>
      </c>
      <c r="U14" s="39">
        <f>INDEX(U4:U13, MATCH($T$14, T4:T13, 0))</f>
        <v>107.2869204580002</v>
      </c>
      <c r="V14" s="38">
        <f>INDEX(V4:V13, MATCH($T$14, T4:T13, 0))</f>
        <v>12</v>
      </c>
      <c r="W14" s="38">
        <f>INDEX(W4:W13, MATCH($T$14, T4:T13, 0))</f>
        <v>82</v>
      </c>
      <c r="X14" s="39">
        <f>INDEX(X4:X13, MATCH($T$14, T4:T13, 0))</f>
        <v>826.48463954089777</v>
      </c>
      <c r="Y14" s="39">
        <f>INDEX(Y4:Y13, MATCH($T$14, T4:T13, 0))</f>
        <v>43.737929186074922</v>
      </c>
      <c r="Z14" s="39">
        <f>INDEX(Z4:Z13, MATCH($T$14, T4:T13, 0))</f>
        <v>6234.4224971136873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0.22773009288185575</v>
      </c>
      <c r="M15" s="46">
        <f t="shared" ref="M15:R15" si="0">(M14-E14)/E14</f>
        <v>1.3105923233884629</v>
      </c>
      <c r="N15" s="46">
        <f t="shared" si="0"/>
        <v>0.81818181818181823</v>
      </c>
      <c r="O15" s="46">
        <f t="shared" si="0"/>
        <v>-6.0606060606060608E-2</v>
      </c>
      <c r="P15" s="46">
        <f t="shared" si="0"/>
        <v>-0.28513162145079513</v>
      </c>
      <c r="Q15" s="46">
        <f t="shared" si="0"/>
        <v>-0.48604344364196295</v>
      </c>
      <c r="R15" s="46">
        <f t="shared" si="0"/>
        <v>-0.15240790336742413</v>
      </c>
      <c r="T15" s="46">
        <f>(T14-D14)/D14</f>
        <v>0.40837380876805923</v>
      </c>
      <c r="U15" s="46">
        <f t="shared" ref="U15:Z15" si="1">(U14-E14)/E14</f>
        <v>0.58295522141076794</v>
      </c>
      <c r="V15" s="46">
        <f t="shared" si="1"/>
        <v>9.0909090909090912E-2</v>
      </c>
      <c r="W15" s="46">
        <f t="shared" si="1"/>
        <v>-0.17171717171717171</v>
      </c>
      <c r="X15" s="46">
        <f t="shared" si="1"/>
        <v>0.87964514596139842</v>
      </c>
      <c r="Y15" s="46">
        <f t="shared" si="1"/>
        <v>0.34333898191058648</v>
      </c>
      <c r="Z15" s="46">
        <f t="shared" si="1"/>
        <v>0.14062724994814052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1" priority="5"/>
    <cfRule type="duplicateValues" dxfId="60" priority="6"/>
  </conditionalFormatting>
  <conditionalFormatting sqref="C15">
    <cfRule type="duplicateValues" dxfId="59" priority="3"/>
    <cfRule type="duplicateValues" dxfId="58" priority="4"/>
  </conditionalFormatting>
  <conditionalFormatting sqref="C16 C1:C13 C29:C1048576">
    <cfRule type="duplicateValues" dxfId="57" priority="7"/>
    <cfRule type="duplicateValues" dxfId="56" priority="8"/>
  </conditionalFormatting>
  <conditionalFormatting sqref="C17:C2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4F1D-3957-3E46-B89D-BBD14F27314E}">
  <dimension ref="B1:AA17"/>
  <sheetViews>
    <sheetView tabSelected="1" zoomScale="118" zoomScaleNormal="12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-0.55704641922373099</v>
      </c>
      <c r="J2" s="28" t="e">
        <f>(S14-J14)/J14</f>
        <v>#DIV/0!</v>
      </c>
      <c r="K2" s="28"/>
      <c r="L2" s="1" t="s">
        <v>19</v>
      </c>
      <c r="P2" s="1">
        <f>(P14-H14)/H14</f>
        <v>-8.3952929877777013E-2</v>
      </c>
      <c r="R2" s="1">
        <f>(R14-J14)/J14</f>
        <v>-0.1336982075776954</v>
      </c>
      <c r="T2" s="1" t="s">
        <v>20</v>
      </c>
      <c r="X2" s="1">
        <f>(X14-P14)/P14</f>
        <v>14.042593564511387</v>
      </c>
      <c r="Z2" s="1">
        <f>(Z14-R14)/R14</f>
        <v>0.43941100714296849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</v>
      </c>
      <c r="D4" s="23">
        <v>693313.41777641373</v>
      </c>
      <c r="E4" s="33">
        <v>81.592898166003579</v>
      </c>
      <c r="F4" s="5">
        <v>9</v>
      </c>
      <c r="G4" s="23">
        <v>92</v>
      </c>
      <c r="H4" s="33">
        <v>43.450803169412204</v>
      </c>
      <c r="I4" s="23">
        <v>48.844052455957829</v>
      </c>
      <c r="J4" s="5">
        <v>4467.9023127113305</v>
      </c>
      <c r="K4" s="31"/>
      <c r="L4" s="23">
        <v>968051.91126174037</v>
      </c>
      <c r="M4" s="33">
        <v>79.550279875000342</v>
      </c>
      <c r="N4" s="5">
        <v>21</v>
      </c>
      <c r="O4" s="5">
        <v>87</v>
      </c>
      <c r="P4" s="33">
        <v>50.362991115192401</v>
      </c>
      <c r="Q4" s="5">
        <v>18.949432605972824</v>
      </c>
      <c r="R4" s="5">
        <v>3942.5602671917072</v>
      </c>
      <c r="S4" s="35"/>
      <c r="T4" s="23">
        <v>883953.91802308103</v>
      </c>
      <c r="U4" s="33">
        <v>95.97849049999968</v>
      </c>
      <c r="V4" s="5">
        <v>13</v>
      </c>
      <c r="W4" s="5">
        <v>92</v>
      </c>
      <c r="X4" s="33">
        <v>653.65682500393666</v>
      </c>
      <c r="Y4" s="5">
        <v>58.785734420625708</v>
      </c>
      <c r="Z4" s="5">
        <v>5895.3370893769988</v>
      </c>
      <c r="AA4" s="35"/>
    </row>
    <row r="5" spans="2:27" x14ac:dyDescent="0.2">
      <c r="B5" s="4">
        <v>2</v>
      </c>
      <c r="C5" s="4">
        <v>167</v>
      </c>
      <c r="D5" s="23">
        <v>725558.82045053819</v>
      </c>
      <c r="E5" s="33">
        <v>53.718914500001119</v>
      </c>
      <c r="F5" s="5">
        <v>10</v>
      </c>
      <c r="G5" s="23">
        <v>92</v>
      </c>
      <c r="H5" s="33">
        <v>95.70153327748443</v>
      </c>
      <c r="I5" s="23">
        <v>44.094392209248255</v>
      </c>
      <c r="J5" s="5">
        <v>4580.1307846159107</v>
      </c>
      <c r="K5" s="31"/>
      <c r="L5" s="23">
        <v>968116.56534687337</v>
      </c>
      <c r="M5" s="33">
        <v>75.950306499999897</v>
      </c>
      <c r="N5" s="5">
        <v>20</v>
      </c>
      <c r="O5" s="5">
        <v>85</v>
      </c>
      <c r="P5" s="33">
        <v>29.553875384562183</v>
      </c>
      <c r="Q5" s="5">
        <v>18.751406814869998</v>
      </c>
      <c r="R5" s="5">
        <v>3787.7816965210582</v>
      </c>
      <c r="S5" s="35"/>
      <c r="T5" s="23">
        <v>868984.73516522429</v>
      </c>
      <c r="U5" s="33">
        <v>89.681202249999842</v>
      </c>
      <c r="V5" s="5">
        <v>13</v>
      </c>
      <c r="W5" s="5">
        <v>92</v>
      </c>
      <c r="X5" s="33">
        <v>638.4893938825586</v>
      </c>
      <c r="Y5" s="5">
        <v>60.663250849402829</v>
      </c>
      <c r="Z5" s="5">
        <v>5797.1039717539134</v>
      </c>
      <c r="AA5" s="35"/>
    </row>
    <row r="6" spans="2:27" x14ac:dyDescent="0.2">
      <c r="B6" s="4">
        <v>3</v>
      </c>
      <c r="C6" s="4">
        <v>197</v>
      </c>
      <c r="D6" s="23">
        <v>693719.56413433421</v>
      </c>
      <c r="E6" s="33">
        <v>57.256463165998873</v>
      </c>
      <c r="F6" s="5">
        <v>9</v>
      </c>
      <c r="G6" s="23">
        <v>92</v>
      </c>
      <c r="H6" s="33">
        <v>38.187203926046394</v>
      </c>
      <c r="I6" s="23">
        <v>49.412115659716363</v>
      </c>
      <c r="J6" s="5">
        <v>4487.3125695120525</v>
      </c>
      <c r="K6" s="31"/>
      <c r="L6" s="23">
        <v>975767.59896048694</v>
      </c>
      <c r="M6" s="33">
        <v>138.47702208400011</v>
      </c>
      <c r="N6" s="5">
        <v>20</v>
      </c>
      <c r="O6" s="5">
        <v>85</v>
      </c>
      <c r="P6" s="33">
        <v>59.565705286105732</v>
      </c>
      <c r="Q6" s="5">
        <v>19.563228682565693</v>
      </c>
      <c r="R6" s="5">
        <v>3875.6551356526315</v>
      </c>
      <c r="S6" s="35"/>
      <c r="T6" s="23">
        <v>900853.10915954621</v>
      </c>
      <c r="U6" s="33">
        <v>109.60821545900031</v>
      </c>
      <c r="V6" s="5">
        <v>13</v>
      </c>
      <c r="W6" s="5">
        <v>92</v>
      </c>
      <c r="X6" s="33">
        <v>765.59448796649349</v>
      </c>
      <c r="Y6" s="5">
        <v>58.283383786893104</v>
      </c>
      <c r="Z6" s="5">
        <v>6035.317842208774</v>
      </c>
      <c r="AA6" s="35"/>
    </row>
    <row r="7" spans="2:27" x14ac:dyDescent="0.2">
      <c r="B7" s="4">
        <v>4</v>
      </c>
      <c r="C7" s="4">
        <v>249</v>
      </c>
      <c r="D7" s="23">
        <v>694014.45604736626</v>
      </c>
      <c r="E7" s="33">
        <v>31.036880166997431</v>
      </c>
      <c r="F7" s="5">
        <v>9</v>
      </c>
      <c r="G7" s="23">
        <v>92</v>
      </c>
      <c r="H7" s="33">
        <v>41.789796125729438</v>
      </c>
      <c r="I7" s="23">
        <v>49.582664222852657</v>
      </c>
      <c r="J7" s="5">
        <v>4489.4962869545243</v>
      </c>
      <c r="K7" s="31"/>
      <c r="L7" s="23">
        <v>963513.70190688665</v>
      </c>
      <c r="M7" s="33">
        <v>176.51561587500049</v>
      </c>
      <c r="N7" s="5">
        <v>19</v>
      </c>
      <c r="O7" s="5">
        <v>84</v>
      </c>
      <c r="P7" s="33">
        <v>33.023455646408216</v>
      </c>
      <c r="Q7" s="5">
        <v>20.046884502963902</v>
      </c>
      <c r="R7" s="5">
        <v>3784.1158772308227</v>
      </c>
      <c r="S7" s="35"/>
      <c r="T7" s="23">
        <v>879045.25540267793</v>
      </c>
      <c r="U7" s="33">
        <v>135.39810816600041</v>
      </c>
      <c r="V7" s="5">
        <v>13</v>
      </c>
      <c r="W7" s="5">
        <v>92</v>
      </c>
      <c r="X7" s="33">
        <v>675.43156338682695</v>
      </c>
      <c r="Y7" s="5">
        <v>61.252360843005555</v>
      </c>
      <c r="Z7" s="5">
        <v>5912.9426162613963</v>
      </c>
      <c r="AA7" s="35"/>
    </row>
    <row r="8" spans="2:27" x14ac:dyDescent="0.2">
      <c r="B8" s="4">
        <v>5</v>
      </c>
      <c r="C8" s="4">
        <v>294</v>
      </c>
      <c r="D8" s="23">
        <v>694281.91650353547</v>
      </c>
      <c r="E8" s="33">
        <v>37.837536791994353</v>
      </c>
      <c r="F8" s="5">
        <v>9</v>
      </c>
      <c r="G8" s="23">
        <v>92</v>
      </c>
      <c r="H8" s="33">
        <v>45.875894411743822</v>
      </c>
      <c r="I8" s="23">
        <v>49.522660193632099</v>
      </c>
      <c r="J8" s="5">
        <v>4507.9062063672336</v>
      </c>
      <c r="K8" s="31"/>
      <c r="L8" s="23">
        <v>958445.34521520301</v>
      </c>
      <c r="M8" s="33">
        <v>267.64251899999999</v>
      </c>
      <c r="N8" s="5">
        <v>21</v>
      </c>
      <c r="O8" s="5">
        <v>87</v>
      </c>
      <c r="P8" s="33">
        <v>39.80298093779745</v>
      </c>
      <c r="Q8" s="5">
        <v>19.246688851495993</v>
      </c>
      <c r="R8" s="5">
        <v>3870.5517818695857</v>
      </c>
      <c r="S8" s="35"/>
      <c r="T8" s="23">
        <v>864145.30917336396</v>
      </c>
      <c r="U8" s="33">
        <v>86.053928999999698</v>
      </c>
      <c r="V8" s="5">
        <v>14</v>
      </c>
      <c r="W8" s="5">
        <v>92</v>
      </c>
      <c r="X8" s="33">
        <v>598.74006490328134</v>
      </c>
      <c r="Y8" s="5">
        <v>56.148997791723055</v>
      </c>
      <c r="Z8" s="5">
        <v>5571.3148385399118</v>
      </c>
      <c r="AA8" s="35"/>
    </row>
    <row r="9" spans="2:27" x14ac:dyDescent="0.2">
      <c r="B9" s="4">
        <v>6</v>
      </c>
      <c r="C9" s="4">
        <v>339</v>
      </c>
      <c r="D9" s="23">
        <v>705609.46290209342</v>
      </c>
      <c r="E9" s="33">
        <v>39.180897459002153</v>
      </c>
      <c r="F9" s="5">
        <v>10</v>
      </c>
      <c r="G9" s="23">
        <v>92</v>
      </c>
      <c r="H9" s="33">
        <v>11.969585985586965</v>
      </c>
      <c r="I9" s="23">
        <v>44.710210625700952</v>
      </c>
      <c r="J9" s="5">
        <v>4433.4734787743455</v>
      </c>
      <c r="K9" s="31"/>
      <c r="L9" s="23">
        <v>976378.84461904806</v>
      </c>
      <c r="M9" s="33">
        <v>228.47818558299971</v>
      </c>
      <c r="N9" s="5">
        <v>18</v>
      </c>
      <c r="O9" s="5">
        <v>82</v>
      </c>
      <c r="P9" s="33">
        <v>37.829652780882483</v>
      </c>
      <c r="Q9" s="5">
        <v>20.921365731998719</v>
      </c>
      <c r="R9" s="5">
        <v>3811.0812013618506</v>
      </c>
      <c r="S9" s="35"/>
      <c r="T9" s="23">
        <v>896027.44020929153</v>
      </c>
      <c r="U9" s="33">
        <v>74.476120999999694</v>
      </c>
      <c r="V9" s="5">
        <v>12</v>
      </c>
      <c r="W9" s="5">
        <v>89</v>
      </c>
      <c r="X9" s="33">
        <v>515.02585030655553</v>
      </c>
      <c r="Y9" s="5">
        <v>59.849437426315028</v>
      </c>
      <c r="Z9" s="5">
        <v>5830.8246667009216</v>
      </c>
      <c r="AA9" s="35"/>
    </row>
    <row r="10" spans="2:27" x14ac:dyDescent="0.2">
      <c r="B10" s="4">
        <v>7</v>
      </c>
      <c r="C10" s="4">
        <v>494</v>
      </c>
      <c r="D10" s="23">
        <v>697412.32238611975</v>
      </c>
      <c r="E10" s="33">
        <v>65.063187542000378</v>
      </c>
      <c r="F10" s="5">
        <v>10</v>
      </c>
      <c r="G10" s="23">
        <v>92</v>
      </c>
      <c r="H10" s="33">
        <v>14.377692717936833</v>
      </c>
      <c r="I10" s="23">
        <v>44.057748080082952</v>
      </c>
      <c r="J10" s="5">
        <v>4323.4008301127978</v>
      </c>
      <c r="K10" s="31"/>
      <c r="L10" s="23">
        <v>966397.80680448539</v>
      </c>
      <c r="M10" s="33">
        <v>184.1608347500005</v>
      </c>
      <c r="N10" s="5">
        <v>19</v>
      </c>
      <c r="O10" s="5">
        <v>85</v>
      </c>
      <c r="P10" s="33">
        <v>83.806322327732175</v>
      </c>
      <c r="Q10" s="5">
        <v>20.135681674643287</v>
      </c>
      <c r="R10" s="5">
        <v>3981.4357852149583</v>
      </c>
      <c r="S10" s="35"/>
      <c r="T10" s="23">
        <v>908858.90821965458</v>
      </c>
      <c r="U10" s="33">
        <v>109.2196752089985</v>
      </c>
      <c r="V10" s="5">
        <v>12</v>
      </c>
      <c r="W10" s="5">
        <v>87</v>
      </c>
      <c r="X10" s="33">
        <v>429.8616837371203</v>
      </c>
      <c r="Y10" s="5">
        <v>57.49531448563345</v>
      </c>
      <c r="Z10" s="5">
        <v>5663.8240112114154</v>
      </c>
      <c r="AA10" s="35"/>
    </row>
    <row r="11" spans="2:27" x14ac:dyDescent="0.2">
      <c r="B11" s="4">
        <v>8</v>
      </c>
      <c r="C11" s="4">
        <v>697</v>
      </c>
      <c r="D11" s="23">
        <v>719757.16932498943</v>
      </c>
      <c r="E11" s="33">
        <v>35.099642084001971</v>
      </c>
      <c r="F11" s="5">
        <v>10</v>
      </c>
      <c r="G11" s="23">
        <v>92</v>
      </c>
      <c r="H11" s="33">
        <v>99.297958365306641</v>
      </c>
      <c r="I11" s="23">
        <v>44.542234136803813</v>
      </c>
      <c r="J11" s="5">
        <v>4566.3550056874656</v>
      </c>
      <c r="K11" s="31"/>
      <c r="L11" s="23">
        <v>964008.84149061178</v>
      </c>
      <c r="M11" s="33">
        <v>383.8217114579993</v>
      </c>
      <c r="N11" s="5">
        <v>21</v>
      </c>
      <c r="O11" s="5">
        <v>87</v>
      </c>
      <c r="P11" s="33">
        <v>114.087383176298</v>
      </c>
      <c r="Q11" s="5">
        <v>19.396961746035014</v>
      </c>
      <c r="R11" s="5">
        <v>3906.7213549749149</v>
      </c>
      <c r="S11" s="35"/>
      <c r="T11" s="23">
        <v>898022.80311786628</v>
      </c>
      <c r="U11" s="33">
        <v>36.720542541999748</v>
      </c>
      <c r="V11" s="5">
        <v>11</v>
      </c>
      <c r="W11" s="5">
        <v>85</v>
      </c>
      <c r="X11" s="33">
        <v>356.88448007759706</v>
      </c>
      <c r="Y11" s="5">
        <v>61.028745432222529</v>
      </c>
      <c r="Z11" s="5">
        <v>5496.7410778926032</v>
      </c>
      <c r="AA11" s="35"/>
    </row>
    <row r="12" spans="2:27" x14ac:dyDescent="0.2">
      <c r="B12" s="4">
        <v>9</v>
      </c>
      <c r="C12" s="4">
        <v>749</v>
      </c>
      <c r="D12" s="23">
        <v>717909.4025779973</v>
      </c>
      <c r="E12" s="33">
        <v>38.147180332998687</v>
      </c>
      <c r="F12" s="5">
        <v>10</v>
      </c>
      <c r="G12" s="23">
        <v>92</v>
      </c>
      <c r="H12" s="33">
        <v>85.953132759013542</v>
      </c>
      <c r="I12" s="23">
        <v>42.956586977685802</v>
      </c>
      <c r="J12" s="5">
        <v>4514.6736307984784</v>
      </c>
      <c r="K12" s="31"/>
      <c r="L12" s="23">
        <v>959876.10147790157</v>
      </c>
      <c r="M12" s="33">
        <v>174.74638437500019</v>
      </c>
      <c r="N12" s="5">
        <v>20</v>
      </c>
      <c r="O12" s="5">
        <v>86</v>
      </c>
      <c r="P12" s="33">
        <v>30.605165984769311</v>
      </c>
      <c r="Q12" s="5">
        <v>20.195117406127491</v>
      </c>
      <c r="R12" s="5">
        <v>3905.5018526661288</v>
      </c>
      <c r="S12" s="35"/>
      <c r="T12" s="23">
        <v>883512.25577224442</v>
      </c>
      <c r="U12" s="33">
        <v>125.1055377079992</v>
      </c>
      <c r="V12" s="5">
        <v>13</v>
      </c>
      <c r="W12" s="5">
        <v>92</v>
      </c>
      <c r="X12" s="33">
        <v>691.10490235843133</v>
      </c>
      <c r="Y12" s="5">
        <v>58.48605890634191</v>
      </c>
      <c r="Z12" s="5">
        <v>5877.6696509815383</v>
      </c>
      <c r="AA12" s="35"/>
    </row>
    <row r="13" spans="2:27" x14ac:dyDescent="0.2">
      <c r="B13" s="4">
        <v>10</v>
      </c>
      <c r="C13" s="4">
        <v>36</v>
      </c>
      <c r="D13" s="23">
        <v>693542.12338902173</v>
      </c>
      <c r="E13" s="33">
        <v>98.473384958000679</v>
      </c>
      <c r="F13" s="5">
        <v>9</v>
      </c>
      <c r="G13" s="23">
        <v>92</v>
      </c>
      <c r="H13" s="33">
        <v>41.433392286616787</v>
      </c>
      <c r="I13" s="23">
        <v>49.370140441274565</v>
      </c>
      <c r="J13" s="5">
        <v>4475.8819853365194</v>
      </c>
      <c r="K13" s="31"/>
      <c r="L13" s="23">
        <v>960406.43968972191</v>
      </c>
      <c r="M13" s="33">
        <v>173.6710863749995</v>
      </c>
      <c r="N13" s="5">
        <v>20</v>
      </c>
      <c r="O13" s="5">
        <v>86</v>
      </c>
      <c r="P13" s="33">
        <v>51.321102023092436</v>
      </c>
      <c r="Q13" s="5">
        <v>19.379948562944783</v>
      </c>
      <c r="R13" s="5">
        <v>3883.0271701317661</v>
      </c>
      <c r="S13" s="35"/>
      <c r="T13" s="23">
        <v>868470.68429316953</v>
      </c>
      <c r="U13" s="33">
        <v>174.86151749999951</v>
      </c>
      <c r="V13" s="5">
        <v>14</v>
      </c>
      <c r="W13" s="5">
        <v>92</v>
      </c>
      <c r="X13" s="33">
        <v>597.69809361446619</v>
      </c>
      <c r="Y13" s="5">
        <v>56.520423862992921</v>
      </c>
      <c r="Z13" s="5">
        <v>5605.6458989365174</v>
      </c>
      <c r="AA13" s="35"/>
    </row>
    <row r="14" spans="2:27" x14ac:dyDescent="0.2">
      <c r="B14" s="47" t="s">
        <v>3</v>
      </c>
      <c r="C14" s="48"/>
      <c r="D14" s="9">
        <f>MIN(D4:D13)</f>
        <v>693313.41777641373</v>
      </c>
      <c r="E14" s="22">
        <f>INDEX(E4:E13, MATCH($D$14, D4:D13, 0))</f>
        <v>81.592898166003579</v>
      </c>
      <c r="F14" s="9">
        <f>INDEX(F4:F13, MATCH($D$14, D4:D13, 0))</f>
        <v>9</v>
      </c>
      <c r="G14" s="9">
        <f>INDEX(G4:G13, MATCH($D$14, D4:D13, 0))</f>
        <v>92</v>
      </c>
      <c r="H14" s="22">
        <f>INDEX(H4:H13, MATCH($D$14, D4:D13, 0))</f>
        <v>43.450803169412204</v>
      </c>
      <c r="I14" s="22">
        <f>INDEX(I4:I13, MATCH($D$14, D4:D13, 0))</f>
        <v>48.844052455957829</v>
      </c>
      <c r="J14" s="22">
        <f>INDEX(J4:J13, MATCH($D$14, D4:D13, 0))</f>
        <v>4467.9023127113305</v>
      </c>
      <c r="K14" s="32" t="e">
        <f>(D14-$D$15)/$D$15</f>
        <v>#DIV/0!</v>
      </c>
      <c r="L14" s="16">
        <f>MIN(L4:L13)</f>
        <v>958445.34521520301</v>
      </c>
      <c r="M14" s="21">
        <f>INDEX(M4:M13, MATCH($L$14, L4:L13, 0))</f>
        <v>267.64251899999999</v>
      </c>
      <c r="N14" s="16">
        <f>INDEX(N4:N13, MATCH($L$14, L4:L13, 0))</f>
        <v>21</v>
      </c>
      <c r="O14" s="16">
        <f>INDEX(O4:O13, MATCH($L$14, L4:L13, 0))</f>
        <v>87</v>
      </c>
      <c r="P14" s="21">
        <f>INDEX(P4:P13, MATCH($L$14, L4:L13, 0))</f>
        <v>39.80298093779745</v>
      </c>
      <c r="Q14" s="21">
        <f>INDEX(Q4:Q13, MATCH($L$14, L4:L13, 0))</f>
        <v>19.246688851495993</v>
      </c>
      <c r="R14" s="21">
        <f>INDEX(R4:R13, MATCH($L$14, L4:L13, 0))</f>
        <v>3870.5517818695857</v>
      </c>
      <c r="S14" s="36" t="e">
        <f>(L14-$D$15)/$D$15</f>
        <v>#DIV/0!</v>
      </c>
      <c r="T14" s="38">
        <f>MIN(T4:T13)</f>
        <v>864145.30917336396</v>
      </c>
      <c r="U14" s="39">
        <f>INDEX(U4:U13, MATCH($T$14, T4:T13, 0))</f>
        <v>86.053928999999698</v>
      </c>
      <c r="V14" s="38">
        <f>INDEX(V4:V13, MATCH($T$14, T4:T13, 0))</f>
        <v>14</v>
      </c>
      <c r="W14" s="38">
        <f>INDEX(W4:W13, MATCH($T$14, T4:T13, 0))</f>
        <v>92</v>
      </c>
      <c r="X14" s="39">
        <f>INDEX(X4:X13, MATCH($T$14, T4:T13, 0))</f>
        <v>598.74006490328134</v>
      </c>
      <c r="Y14" s="39">
        <f>INDEX(Y4:Y13, MATCH($T$14, T4:T13, 0))</f>
        <v>56.148997791723055</v>
      </c>
      <c r="Z14" s="39">
        <f>INDEX(Z4:Z13, MATCH($T$14, T4:T13, 0))</f>
        <v>5571.3148385399118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0.38241280298471236</v>
      </c>
      <c r="M15" s="46">
        <f t="shared" ref="M15:R15" si="0">(M14-E14)/E14</f>
        <v>2.2802183157591975</v>
      </c>
      <c r="N15" s="46">
        <f t="shared" si="0"/>
        <v>1.3333333333333333</v>
      </c>
      <c r="O15" s="46">
        <f t="shared" si="0"/>
        <v>-5.434782608695652E-2</v>
      </c>
      <c r="P15" s="46">
        <f t="shared" si="0"/>
        <v>-8.3952929877777013E-2</v>
      </c>
      <c r="Q15" s="46">
        <f t="shared" si="0"/>
        <v>-0.60595634711410296</v>
      </c>
      <c r="R15" s="46">
        <f t="shared" si="0"/>
        <v>-0.1336982075776954</v>
      </c>
      <c r="T15" s="46">
        <f>(T14-D14)/D14</f>
        <v>0.24639922871367495</v>
      </c>
      <c r="U15" s="46">
        <f t="shared" ref="U15:Z15" si="1">(U14-E14)/E14</f>
        <v>5.467425393960143E-2</v>
      </c>
      <c r="V15" s="46">
        <f t="shared" si="1"/>
        <v>0.55555555555555558</v>
      </c>
      <c r="W15" s="46">
        <f t="shared" si="1"/>
        <v>0</v>
      </c>
      <c r="X15" s="46">
        <f t="shared" si="1"/>
        <v>12.779723761810063</v>
      </c>
      <c r="Y15" s="46">
        <f t="shared" si="1"/>
        <v>0.14955649600024523</v>
      </c>
      <c r="Z15" s="46">
        <f t="shared" si="1"/>
        <v>0.24696433552034833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9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17:C2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results56</vt:lpstr>
      <vt:lpstr>results257</vt:lpstr>
      <vt:lpstr>results403</vt:lpstr>
      <vt:lpstr>results580</vt:lpstr>
      <vt:lpstr>results583</vt:lpstr>
      <vt:lpstr>results597</vt:lpstr>
      <vt:lpstr>results663</vt:lpstr>
      <vt:lpstr>results795</vt:lpstr>
      <vt:lpstr>results918</vt:lpstr>
      <vt:lpstr>results944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2026-10-16T19:32:49Z</dcterms:modified>
</cp:coreProperties>
</file>