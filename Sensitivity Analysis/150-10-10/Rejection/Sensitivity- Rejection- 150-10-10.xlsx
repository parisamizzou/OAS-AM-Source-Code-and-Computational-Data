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Large/150-10-10/Rejection/"/>
    </mc:Choice>
  </mc:AlternateContent>
  <xr:revisionPtr revIDLastSave="0" documentId="13_ncr:1_{5F9C0BA4-B89C-6146-902F-7AE5848C57FA}" xr6:coauthVersionLast="47" xr6:coauthVersionMax="47" xr10:uidLastSave="{00000000-0000-0000-0000-000000000000}"/>
  <bookViews>
    <workbookView xWindow="0" yWindow="740" windowWidth="34560" windowHeight="21600" tabRatio="842" xr2:uid="{41E620E7-D6DF-9342-B452-EA60AB3B07C5}"/>
  </bookViews>
  <sheets>
    <sheet name="Summary" sheetId="68" r:id="rId1"/>
    <sheet name="results45" sheetId="63" r:id="rId2"/>
    <sheet name="results229" sheetId="69" r:id="rId3"/>
    <sheet name="results268" sheetId="70" r:id="rId4"/>
    <sheet name="results346" sheetId="71" r:id="rId5"/>
    <sheet name="results418" sheetId="72" r:id="rId6"/>
    <sheet name="results464" sheetId="76" r:id="rId7"/>
    <sheet name="results658" sheetId="77" r:id="rId8"/>
    <sheet name="results720" sheetId="73" r:id="rId9"/>
    <sheet name="results846" sheetId="74" r:id="rId10"/>
    <sheet name="results910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G14" i="75" s="1"/>
  <c r="D14" i="74"/>
  <c r="K14" i="74" s="1"/>
  <c r="D14" i="73"/>
  <c r="I14" i="73" s="1"/>
  <c r="D14" i="77"/>
  <c r="D14" i="76"/>
  <c r="E14" i="76" s="1"/>
  <c r="D14" i="72"/>
  <c r="K14" i="72" s="1"/>
  <c r="D14" i="71"/>
  <c r="D14" i="70"/>
  <c r="E14" i="70" s="1"/>
  <c r="D14" i="69"/>
  <c r="G14" i="69" s="1"/>
  <c r="H14" i="75" l="1"/>
  <c r="E14" i="75"/>
  <c r="I14" i="75"/>
  <c r="J14" i="75"/>
  <c r="F14" i="75"/>
  <c r="K14" i="75"/>
  <c r="I14" i="74"/>
  <c r="J14" i="74"/>
  <c r="E14" i="74"/>
  <c r="F14" i="74"/>
  <c r="G14" i="74"/>
  <c r="H14" i="74"/>
  <c r="K14" i="73"/>
  <c r="E14" i="73"/>
  <c r="F14" i="73"/>
  <c r="J14" i="73"/>
  <c r="G14" i="73"/>
  <c r="H14" i="73"/>
  <c r="J14" i="77"/>
  <c r="E14" i="77"/>
  <c r="F14" i="77"/>
  <c r="G14" i="77"/>
  <c r="I14" i="77"/>
  <c r="K14" i="77"/>
  <c r="H14" i="77"/>
  <c r="G14" i="76"/>
  <c r="I14" i="76"/>
  <c r="J14" i="76"/>
  <c r="K14" i="76"/>
  <c r="F14" i="76"/>
  <c r="H14" i="76"/>
  <c r="I14" i="72"/>
  <c r="J14" i="72"/>
  <c r="H14" i="72"/>
  <c r="E14" i="72"/>
  <c r="G14" i="72"/>
  <c r="F14" i="72"/>
  <c r="G14" i="71"/>
  <c r="H14" i="71"/>
  <c r="F14" i="71"/>
  <c r="E14" i="71"/>
  <c r="I14" i="71"/>
  <c r="J14" i="71"/>
  <c r="K14" i="71"/>
  <c r="K14" i="70"/>
  <c r="G14" i="70"/>
  <c r="F14" i="70"/>
  <c r="H14" i="70"/>
  <c r="J14" i="70"/>
  <c r="I14" i="70"/>
  <c r="F14" i="69"/>
  <c r="I14" i="69"/>
  <c r="J14" i="69"/>
  <c r="K14" i="69"/>
  <c r="E14" i="69"/>
  <c r="H14" i="69"/>
  <c r="C12" i="68" a="1"/>
  <c r="C10" i="68" a="1"/>
  <c r="F7" i="68" a="1"/>
  <c r="F3" i="68" a="1"/>
  <c r="C8" i="68" a="1"/>
  <c r="E7" i="68" a="1"/>
  <c r="E3" i="68" a="1"/>
  <c r="F12" i="68" a="1"/>
  <c r="H12" i="68" a="1"/>
  <c r="G8" i="68" a="1"/>
  <c r="H9" i="68" a="1"/>
  <c r="H10" i="68" a="1"/>
  <c r="C5" i="68" a="1"/>
  <c r="I3" i="68" a="1"/>
  <c r="D7" i="68" a="1"/>
  <c r="F6" i="68" a="1"/>
  <c r="E8" i="68" a="1"/>
  <c r="D5" i="68" a="1"/>
  <c r="C4" i="68" a="1"/>
  <c r="F11" i="68" a="1"/>
  <c r="I11" i="68" a="1"/>
  <c r="I8" i="68" a="1"/>
  <c r="E6" i="68" a="1"/>
  <c r="H6" i="68" a="1"/>
  <c r="C3" i="68" a="1"/>
  <c r="G5" i="68" a="1"/>
  <c r="D9" i="68" a="1"/>
  <c r="G9" i="68" a="1"/>
  <c r="E5" i="68" a="1"/>
  <c r="G7" i="68" a="1"/>
  <c r="F4" i="68" a="1"/>
  <c r="E9" i="68" a="1"/>
  <c r="I4" i="68" a="1"/>
  <c r="F9" i="68" a="1"/>
  <c r="E4" i="68" a="1"/>
  <c r="G11" i="68" a="1"/>
  <c r="I9" i="68" a="1"/>
  <c r="H3" i="68" a="1"/>
  <c r="H11" i="68" a="1"/>
  <c r="D8" i="68" a="1"/>
  <c r="G10" i="68" a="1"/>
  <c r="H7" i="68" a="1"/>
  <c r="F8" i="68" a="1"/>
  <c r="C6" i="68" a="1"/>
  <c r="I7" i="68" a="1"/>
  <c r="E10" i="68" a="1"/>
  <c r="D12" i="68" a="1"/>
  <c r="D11" i="68" a="1"/>
  <c r="D10" i="68" a="1"/>
  <c r="C9" i="68" a="1"/>
  <c r="G3" i="68" a="1"/>
  <c r="H8" i="68" a="1"/>
  <c r="G12" i="68" a="1"/>
  <c r="D6" i="68" a="1"/>
  <c r="G4" i="68" a="1"/>
  <c r="I5" i="68" a="1"/>
  <c r="I10" i="68" a="1"/>
  <c r="G6" i="68" a="1"/>
  <c r="H5" i="68" a="1"/>
  <c r="E11" i="68" a="1"/>
  <c r="E12" i="68" a="1"/>
  <c r="I6" i="68" a="1"/>
  <c r="C7" i="68" a="1"/>
  <c r="F5" i="68" a="1"/>
  <c r="C11" i="68" a="1"/>
  <c r="F10" i="68" a="1"/>
  <c r="D4" i="68" a="1"/>
  <c r="H4" i="68" a="1"/>
  <c r="I12" i="68" a="1"/>
  <c r="C10" i="68" l="1"/>
  <c r="D10" i="68"/>
  <c r="E3" i="68"/>
  <c r="G9" i="68"/>
  <c r="I3" i="68"/>
  <c r="H3" i="68"/>
  <c r="C4" i="68"/>
  <c r="D7" i="68"/>
  <c r="I10" i="68"/>
  <c r="H5" i="68"/>
  <c r="D6" i="68"/>
  <c r="H11" i="68"/>
  <c r="E8" i="68"/>
  <c r="E11" i="68"/>
  <c r="C3" i="68"/>
  <c r="I7" i="68"/>
  <c r="E7" i="68"/>
  <c r="E5" i="68"/>
  <c r="C7" i="68"/>
  <c r="H4" i="68"/>
  <c r="I6" i="68"/>
  <c r="F8" i="68"/>
  <c r="D8" i="68"/>
  <c r="C9" i="68"/>
  <c r="G7" i="68"/>
  <c r="G3" i="68"/>
  <c r="H6" i="68"/>
  <c r="E6" i="68"/>
  <c r="I12" i="68"/>
  <c r="G6" i="68"/>
  <c r="F9" i="68"/>
  <c r="D4" i="68"/>
  <c r="F12" i="68"/>
  <c r="I8" i="68"/>
  <c r="F10" i="68"/>
  <c r="D9" i="68"/>
  <c r="F4" i="68"/>
  <c r="H7" i="68"/>
  <c r="E9" i="68"/>
  <c r="G12" i="68"/>
  <c r="H10" i="68"/>
  <c r="F3" i="68"/>
  <c r="I4" i="68"/>
  <c r="I11" i="68"/>
  <c r="C12" i="68"/>
  <c r="I9" i="68"/>
  <c r="F5" i="68"/>
  <c r="E4" i="68"/>
  <c r="F6" i="68"/>
  <c r="C5" i="68"/>
  <c r="G11" i="68"/>
  <c r="F11" i="68"/>
  <c r="H12" i="68"/>
  <c r="C6" i="68"/>
  <c r="F7" i="68"/>
  <c r="G5" i="68"/>
  <c r="D11" i="68"/>
  <c r="G4" i="68"/>
  <c r="C8" i="68"/>
  <c r="E12" i="68"/>
  <c r="H9" i="68"/>
  <c r="G8" i="68"/>
  <c r="H8" i="68"/>
  <c r="D5" i="68"/>
  <c r="D12" i="68"/>
  <c r="I5" i="68"/>
  <c r="E10" i="68"/>
  <c r="G10" i="68"/>
  <c r="C11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T14" i="75" l="1"/>
  <c r="U14" i="75" s="1"/>
  <c r="L14" i="75"/>
  <c r="P14" i="75" s="1"/>
  <c r="T14" i="74"/>
  <c r="Z14" i="74" s="1"/>
  <c r="Z15" i="74" s="1"/>
  <c r="L14" i="74"/>
  <c r="Q14" i="74" s="1"/>
  <c r="T14" i="77"/>
  <c r="V14" i="77" s="1"/>
  <c r="L14" i="77"/>
  <c r="R14" i="77" s="1"/>
  <c r="T14" i="73"/>
  <c r="AA14" i="73" s="1"/>
  <c r="L14" i="73"/>
  <c r="T14" i="76"/>
  <c r="U14" i="76" s="1"/>
  <c r="L14" i="76"/>
  <c r="N14" i="76" s="1"/>
  <c r="T14" i="72"/>
  <c r="Z14" i="72" s="1"/>
  <c r="L14" i="72"/>
  <c r="L14" i="71"/>
  <c r="T14" i="71"/>
  <c r="AA14" i="71" s="1"/>
  <c r="L14" i="70"/>
  <c r="T14" i="70"/>
  <c r="Y14" i="70" s="1"/>
  <c r="T14" i="69"/>
  <c r="AA14" i="69" s="1"/>
  <c r="L14" i="69"/>
  <c r="P14" i="69" s="1"/>
  <c r="P15" i="69" s="1"/>
  <c r="Q14" i="71"/>
  <c r="Q15" i="71" s="1"/>
  <c r="Q14" i="75"/>
  <c r="R14" i="73"/>
  <c r="R15" i="73" s="1"/>
  <c r="N14" i="69"/>
  <c r="M14" i="69"/>
  <c r="M15" i="69" s="1"/>
  <c r="L15" i="72"/>
  <c r="O14" i="71"/>
  <c r="R14" i="71"/>
  <c r="R2" i="71" s="1"/>
  <c r="M14" i="71"/>
  <c r="R14" i="70"/>
  <c r="P14" i="77"/>
  <c r="O14" i="75"/>
  <c r="L15" i="75"/>
  <c r="N14" i="71"/>
  <c r="P14" i="72"/>
  <c r="S14" i="72"/>
  <c r="Q14" i="69"/>
  <c r="R14" i="69"/>
  <c r="R15" i="69" s="1"/>
  <c r="L15" i="69"/>
  <c r="Q14" i="72"/>
  <c r="Q14" i="70"/>
  <c r="M14" i="72"/>
  <c r="W14" i="77"/>
  <c r="R14" i="74"/>
  <c r="O14" i="72"/>
  <c r="L15" i="71"/>
  <c r="R14" i="72"/>
  <c r="S14" i="77"/>
  <c r="S14" i="74"/>
  <c r="O14" i="69"/>
  <c r="M14" i="74"/>
  <c r="P14" i="71"/>
  <c r="Q14" i="76"/>
  <c r="M14" i="76"/>
  <c r="N14" i="74"/>
  <c r="L15" i="76"/>
  <c r="N14" i="70"/>
  <c r="L15" i="74"/>
  <c r="M14" i="70"/>
  <c r="L15" i="70"/>
  <c r="N14" i="77"/>
  <c r="O14" i="70"/>
  <c r="S14" i="70"/>
  <c r="Q14" i="77"/>
  <c r="N14" i="72"/>
  <c r="P14" i="74"/>
  <c r="P14" i="70"/>
  <c r="E13" i="68"/>
  <c r="C13" i="68"/>
  <c r="J13" i="68" s="1"/>
  <c r="G13" i="68"/>
  <c r="F13" i="68"/>
  <c r="H13" i="68"/>
  <c r="I13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O4" i="68" a="1"/>
  <c r="P11" i="68" a="1"/>
  <c r="K7" i="68" a="1"/>
  <c r="K6" i="68" a="1"/>
  <c r="L8" i="68" a="1"/>
  <c r="M5" i="68" a="1"/>
  <c r="L6" i="68" a="1"/>
  <c r="O6" i="68" a="1"/>
  <c r="P5" i="68" a="1"/>
  <c r="K11" i="68" a="1"/>
  <c r="L4" i="68" a="1"/>
  <c r="X5" i="68" a="1"/>
  <c r="Q6" i="68" a="1"/>
  <c r="K5" i="68" a="1"/>
  <c r="N4" i="68" a="1"/>
  <c r="P6" i="68" a="1"/>
  <c r="S11" i="68" a="1"/>
  <c r="Q9" i="68" a="1"/>
  <c r="N12" i="68" a="1"/>
  <c r="T12" i="68" a="1"/>
  <c r="Q11" i="68" a="1"/>
  <c r="Q10" i="68" a="1"/>
  <c r="M11" i="68" a="1"/>
  <c r="M4" i="68" a="1"/>
  <c r="P7" i="68" a="1"/>
  <c r="N5" i="68" a="1"/>
  <c r="N7" i="68" a="1"/>
  <c r="O5" i="68" a="1"/>
  <c r="O11" i="68" a="1"/>
  <c r="S10" i="68" a="1"/>
  <c r="Q5" i="68" a="1"/>
  <c r="T8" i="68" a="1"/>
  <c r="P12" i="68" a="1"/>
  <c r="V9" i="68" a="1"/>
  <c r="S8" i="68" a="1"/>
  <c r="O9" i="68" a="1"/>
  <c r="P4" i="68" a="1"/>
  <c r="P9" i="68" a="1"/>
  <c r="S9" i="68" a="1"/>
  <c r="O7" i="68" a="1"/>
  <c r="M9" i="68" a="1"/>
  <c r="M8" i="68" a="1"/>
  <c r="K8" i="68" a="1"/>
  <c r="L7" i="68" a="1"/>
  <c r="S6" i="68" a="1"/>
  <c r="O12" i="68" a="1"/>
  <c r="Q7" i="68" a="1"/>
  <c r="P8" i="68" a="1"/>
  <c r="K12" i="68" a="1"/>
  <c r="M6" i="68" a="1"/>
  <c r="N6" i="68" a="1"/>
  <c r="S5" i="68" a="1"/>
  <c r="M7" i="68" a="1"/>
  <c r="L11" i="68" a="1"/>
  <c r="K9" i="68" a="1"/>
  <c r="K4" i="68" a="1"/>
  <c r="Y11" i="68" a="1"/>
  <c r="S4" i="68" a="1"/>
  <c r="Q4" i="68" a="1"/>
  <c r="Y7" i="68" a="1"/>
  <c r="L5" i="68" a="1"/>
  <c r="S7" i="68" a="1"/>
  <c r="K10" i="68" a="1"/>
  <c r="S12" i="68" a="1"/>
  <c r="U9" i="68" a="1"/>
  <c r="T15" i="74" l="1"/>
  <c r="AA14" i="74"/>
  <c r="V14" i="74"/>
  <c r="Y14" i="75"/>
  <c r="X14" i="74"/>
  <c r="W14" i="74"/>
  <c r="Y14" i="74"/>
  <c r="M14" i="75"/>
  <c r="M15" i="75" s="1"/>
  <c r="V14" i="75"/>
  <c r="T15" i="75"/>
  <c r="Z14" i="75"/>
  <c r="Z15" i="75" s="1"/>
  <c r="AA14" i="75"/>
  <c r="U14" i="73"/>
  <c r="R14" i="75"/>
  <c r="N14" i="75"/>
  <c r="X14" i="75"/>
  <c r="W14" i="75"/>
  <c r="W15" i="75" s="1"/>
  <c r="S14" i="75"/>
  <c r="Z14" i="73"/>
  <c r="Z15" i="73" s="1"/>
  <c r="K12" i="68"/>
  <c r="S12" i="68"/>
  <c r="O14" i="74"/>
  <c r="K11" i="68"/>
  <c r="S11" i="68"/>
  <c r="U14" i="74"/>
  <c r="O14" i="77"/>
  <c r="L15" i="77"/>
  <c r="S9" i="68"/>
  <c r="K9" i="68"/>
  <c r="U14" i="77"/>
  <c r="U15" i="77" s="1"/>
  <c r="Y14" i="77"/>
  <c r="T15" i="77"/>
  <c r="AA14" i="77"/>
  <c r="Z14" i="77"/>
  <c r="Z15" i="77" s="1"/>
  <c r="X14" i="77"/>
  <c r="X15" i="77" s="1"/>
  <c r="M14" i="77"/>
  <c r="X14" i="73"/>
  <c r="X15" i="73" s="1"/>
  <c r="Y14" i="73"/>
  <c r="Y15" i="73" s="1"/>
  <c r="T15" i="73"/>
  <c r="K10" i="68"/>
  <c r="S10" i="68"/>
  <c r="V14" i="73"/>
  <c r="X14" i="72"/>
  <c r="N14" i="73"/>
  <c r="L15" i="73"/>
  <c r="W14" i="73"/>
  <c r="P14" i="73"/>
  <c r="M14" i="73"/>
  <c r="U14" i="70"/>
  <c r="S14" i="73"/>
  <c r="O14" i="73"/>
  <c r="Q14" i="73"/>
  <c r="Q15" i="73" s="1"/>
  <c r="X14" i="69"/>
  <c r="Z14" i="69"/>
  <c r="Z15" i="69" s="1"/>
  <c r="Y14" i="72"/>
  <c r="Y15" i="72" s="1"/>
  <c r="T15" i="70"/>
  <c r="T15" i="72"/>
  <c r="R14" i="76"/>
  <c r="R2" i="76" s="1"/>
  <c r="P14" i="76"/>
  <c r="P15" i="76" s="1"/>
  <c r="X14" i="76"/>
  <c r="S14" i="76"/>
  <c r="X14" i="71"/>
  <c r="T15" i="76"/>
  <c r="AA14" i="72"/>
  <c r="U14" i="72"/>
  <c r="U14" i="69"/>
  <c r="U15" i="69" s="1"/>
  <c r="AA14" i="70"/>
  <c r="O14" i="76"/>
  <c r="O15" i="76" s="1"/>
  <c r="Z14" i="71"/>
  <c r="Z15" i="71" s="1"/>
  <c r="V14" i="72"/>
  <c r="W14" i="70"/>
  <c r="W15" i="70" s="1"/>
  <c r="W14" i="71"/>
  <c r="X14" i="70"/>
  <c r="X15" i="70" s="1"/>
  <c r="V14" i="76"/>
  <c r="T15" i="71"/>
  <c r="Y14" i="71"/>
  <c r="Y15" i="71" s="1"/>
  <c r="V14" i="71"/>
  <c r="K8" i="68"/>
  <c r="S8" i="68"/>
  <c r="Y14" i="69"/>
  <c r="Y15" i="69" s="1"/>
  <c r="V14" i="69"/>
  <c r="V15" i="69" s="1"/>
  <c r="Z14" i="76"/>
  <c r="Z15" i="76" s="1"/>
  <c r="AA14" i="76"/>
  <c r="W14" i="76"/>
  <c r="W15" i="76" s="1"/>
  <c r="Y14" i="76"/>
  <c r="V14" i="70"/>
  <c r="V15" i="70" s="1"/>
  <c r="K7" i="68"/>
  <c r="S7" i="68"/>
  <c r="W14" i="69"/>
  <c r="W15" i="69" s="1"/>
  <c r="W14" i="72"/>
  <c r="T15" i="69"/>
  <c r="S6" i="68"/>
  <c r="K6" i="68"/>
  <c r="U14" i="71"/>
  <c r="S14" i="71"/>
  <c r="S5" i="68"/>
  <c r="K5" i="68"/>
  <c r="Z14" i="70"/>
  <c r="K4" i="68"/>
  <c r="S4" i="68"/>
  <c r="S14" i="69"/>
  <c r="P6" i="68"/>
  <c r="Y11" i="68"/>
  <c r="O12" i="68"/>
  <c r="T12" i="68"/>
  <c r="N12" i="68"/>
  <c r="P12" i="68"/>
  <c r="P15" i="75"/>
  <c r="Y15" i="75"/>
  <c r="U15" i="75"/>
  <c r="O15" i="75"/>
  <c r="Q15" i="75"/>
  <c r="O11" i="68"/>
  <c r="M11" i="68"/>
  <c r="P11" i="68"/>
  <c r="L11" i="68"/>
  <c r="Q11" i="68"/>
  <c r="O15" i="74"/>
  <c r="N15" i="74"/>
  <c r="Q15" i="74"/>
  <c r="M15" i="74"/>
  <c r="R2" i="74"/>
  <c r="Q10" i="68"/>
  <c r="P2" i="75"/>
  <c r="R2" i="73"/>
  <c r="O15" i="73"/>
  <c r="M9" i="68"/>
  <c r="U9" i="68"/>
  <c r="M4" i="68"/>
  <c r="Q9" i="68"/>
  <c r="V9" i="68"/>
  <c r="P9" i="68"/>
  <c r="O9" i="68"/>
  <c r="N15" i="77"/>
  <c r="Y15" i="77"/>
  <c r="V15" i="77"/>
  <c r="R15" i="77"/>
  <c r="R2" i="77"/>
  <c r="N15" i="69"/>
  <c r="W15" i="77"/>
  <c r="Q15" i="77"/>
  <c r="O15" i="77"/>
  <c r="P2" i="77"/>
  <c r="T8" i="68"/>
  <c r="L8" i="68"/>
  <c r="M8" i="68"/>
  <c r="P8" i="68"/>
  <c r="L4" i="68"/>
  <c r="U15" i="76"/>
  <c r="M15" i="76"/>
  <c r="N15" i="76"/>
  <c r="Q15" i="76"/>
  <c r="N7" i="68"/>
  <c r="O7" i="68"/>
  <c r="M7" i="68"/>
  <c r="Y7" i="68"/>
  <c r="L7" i="68"/>
  <c r="P7" i="68"/>
  <c r="Q7" i="68"/>
  <c r="O15" i="72"/>
  <c r="P2" i="72"/>
  <c r="N15" i="72"/>
  <c r="Z15" i="72"/>
  <c r="M15" i="72"/>
  <c r="Q15" i="72"/>
  <c r="R2" i="72"/>
  <c r="L6" i="68"/>
  <c r="Q6" i="68"/>
  <c r="N6" i="68"/>
  <c r="O6" i="68"/>
  <c r="M6" i="68"/>
  <c r="M15" i="71"/>
  <c r="O15" i="71"/>
  <c r="P2" i="71"/>
  <c r="R15" i="71"/>
  <c r="N15" i="71"/>
  <c r="P15" i="77"/>
  <c r="L5" i="68"/>
  <c r="O5" i="68"/>
  <c r="P5" i="68"/>
  <c r="N5" i="68"/>
  <c r="X5" i="68"/>
  <c r="Q5" i="68"/>
  <c r="M5" i="68"/>
  <c r="M15" i="70"/>
  <c r="P2" i="70"/>
  <c r="Q15" i="70"/>
  <c r="O15" i="70"/>
  <c r="R15" i="74"/>
  <c r="Y15" i="70"/>
  <c r="R2" i="70"/>
  <c r="R15" i="70"/>
  <c r="P15" i="72"/>
  <c r="N15" i="70"/>
  <c r="P4" i="68"/>
  <c r="O4" i="68"/>
  <c r="N4" i="68"/>
  <c r="Q4" i="68"/>
  <c r="Q15" i="69"/>
  <c r="P2" i="69"/>
  <c r="O15" i="69"/>
  <c r="R2" i="69"/>
  <c r="P15" i="71"/>
  <c r="R15" i="72"/>
  <c r="P15" i="70"/>
  <c r="P2" i="74"/>
  <c r="P15" i="74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Y9" i="68" a="1"/>
  <c r="W6" i="68" a="1"/>
  <c r="U8" i="68" a="1"/>
  <c r="N11" i="68" a="1"/>
  <c r="W8" i="68" a="1"/>
  <c r="V6" i="68" a="1"/>
  <c r="X12" i="68" a="1"/>
  <c r="Y10" i="68" a="1"/>
  <c r="N8" i="68" a="1"/>
  <c r="N9" i="68" a="1"/>
  <c r="L12" i="68" a="1"/>
  <c r="U6" i="68" a="1"/>
  <c r="V7" i="68" a="1"/>
  <c r="U11" i="68" a="1"/>
  <c r="P10" i="68" a="1"/>
  <c r="M10" i="68" a="1"/>
  <c r="U4" i="68" a="1"/>
  <c r="V5" i="68" a="1"/>
  <c r="X10" i="68" a="1"/>
  <c r="O10" i="68" a="1"/>
  <c r="Y5" i="68" a="1"/>
  <c r="T6" i="68" a="1"/>
  <c r="U10" i="68" a="1"/>
  <c r="V10" i="68" a="1"/>
  <c r="W4" i="68" a="1"/>
  <c r="Q8" i="68" a="1"/>
  <c r="T10" i="68" a="1"/>
  <c r="Y4" i="68" a="1"/>
  <c r="T9" i="68" a="1"/>
  <c r="V4" i="68" a="1"/>
  <c r="M12" i="68" a="1"/>
  <c r="X6" i="68" a="1"/>
  <c r="X7" i="68" a="1"/>
  <c r="T5" i="68" a="1"/>
  <c r="Q12" i="68" a="1"/>
  <c r="T4" i="68" a="1"/>
  <c r="V11" i="68" a="1"/>
  <c r="W9" i="68" a="1"/>
  <c r="Y8" i="68" a="1"/>
  <c r="O8" i="68" a="1"/>
  <c r="Y12" i="68" a="1"/>
  <c r="X9" i="68" a="1"/>
  <c r="W7" i="68" a="1"/>
  <c r="V8" i="68" a="1"/>
  <c r="T11" i="68" a="1"/>
  <c r="Y6" i="68" a="1"/>
  <c r="X4" i="68" a="1"/>
  <c r="X8" i="68" a="1"/>
  <c r="W12" i="68" a="1"/>
  <c r="V12" i="68" a="1"/>
  <c r="X11" i="68" a="1"/>
  <c r="L9" i="68" a="1"/>
  <c r="U5" i="68" a="1"/>
  <c r="T7" i="68" a="1"/>
  <c r="W11" i="68" a="1"/>
  <c r="L10" i="68" a="1"/>
  <c r="N10" i="68" a="1"/>
  <c r="W5" i="68" a="1"/>
  <c r="U7" i="68" a="1"/>
  <c r="U12" i="68" a="1"/>
  <c r="W10" i="68" a="1"/>
  <c r="X12" i="68" l="1"/>
  <c r="U11" i="68"/>
  <c r="V15" i="74"/>
  <c r="W12" i="68"/>
  <c r="M12" i="68"/>
  <c r="Q12" i="68"/>
  <c r="T10" i="68"/>
  <c r="U12" i="68"/>
  <c r="L12" i="68"/>
  <c r="X11" i="68"/>
  <c r="V11" i="68"/>
  <c r="W11" i="68"/>
  <c r="Y10" i="68"/>
  <c r="V12" i="68"/>
  <c r="Y12" i="68"/>
  <c r="R2" i="75"/>
  <c r="Y15" i="74"/>
  <c r="W15" i="74"/>
  <c r="V15" i="75"/>
  <c r="X15" i="74"/>
  <c r="R15" i="75"/>
  <c r="U15" i="73"/>
  <c r="N15" i="75"/>
  <c r="X15" i="75"/>
  <c r="N11" i="68"/>
  <c r="T11" i="68"/>
  <c r="U15" i="74"/>
  <c r="N9" i="68"/>
  <c r="Y9" i="68"/>
  <c r="T9" i="68"/>
  <c r="L9" i="68"/>
  <c r="W9" i="68"/>
  <c r="X9" i="68"/>
  <c r="M15" i="77"/>
  <c r="X10" i="68"/>
  <c r="W10" i="68"/>
  <c r="T5" i="68"/>
  <c r="L10" i="68"/>
  <c r="O10" i="68"/>
  <c r="V10" i="68"/>
  <c r="M10" i="68"/>
  <c r="W7" i="68"/>
  <c r="U10" i="68"/>
  <c r="P10" i="68"/>
  <c r="N10" i="68"/>
  <c r="P2" i="73"/>
  <c r="M15" i="73"/>
  <c r="W15" i="73"/>
  <c r="P15" i="73"/>
  <c r="N15" i="73"/>
  <c r="V15" i="73"/>
  <c r="U15" i="70"/>
  <c r="X15" i="72"/>
  <c r="W4" i="68"/>
  <c r="X6" i="68"/>
  <c r="U8" i="68"/>
  <c r="W5" i="68"/>
  <c r="V6" i="68"/>
  <c r="U6" i="68"/>
  <c r="V5" i="68"/>
  <c r="U7" i="68"/>
  <c r="O8" i="68"/>
  <c r="Y6" i="68"/>
  <c r="X7" i="68"/>
  <c r="Y4" i="68"/>
  <c r="N8" i="68"/>
  <c r="Q8" i="68"/>
  <c r="T4" i="68"/>
  <c r="T7" i="68"/>
  <c r="W6" i="68"/>
  <c r="W8" i="68"/>
  <c r="R15" i="76"/>
  <c r="X15" i="69"/>
  <c r="W15" i="71"/>
  <c r="V15" i="71"/>
  <c r="V15" i="76"/>
  <c r="P2" i="76"/>
  <c r="U15" i="72"/>
  <c r="X15" i="71"/>
  <c r="V15" i="72"/>
  <c r="X15" i="76"/>
  <c r="V8" i="68"/>
  <c r="Y8" i="68"/>
  <c r="X8" i="68"/>
  <c r="U4" i="68"/>
  <c r="X4" i="68"/>
  <c r="Y15" i="76"/>
  <c r="U5" i="68"/>
  <c r="V7" i="68"/>
  <c r="V4" i="68"/>
  <c r="W15" i="72"/>
  <c r="T6" i="68"/>
  <c r="U15" i="71"/>
  <c r="Y5" i="68"/>
  <c r="Z15" i="70"/>
  <c r="T14" i="63"/>
  <c r="G14" i="26"/>
  <c r="E14" i="26"/>
  <c r="D14" i="26"/>
  <c r="K14" i="26"/>
  <c r="P14" i="25"/>
  <c r="N14" i="25"/>
  <c r="M14" i="25"/>
  <c r="T14" i="25"/>
  <c r="D14" i="25"/>
  <c r="S3" i="68" a="1"/>
  <c r="H4" i="23" a="1"/>
  <c r="I4" i="23" a="1"/>
  <c r="S3" i="68" l="1"/>
  <c r="S13" i="68" s="1"/>
  <c r="E18" i="68" s="1"/>
  <c r="V14" i="63"/>
  <c r="D14" i="63"/>
  <c r="K14" i="63" s="1"/>
  <c r="L14" i="63"/>
  <c r="U14" i="63"/>
  <c r="W14" i="63"/>
  <c r="Z14" i="63"/>
  <c r="X14" i="63"/>
  <c r="AA14" i="63"/>
  <c r="Y14" i="63"/>
  <c r="H4" i="23"/>
  <c r="I4" i="23"/>
  <c r="F12" i="23" a="1"/>
  <c r="E9" i="23" a="1"/>
  <c r="E12" i="23" a="1"/>
  <c r="E10" i="23" a="1"/>
  <c r="E11" i="23" a="1"/>
  <c r="D6" i="23" a="1"/>
  <c r="E5" i="23" a="1"/>
  <c r="F13" i="23" a="1"/>
  <c r="T3" i="68" a="1"/>
  <c r="V3" i="68" a="1"/>
  <c r="G10" i="23" a="1"/>
  <c r="G13" i="23" a="1"/>
  <c r="G11" i="23" a="1"/>
  <c r="D11" i="23" a="1"/>
  <c r="E6" i="23" a="1"/>
  <c r="E13" i="23" a="1"/>
  <c r="F11" i="23" a="1"/>
  <c r="E8" i="23" a="1"/>
  <c r="F5" i="23" a="1"/>
  <c r="E4" i="23" a="1"/>
  <c r="F4" i="23" a="1"/>
  <c r="G4" i="23" a="1"/>
  <c r="G8" i="23" a="1"/>
  <c r="G9" i="23" a="1"/>
  <c r="Y3" i="68" a="1"/>
  <c r="F10" i="23" a="1"/>
  <c r="X3" i="68" a="1"/>
  <c r="F6" i="23" a="1"/>
  <c r="D10" i="23" a="1"/>
  <c r="F8" i="23" a="1"/>
  <c r="D9" i="23" a="1"/>
  <c r="W3" i="68" a="1"/>
  <c r="F9" i="23" a="1"/>
  <c r="D5" i="23" a="1"/>
  <c r="D12" i="23" a="1"/>
  <c r="G7" i="23" a="1"/>
  <c r="G12" i="23" a="1"/>
  <c r="F7" i="23" a="1"/>
  <c r="D4" i="23" a="1"/>
  <c r="D8" i="23" a="1"/>
  <c r="G6" i="23" a="1"/>
  <c r="U3" i="68" a="1"/>
  <c r="G5" i="23" a="1"/>
  <c r="D13" i="23" a="1"/>
  <c r="E7" i="23" a="1"/>
  <c r="K3" i="68" a="1"/>
  <c r="D7" i="23" a="1"/>
  <c r="T3" i="68" l="1"/>
  <c r="T13" i="68" s="1"/>
  <c r="X3" i="68"/>
  <c r="X13" i="68" s="1"/>
  <c r="V3" i="68"/>
  <c r="V13" i="68" s="1"/>
  <c r="K3" i="68"/>
  <c r="K13" i="68" s="1"/>
  <c r="D18" i="68" s="1"/>
  <c r="W3" i="68"/>
  <c r="W13" i="68" s="1"/>
  <c r="U3" i="68"/>
  <c r="U13" i="68" s="1"/>
  <c r="Y3" i="68"/>
  <c r="Y13" i="68" s="1"/>
  <c r="N14" i="63"/>
  <c r="Z13" i="68"/>
  <c r="S14" i="68"/>
  <c r="M14" i="63"/>
  <c r="Q14" i="63"/>
  <c r="R14" i="63"/>
  <c r="P14" i="63"/>
  <c r="S14" i="63"/>
  <c r="O14" i="63"/>
  <c r="F14" i="63"/>
  <c r="J14" i="63"/>
  <c r="G14" i="63"/>
  <c r="H14" i="63"/>
  <c r="E14" i="63"/>
  <c r="I14" i="63"/>
  <c r="T15" i="63"/>
  <c r="L15" i="63"/>
  <c r="V15" i="63"/>
  <c r="X15" i="63"/>
  <c r="W15" i="6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D3" i="68" a="1"/>
  <c r="L3" i="68" a="1"/>
  <c r="O3" i="68" a="1"/>
  <c r="M3" i="68" a="1"/>
  <c r="Q3" i="68" a="1"/>
  <c r="P3" i="68" a="1"/>
  <c r="N3" i="68" a="1"/>
  <c r="D3" i="68" l="1"/>
  <c r="D13" i="68" s="1"/>
  <c r="T14" i="68" s="1"/>
  <c r="U14" i="68"/>
  <c r="E19" i="68"/>
  <c r="W14" i="68"/>
  <c r="E22" i="68"/>
  <c r="Y14" i="68"/>
  <c r="E23" i="68"/>
  <c r="V14" i="68"/>
  <c r="E20" i="68"/>
  <c r="X14" i="68"/>
  <c r="E21" i="68"/>
  <c r="N3" i="68"/>
  <c r="N13" i="68" s="1"/>
  <c r="Q3" i="68"/>
  <c r="Q13" i="68" s="1"/>
  <c r="P3" i="68"/>
  <c r="P13" i="68" s="1"/>
  <c r="O3" i="68"/>
  <c r="O13" i="68" s="1"/>
  <c r="L3" i="68"/>
  <c r="L13" i="68" s="1"/>
  <c r="M3" i="68"/>
  <c r="M13" i="68" s="1"/>
  <c r="D19" i="68" s="1"/>
  <c r="O15" i="63"/>
  <c r="R2" i="63"/>
  <c r="R13" i="68"/>
  <c r="K14" i="68"/>
  <c r="P2" i="63"/>
  <c r="N15" i="63"/>
  <c r="Q15" i="63"/>
  <c r="M15" i="63"/>
  <c r="P15" i="63"/>
  <c r="U15" i="63"/>
  <c r="R15" i="63"/>
  <c r="Z15" i="63"/>
  <c r="Y15" i="63"/>
  <c r="L14" i="68" l="1"/>
  <c r="Q14" i="68"/>
  <c r="D23" i="68"/>
  <c r="N14" i="68"/>
  <c r="D20" i="68"/>
  <c r="O14" i="68"/>
  <c r="D22" i="68"/>
  <c r="M14" i="68"/>
  <c r="P14" i="68"/>
  <c r="D21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<sst xmlns="http://schemas.openxmlformats.org/spreadsheetml/2006/main" count="662" uniqueCount="27">
  <si>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</si>
  <si>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</si>
  <si>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</si>
  <si>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</si>
  <si>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</si>
  <si>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</si>
  <si>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</si>
  <si>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</si>
  <si>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</si>
  <si>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</si>
  <si>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</si>
  <si>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</si>
  <si>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</si>
  <si>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</si>
  <si>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</si>
  <si>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</si>
  <si>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</si>
  <si>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</si>
  <si>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</si>
  <si>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-50%</t>
  </si>
  <si>
    <t>+50%</t>
  </si>
  <si>
    <t>Changes in total cost</t>
  </si>
  <si>
    <t>Changes in # of batches</t>
  </si>
  <si>
    <t>Acceptance rate</t>
  </si>
  <si>
    <t>Average batch utilization</t>
  </si>
  <si>
    <t>Average tardiness</t>
  </si>
  <si>
    <t>average completion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</si>
</sst>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49" fontId="5" fillId="0" borderId="0" xfId="0" applyNumberFormat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B7B-A94E-4263-BFCA-D4E84F62D125}">
  <dimension ref="B1:Z23"/>
  <sheetViews>
    <sheetView tabSelected="1" zoomScale="85" zoomScaleNormal="85" workbookViewId="0">
      <selection activeCell="E18" sqref="E18:E23"/>
    </sheetView>
  </sheetViews>
  <sheetFormatPr baseColWidth="10" defaultColWidth="11.5" defaultRowHeight="16" x14ac:dyDescent="0.2"/>
  <cols>
    <col min="1" max="1" width="3.5" customWidth="1"/>
    <col min="2" max="2" width="11.5" style="1"/>
    <col min="3" max="3" width="21.1640625" bestFit="1" customWidth="1"/>
    <col min="4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47">
        <v>0</v>
      </c>
      <c r="K1" s="48">
        <v>-0.5</v>
      </c>
      <c r="S1" s="48">
        <v>0.5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1109491.730596958</v>
      </c>
      <c r="D3" s="33" cm="1">
        <f t="array" aca="1" ref="D3" ca="1">INDIRECT("'results" &amp; $B3 &amp; "'!E$14")</f>
        <v>175.83051161536085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419.06882453373214</v>
      </c>
      <c r="H3" s="33" cm="1">
        <f t="array" aca="1" ref="H3" ca="1">INDIRECT("'results" &amp; $B3 &amp; "'!I$14")</f>
        <v>49.007721434937274</v>
      </c>
      <c r="I3" s="5" cm="1">
        <f t="array" aca="1" ref="I3" ca="1">INDIRECT("'results" &amp; $B3 &amp; "'!J$14")</f>
        <v>5556.5358758104085</v>
      </c>
      <c r="J3" s="5"/>
      <c r="K3" s="5" cm="1">
        <f t="array" aca="1" ref="K3" ca="1">INDIRECT("'results" &amp; $B3 &amp; "'!L$14")</f>
        <v>1000381.382337634</v>
      </c>
      <c r="L3" s="5" cm="1">
        <f t="array" aca="1" ref="L3" ca="1">INDIRECT("'results" &amp; $B3 &amp; "'!M$14")</f>
        <v>289.69190623073905</v>
      </c>
      <c r="M3" s="5" cm="1">
        <f t="array" aca="1" ref="M3" ca="1">INDIRECT("'results" &amp; $B3 &amp; "'!N$14")</f>
        <v>10</v>
      </c>
      <c r="N3" s="5" cm="1">
        <f t="array" aca="1" ref="N3" ca="1">INDIRECT("'results" &amp; $B3 &amp; "'!O$14")</f>
        <v>84</v>
      </c>
      <c r="O3" s="5" cm="1">
        <f t="array" aca="1" ref="O3" ca="1">INDIRECT("'results" &amp; $B3 &amp; "'!P$14")</f>
        <v>86.172203360426934</v>
      </c>
      <c r="P3" s="5" cm="1">
        <f t="array" aca="1" ref="P3" ca="1">INDIRECT("'results" &amp; $B3 &amp; "'!Q$14")</f>
        <v>45.124486999445793</v>
      </c>
      <c r="Q3" s="5" cm="1">
        <f t="array" aca="1" ref="Q3" ca="1">INDIRECT("'results" &amp; $B3 &amp; "'!R$14")</f>
        <v>4932.1514440989049</v>
      </c>
      <c r="R3" s="5"/>
      <c r="S3" s="5" cm="1">
        <f t="array" aca="1" ref="S3" ca="1">INDIRECT("'results" &amp; $B3 &amp; "'!T$14")</f>
        <v>1162833.9425800119</v>
      </c>
      <c r="T3" s="5" cm="1">
        <f t="array" aca="1" ref="T3" ca="1">INDIRECT("'results" &amp; $B3 &amp; "'!U$14")</f>
        <v>212.84985838466901</v>
      </c>
      <c r="U3" s="5" cm="1">
        <f t="array" aca="1" ref="U3" ca="1">INDIRECT("'results" &amp; $B3 &amp; "'!V$14")</f>
        <v>13</v>
      </c>
      <c r="V3" s="5" cm="1">
        <f t="array" aca="1" ref="V3" ca="1">INDIRECT("'results" &amp; $B3 &amp; "'!W$14")</f>
        <v>96</v>
      </c>
      <c r="W3" s="5" cm="1">
        <f t="array" aca="1" ref="W3" ca="1">INDIRECT("'results" &amp; $B3 &amp; "'!X$14")</f>
        <v>355.44228379481621</v>
      </c>
      <c r="X3" s="5" cm="1">
        <f t="array" aca="1" ref="X3" ca="1">INDIRECT("'results" &amp; $B3 &amp; "'!Y$14")</f>
        <v>41.026626643521858</v>
      </c>
      <c r="Y3" s="5" cm="1">
        <f t="array" aca="1" ref="Y3" ca="1">INDIRECT("'results" &amp; $B3 &amp; "'!Z$14")</f>
        <v>5264.7776982348551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968127.96556841256</v>
      </c>
      <c r="D4" s="33" cm="1">
        <f t="array" aca="1" ref="D4" ca="1">INDIRECT("'results" &amp; $B4 &amp; "'!E$14")</f>
        <v>110.66876407685831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148.27568864938823</v>
      </c>
      <c r="H4" s="33" cm="1">
        <f t="array" aca="1" ref="H4" ca="1">INDIRECT("'results" &amp; $B4 &amp; "'!I$14")</f>
        <v>41.044499047729481</v>
      </c>
      <c r="I4" s="5" cm="1">
        <f t="array" aca="1" ref="I4" ca="1">INDIRECT("'results" &amp; $B4 &amp; "'!J$14")</f>
        <v>4730.6926525659665</v>
      </c>
      <c r="J4" s="5"/>
      <c r="K4" s="5" cm="1">
        <f t="array" aca="1" ref="K4" ca="1">INDIRECT("'results" &amp; $B4 &amp; "'!L$14")</f>
        <v>897175.46453633299</v>
      </c>
      <c r="L4" s="5" cm="1">
        <f t="array" aca="1" ref="L4" ca="1">INDIRECT("'results" &amp; $B4 &amp; "'!M$14")</f>
        <v>428.40897461533763</v>
      </c>
      <c r="M4" s="5" cm="1">
        <f t="array" aca="1" ref="M4" ca="1">INDIRECT("'results" &amp; $B4 &amp; "'!N$14")</f>
        <v>11</v>
      </c>
      <c r="N4" s="5" cm="1">
        <f t="array" aca="1" ref="N4" ca="1">INDIRECT("'results" &amp; $B4 &amp; "'!O$14")</f>
        <v>91.333333333333329</v>
      </c>
      <c r="O4" s="5" cm="1">
        <f t="array" aca="1" ref="O4" ca="1">INDIRECT("'results" &amp; $B4 &amp; "'!P$14")</f>
        <v>50.884587901115225</v>
      </c>
      <c r="P4" s="5" cm="1">
        <f t="array" aca="1" ref="P4" ca="1">INDIRECT("'results" &amp; $B4 &amp; "'!Q$14")</f>
        <v>38.148071868776306</v>
      </c>
      <c r="Q4" s="5" cm="1">
        <f t="array" aca="1" ref="Q4" ca="1">INDIRECT("'results" &amp; $B4 &amp; "'!R$14")</f>
        <v>4432.9520444950549</v>
      </c>
      <c r="R4" s="5"/>
      <c r="S4" s="5" cm="1">
        <f t="array" aca="1" ref="S4" ca="1">INDIRECT("'results" &amp; $B4 &amp; "'!T$14")</f>
        <v>1021863.05624849</v>
      </c>
      <c r="T4" s="5" cm="1">
        <f t="array" aca="1" ref="T4" ca="1">INDIRECT("'results" &amp; $B4 &amp; "'!U$14")</f>
        <v>125.31513323085022</v>
      </c>
      <c r="U4" s="5" cm="1">
        <f t="array" aca="1" ref="U4" ca="1">INDIRECT("'results" &amp; $B4 &amp; "'!V$14")</f>
        <v>12</v>
      </c>
      <c r="V4" s="5" cm="1">
        <f t="array" aca="1" ref="V4" ca="1">INDIRECT("'results" &amp; $B4 &amp; "'!W$14")</f>
        <v>96</v>
      </c>
      <c r="W4" s="5" cm="1">
        <f t="array" aca="1" ref="W4" ca="1">INDIRECT("'results" &amp; $B4 &amp; "'!X$14")</f>
        <v>107.20985967235805</v>
      </c>
      <c r="X4" s="5" cm="1">
        <f t="array" aca="1" ref="X4" ca="1">INDIRECT("'results" &amp; $B4 &amp; "'!Y$14")</f>
        <v>37.78329131050139</v>
      </c>
      <c r="Y4" s="5" cm="1">
        <f t="array" aca="1" ref="Y4" ca="1">INDIRECT("'results" &amp; $B4 &amp; "'!Z$14")</f>
        <v>4585.4596356402853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1171722.7209426111</v>
      </c>
      <c r="D5" s="33" cm="1">
        <f t="array" aca="1" ref="D5" ca="1">INDIRECT("'results" &amp; $B5 &amp; "'!E$14")</f>
        <v>274.61161923075383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552.87315230917284</v>
      </c>
      <c r="H5" s="33" cm="1">
        <f t="array" aca="1" ref="H5" ca="1">INDIRECT("'results" &amp; $B5 &amp; "'!I$14")</f>
        <v>39.68895058554655</v>
      </c>
      <c r="I5" s="5" cm="1">
        <f t="array" aca="1" ref="I5" ca="1">INDIRECT("'results" &amp; $B5 &amp; "'!J$14")</f>
        <v>5498.4921850503042</v>
      </c>
      <c r="J5" s="5"/>
      <c r="K5" s="5" cm="1">
        <f t="array" aca="1" ref="K5" ca="1">INDIRECT("'results" &amp; $B5 &amp; "'!L$14")</f>
        <v>1034057.201660429</v>
      </c>
      <c r="L5" s="5" cm="1">
        <f t="array" aca="1" ref="L5" ca="1">INDIRECT("'results" &amp; $B5 &amp; "'!M$14")</f>
        <v>495.37216992314472</v>
      </c>
      <c r="M5" s="5" cm="1">
        <f t="array" aca="1" ref="M5" ca="1">INDIRECT("'results" &amp; $B5 &amp; "'!N$14")</f>
        <v>10</v>
      </c>
      <c r="N5" s="5" cm="1">
        <f t="array" aca="1" ref="N5" ca="1">INDIRECT("'results" &amp; $B5 &amp; "'!O$14")</f>
        <v>72</v>
      </c>
      <c r="O5" s="5" cm="1">
        <f t="array" aca="1" ref="O5" ca="1">INDIRECT("'results" &amp; $B5 &amp; "'!P$14")</f>
        <v>13.478434395278883</v>
      </c>
      <c r="P5" s="5" cm="1">
        <f t="array" aca="1" ref="P5" ca="1">INDIRECT("'results" &amp; $B5 &amp; "'!Q$14")</f>
        <v>45.296405693859718</v>
      </c>
      <c r="Q5" s="5" cm="1">
        <f t="array" aca="1" ref="Q5" ca="1">INDIRECT("'results" &amp; $B5 &amp; "'!R$14")</f>
        <v>4472.6739416609098</v>
      </c>
      <c r="R5" s="5"/>
      <c r="S5" s="5" cm="1">
        <f t="array" aca="1" ref="S5" ca="1">INDIRECT("'results" &amp; $B5 &amp; "'!T$14")</f>
        <v>1212436.9349717861</v>
      </c>
      <c r="T5" s="5" cm="1">
        <f t="array" aca="1" ref="T5" ca="1">INDIRECT("'results" &amp; $B5 &amp; "'!U$14")</f>
        <v>209.23084030769621</v>
      </c>
      <c r="U5" s="5" cm="1">
        <f t="array" aca="1" ref="U5" ca="1">INDIRECT("'results" &amp; $B5 &amp; "'!V$14")</f>
        <v>16</v>
      </c>
      <c r="V5" s="5" cm="1">
        <f t="array" aca="1" ref="V5" ca="1">INDIRECT("'results" &amp; $B5 &amp; "'!W$14")</f>
        <v>97.333333333333329</v>
      </c>
      <c r="W5" s="5" cm="1">
        <f t="array" aca="1" ref="W5" ca="1">INDIRECT("'results" &amp; $B5 &amp; "'!X$14")</f>
        <v>553.97296848357178</v>
      </c>
      <c r="X5" s="5" cm="1">
        <f t="array" aca="1" ref="X5" ca="1">INDIRECT("'results" &amp; $B5 &amp; "'!Y$14")</f>
        <v>39.744303081052145</v>
      </c>
      <c r="Y5" s="5" cm="1">
        <f t="array" aca="1" ref="Y5" ca="1">INDIRECT("'results" &amp; $B5 &amp; "'!Z$14")</f>
        <v>5488.9248180775421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1141726.937281823</v>
      </c>
      <c r="D6" s="33" cm="1">
        <f t="array" aca="1" ref="D6" ca="1">INDIRECT("'results" &amp; $B6 &amp; "'!E$14")</f>
        <v>371.94766284620312</v>
      </c>
      <c r="E6" s="5" cm="1">
        <f t="array" aca="1" ref="E6" ca="1">INDIRECT("'results" &amp; $B6 &amp; "'!F$14")</f>
        <v>14</v>
      </c>
      <c r="F6" s="5" cm="1">
        <f t="array" aca="1" ref="F6" ca="1">INDIRECT("'results" &amp; $B6 &amp; "'!G$14")</f>
        <v>94</v>
      </c>
      <c r="G6" s="5" cm="1">
        <f t="array" aca="1" ref="G6" ca="1">INDIRECT("'results" &amp; $B6 &amp; "'!H$14")</f>
        <v>284.12843424466513</v>
      </c>
      <c r="H6" s="33" cm="1">
        <f t="array" aca="1" ref="H6" ca="1">INDIRECT("'results" &amp; $B6 &amp; "'!I$14")</f>
        <v>38.423322876589999</v>
      </c>
      <c r="I6" s="5" cm="1">
        <f t="array" aca="1" ref="I6" ca="1">INDIRECT("'results" &amp; $B6 &amp; "'!J$14")</f>
        <v>5202.2457846926009</v>
      </c>
      <c r="J6" s="5"/>
      <c r="K6" s="5" cm="1">
        <f t="array" aca="1" ref="K6" ca="1">INDIRECT("'results" &amp; $B6 &amp; "'!L$14")</f>
        <v>990396.84939570259</v>
      </c>
      <c r="L6" s="5" cm="1">
        <f t="array" aca="1" ref="L6" ca="1">INDIRECT("'results" &amp; $B6 &amp; "'!M$14")</f>
        <v>189.13858723074483</v>
      </c>
      <c r="M6" s="5" cm="1">
        <f t="array" aca="1" ref="M6" ca="1">INDIRECT("'results" &amp; $B6 &amp; "'!N$14")</f>
        <v>10</v>
      </c>
      <c r="N6" s="5" cm="1">
        <f t="array" aca="1" ref="N6" ca="1">INDIRECT("'results" &amp; $B6 &amp; "'!O$14")</f>
        <v>78.666666666666671</v>
      </c>
      <c r="O6" s="5" cm="1">
        <f t="array" aca="1" ref="O6" ca="1">INDIRECT("'results" &amp; $B6 &amp; "'!P$14")</f>
        <v>29.509481825073095</v>
      </c>
      <c r="P6" s="5" cm="1">
        <f t="array" aca="1" ref="P6" ca="1">INDIRECT("'results" &amp; $B6 &amp; "'!Q$14")</f>
        <v>41.782197420572871</v>
      </c>
      <c r="Q6" s="5" cm="1">
        <f t="array" aca="1" ref="Q6" ca="1">INDIRECT("'results" &amp; $B6 &amp; "'!R$14")</f>
        <v>4583.0396039833204</v>
      </c>
      <c r="R6" s="5"/>
      <c r="S6" s="5" cm="1">
        <f t="array" aca="1" ref="S6" ca="1">INDIRECT("'results" &amp; $B6 &amp; "'!T$14")</f>
        <v>1219565.643279949</v>
      </c>
      <c r="T6" s="5" cm="1">
        <f t="array" aca="1" ref="T6" ca="1">INDIRECT("'results" &amp; $B6 &amp; "'!U$14")</f>
        <v>332.49471876931443</v>
      </c>
      <c r="U6" s="5" cm="1">
        <f t="array" aca="1" ref="U6" ca="1">INDIRECT("'results" &amp; $B6 &amp; "'!V$14")</f>
        <v>14</v>
      </c>
      <c r="V6" s="5" cm="1">
        <f t="array" aca="1" ref="V6" ca="1">INDIRECT("'results" &amp; $B6 &amp; "'!W$14")</f>
        <v>94</v>
      </c>
      <c r="W6" s="5" cm="1">
        <f t="array" aca="1" ref="W6" ca="1">INDIRECT("'results" &amp; $B6 &amp; "'!X$14")</f>
        <v>279.36404292574383</v>
      </c>
      <c r="X6" s="5" cm="1">
        <f t="array" aca="1" ref="X6" ca="1">INDIRECT("'results" &amp; $B6 &amp; "'!Y$14")</f>
        <v>38.142789624261006</v>
      </c>
      <c r="Y6" s="5" cm="1">
        <f t="array" aca="1" ref="Y6" ca="1">INDIRECT("'results" &amp; $B6 &amp; "'!Z$14")</f>
        <v>5114.0273392005838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1155075.914594016</v>
      </c>
      <c r="D7" s="33" cm="1">
        <f t="array" aca="1" ref="D7" ca="1">INDIRECT("'results" &amp; $B7 &amp; "'!E$14")</f>
        <v>124.98730038462853</v>
      </c>
      <c r="E7" s="5" cm="1">
        <f t="array" aca="1" ref="E7" ca="1">INDIRECT("'results" &amp; $B7 &amp; "'!F$14")</f>
        <v>13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315.4818009440686</v>
      </c>
      <c r="H7" s="33" cm="1">
        <f t="array" aca="1" ref="H7" ca="1">INDIRECT("'results" &amp; $B7 &amp; "'!I$14")</f>
        <v>43.565165325317544</v>
      </c>
      <c r="I7" s="5" cm="1">
        <f t="array" aca="1" ref="I7" ca="1">INDIRECT("'results" &amp; $B7 &amp; "'!J$14")</f>
        <v>5346.775780707324</v>
      </c>
      <c r="J7" s="5"/>
      <c r="K7" s="5" cm="1">
        <f t="array" aca="1" ref="K7" ca="1">INDIRECT("'results" &amp; $B7 &amp; "'!L$14")</f>
        <v>1024938.560446501</v>
      </c>
      <c r="L7" s="5" cm="1">
        <f t="array" aca="1" ref="L7" ca="1">INDIRECT("'results" &amp; $B7 &amp; "'!M$14")</f>
        <v>288.50682299996083</v>
      </c>
      <c r="M7" s="5" cm="1">
        <f t="array" aca="1" ref="M7" ca="1">INDIRECT("'results" &amp; $B7 &amp; "'!N$14")</f>
        <v>11</v>
      </c>
      <c r="N7" s="5" cm="1">
        <f t="array" aca="1" ref="N7" ca="1">INDIRECT("'results" &amp; $B7 &amp; "'!O$14")</f>
        <v>77.333333333333329</v>
      </c>
      <c r="O7" s="5" cm="1">
        <f t="array" aca="1" ref="O7" ca="1">INDIRECT("'results" &amp; $B7 &amp; "'!P$14")</f>
        <v>77.040421877695323</v>
      </c>
      <c r="P7" s="5" cm="1">
        <f t="array" aca="1" ref="P7" ca="1">INDIRECT("'results" &amp; $B7 &amp; "'!Q$14")</f>
        <v>39.442620028230458</v>
      </c>
      <c r="Q7" s="5" cm="1">
        <f t="array" aca="1" ref="Q7" ca="1">INDIRECT("'results" &amp; $B7 &amp; "'!R$14")</f>
        <v>4524.0411871565339</v>
      </c>
      <c r="R7" s="5"/>
      <c r="S7" s="5" cm="1">
        <f t="array" aca="1" ref="S7" ca="1">INDIRECT("'results" &amp; $B7 &amp; "'!T$14")</f>
        <v>1237043.9427260051</v>
      </c>
      <c r="T7" s="5" cm="1">
        <f t="array" aca="1" ref="T7" ca="1">INDIRECT("'results" &amp; $B7 &amp; "'!U$14")</f>
        <v>123.76787184621207</v>
      </c>
      <c r="U7" s="5" cm="1">
        <f t="array" aca="1" ref="U7" ca="1">INDIRECT("'results" &amp; $B7 &amp; "'!V$14")</f>
        <v>13</v>
      </c>
      <c r="V7" s="5" cm="1">
        <f t="array" aca="1" ref="V7" ca="1">INDIRECT("'results" &amp; $B7 &amp; "'!W$14")</f>
        <v>94</v>
      </c>
      <c r="W7" s="5" cm="1">
        <f t="array" aca="1" ref="W7" ca="1">INDIRECT("'results" &amp; $B7 &amp; "'!X$14")</f>
        <v>348.42290226356158</v>
      </c>
      <c r="X7" s="5" cm="1">
        <f t="array" aca="1" ref="X7" ca="1">INDIRECT("'results" &amp; $B7 &amp; "'!Y$14")</f>
        <v>43.416132881496132</v>
      </c>
      <c r="Y7" s="5" cm="1">
        <f t="array" aca="1" ref="Y7" ca="1">INDIRECT("'results" &amp; $B7 &amp; "'!Z$14")</f>
        <v>5269.0393996821522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1109461.4547045201</v>
      </c>
      <c r="D8" s="33" cm="1">
        <f t="array" aca="1" ref="D8" ca="1">INDIRECT("'results" &amp; $B8 &amp; "'!E$14")</f>
        <v>267.75269992309256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556.1484043778413</v>
      </c>
      <c r="H8" s="33" cm="1">
        <f t="array" aca="1" ref="H8" ca="1">INDIRECT("'results" &amp; $B8 &amp; "'!I$14")</f>
        <v>46.079268944698597</v>
      </c>
      <c r="I8" s="5" cm="1">
        <f t="array" aca="1" ref="I8" ca="1">INDIRECT("'results" &amp; $B8 &amp; "'!J$14")</f>
        <v>5662.791341137412</v>
      </c>
      <c r="J8" s="5"/>
      <c r="K8" s="5" cm="1">
        <f t="array" aca="1" ref="K8" ca="1">INDIRECT("'results" &amp; $B8 &amp; "'!L$14")</f>
        <v>1026760.683233164</v>
      </c>
      <c r="L8" s="5" cm="1">
        <f t="array" aca="1" ref="L8" ca="1">INDIRECT("'results" &amp; $B8 &amp; "'!M$14")</f>
        <v>248.16897684618681</v>
      </c>
      <c r="M8" s="5" cm="1">
        <f t="array" aca="1" ref="M8" ca="1">INDIRECT("'results" &amp; $B8 &amp; "'!N$14")</f>
        <v>9</v>
      </c>
      <c r="N8" s="5" cm="1">
        <f t="array" aca="1" ref="N8" ca="1">INDIRECT("'results" &amp; $B8 &amp; "'!O$14")</f>
        <v>72</v>
      </c>
      <c r="O8" s="5" cm="1">
        <f t="array" aca="1" ref="O8" ca="1">INDIRECT("'results" &amp; $B8 &amp; "'!P$14")</f>
        <v>40.226580092928984</v>
      </c>
      <c r="P8" s="5" cm="1">
        <f t="array" aca="1" ref="P8" ca="1">INDIRECT("'results" &amp; $B8 &amp; "'!Q$14")</f>
        <v>43.436140620917158</v>
      </c>
      <c r="Q8" s="5" cm="1">
        <f t="array" aca="1" ref="Q8" ca="1">INDIRECT("'results" &amp; $B8 &amp; "'!R$14")</f>
        <v>4556.1529739264324</v>
      </c>
      <c r="R8" s="5"/>
      <c r="S8" s="5" cm="1">
        <f t="array" aca="1" ref="S8" ca="1">INDIRECT("'results" &amp; $B8 &amp; "'!T$14")</f>
        <v>1123298.3103668189</v>
      </c>
      <c r="T8" s="5" cm="1">
        <f t="array" aca="1" ref="T8" ca="1">INDIRECT("'results" &amp; $B8 &amp; "'!U$14")</f>
        <v>278.48659038463103</v>
      </c>
      <c r="U8" s="5" cm="1">
        <f t="array" aca="1" ref="U8" ca="1">INDIRECT("'results" &amp; $B8 &amp; "'!V$14")</f>
        <v>13</v>
      </c>
      <c r="V8" s="5" cm="1">
        <f t="array" aca="1" ref="V8" ca="1">INDIRECT("'results" &amp; $B8 &amp; "'!W$14")</f>
        <v>98.666666666666671</v>
      </c>
      <c r="W8" s="5" cm="1">
        <f t="array" aca="1" ref="W8" ca="1">INDIRECT("'results" &amp; $B8 &amp; "'!X$14")</f>
        <v>545.13042414658526</v>
      </c>
      <c r="X8" s="5" cm="1">
        <f t="array" aca="1" ref="X8" ca="1">INDIRECT("'results" &amp; $B8 &amp; "'!Y$14")</f>
        <v>45.703124723783539</v>
      </c>
      <c r="Y8" s="5" cm="1">
        <f t="array" aca="1" ref="Y8" ca="1">INDIRECT("'results" &amp; $B8 &amp; "'!Z$14")</f>
        <v>5635.2663752598755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1046045.483747479</v>
      </c>
      <c r="D9" s="33" cm="1">
        <f t="array" aca="1" ref="D9" ca="1">INDIRECT("'results" &amp; $B9 &amp; "'!E$14")</f>
        <v>205.49383246160752</v>
      </c>
      <c r="E9" s="5" cm="1">
        <f t="array" aca="1" ref="E9" ca="1">INDIRECT("'results" &amp; $B9 &amp; "'!F$14")</f>
        <v>14</v>
      </c>
      <c r="F9" s="5" cm="1">
        <f t="array" aca="1" ref="F9" ca="1">INDIRECT("'results" &amp; $B9 &amp; "'!G$14")</f>
        <v>96.666666666666671</v>
      </c>
      <c r="G9" s="5" cm="1">
        <f t="array" aca="1" ref="G9" ca="1">INDIRECT("'results" &amp; $B9 &amp; "'!H$14")</f>
        <v>351.38906290061749</v>
      </c>
      <c r="H9" s="33" cm="1">
        <f t="array" aca="1" ref="H9" ca="1">INDIRECT("'results" &amp; $B9 &amp; "'!I$14")</f>
        <v>37.424531203822959</v>
      </c>
      <c r="I9" s="5" cm="1">
        <f t="array" aca="1" ref="I9" ca="1">INDIRECT("'results" &amp; $B9 &amp; "'!J$14")</f>
        <v>4871.4040777261835</v>
      </c>
      <c r="J9" s="5"/>
      <c r="K9" s="5" cm="1">
        <f t="array" aca="1" ref="K9" ca="1">INDIRECT("'results" &amp; $B9 &amp; "'!L$14")</f>
        <v>975245.32562972861</v>
      </c>
      <c r="L9" s="5" cm="1">
        <f t="array" aca="1" ref="L9" ca="1">INDIRECT("'results" &amp; $B9 &amp; "'!M$14")</f>
        <v>284.79701053852642</v>
      </c>
      <c r="M9" s="5" cm="1">
        <f t="array" aca="1" ref="M9" ca="1">INDIRECT("'results" &amp; $B9 &amp; "'!N$14")</f>
        <v>11</v>
      </c>
      <c r="N9" s="5" cm="1">
        <f t="array" aca="1" ref="N9" ca="1">INDIRECT("'results" &amp; $B9 &amp; "'!O$14")</f>
        <v>79.333333333333329</v>
      </c>
      <c r="O9" s="5" cm="1">
        <f t="array" aca="1" ref="O9" ca="1">INDIRECT("'results" &amp; $B9 &amp; "'!P$14")</f>
        <v>48.389064834389188</v>
      </c>
      <c r="P9" s="5" cm="1">
        <f t="array" aca="1" ref="P9" ca="1">INDIRECT("'results" &amp; $B9 &amp; "'!Q$14")</f>
        <v>39.086776546035388</v>
      </c>
      <c r="Q9" s="5" cm="1">
        <f t="array" aca="1" ref="Q9" ca="1">INDIRECT("'results" &amp; $B9 &amp; "'!R$14")</f>
        <v>4305.4019509150585</v>
      </c>
      <c r="R9" s="5"/>
      <c r="S9" s="5" cm="1">
        <f t="array" aca="1" ref="S9" ca="1">INDIRECT("'results" &amp; $B9 &amp; "'!T$14")</f>
        <v>1107859.8717631339</v>
      </c>
      <c r="T9" s="5" cm="1">
        <f t="array" aca="1" ref="T9" ca="1">INDIRECT("'results" &amp; $B9 &amp; "'!U$14")</f>
        <v>191.71510607693699</v>
      </c>
      <c r="U9" s="5" cm="1">
        <f t="array" aca="1" ref="U9" ca="1">INDIRECT("'results" &amp; $B9 &amp; "'!V$14")</f>
        <v>14</v>
      </c>
      <c r="V9" s="5" cm="1">
        <f t="array" aca="1" ref="V9" ca="1">INDIRECT("'results" &amp; $B9 &amp; "'!W$14")</f>
        <v>96.666666666666671</v>
      </c>
      <c r="W9" s="5" cm="1">
        <f t="array" aca="1" ref="W9" ca="1">INDIRECT("'results" &amp; $B9 &amp; "'!X$14")</f>
        <v>384.40245341383098</v>
      </c>
      <c r="X9" s="5" cm="1">
        <f t="array" aca="1" ref="X9" ca="1">INDIRECT("'results" &amp; $B9 &amp; "'!Y$14")</f>
        <v>37.560290155531902</v>
      </c>
      <c r="Y9" s="5" cm="1">
        <f t="array" aca="1" ref="Y9" ca="1">INDIRECT("'results" &amp; $B9 &amp; "'!Z$14")</f>
        <v>4930.4258808411078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1298314.612475632</v>
      </c>
      <c r="D10" s="33" cm="1">
        <f t="array" aca="1" ref="D10" ca="1">INDIRECT("'results" &amp; $B10 &amp; "'!E$14")</f>
        <v>222.78767107690396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557.2158028380004</v>
      </c>
      <c r="H10" s="33" cm="1">
        <f t="array" aca="1" ref="H10" ca="1">INDIRECT("'results" &amp; $B10 &amp; "'!I$14")</f>
        <v>34.54691388475625</v>
      </c>
      <c r="I10" s="5" cm="1">
        <f t="array" aca="1" ref="I10" ca="1">INDIRECT("'results" &amp; $B10 &amp; "'!J$14")</f>
        <v>5750.2115391621046</v>
      </c>
      <c r="J10" s="5"/>
      <c r="K10" s="5" cm="1">
        <f t="array" aca="1" ref="K10" ca="1">INDIRECT("'results" &amp; $B10 &amp; "'!L$14")</f>
        <v>1078448.8753351159</v>
      </c>
      <c r="L10" s="5" cm="1">
        <f t="array" aca="1" ref="L10" ca="1">INDIRECT("'results" &amp; $B10 &amp; "'!M$14")</f>
        <v>276.65905915379807</v>
      </c>
      <c r="M10" s="5" cm="1">
        <f t="array" aca="1" ref="M10" ca="1">INDIRECT("'results" &amp; $B10 &amp; "'!N$14")</f>
        <v>10</v>
      </c>
      <c r="N10" s="5" cm="1">
        <f t="array" aca="1" ref="N10" ca="1">INDIRECT("'results" &amp; $B10 &amp; "'!O$14")</f>
        <v>70</v>
      </c>
      <c r="O10" s="5" cm="1">
        <f t="array" aca="1" ref="O10" ca="1">INDIRECT("'results" &amp; $B10 &amp; "'!P$14")</f>
        <v>15.62374207130396</v>
      </c>
      <c r="P10" s="5" cm="1">
        <f t="array" aca="1" ref="P10" ca="1">INDIRECT("'results" &amp; $B10 &amp; "'!Q$14")</f>
        <v>33.930679992443629</v>
      </c>
      <c r="Q10" s="5" cm="1">
        <f t="array" aca="1" ref="Q10" ca="1">INDIRECT("'results" &amp; $B10 &amp; "'!R$14")</f>
        <v>4519.8061372709844</v>
      </c>
      <c r="R10" s="5"/>
      <c r="S10" s="5" cm="1">
        <f t="array" aca="1" ref="S10" ca="1">INDIRECT("'results" &amp; $B10 &amp; "'!T$14")</f>
        <v>1398143.4479756169</v>
      </c>
      <c r="T10" s="5" cm="1">
        <f t="array" aca="1" ref="T10" ca="1">INDIRECT("'results" &amp; $B10 &amp; "'!U$14")</f>
        <v>276.14834923082248</v>
      </c>
      <c r="U10" s="5" cm="1">
        <f t="array" aca="1" ref="U10" ca="1">INDIRECT("'results" &amp; $B10 &amp; "'!V$14")</f>
        <v>16</v>
      </c>
      <c r="V10" s="5" cm="1">
        <f t="array" aca="1" ref="V10" ca="1">INDIRECT("'results" &amp; $B10 &amp; "'!W$14")</f>
        <v>93.333333333333329</v>
      </c>
      <c r="W10" s="5" cm="1">
        <f t="array" aca="1" ref="W10" ca="1">INDIRECT("'results" &amp; $B10 &amp; "'!X$14")</f>
        <v>560.1079999723521</v>
      </c>
      <c r="X10" s="5" cm="1">
        <f t="array" aca="1" ref="X10" ca="1">INDIRECT("'results" &amp; $B10 &amp; "'!Y$14")</f>
        <v>32.209743096087536</v>
      </c>
      <c r="Y10" s="5" cm="1">
        <f t="array" aca="1" ref="Y10" ca="1">INDIRECT("'results" &amp; $B10 &amp; "'!Z$14")</f>
        <v>5611.5340097715925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1168643.226288683</v>
      </c>
      <c r="D11" s="33" cm="1">
        <f t="array" aca="1" ref="D11" ca="1">INDIRECT("'results" &amp; $B11 &amp; "'!E$14")</f>
        <v>309.76703292314107</v>
      </c>
      <c r="E11" s="5" cm="1">
        <f t="array" aca="1" ref="E11" ca="1">INDIRECT("'results" &amp; $B11 &amp; "'!F$14")</f>
        <v>13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362.73205147026351</v>
      </c>
      <c r="H11" s="33" cm="1">
        <f t="array" aca="1" ref="H11" ca="1">INDIRECT("'results" &amp; $B11 &amp; "'!I$14")</f>
        <v>40.263651627371402</v>
      </c>
      <c r="I11" s="5" cm="1">
        <f t="array" aca="1" ref="I11" ca="1">INDIRECT("'results" &amp; $B11 &amp; "'!J$14")</f>
        <v>5415.5349556114834</v>
      </c>
      <c r="J11" s="5"/>
      <c r="K11" s="5" cm="1">
        <f t="array" aca="1" ref="K11" ca="1">INDIRECT("'results" &amp; $B11 &amp; "'!L$14")</f>
        <v>1018042.319429566</v>
      </c>
      <c r="L11" s="5" cm="1">
        <f t="array" aca="1" ref="L11" ca="1">INDIRECT("'results" &amp; $B11 &amp; "'!M$14")</f>
        <v>236.96240092314278</v>
      </c>
      <c r="M11" s="5" cm="1">
        <f t="array" aca="1" ref="M11" ca="1">INDIRECT("'results" &amp; $B11 &amp; "'!N$14")</f>
        <v>9</v>
      </c>
      <c r="N11" s="5" cm="1">
        <f t="array" aca="1" ref="N11" ca="1">INDIRECT("'results" &amp; $B11 &amp; "'!O$14")</f>
        <v>73.333333333333329</v>
      </c>
      <c r="O11" s="5" cm="1">
        <f t="array" aca="1" ref="O11" ca="1">INDIRECT("'results" &amp; $B11 &amp; "'!P$14")</f>
        <v>21.835357959166057</v>
      </c>
      <c r="P11" s="5" cm="1">
        <f t="array" aca="1" ref="P11" ca="1">INDIRECT("'results" &amp; $B11 &amp; "'!Q$14")</f>
        <v>43.702942227989993</v>
      </c>
      <c r="Q11" s="5" cm="1">
        <f t="array" aca="1" ref="Q11" ca="1">INDIRECT("'results" &amp; $B11 &amp; "'!R$14")</f>
        <v>4532.4015499646748</v>
      </c>
      <c r="R11" s="5"/>
      <c r="S11" s="5" cm="1">
        <f t="array" aca="1" ref="S11" ca="1">INDIRECT("'results" &amp; $B11 &amp; "'!T$14")</f>
        <v>1256780.1205895271</v>
      </c>
      <c r="T11" s="5" cm="1">
        <f t="array" aca="1" ref="T11" ca="1">INDIRECT("'results" &amp; $B11 &amp; "'!U$14")</f>
        <v>233.37470161531553</v>
      </c>
      <c r="U11" s="5" cm="1">
        <f t="array" aca="1" ref="U11" ca="1">INDIRECT("'results" &amp; $B11 &amp; "'!V$14")</f>
        <v>13</v>
      </c>
      <c r="V11" s="5" cm="1">
        <f t="array" aca="1" ref="V11" ca="1">INDIRECT("'results" &amp; $B11 &amp; "'!W$14")</f>
        <v>94.666666666666671</v>
      </c>
      <c r="W11" s="5" cm="1">
        <f t="array" aca="1" ref="W11" ca="1">INDIRECT("'results" &amp; $B11 &amp; "'!X$14")</f>
        <v>421.75401134357543</v>
      </c>
      <c r="X11" s="5" cm="1">
        <f t="array" aca="1" ref="X11" ca="1">INDIRECT("'results" &amp; $B11 &amp; "'!Y$14")</f>
        <v>40.35839193248998</v>
      </c>
      <c r="Y11" s="5" cm="1">
        <f t="array" aca="1" ref="Y11" ca="1">INDIRECT("'results" &amp; $B11 &amp; "'!Z$14")</f>
        <v>5496.4996083023025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1204846.1049447469</v>
      </c>
      <c r="D12" s="33" cm="1">
        <f t="array" aca="1" ref="D12" ca="1">INDIRECT("'results" &amp; $B12 &amp; "'!E$14")</f>
        <v>167.72226484617792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381.05739905978987</v>
      </c>
      <c r="H12" s="33" cm="1">
        <f t="array" aca="1" ref="H12" ca="1">INDIRECT("'results" &amp; $B12 &amp; "'!I$14")</f>
        <v>38.403845039915126</v>
      </c>
      <c r="I12" s="5" cm="1">
        <f t="array" aca="1" ref="I12" ca="1">INDIRECT("'results" &amp; $B12 &amp; "'!J$14")</f>
        <v>5454.0471054728532</v>
      </c>
      <c r="J12" s="5"/>
      <c r="K12" s="5" cm="1">
        <f t="array" aca="1" ref="K12" ca="1">INDIRECT("'results" &amp; $B12 &amp; "'!L$14")</f>
        <v>1041515.8644130731</v>
      </c>
      <c r="L12" s="5" cm="1">
        <f t="array" aca="1" ref="L12" ca="1">INDIRECT("'results" &amp; $B12 &amp; "'!M$14")</f>
        <v>158.27231215384714</v>
      </c>
      <c r="M12" s="5" cm="1">
        <f t="array" aca="1" ref="M12" ca="1">INDIRECT("'results" &amp; $B12 &amp; "'!N$14")</f>
        <v>10</v>
      </c>
      <c r="N12" s="5" cm="1">
        <f t="array" aca="1" ref="N12" ca="1">INDIRECT("'results" &amp; $B12 &amp; "'!O$14")</f>
        <v>78.666666666666671</v>
      </c>
      <c r="O12" s="5" cm="1">
        <f t="array" aca="1" ref="O12" ca="1">INDIRECT("'results" &amp; $B12 &amp; "'!P$14")</f>
        <v>63.577468289920418</v>
      </c>
      <c r="P12" s="5" cm="1">
        <f t="array" aca="1" ref="P12" ca="1">INDIRECT("'results" &amp; $B12 &amp; "'!Q$14")</f>
        <v>37.719511172173171</v>
      </c>
      <c r="Q12" s="5" cm="1">
        <f t="array" aca="1" ref="Q12" ca="1">INDIRECT("'results" &amp; $B12 &amp; "'!R$14")</f>
        <v>4791.5073993687747</v>
      </c>
      <c r="R12" s="5"/>
      <c r="S12" s="5" cm="1">
        <f t="array" aca="1" ref="S12" ca="1">INDIRECT("'results" &amp; $B12 &amp; "'!T$14")</f>
        <v>1307285.90394826</v>
      </c>
      <c r="T12" s="5" cm="1">
        <f t="array" aca="1" ref="T12" ca="1">INDIRECT("'results" &amp; $B12 &amp; "'!U$14")</f>
        <v>327.85426207692723</v>
      </c>
      <c r="U12" s="5" cm="1">
        <f t="array" aca="1" ref="U12" ca="1">INDIRECT("'results" &amp; $B12 &amp; "'!V$14")</f>
        <v>13</v>
      </c>
      <c r="V12" s="5" cm="1">
        <f t="array" aca="1" ref="V12" ca="1">INDIRECT("'results" &amp; $B12 &amp; "'!W$14")</f>
        <v>92.666666666666671</v>
      </c>
      <c r="W12" s="5" cm="1">
        <f t="array" aca="1" ref="W12" ca="1">INDIRECT("'results" &amp; $B12 &amp; "'!X$14")</f>
        <v>365.45753505285359</v>
      </c>
      <c r="X12" s="5" cm="1">
        <f t="array" aca="1" ref="X12" ca="1">INDIRECT("'results" &amp; $B12 &amp; "'!Y$14")</f>
        <v>35.461587042009121</v>
      </c>
      <c r="Y12" s="5" cm="1">
        <f t="array" aca="1" ref="Y12" ca="1">INDIRECT("'results" &amp; $B12 &amp; "'!Z$14")</f>
        <v>5278.5088819209413</v>
      </c>
      <c r="Z12" s="5"/>
    </row>
    <row r="13" spans="2:26" x14ac:dyDescent="0.2">
      <c r="B13" s="8" t="s">
        <v>3</v>
      </c>
      <c r="C13" s="9">
        <f ca="1">AVERAGE(C3:C12)</f>
        <v>1137345.6151144882</v>
      </c>
      <c r="D13" s="10">
        <f t="shared" ref="D13:I13" ca="1" si="0">AVERAGE(D3:D12)</f>
        <v>223.15693593847277</v>
      </c>
      <c r="E13" s="9">
        <f t="shared" ca="1" si="0"/>
        <v>13.2</v>
      </c>
      <c r="F13" s="9">
        <f t="shared" ca="1" si="0"/>
        <v>95.266666666666666</v>
      </c>
      <c r="G13" s="9">
        <f t="shared" ca="1" si="0"/>
        <v>392.83706213275394</v>
      </c>
      <c r="H13" s="10">
        <f t="shared" ca="1" si="0"/>
        <v>40.84478699706851</v>
      </c>
      <c r="I13" s="9">
        <f t="shared" ca="1" si="0"/>
        <v>5348.8731297936638</v>
      </c>
      <c r="J13" s="32" t="e">
        <f ca="1">(C13-$D$15)/$D$15</f>
        <v>#DIV/0!</v>
      </c>
      <c r="K13" s="16">
        <f ca="1">AVERAGE(K3:K12)</f>
        <v>1008696.2526417248</v>
      </c>
      <c r="L13" s="42">
        <f t="shared" ref="L13:Q13" ca="1" si="1">AVERAGE(L3:L12)</f>
        <v>289.59782206154284</v>
      </c>
      <c r="M13" s="16">
        <f t="shared" ca="1" si="1"/>
        <v>10.1</v>
      </c>
      <c r="N13" s="16">
        <f ca="1">AVERAGE(N3:N12)</f>
        <v>77.666666666666657</v>
      </c>
      <c r="O13" s="16">
        <f t="shared" ca="1" si="1"/>
        <v>44.673734260729809</v>
      </c>
      <c r="P13" s="42">
        <f t="shared" ca="1" si="1"/>
        <v>40.766983257044444</v>
      </c>
      <c r="Q13" s="16">
        <f t="shared" ca="1" si="1"/>
        <v>4565.0128232840652</v>
      </c>
      <c r="R13" s="43" t="e">
        <f ca="1">(K13-$D$15)/$D$15</f>
        <v>#DIV/0!</v>
      </c>
      <c r="S13" s="38">
        <f ca="1">AVERAGE(S3:S12)</f>
        <v>1204711.1174449599</v>
      </c>
      <c r="T13" s="44">
        <f t="shared" ref="T13:Y13" ca="1" si="2">AVERAGE(T3:T12)</f>
        <v>231.12374319233749</v>
      </c>
      <c r="U13" s="38">
        <f t="shared" ca="1" si="2"/>
        <v>13.7</v>
      </c>
      <c r="V13" s="38">
        <f t="shared" ca="1" si="2"/>
        <v>95.333333333333329</v>
      </c>
      <c r="W13" s="38">
        <f t="shared" ca="1" si="2"/>
        <v>392.12644810692484</v>
      </c>
      <c r="X13" s="44">
        <f t="shared" ca="1" si="2"/>
        <v>39.140628049073463</v>
      </c>
      <c r="Y13" s="38">
        <f t="shared" ca="1" si="2"/>
        <v>5267.4463646931235</v>
      </c>
      <c r="Z13" s="45" t="e">
        <f ca="1">(S13-$D$15)/$D$15</f>
        <v>#DIV/0!</v>
      </c>
    </row>
    <row r="14" spans="2:26" x14ac:dyDescent="0.2">
      <c r="K14" s="46">
        <f ca="1">(K13-C13)/C13</f>
        <v>-0.11311369276243548</v>
      </c>
      <c r="L14" s="46">
        <f t="shared" ref="L14:Q14" ca="1" si="3">(L13-D13)/D13</f>
        <v>0.29773166513358418</v>
      </c>
      <c r="M14" s="46">
        <f t="shared" ca="1" si="3"/>
        <v>-0.23484848484848483</v>
      </c>
      <c r="N14" s="46">
        <f t="shared" ca="1" si="3"/>
        <v>-0.18474457662701199</v>
      </c>
      <c r="O14" s="46">
        <f t="shared" ca="1" si="3"/>
        <v>-0.8862792272750657</v>
      </c>
      <c r="P14" s="46">
        <f t="shared" ca="1" si="3"/>
        <v>-1.9048634047143006E-3</v>
      </c>
      <c r="Q14" s="46">
        <f t="shared" ca="1" si="3"/>
        <v>-0.14654681228900945</v>
      </c>
      <c r="S14" s="46">
        <f ca="1">(S13-C13)/C13</f>
        <v>5.923045856530653E-2</v>
      </c>
      <c r="T14" s="46">
        <f t="shared" ref="T14:Y14" ca="1" si="4">(T13-D13)/D13</f>
        <v>3.5700468911534375E-2</v>
      </c>
      <c r="U14" s="46">
        <f t="shared" ca="1" si="4"/>
        <v>3.787878787878788E-2</v>
      </c>
      <c r="V14" s="46">
        <f ca="1">(V13-F13)/F13</f>
        <v>6.9979006298106594E-4</v>
      </c>
      <c r="W14" s="46">
        <f t="shared" ca="1" si="4"/>
        <v>-1.8089281646978606E-3</v>
      </c>
      <c r="X14" s="46">
        <f t="shared" ca="1" si="4"/>
        <v>-4.172280169112786E-2</v>
      </c>
      <c r="Y14" s="46">
        <f t="shared" ca="1" si="4"/>
        <v>-1.5223162547450689E-2</v>
      </c>
    </row>
    <row r="17" spans="3:5" ht="22" x14ac:dyDescent="0.2">
      <c r="C17" s="1"/>
      <c r="D17" s="49" t="s">
        <v>19</v>
      </c>
      <c r="E17" s="49" t="s">
        <v>20</v>
      </c>
    </row>
    <row r="18" spans="3:5" x14ac:dyDescent="0.2">
      <c r="C18" t="s">
        <v>21</v>
      </c>
      <c r="D18" s="41">
        <f ca="1">(K13-C13)/C13</f>
        <v>-0.11311369276243548</v>
      </c>
      <c r="E18" s="41">
        <f ca="1">(S13-C13)/C13</f>
        <v>5.923045856530653E-2</v>
      </c>
    </row>
    <row r="19" spans="3:5" x14ac:dyDescent="0.2">
      <c r="C19" t="s">
        <v>22</v>
      </c>
      <c r="D19" s="41">
        <f ca="1">(M13-E13)/E13</f>
        <v>-0.23484848484848483</v>
      </c>
      <c r="E19" s="41">
        <f ca="1">(U13-E13)/E13</f>
        <v>3.787878787878788E-2</v>
      </c>
    </row>
    <row r="20" spans="3:5" x14ac:dyDescent="0.2">
      <c r="C20" t="s">
        <v>23</v>
      </c>
      <c r="D20" s="41">
        <f ca="1">(N13-F13)/F13</f>
        <v>-0.18474457662701199</v>
      </c>
      <c r="E20" s="41">
        <f ca="1">(V13-F13)/F13</f>
        <v>6.9979006298106594E-4</v>
      </c>
    </row>
    <row r="21" spans="3:5" x14ac:dyDescent="0.2">
      <c r="C21" t="s">
        <v>24</v>
      </c>
      <c r="D21" s="41">
        <f ca="1">(P13-H13)/H13</f>
        <v>-1.9048634047143006E-3</v>
      </c>
      <c r="E21" s="41">
        <f ca="1">(X13-H13)/H13</f>
        <v>-4.172280169112786E-2</v>
      </c>
    </row>
    <row r="22" spans="3:5" x14ac:dyDescent="0.2">
      <c r="C22" t="s">
        <v>25</v>
      </c>
      <c r="D22" s="41">
        <f ca="1">(O13-G13)/G13</f>
        <v>-0.8862792272750657</v>
      </c>
      <c r="E22" s="41">
        <f ca="1">(W13-G13)/G13</f>
        <v>-1.8089281646978606E-3</v>
      </c>
    </row>
    <row r="23" spans="3:5" x14ac:dyDescent="0.2">
      <c r="C23" t="s">
        <v>26</v>
      </c>
      <c r="D23" s="41">
        <f ca="1">(Q13-I13)/I13</f>
        <v>-0.14654681228900945</v>
      </c>
      <c r="E23" s="41">
        <f ca="1">(Y13-I13)/I13</f>
        <v>-1.5223162547450689E-2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9E-4C33-4A98-9174-69ED4C08C4CA}">
  <dimension ref="B1:AA39"/>
  <sheetViews>
    <sheetView zoomScale="90" zoomScaleNormal="90" workbookViewId="0">
      <selection activeCell="U19" sqref="U19:U3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-0.79437219302508466</v>
      </c>
      <c r="R2" s="1">
        <f>(R14-J14)/J14</f>
        <v>-0.11236936927370031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97</v>
      </c>
      <c r="D4" s="23">
        <v>1122021.9334757749</v>
      </c>
      <c r="E4" s="33">
        <v>183.73735515382853</v>
      </c>
      <c r="F4" s="5">
        <v>12</v>
      </c>
      <c r="G4" s="23">
        <v>96</v>
      </c>
      <c r="H4" s="33">
        <v>425.75936971036424</v>
      </c>
      <c r="I4" s="23">
        <v>44.97897523428793</v>
      </c>
      <c r="J4" s="5">
        <v>5517.0558625535232</v>
      </c>
      <c r="K4" s="31"/>
      <c r="L4" s="23">
        <v>1048075.0982168569</v>
      </c>
      <c r="M4" s="33">
        <v>114.60751015379523</v>
      </c>
      <c r="N4" s="5">
        <v>9</v>
      </c>
      <c r="O4" s="23">
        <v>70.666666666666671</v>
      </c>
      <c r="P4" s="33">
        <v>35.370657576173585</v>
      </c>
      <c r="Q4" s="23">
        <v>39.238681941599012</v>
      </c>
      <c r="R4" s="5">
        <v>4538.4552642725375</v>
      </c>
      <c r="S4" s="35"/>
      <c r="T4" s="23">
        <v>1241770.9012096729</v>
      </c>
      <c r="U4" s="33">
        <v>91.025911999973843</v>
      </c>
      <c r="V4" s="5">
        <v>12</v>
      </c>
      <c r="W4" s="23">
        <v>96</v>
      </c>
      <c r="X4" s="33">
        <v>566.10537188922819</v>
      </c>
      <c r="Y4" s="23">
        <v>44.451304202719882</v>
      </c>
      <c r="Z4" s="5">
        <v>5801.6970951624244</v>
      </c>
      <c r="AA4" s="35"/>
    </row>
    <row r="5" spans="2:27" x14ac:dyDescent="0.2">
      <c r="B5" s="4">
        <v>2</v>
      </c>
      <c r="C5" s="4">
        <v>106</v>
      </c>
      <c r="D5" s="23">
        <v>1126682.9916717601</v>
      </c>
      <c r="E5" s="33">
        <v>271.11431015386745</v>
      </c>
      <c r="F5" s="5">
        <v>11</v>
      </c>
      <c r="G5" s="23">
        <v>94.666666666666671</v>
      </c>
      <c r="H5" s="33">
        <v>336.77922459537626</v>
      </c>
      <c r="I5" s="23">
        <v>48.507401519347461</v>
      </c>
      <c r="J5" s="5">
        <v>5529.4543143216943</v>
      </c>
      <c r="K5" s="31"/>
      <c r="L5" s="23">
        <v>1004032.453672864</v>
      </c>
      <c r="M5" s="33">
        <v>353.61118853844414</v>
      </c>
      <c r="N5" s="5">
        <v>10</v>
      </c>
      <c r="O5" s="23">
        <v>78.666666666666671</v>
      </c>
      <c r="P5" s="33">
        <v>64.090357032533561</v>
      </c>
      <c r="Q5" s="23">
        <v>41.940298084745713</v>
      </c>
      <c r="R5" s="5">
        <v>4640.2558533158126</v>
      </c>
      <c r="S5" s="35"/>
      <c r="T5" s="23">
        <v>1186978.030057082</v>
      </c>
      <c r="U5" s="33">
        <v>81.514848230782761</v>
      </c>
      <c r="V5" s="5">
        <v>11</v>
      </c>
      <c r="W5" s="23">
        <v>96</v>
      </c>
      <c r="X5" s="33">
        <v>437.19395573055812</v>
      </c>
      <c r="Y5" s="23">
        <v>48.043913086421</v>
      </c>
      <c r="Z5" s="5">
        <v>5624.6944676009562</v>
      </c>
      <c r="AA5" s="35"/>
    </row>
    <row r="6" spans="2:27" x14ac:dyDescent="0.2">
      <c r="B6" s="4">
        <v>3</v>
      </c>
      <c r="C6" s="4">
        <v>235</v>
      </c>
      <c r="D6" s="23">
        <v>1132146.432679648</v>
      </c>
      <c r="E6" s="33">
        <v>194.98045776916953</v>
      </c>
      <c r="F6" s="5">
        <v>13</v>
      </c>
      <c r="G6" s="23">
        <v>96</v>
      </c>
      <c r="H6" s="33">
        <v>428.84100424297549</v>
      </c>
      <c r="I6" s="23">
        <v>41.453548363962604</v>
      </c>
      <c r="J6" s="5">
        <v>5450.5331439472538</v>
      </c>
      <c r="K6" s="31"/>
      <c r="L6" s="23">
        <v>1000381.382337634</v>
      </c>
      <c r="M6" s="33">
        <v>289.69190623073905</v>
      </c>
      <c r="N6" s="5">
        <v>10</v>
      </c>
      <c r="O6" s="23">
        <v>84</v>
      </c>
      <c r="P6" s="33">
        <v>86.172203360426934</v>
      </c>
      <c r="Q6" s="23">
        <v>45.124486999445793</v>
      </c>
      <c r="R6" s="5">
        <v>4932.1514440989049</v>
      </c>
      <c r="S6" s="35"/>
      <c r="T6" s="23">
        <v>1229249.4771114311</v>
      </c>
      <c r="U6" s="33">
        <v>126.18371415381823</v>
      </c>
      <c r="V6" s="5">
        <v>12</v>
      </c>
      <c r="W6" s="23">
        <v>96</v>
      </c>
      <c r="X6" s="33">
        <v>534.33809158308259</v>
      </c>
      <c r="Y6" s="23">
        <v>44.730412483959675</v>
      </c>
      <c r="Z6" s="5">
        <v>5710.0956350290353</v>
      </c>
      <c r="AA6" s="35"/>
    </row>
    <row r="7" spans="2:27" x14ac:dyDescent="0.2">
      <c r="B7" s="4">
        <v>4</v>
      </c>
      <c r="C7" s="4">
        <v>242</v>
      </c>
      <c r="D7" s="23">
        <v>1116068.431941214</v>
      </c>
      <c r="E7" s="33">
        <v>189.84986530769115</v>
      </c>
      <c r="F7" s="5">
        <v>12</v>
      </c>
      <c r="G7" s="23">
        <v>95.333333333333329</v>
      </c>
      <c r="H7" s="33">
        <v>371.89828653282825</v>
      </c>
      <c r="I7" s="23">
        <v>44.595960762261143</v>
      </c>
      <c r="J7" s="5">
        <v>5398.2298200767509</v>
      </c>
      <c r="K7" s="31"/>
      <c r="L7" s="23">
        <v>1002447.903247979</v>
      </c>
      <c r="M7" s="33">
        <v>201.16215500004512</v>
      </c>
      <c r="N7" s="5">
        <v>10</v>
      </c>
      <c r="O7" s="23">
        <v>82</v>
      </c>
      <c r="P7" s="33">
        <v>75.320030699051372</v>
      </c>
      <c r="Q7" s="23">
        <v>44.113528826080568</v>
      </c>
      <c r="R7" s="5">
        <v>4838.3966412338159</v>
      </c>
      <c r="S7" s="35"/>
      <c r="T7" s="23">
        <v>1188093.3636886701</v>
      </c>
      <c r="U7" s="33">
        <v>122.08362469225762</v>
      </c>
      <c r="V7" s="5">
        <v>11</v>
      </c>
      <c r="W7" s="23">
        <v>96</v>
      </c>
      <c r="X7" s="33">
        <v>442.11400993503798</v>
      </c>
      <c r="Y7" s="23">
        <v>48.955942067582697</v>
      </c>
      <c r="Z7" s="5">
        <v>5647.1510826718122</v>
      </c>
      <c r="AA7" s="35"/>
    </row>
    <row r="8" spans="2:27" x14ac:dyDescent="0.2">
      <c r="B8" s="4">
        <v>5</v>
      </c>
      <c r="C8" s="4">
        <v>406</v>
      </c>
      <c r="D8" s="23">
        <v>1127029.214867082</v>
      </c>
      <c r="E8" s="33">
        <v>225.84214153842851</v>
      </c>
      <c r="F8" s="5">
        <v>11</v>
      </c>
      <c r="G8" s="23">
        <v>95.333333333333329</v>
      </c>
      <c r="H8" s="33">
        <v>395.7552910647305</v>
      </c>
      <c r="I8" s="23">
        <v>48.773796022884063</v>
      </c>
      <c r="J8" s="5">
        <v>5589.4329330435912</v>
      </c>
      <c r="K8" s="31"/>
      <c r="L8" s="23">
        <v>1020871.671553309</v>
      </c>
      <c r="M8" s="33">
        <v>550.74218107691888</v>
      </c>
      <c r="N8" s="5">
        <v>11</v>
      </c>
      <c r="O8" s="23">
        <v>76.666666666666671</v>
      </c>
      <c r="P8" s="33">
        <v>45.329678172558168</v>
      </c>
      <c r="Q8" s="23">
        <v>36.234747650324778</v>
      </c>
      <c r="R8" s="5">
        <v>4458.6431607303066</v>
      </c>
      <c r="S8" s="35"/>
      <c r="T8" s="23">
        <v>1164832.9709776561</v>
      </c>
      <c r="U8" s="33">
        <v>189.65564469233729</v>
      </c>
      <c r="V8" s="5">
        <v>13</v>
      </c>
      <c r="W8" s="23">
        <v>96</v>
      </c>
      <c r="X8" s="33">
        <v>352.85327766661953</v>
      </c>
      <c r="Y8" s="23">
        <v>40.86731003728822</v>
      </c>
      <c r="Z8" s="5">
        <v>5279.6700583630918</v>
      </c>
      <c r="AA8" s="35"/>
    </row>
    <row r="9" spans="2:27" x14ac:dyDescent="0.2">
      <c r="B9" s="4">
        <v>6</v>
      </c>
      <c r="C9" s="4">
        <v>652</v>
      </c>
      <c r="D9" s="23">
        <v>1133790.4513554031</v>
      </c>
      <c r="E9" s="33">
        <v>189.7263022308023</v>
      </c>
      <c r="F9" s="5">
        <v>12</v>
      </c>
      <c r="G9" s="23">
        <v>95.333333333333329</v>
      </c>
      <c r="H9" s="33">
        <v>383.45350194676695</v>
      </c>
      <c r="I9" s="23">
        <v>44.447138327421811</v>
      </c>
      <c r="J9" s="5">
        <v>5490.5588842943616</v>
      </c>
      <c r="K9" s="31"/>
      <c r="L9" s="23">
        <v>1064632.1657486339</v>
      </c>
      <c r="M9" s="33">
        <v>349.81885976919256</v>
      </c>
      <c r="N9" s="5">
        <v>10</v>
      </c>
      <c r="O9" s="23">
        <v>70</v>
      </c>
      <c r="P9" s="33">
        <v>71.161601016587227</v>
      </c>
      <c r="Q9" s="23">
        <v>37.909584066781392</v>
      </c>
      <c r="R9" s="5">
        <v>4470.1607456812853</v>
      </c>
      <c r="S9" s="35"/>
      <c r="T9" s="23">
        <v>1163613.177300395</v>
      </c>
      <c r="U9" s="33">
        <v>216.37143192302358</v>
      </c>
      <c r="V9" s="5">
        <v>13</v>
      </c>
      <c r="W9" s="23">
        <v>96</v>
      </c>
      <c r="X9" s="33">
        <v>353.25389096584104</v>
      </c>
      <c r="Y9" s="23">
        <v>40.518936127370168</v>
      </c>
      <c r="Z9" s="5">
        <v>5262.5893054058797</v>
      </c>
      <c r="AA9" s="35"/>
    </row>
    <row r="10" spans="2:27" x14ac:dyDescent="0.2">
      <c r="B10" s="4">
        <v>7</v>
      </c>
      <c r="C10" s="4">
        <v>716</v>
      </c>
      <c r="D10" s="23">
        <v>1140031.934616267</v>
      </c>
      <c r="E10" s="33">
        <v>217.64429946152421</v>
      </c>
      <c r="F10" s="5">
        <v>13</v>
      </c>
      <c r="G10" s="23">
        <v>96</v>
      </c>
      <c r="H10" s="33">
        <v>428.80407814808723</v>
      </c>
      <c r="I10" s="23">
        <v>40.948950980188506</v>
      </c>
      <c r="J10" s="5">
        <v>5479.1543091261265</v>
      </c>
      <c r="K10" s="31"/>
      <c r="L10" s="23">
        <v>1002581.652783423</v>
      </c>
      <c r="M10" s="33">
        <v>449.43258092308844</v>
      </c>
      <c r="N10" s="5">
        <v>10</v>
      </c>
      <c r="O10" s="23">
        <v>78</v>
      </c>
      <c r="P10" s="33">
        <v>61.066062984153099</v>
      </c>
      <c r="Q10" s="23">
        <v>40.642983207556973</v>
      </c>
      <c r="R10" s="5">
        <v>4552.5479523801223</v>
      </c>
      <c r="S10" s="35"/>
      <c r="T10" s="23">
        <v>1205033.7772850569</v>
      </c>
      <c r="U10" s="33">
        <v>118.5700173076923</v>
      </c>
      <c r="V10" s="5">
        <v>12</v>
      </c>
      <c r="W10" s="23">
        <v>96</v>
      </c>
      <c r="X10" s="33">
        <v>511.85181572601545</v>
      </c>
      <c r="Y10" s="23">
        <v>44.685535884152813</v>
      </c>
      <c r="Z10" s="5">
        <v>5593.1077840048401</v>
      </c>
      <c r="AA10" s="35"/>
    </row>
    <row r="11" spans="2:27" x14ac:dyDescent="0.2">
      <c r="B11" s="4">
        <v>8</v>
      </c>
      <c r="C11" s="4">
        <v>719</v>
      </c>
      <c r="D11" s="23">
        <v>1113987.924892782</v>
      </c>
      <c r="E11" s="33">
        <v>406.53136184609207</v>
      </c>
      <c r="F11" s="5">
        <v>13</v>
      </c>
      <c r="G11" s="23">
        <v>96</v>
      </c>
      <c r="H11" s="33">
        <v>383.75046607843046</v>
      </c>
      <c r="I11" s="23">
        <v>40.972053977201611</v>
      </c>
      <c r="J11" s="5">
        <v>5328.7818705660438</v>
      </c>
      <c r="K11" s="31"/>
      <c r="L11" s="23">
        <v>1073014.082373542</v>
      </c>
      <c r="M11" s="33">
        <v>154.07651500006278</v>
      </c>
      <c r="N11" s="5">
        <v>10</v>
      </c>
      <c r="O11" s="23">
        <v>68</v>
      </c>
      <c r="P11" s="33">
        <v>27.548575442805575</v>
      </c>
      <c r="Q11" s="23">
        <v>35.242273934668837</v>
      </c>
      <c r="R11" s="5">
        <v>4364.6084230439328</v>
      </c>
      <c r="S11" s="35"/>
      <c r="T11" s="23">
        <v>1164731.6038036081</v>
      </c>
      <c r="U11" s="33">
        <v>282.81580215382678</v>
      </c>
      <c r="V11" s="5">
        <v>13</v>
      </c>
      <c r="W11" s="23">
        <v>96</v>
      </c>
      <c r="X11" s="33">
        <v>353.54558535892721</v>
      </c>
      <c r="Y11" s="23">
        <v>40.887409085397309</v>
      </c>
      <c r="Z11" s="5">
        <v>5281.4008275938622</v>
      </c>
      <c r="AA11" s="35"/>
    </row>
    <row r="12" spans="2:27" x14ac:dyDescent="0.2">
      <c r="B12" s="4">
        <v>9</v>
      </c>
      <c r="C12" s="4">
        <v>851</v>
      </c>
      <c r="D12" s="23">
        <v>1109491.730596958</v>
      </c>
      <c r="E12" s="33">
        <v>175.83051161536085</v>
      </c>
      <c r="F12" s="5">
        <v>11</v>
      </c>
      <c r="G12" s="23">
        <v>96</v>
      </c>
      <c r="H12" s="33">
        <v>419.06882453373214</v>
      </c>
      <c r="I12" s="23">
        <v>49.007721434937274</v>
      </c>
      <c r="J12" s="5">
        <v>5556.5358758104085</v>
      </c>
      <c r="K12" s="31"/>
      <c r="L12" s="23">
        <v>1084583.1832704351</v>
      </c>
      <c r="M12" s="33">
        <v>117.43973130763223</v>
      </c>
      <c r="N12" s="5">
        <v>7</v>
      </c>
      <c r="O12" s="23">
        <v>62.666666666666657</v>
      </c>
      <c r="P12" s="33">
        <v>43.506427755224834</v>
      </c>
      <c r="Q12" s="23">
        <v>45.406411298543432</v>
      </c>
      <c r="R12" s="5">
        <v>4545.2564596250386</v>
      </c>
      <c r="S12" s="35"/>
      <c r="T12" s="23">
        <v>1162833.9425800119</v>
      </c>
      <c r="U12" s="33">
        <v>212.84985838466901</v>
      </c>
      <c r="V12" s="5">
        <v>13</v>
      </c>
      <c r="W12" s="23">
        <v>96</v>
      </c>
      <c r="X12" s="33">
        <v>355.44228379481621</v>
      </c>
      <c r="Y12" s="23">
        <v>41.026626643521858</v>
      </c>
      <c r="Z12" s="5">
        <v>5264.7776982348551</v>
      </c>
      <c r="AA12" s="35"/>
    </row>
    <row r="13" spans="2:27" x14ac:dyDescent="0.2">
      <c r="B13" s="4">
        <v>10</v>
      </c>
      <c r="C13" s="4">
        <v>949</v>
      </c>
      <c r="D13" s="23">
        <v>1126167.2428744051</v>
      </c>
      <c r="E13" s="33">
        <v>141.45905299998745</v>
      </c>
      <c r="F13" s="5">
        <v>12</v>
      </c>
      <c r="G13" s="23">
        <v>96</v>
      </c>
      <c r="H13" s="33">
        <v>400.44745439680673</v>
      </c>
      <c r="I13" s="23">
        <v>44.619990142235828</v>
      </c>
      <c r="J13" s="5">
        <v>5525.3048096473231</v>
      </c>
      <c r="K13" s="31"/>
      <c r="L13" s="23">
        <v>1048980.7365799539</v>
      </c>
      <c r="M13" s="33">
        <v>166.66845423079883</v>
      </c>
      <c r="N13" s="5">
        <v>10</v>
      </c>
      <c r="O13" s="23">
        <v>73.333333333333329</v>
      </c>
      <c r="P13" s="33">
        <v>60.636312552663135</v>
      </c>
      <c r="Q13" s="23">
        <v>37.591005954873928</v>
      </c>
      <c r="R13" s="5">
        <v>4615.794180577871</v>
      </c>
      <c r="S13" s="35"/>
      <c r="T13" s="23">
        <v>1188064.9040980011</v>
      </c>
      <c r="U13" s="33">
        <v>114.17469338460175</v>
      </c>
      <c r="V13" s="5">
        <v>12</v>
      </c>
      <c r="W13" s="23">
        <v>96</v>
      </c>
      <c r="X13" s="33">
        <v>398.55075596091791</v>
      </c>
      <c r="Y13" s="23">
        <v>44.469171120934227</v>
      </c>
      <c r="Z13" s="5">
        <v>5541.9279390063311</v>
      </c>
      <c r="AA13" s="35"/>
    </row>
    <row r="14" spans="2:27" x14ac:dyDescent="0.2">
      <c r="B14" s="50" t="s">
        <v>3</v>
      </c>
      <c r="C14" s="51"/>
      <c r="D14" s="9">
        <f>MIN(D4:D13)</f>
        <v>1109491.730596958</v>
      </c>
      <c r="E14" s="22">
        <f>INDEX(E4:E13, MATCH($D$14, D4:D13, 0))</f>
        <v>175.83051161536085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419.06882453373214</v>
      </c>
      <c r="I14" s="22">
        <f>INDEX(I4:I13, MATCH($D$14, D4:D13, 0))</f>
        <v>49.007721434937274</v>
      </c>
      <c r="J14" s="22">
        <f>INDEX(J4:J13, MATCH($D$14, D4:D13, 0))</f>
        <v>5556.5358758104085</v>
      </c>
      <c r="K14" s="32" t="e">
        <f>(D14-$D$15)/$D$15</f>
        <v>#DIV/0!</v>
      </c>
      <c r="L14" s="16">
        <f>MIN(L4:L13)</f>
        <v>1000381.382337634</v>
      </c>
      <c r="M14" s="21">
        <f>INDEX(M4:M13, MATCH($L$14, L4:L13, 0))</f>
        <v>289.69190623073905</v>
      </c>
      <c r="N14" s="16">
        <f>INDEX(N4:N13, MATCH($L$14, L4:L13, 0))</f>
        <v>10</v>
      </c>
      <c r="O14" s="16">
        <f>INDEX(O4:O13, MATCH($L$14, L4:L13, 0))</f>
        <v>84</v>
      </c>
      <c r="P14" s="21">
        <f>INDEX(P4:P13, MATCH($L$14, L4:L13, 0))</f>
        <v>86.172203360426934</v>
      </c>
      <c r="Q14" s="21">
        <f>INDEX(Q4:Q13, MATCH($L$14, L4:L13, 0))</f>
        <v>45.124486999445793</v>
      </c>
      <c r="R14" s="21">
        <f>INDEX(R4:R13, MATCH($L$14, L4:L13, 0))</f>
        <v>4932.1514440989049</v>
      </c>
      <c r="S14" s="36" t="e">
        <f>(L14-$D$15)/$D$15</f>
        <v>#DIV/0!</v>
      </c>
      <c r="T14" s="38">
        <f>MIN(T4:T13)</f>
        <v>1162833.9425800119</v>
      </c>
      <c r="U14" s="39">
        <f>INDEX(U4:U13, MATCH($T$14, T4:T13, 0))</f>
        <v>212.84985838466901</v>
      </c>
      <c r="V14" s="38">
        <f>INDEX(V4:V13, MATCH($T$14, T4:T13, 0))</f>
        <v>13</v>
      </c>
      <c r="W14" s="38">
        <f>INDEX(W4:W13, MATCH($T$14, T4:T13, 0))</f>
        <v>96</v>
      </c>
      <c r="X14" s="39">
        <f>INDEX(X4:X13, MATCH($T$14, T4:T13, 0))</f>
        <v>355.44228379481621</v>
      </c>
      <c r="Y14" s="39">
        <f>INDEX(Y4:Y13, MATCH($T$14, T4:T13, 0))</f>
        <v>41.026626643521858</v>
      </c>
      <c r="Z14" s="39">
        <f>INDEX(Z4:Z13, MATCH($T$14, T4:T13, 0))</f>
        <v>5264.7776982348551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-9.8342642175996711E-2</v>
      </c>
      <c r="M15" s="41">
        <f t="shared" ref="M15:R15" si="0">(M14-E14)/E14</f>
        <v>0.64756334705125818</v>
      </c>
      <c r="N15" s="41">
        <f t="shared" si="0"/>
        <v>-9.0909090909090912E-2</v>
      </c>
      <c r="O15" s="41">
        <f t="shared" si="0"/>
        <v>-0.125</v>
      </c>
      <c r="P15" s="41">
        <f t="shared" si="0"/>
        <v>-0.79437219302508466</v>
      </c>
      <c r="Q15" s="41">
        <f t="shared" si="0"/>
        <v>-7.9237196135447122E-2</v>
      </c>
      <c r="R15" s="41">
        <f t="shared" si="0"/>
        <v>-0.11236936927370031</v>
      </c>
      <c r="T15" s="41">
        <f>(T14-D14)/D14</f>
        <v>4.8078061793532578E-2</v>
      </c>
      <c r="U15" s="41">
        <f t="shared" ref="U15:Z15" si="1">(U14-E14)/E14</f>
        <v>0.21053994798291928</v>
      </c>
      <c r="V15" s="41">
        <f t="shared" si="1"/>
        <v>0.18181818181818182</v>
      </c>
      <c r="W15" s="41">
        <f t="shared" si="1"/>
        <v>0</v>
      </c>
      <c r="X15" s="41">
        <f t="shared" si="1"/>
        <v>-0.15182838000347229</v>
      </c>
      <c r="Y15" s="41">
        <f t="shared" si="1"/>
        <v>-0.16285382298401954</v>
      </c>
      <c r="Z15" s="41">
        <f t="shared" si="1"/>
        <v>-5.2507206665520022E-2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</sheetData>
  <mergeCells count="1">
    <mergeCell ref="B14:C14"/>
  </mergeCells>
  <conditionalFormatting sqref="C1 C16:C1048576 C3">
    <cfRule type="duplicateValues" dxfId="149" priority="11"/>
    <cfRule type="duplicateValues" dxfId="148" priority="12"/>
  </conditionalFormatting>
  <conditionalFormatting sqref="C2">
    <cfRule type="duplicateValues" dxfId="147" priority="1"/>
    <cfRule type="duplicateValues" dxfId="146" priority="2"/>
  </conditionalFormatting>
  <conditionalFormatting sqref="C4:C13">
    <cfRule type="duplicateValues" dxfId="145" priority="3"/>
    <cfRule type="duplicateValues" dxfId="144" priority="4"/>
  </conditionalFormatting>
  <conditionalFormatting sqref="C14">
    <cfRule type="duplicateValues" dxfId="143" priority="9"/>
    <cfRule type="duplicateValues" dxfId="142" priority="10"/>
  </conditionalFormatting>
  <conditionalFormatting sqref="C15">
    <cfRule type="duplicateValues" dxfId="141" priority="7"/>
    <cfRule type="duplicateValues" dxfId="140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949-B9EE-4AA8-8502-293CCF2F0118}">
  <dimension ref="B1:AA39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-0.65682447092566465</v>
      </c>
      <c r="R2" s="1">
        <f>(R14-J14)/J14</f>
        <v>-6.2938057899283445E-2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</v>
      </c>
      <c r="D4" s="23">
        <v>968127.96556841256</v>
      </c>
      <c r="E4" s="33">
        <v>110.66876407685831</v>
      </c>
      <c r="F4" s="5">
        <v>11</v>
      </c>
      <c r="G4" s="23">
        <v>96</v>
      </c>
      <c r="H4" s="33">
        <v>148.27568864938823</v>
      </c>
      <c r="I4" s="23">
        <v>41.044499047729481</v>
      </c>
      <c r="J4" s="5">
        <v>4730.6926525659665</v>
      </c>
      <c r="K4" s="31"/>
      <c r="L4" s="23">
        <v>897175.46453633299</v>
      </c>
      <c r="M4" s="33">
        <v>428.40897461533763</v>
      </c>
      <c r="N4" s="5">
        <v>11</v>
      </c>
      <c r="O4" s="23">
        <v>91.333333333333329</v>
      </c>
      <c r="P4" s="33">
        <v>50.884587901115225</v>
      </c>
      <c r="Q4" s="23">
        <v>38.148071868776306</v>
      </c>
      <c r="R4" s="5">
        <v>4432.9520444950549</v>
      </c>
      <c r="S4" s="35"/>
      <c r="T4" s="23">
        <v>1028127.965568413</v>
      </c>
      <c r="U4" s="33">
        <v>93.415485384623295</v>
      </c>
      <c r="V4" s="5">
        <v>11</v>
      </c>
      <c r="W4" s="23">
        <v>96</v>
      </c>
      <c r="X4" s="33">
        <v>148.27568864938823</v>
      </c>
      <c r="Y4" s="23">
        <v>41.044499047729481</v>
      </c>
      <c r="Z4" s="5">
        <v>4730.6926525659665</v>
      </c>
      <c r="AA4" s="35"/>
    </row>
    <row r="5" spans="2:27" x14ac:dyDescent="0.2">
      <c r="B5" s="4">
        <v>2</v>
      </c>
      <c r="C5" s="4">
        <v>148</v>
      </c>
      <c r="D5" s="23">
        <v>986432.44844475493</v>
      </c>
      <c r="E5" s="33">
        <v>99.406090000053311</v>
      </c>
      <c r="F5" s="5">
        <v>10</v>
      </c>
      <c r="G5" s="23">
        <v>96</v>
      </c>
      <c r="H5" s="33">
        <v>200.44797504472541</v>
      </c>
      <c r="I5" s="23">
        <v>44.573430423460422</v>
      </c>
      <c r="J5" s="5">
        <v>4927.9575088772144</v>
      </c>
      <c r="K5" s="31"/>
      <c r="L5" s="23">
        <v>982530.16444957349</v>
      </c>
      <c r="M5" s="33">
        <v>168.2314780770013</v>
      </c>
      <c r="N5" s="5">
        <v>9</v>
      </c>
      <c r="O5" s="23">
        <v>75.333333333333329</v>
      </c>
      <c r="P5" s="33">
        <v>9.0585238692500543</v>
      </c>
      <c r="Q5" s="23">
        <v>37.912585904168395</v>
      </c>
      <c r="R5" s="5">
        <v>4264.055668617053</v>
      </c>
      <c r="S5" s="35"/>
      <c r="T5" s="23">
        <v>1079570.3280388829</v>
      </c>
      <c r="U5" s="33">
        <v>120.8808005384456</v>
      </c>
      <c r="V5" s="5">
        <v>12</v>
      </c>
      <c r="W5" s="23">
        <v>96</v>
      </c>
      <c r="X5" s="33">
        <v>188.7806581640711</v>
      </c>
      <c r="Y5" s="23">
        <v>37.792615304993618</v>
      </c>
      <c r="Z5" s="5">
        <v>4905.4869731361787</v>
      </c>
      <c r="AA5" s="35"/>
    </row>
    <row r="6" spans="2:27" x14ac:dyDescent="0.2">
      <c r="B6" s="4">
        <v>3</v>
      </c>
      <c r="C6" s="4">
        <v>199</v>
      </c>
      <c r="D6" s="23">
        <v>968127.96556841256</v>
      </c>
      <c r="E6" s="33">
        <v>94.729488923017385</v>
      </c>
      <c r="F6" s="5">
        <v>11</v>
      </c>
      <c r="G6" s="23">
        <v>96</v>
      </c>
      <c r="H6" s="33">
        <v>148.27568864938823</v>
      </c>
      <c r="I6" s="23">
        <v>41.044499047729481</v>
      </c>
      <c r="J6" s="5">
        <v>4730.6926525659665</v>
      </c>
      <c r="K6" s="31"/>
      <c r="L6" s="23">
        <v>900332.87790001091</v>
      </c>
      <c r="M6" s="33">
        <v>307.48624200001365</v>
      </c>
      <c r="N6" s="5">
        <v>11</v>
      </c>
      <c r="O6" s="23">
        <v>90.666666666666671</v>
      </c>
      <c r="P6" s="33">
        <v>58.432697474413132</v>
      </c>
      <c r="Q6" s="23">
        <v>37.622884734359864</v>
      </c>
      <c r="R6" s="5">
        <v>4418.5366134287633</v>
      </c>
      <c r="S6" s="35"/>
      <c r="T6" s="23">
        <v>1225538.4282473021</v>
      </c>
      <c r="U6" s="33">
        <v>166.2909783077283</v>
      </c>
      <c r="V6" s="5">
        <v>14</v>
      </c>
      <c r="W6" s="23">
        <v>96</v>
      </c>
      <c r="X6" s="33">
        <v>453.05366693450026</v>
      </c>
      <c r="Y6" s="23">
        <v>32.128738764841252</v>
      </c>
      <c r="Z6" s="5">
        <v>5448.4174760498763</v>
      </c>
      <c r="AA6" s="35"/>
    </row>
    <row r="7" spans="2:27" x14ac:dyDescent="0.2">
      <c r="B7" s="4">
        <v>4</v>
      </c>
      <c r="C7" s="4">
        <v>229</v>
      </c>
      <c r="D7" s="23">
        <v>968127.96556841256</v>
      </c>
      <c r="E7" s="33">
        <v>165.76878069237307</v>
      </c>
      <c r="F7" s="5">
        <v>11</v>
      </c>
      <c r="G7" s="23">
        <v>96</v>
      </c>
      <c r="H7" s="33">
        <v>148.27568864938823</v>
      </c>
      <c r="I7" s="23">
        <v>41.044499047729481</v>
      </c>
      <c r="J7" s="5">
        <v>4730.6926525659665</v>
      </c>
      <c r="K7" s="31"/>
      <c r="L7" s="23">
        <v>970855.57896380068</v>
      </c>
      <c r="M7" s="33">
        <v>288.35014423077854</v>
      </c>
      <c r="N7" s="5">
        <v>10</v>
      </c>
      <c r="O7" s="23">
        <v>79.333333333333329</v>
      </c>
      <c r="P7" s="33">
        <v>65.064553934300207</v>
      </c>
      <c r="Q7" s="23">
        <v>37.408419123710082</v>
      </c>
      <c r="R7" s="5">
        <v>4313.106503334122</v>
      </c>
      <c r="S7" s="35"/>
      <c r="T7" s="23">
        <v>1028127.965568413</v>
      </c>
      <c r="U7" s="33">
        <v>88.881983538516451</v>
      </c>
      <c r="V7" s="5">
        <v>11</v>
      </c>
      <c r="W7" s="23">
        <v>96</v>
      </c>
      <c r="X7" s="33">
        <v>148.27568864938823</v>
      </c>
      <c r="Y7" s="23">
        <v>41.044499047729481</v>
      </c>
      <c r="Z7" s="5">
        <v>4730.6926525659665</v>
      </c>
      <c r="AA7" s="35"/>
    </row>
    <row r="8" spans="2:27" x14ac:dyDescent="0.2">
      <c r="B8" s="4">
        <v>5</v>
      </c>
      <c r="C8" s="4">
        <v>472</v>
      </c>
      <c r="D8" s="23">
        <v>1029035.6278008739</v>
      </c>
      <c r="E8" s="33">
        <v>197.36991199996106</v>
      </c>
      <c r="F8" s="5">
        <v>12</v>
      </c>
      <c r="G8" s="23">
        <v>96</v>
      </c>
      <c r="H8" s="33">
        <v>231.88850890096572</v>
      </c>
      <c r="I8" s="23">
        <v>37.458197806659051</v>
      </c>
      <c r="J8" s="5">
        <v>4944.0919529934436</v>
      </c>
      <c r="K8" s="31"/>
      <c r="L8" s="23">
        <v>907742.57980019285</v>
      </c>
      <c r="M8" s="33">
        <v>174.4533301538859</v>
      </c>
      <c r="N8" s="5">
        <v>10</v>
      </c>
      <c r="O8" s="23">
        <v>90</v>
      </c>
      <c r="P8" s="33">
        <v>64.81480032393732</v>
      </c>
      <c r="Q8" s="23">
        <v>41.408716215089711</v>
      </c>
      <c r="R8" s="5">
        <v>4552.5886565218443</v>
      </c>
      <c r="S8" s="35"/>
      <c r="T8" s="23">
        <v>1021863.05624849</v>
      </c>
      <c r="U8" s="33">
        <v>125.31513323085022</v>
      </c>
      <c r="V8" s="5">
        <v>12</v>
      </c>
      <c r="W8" s="23">
        <v>96</v>
      </c>
      <c r="X8" s="33">
        <v>107.20985967235805</v>
      </c>
      <c r="Y8" s="23">
        <v>37.78329131050139</v>
      </c>
      <c r="Z8" s="5">
        <v>4585.4596356402853</v>
      </c>
      <c r="AA8" s="35"/>
    </row>
    <row r="9" spans="2:27" x14ac:dyDescent="0.2">
      <c r="B9" s="4">
        <v>6</v>
      </c>
      <c r="C9" s="4">
        <v>634</v>
      </c>
      <c r="D9" s="23">
        <v>968127.96556841256</v>
      </c>
      <c r="E9" s="33">
        <v>269.12330561541376</v>
      </c>
      <c r="F9" s="5">
        <v>11</v>
      </c>
      <c r="G9" s="23">
        <v>96</v>
      </c>
      <c r="H9" s="33">
        <v>148.27568864938823</v>
      </c>
      <c r="I9" s="23">
        <v>41.044499047729481</v>
      </c>
      <c r="J9" s="5">
        <v>4730.6926525659665</v>
      </c>
      <c r="K9" s="31"/>
      <c r="L9" s="23">
        <v>967887.54845804209</v>
      </c>
      <c r="M9" s="33">
        <v>256.64391930770267</v>
      </c>
      <c r="N9" s="5">
        <v>9</v>
      </c>
      <c r="O9" s="23">
        <v>78</v>
      </c>
      <c r="P9" s="33">
        <v>16.123864196389182</v>
      </c>
      <c r="Q9" s="23">
        <v>38.137307998232409</v>
      </c>
      <c r="R9" s="5">
        <v>4369.2789631423466</v>
      </c>
      <c r="S9" s="35"/>
      <c r="T9" s="23">
        <v>1028127.965568413</v>
      </c>
      <c r="U9" s="33">
        <v>113.45364699999877</v>
      </c>
      <c r="V9" s="5">
        <v>11</v>
      </c>
      <c r="W9" s="23">
        <v>96</v>
      </c>
      <c r="X9" s="33">
        <v>148.27568864938823</v>
      </c>
      <c r="Y9" s="23">
        <v>41.044499047729481</v>
      </c>
      <c r="Z9" s="5">
        <v>4730.6926525659665</v>
      </c>
      <c r="AA9" s="35"/>
    </row>
    <row r="10" spans="2:27" x14ac:dyDescent="0.2">
      <c r="B10" s="4">
        <v>7</v>
      </c>
      <c r="C10" s="4">
        <v>748</v>
      </c>
      <c r="D10" s="23">
        <v>986432.44844475493</v>
      </c>
      <c r="E10" s="33">
        <v>122.43891207689344</v>
      </c>
      <c r="F10" s="5">
        <v>10</v>
      </c>
      <c r="G10" s="23">
        <v>96</v>
      </c>
      <c r="H10" s="33">
        <v>200.44797504472541</v>
      </c>
      <c r="I10" s="23">
        <v>44.573430423460422</v>
      </c>
      <c r="J10" s="5">
        <v>4927.9575088772144</v>
      </c>
      <c r="K10" s="31"/>
      <c r="L10" s="23">
        <v>903710.23939192924</v>
      </c>
      <c r="M10" s="33">
        <v>172.87496423080131</v>
      </c>
      <c r="N10" s="5">
        <v>10</v>
      </c>
      <c r="O10" s="23">
        <v>90</v>
      </c>
      <c r="P10" s="33">
        <v>31.137821181375834</v>
      </c>
      <c r="Q10" s="23">
        <v>41.291111255747715</v>
      </c>
      <c r="R10" s="5">
        <v>4533.2172768058635</v>
      </c>
      <c r="S10" s="35"/>
      <c r="T10" s="23">
        <v>1082482.3727984759</v>
      </c>
      <c r="U10" s="33">
        <v>101.09075753842122</v>
      </c>
      <c r="V10" s="5">
        <v>12</v>
      </c>
      <c r="W10" s="23">
        <v>96</v>
      </c>
      <c r="X10" s="33">
        <v>198.66258631176737</v>
      </c>
      <c r="Y10" s="23">
        <v>37.865252143093663</v>
      </c>
      <c r="Z10" s="5">
        <v>4926.8325764806177</v>
      </c>
      <c r="AA10" s="35"/>
    </row>
    <row r="11" spans="2:27" x14ac:dyDescent="0.2">
      <c r="B11" s="4">
        <v>8</v>
      </c>
      <c r="C11" s="4">
        <v>767</v>
      </c>
      <c r="D11" s="23">
        <v>1031992.629923077</v>
      </c>
      <c r="E11" s="33">
        <v>117.32684092309614</v>
      </c>
      <c r="F11" s="5">
        <v>12</v>
      </c>
      <c r="G11" s="23">
        <v>96</v>
      </c>
      <c r="H11" s="33">
        <v>226.19872059087209</v>
      </c>
      <c r="I11" s="23">
        <v>37.458197806659051</v>
      </c>
      <c r="J11" s="5">
        <v>4975.6345834017447</v>
      </c>
      <c r="K11" s="31"/>
      <c r="L11" s="23">
        <v>925976.36027124512</v>
      </c>
      <c r="M11" s="33">
        <v>211.14721699993913</v>
      </c>
      <c r="N11" s="5">
        <v>10</v>
      </c>
      <c r="O11" s="23">
        <v>86.666666666666671</v>
      </c>
      <c r="P11" s="33">
        <v>18.481086584538172</v>
      </c>
      <c r="Q11" s="23">
        <v>39.644282326928177</v>
      </c>
      <c r="R11" s="5">
        <v>4485.7502318168126</v>
      </c>
      <c r="S11" s="35"/>
      <c r="T11" s="23">
        <v>1161377.538446248</v>
      </c>
      <c r="U11" s="33">
        <v>157.49925507698208</v>
      </c>
      <c r="V11" s="5">
        <v>12</v>
      </c>
      <c r="W11" s="23">
        <v>96</v>
      </c>
      <c r="X11" s="33">
        <v>353.35614949186856</v>
      </c>
      <c r="Y11" s="23">
        <v>37.742574778435433</v>
      </c>
      <c r="Z11" s="5">
        <v>5329.8835672044115</v>
      </c>
      <c r="AA11" s="35"/>
    </row>
    <row r="12" spans="2:27" x14ac:dyDescent="0.2">
      <c r="B12" s="4">
        <v>9</v>
      </c>
      <c r="C12" s="4">
        <v>930</v>
      </c>
      <c r="D12" s="23">
        <v>1040196.868565167</v>
      </c>
      <c r="E12" s="33">
        <v>144.2765249230433</v>
      </c>
      <c r="F12" s="5">
        <v>12</v>
      </c>
      <c r="G12" s="23">
        <v>96</v>
      </c>
      <c r="H12" s="33">
        <v>220.20657769523217</v>
      </c>
      <c r="I12" s="23">
        <v>37.686447129986611</v>
      </c>
      <c r="J12" s="5">
        <v>5016.5383587650103</v>
      </c>
      <c r="K12" s="31"/>
      <c r="L12" s="23">
        <v>906308.55430748977</v>
      </c>
      <c r="M12" s="33">
        <v>229.19774661539122</v>
      </c>
      <c r="N12" s="5">
        <v>10</v>
      </c>
      <c r="O12" s="23">
        <v>90</v>
      </c>
      <c r="P12" s="33">
        <v>60.483698701682471</v>
      </c>
      <c r="Q12" s="23">
        <v>40.920367225478813</v>
      </c>
      <c r="R12" s="5">
        <v>4538.7798975347614</v>
      </c>
      <c r="S12" s="35"/>
      <c r="T12" s="23">
        <v>1028127.965568413</v>
      </c>
      <c r="U12" s="33">
        <v>107.20765830769845</v>
      </c>
      <c r="V12" s="5">
        <v>11</v>
      </c>
      <c r="W12" s="23">
        <v>96</v>
      </c>
      <c r="X12" s="33">
        <v>148.27568864938823</v>
      </c>
      <c r="Y12" s="23">
        <v>41.044499047729481</v>
      </c>
      <c r="Z12" s="5">
        <v>4730.6926525659665</v>
      </c>
      <c r="AA12" s="35"/>
    </row>
    <row r="13" spans="2:27" x14ac:dyDescent="0.2">
      <c r="B13" s="4">
        <v>10</v>
      </c>
      <c r="C13" s="4">
        <v>996</v>
      </c>
      <c r="D13" s="23">
        <v>1065543.2000822199</v>
      </c>
      <c r="E13" s="33">
        <v>112.03921823081777</v>
      </c>
      <c r="F13" s="5">
        <v>11</v>
      </c>
      <c r="G13" s="23">
        <v>96</v>
      </c>
      <c r="H13" s="33">
        <v>290.95749174819258</v>
      </c>
      <c r="I13" s="23">
        <v>41.369414160292223</v>
      </c>
      <c r="J13" s="5">
        <v>5268.3047633131764</v>
      </c>
      <c r="K13" s="31"/>
      <c r="L13" s="23">
        <v>966208.17453836696</v>
      </c>
      <c r="M13" s="33">
        <v>138.4722836153546</v>
      </c>
      <c r="N13" s="5">
        <v>10</v>
      </c>
      <c r="O13" s="23">
        <v>76</v>
      </c>
      <c r="P13" s="33">
        <v>19.874703020727459</v>
      </c>
      <c r="Q13" s="23">
        <v>33.482821464894826</v>
      </c>
      <c r="R13" s="5">
        <v>4042.3096671498215</v>
      </c>
      <c r="S13" s="35"/>
      <c r="T13" s="23">
        <v>1028127.965568413</v>
      </c>
      <c r="U13" s="33">
        <v>108.87751384620337</v>
      </c>
      <c r="V13" s="5">
        <v>11</v>
      </c>
      <c r="W13" s="23">
        <v>96</v>
      </c>
      <c r="X13" s="33">
        <v>148.27568864938823</v>
      </c>
      <c r="Y13" s="23">
        <v>41.044499047729481</v>
      </c>
      <c r="Z13" s="5">
        <v>4730.6926525659665</v>
      </c>
      <c r="AA13" s="35"/>
    </row>
    <row r="14" spans="2:27" x14ac:dyDescent="0.2">
      <c r="B14" s="50" t="s">
        <v>3</v>
      </c>
      <c r="C14" s="51"/>
      <c r="D14" s="9">
        <f>MIN(D4:D13)</f>
        <v>968127.96556841256</v>
      </c>
      <c r="E14" s="22">
        <f>INDEX(E4:E13, MATCH($D$14, D4:D13, 0))</f>
        <v>110.66876407685831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148.27568864938823</v>
      </c>
      <c r="I14" s="22">
        <f>INDEX(I4:I13, MATCH($D$14, D4:D13, 0))</f>
        <v>41.044499047729481</v>
      </c>
      <c r="J14" s="22">
        <f>INDEX(J4:J13, MATCH($D$14, D4:D13, 0))</f>
        <v>4730.6926525659665</v>
      </c>
      <c r="K14" s="32" t="e">
        <f>(D14-$D$15)/$D$15</f>
        <v>#DIV/0!</v>
      </c>
      <c r="L14" s="16">
        <f>MIN(L4:L13)</f>
        <v>897175.46453633299</v>
      </c>
      <c r="M14" s="21">
        <f>INDEX(M4:M13, MATCH($L$14, L4:L13, 0))</f>
        <v>428.40897461533763</v>
      </c>
      <c r="N14" s="16">
        <f>INDEX(N4:N13, MATCH($L$14, L4:L13, 0))</f>
        <v>11</v>
      </c>
      <c r="O14" s="16">
        <f>INDEX(O4:O13, MATCH($L$14, L4:L13, 0))</f>
        <v>91.333333333333329</v>
      </c>
      <c r="P14" s="21">
        <f>INDEX(P4:P13, MATCH($L$14, L4:L13, 0))</f>
        <v>50.884587901115225</v>
      </c>
      <c r="Q14" s="21">
        <f>INDEX(Q4:Q13, MATCH($L$14, L4:L13, 0))</f>
        <v>38.148071868776306</v>
      </c>
      <c r="R14" s="21">
        <f>INDEX(R4:R13, MATCH($L$14, L4:L13, 0))</f>
        <v>4432.9520444950549</v>
      </c>
      <c r="S14" s="36" t="e">
        <f>(L14-$D$15)/$D$15</f>
        <v>#DIV/0!</v>
      </c>
      <c r="T14" s="38">
        <f>MIN(T4:T13)</f>
        <v>1021863.05624849</v>
      </c>
      <c r="U14" s="39">
        <f>INDEX(U4:U13, MATCH($T$14, T4:T13, 0))</f>
        <v>125.31513323085022</v>
      </c>
      <c r="V14" s="38">
        <f>INDEX(V4:V13, MATCH($T$14, T4:T13, 0))</f>
        <v>12</v>
      </c>
      <c r="W14" s="38">
        <f>INDEX(W4:W13, MATCH($T$14, T4:T13, 0))</f>
        <v>96</v>
      </c>
      <c r="X14" s="39">
        <f>INDEX(X4:X13, MATCH($T$14, T4:T13, 0))</f>
        <v>107.20985967235805</v>
      </c>
      <c r="Y14" s="39">
        <f>INDEX(Y4:Y13, MATCH($T$14, T4:T13, 0))</f>
        <v>37.78329131050139</v>
      </c>
      <c r="Z14" s="39">
        <f>INDEX(Z4:Z13, MATCH($T$14, T4:T13, 0))</f>
        <v>4585.4596356402853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-7.3288349841667419E-2</v>
      </c>
      <c r="M15" s="41">
        <f t="shared" ref="M15:R15" si="0">(M14-E14)/E14</f>
        <v>2.8710920663920314</v>
      </c>
      <c r="N15" s="41">
        <f t="shared" si="0"/>
        <v>0</v>
      </c>
      <c r="O15" s="41">
        <f t="shared" si="0"/>
        <v>-4.861111111111116E-2</v>
      </c>
      <c r="P15" s="41">
        <f t="shared" si="0"/>
        <v>-0.65682447092566465</v>
      </c>
      <c r="Q15" s="41">
        <f t="shared" si="0"/>
        <v>-7.0567974909012829E-2</v>
      </c>
      <c r="R15" s="41">
        <f t="shared" si="0"/>
        <v>-6.2938057899283445E-2</v>
      </c>
      <c r="T15" s="41">
        <f>(T14-D14)/D14</f>
        <v>5.5504119900645778E-2</v>
      </c>
      <c r="U15" s="41">
        <f t="shared" ref="U15:Z15" si="1">(U14-E14)/E14</f>
        <v>0.13234420096912045</v>
      </c>
      <c r="V15" s="41">
        <f t="shared" si="1"/>
        <v>9.0909090909090912E-2</v>
      </c>
      <c r="W15" s="41">
        <f t="shared" si="1"/>
        <v>0</v>
      </c>
      <c r="X15" s="41">
        <f t="shared" si="1"/>
        <v>-0.27695591469572722</v>
      </c>
      <c r="Y15" s="41">
        <f t="shared" si="1"/>
        <v>-7.9455415777781202E-2</v>
      </c>
      <c r="Z15" s="41">
        <f t="shared" si="1"/>
        <v>-3.0700159065904554E-2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</sheetData>
  <mergeCells count="1">
    <mergeCell ref="B14:C14"/>
  </mergeCells>
  <conditionalFormatting sqref="C1 C16 C3 C40:C1048576">
    <cfRule type="duplicateValues" dxfId="139" priority="11"/>
    <cfRule type="duplicateValues" dxfId="138" priority="12"/>
  </conditionalFormatting>
  <conditionalFormatting sqref="C2">
    <cfRule type="duplicateValues" dxfId="137" priority="3"/>
    <cfRule type="duplicateValues" dxfId="136" priority="4"/>
  </conditionalFormatting>
  <conditionalFormatting sqref="C4:C13">
    <cfRule type="duplicateValues" dxfId="135" priority="5"/>
    <cfRule type="duplicateValues" dxfId="134" priority="6"/>
  </conditionalFormatting>
  <conditionalFormatting sqref="C14">
    <cfRule type="duplicateValues" dxfId="133" priority="9"/>
    <cfRule type="duplicateValues" dxfId="132" priority="10"/>
  </conditionalFormatting>
  <conditionalFormatting sqref="C15">
    <cfRule type="duplicateValues" dxfId="131" priority="7"/>
    <cfRule type="duplicateValues" dxfId="130" priority="8"/>
  </conditionalFormatting>
  <conditionalFormatting sqref="C17:C39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96A0-5A68-4696-AC9B-FD4AB17AC7C4}">
  <dimension ref="B1:AA17"/>
  <sheetViews>
    <sheetView zoomScale="90" zoomScaleNormal="90" workbookViewId="0">
      <selection activeCell="U19" sqref="U19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-0.97562110885836317</v>
      </c>
      <c r="R2" s="1">
        <f>(R14-J14)/J14</f>
        <v>-0.18656355394638238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1280681.1210966869</v>
      </c>
      <c r="E4" s="33">
        <v>114.18495884612915</v>
      </c>
      <c r="F4" s="5">
        <v>16</v>
      </c>
      <c r="G4" s="23">
        <v>95.333333333333329</v>
      </c>
      <c r="H4" s="33">
        <v>733.30132009796887</v>
      </c>
      <c r="I4" s="23">
        <v>38.904873232268478</v>
      </c>
      <c r="J4" s="5">
        <v>5761.4627707720665</v>
      </c>
      <c r="K4" s="31"/>
      <c r="L4" s="23">
        <v>1138804.8758789611</v>
      </c>
      <c r="M4" s="33">
        <v>207.92288069228215</v>
      </c>
      <c r="N4" s="5">
        <v>9</v>
      </c>
      <c r="O4" s="23">
        <v>59.333333333333343</v>
      </c>
      <c r="P4" s="33">
        <v>76.775081115511512</v>
      </c>
      <c r="Q4" s="23">
        <v>42.61263177893025</v>
      </c>
      <c r="R4" s="5">
        <v>4513.159052394527</v>
      </c>
      <c r="S4" s="35"/>
      <c r="T4" s="23">
        <v>1271542.323134477</v>
      </c>
      <c r="U4" s="33">
        <v>154.19500792300545</v>
      </c>
      <c r="V4" s="5">
        <v>16</v>
      </c>
      <c r="W4" s="23">
        <v>97.333333333333329</v>
      </c>
      <c r="X4" s="33">
        <v>730.61350810308102</v>
      </c>
      <c r="Y4" s="23">
        <v>40.120633575404746</v>
      </c>
      <c r="Z4" s="5">
        <v>5729.8361200621866</v>
      </c>
      <c r="AA4" s="35"/>
    </row>
    <row r="5" spans="2:27" x14ac:dyDescent="0.2">
      <c r="B5" s="4">
        <v>2</v>
      </c>
      <c r="C5" s="4">
        <v>107</v>
      </c>
      <c r="D5" s="23">
        <v>1252153.704625743</v>
      </c>
      <c r="E5" s="33">
        <v>318.13966623077596</v>
      </c>
      <c r="F5" s="5">
        <v>17</v>
      </c>
      <c r="G5" s="23">
        <v>96</v>
      </c>
      <c r="H5" s="33">
        <v>724.07302818045559</v>
      </c>
      <c r="I5" s="23">
        <v>37.032955137792513</v>
      </c>
      <c r="J5" s="5">
        <v>5564.572901666852</v>
      </c>
      <c r="K5" s="31"/>
      <c r="L5" s="23">
        <v>1034057.201660429</v>
      </c>
      <c r="M5" s="33">
        <v>495.37216992314472</v>
      </c>
      <c r="N5" s="5">
        <v>10</v>
      </c>
      <c r="O5" s="23">
        <v>72</v>
      </c>
      <c r="P5" s="33">
        <v>13.478434395278883</v>
      </c>
      <c r="Q5" s="23">
        <v>45.296405693859718</v>
      </c>
      <c r="R5" s="5">
        <v>4472.6739416609098</v>
      </c>
      <c r="S5" s="35"/>
      <c r="T5" s="23">
        <v>1224281.7707935451</v>
      </c>
      <c r="U5" s="33">
        <v>344.60501246154308</v>
      </c>
      <c r="V5" s="5">
        <v>17</v>
      </c>
      <c r="W5" s="23">
        <v>97.333333333333329</v>
      </c>
      <c r="X5" s="33">
        <v>572.32235324638964</v>
      </c>
      <c r="Y5" s="23">
        <v>37.793620149930419</v>
      </c>
      <c r="Z5" s="5">
        <v>5445.6743190149837</v>
      </c>
      <c r="AA5" s="35"/>
    </row>
    <row r="6" spans="2:27" x14ac:dyDescent="0.2">
      <c r="B6" s="4">
        <v>3</v>
      </c>
      <c r="C6" s="4">
        <v>186</v>
      </c>
      <c r="D6" s="23">
        <v>1200025.2317240629</v>
      </c>
      <c r="E6" s="33">
        <v>173.91398946154644</v>
      </c>
      <c r="F6" s="5">
        <v>16</v>
      </c>
      <c r="G6" s="23">
        <v>96.666666666666671</v>
      </c>
      <c r="H6" s="33">
        <v>611.0755950545755</v>
      </c>
      <c r="I6" s="23">
        <v>40.088398618390023</v>
      </c>
      <c r="J6" s="5">
        <v>5525.7668774636077</v>
      </c>
      <c r="K6" s="31"/>
      <c r="L6" s="23">
        <v>1053604.969551573</v>
      </c>
      <c r="M6" s="33">
        <v>135.79673592305667</v>
      </c>
      <c r="N6" s="5">
        <v>10</v>
      </c>
      <c r="O6" s="23">
        <v>71.333333333333329</v>
      </c>
      <c r="P6" s="33">
        <v>44.28589710069771</v>
      </c>
      <c r="Q6" s="23">
        <v>44.795504577784278</v>
      </c>
      <c r="R6" s="5">
        <v>4576.9589405886018</v>
      </c>
      <c r="S6" s="35"/>
      <c r="T6" s="23">
        <v>1234358.2645717049</v>
      </c>
      <c r="U6" s="33">
        <v>360.62405146156937</v>
      </c>
      <c r="V6" s="5">
        <v>15</v>
      </c>
      <c r="W6" s="23">
        <v>97.333333333333329</v>
      </c>
      <c r="X6" s="33">
        <v>682.08563164049406</v>
      </c>
      <c r="Y6" s="23">
        <v>42.461465475592128</v>
      </c>
      <c r="Z6" s="5">
        <v>5659.1617496862564</v>
      </c>
      <c r="AA6" s="35"/>
    </row>
    <row r="7" spans="2:27" x14ac:dyDescent="0.2">
      <c r="B7" s="4">
        <v>4</v>
      </c>
      <c r="C7" s="4">
        <v>202</v>
      </c>
      <c r="D7" s="23">
        <v>1195874.55149322</v>
      </c>
      <c r="E7" s="33">
        <v>269.5518566154015</v>
      </c>
      <c r="F7" s="5">
        <v>15</v>
      </c>
      <c r="G7" s="23">
        <v>97.333333333333329</v>
      </c>
      <c r="H7" s="33">
        <v>687.63202542082661</v>
      </c>
      <c r="I7" s="23">
        <v>43.238451192275349</v>
      </c>
      <c r="J7" s="5">
        <v>5716.7130826593011</v>
      </c>
      <c r="K7" s="31"/>
      <c r="L7" s="23">
        <v>1082852.5344107619</v>
      </c>
      <c r="M7" s="33">
        <v>271.13605023075183</v>
      </c>
      <c r="N7" s="5">
        <v>10</v>
      </c>
      <c r="O7" s="23">
        <v>66.666666666666671</v>
      </c>
      <c r="P7" s="33">
        <v>32.741813062713334</v>
      </c>
      <c r="Q7" s="23">
        <v>42.123791207979387</v>
      </c>
      <c r="R7" s="5">
        <v>4437.3632076206286</v>
      </c>
      <c r="S7" s="35"/>
      <c r="T7" s="23">
        <v>1212436.9349717861</v>
      </c>
      <c r="U7" s="33">
        <v>209.23084030769621</v>
      </c>
      <c r="V7" s="5">
        <v>16</v>
      </c>
      <c r="W7" s="23">
        <v>97.333333333333329</v>
      </c>
      <c r="X7" s="33">
        <v>553.97296848357178</v>
      </c>
      <c r="Y7" s="23">
        <v>39.744303081052145</v>
      </c>
      <c r="Z7" s="5">
        <v>5488.9248180775421</v>
      </c>
      <c r="AA7" s="35"/>
    </row>
    <row r="8" spans="2:27" x14ac:dyDescent="0.2">
      <c r="B8" s="4">
        <v>5</v>
      </c>
      <c r="C8" s="4">
        <v>232</v>
      </c>
      <c r="D8" s="23">
        <v>1269617.101655937</v>
      </c>
      <c r="E8" s="33">
        <v>176.94212353842045</v>
      </c>
      <c r="F8" s="5">
        <v>15</v>
      </c>
      <c r="G8" s="23">
        <v>97.333333333333329</v>
      </c>
      <c r="H8" s="33">
        <v>886.87303099481744</v>
      </c>
      <c r="I8" s="23">
        <v>42.143685035860436</v>
      </c>
      <c r="J8" s="5">
        <v>6045.4754456061328</v>
      </c>
      <c r="K8" s="31"/>
      <c r="L8" s="23">
        <v>1123029.5712295489</v>
      </c>
      <c r="M8" s="33">
        <v>114.70697323075277</v>
      </c>
      <c r="N8" s="5">
        <v>10</v>
      </c>
      <c r="O8" s="23">
        <v>62.666666666666657</v>
      </c>
      <c r="P8" s="33">
        <v>48.25408493164587</v>
      </c>
      <c r="Q8" s="23">
        <v>36.827613253792379</v>
      </c>
      <c r="R8" s="5">
        <v>4484.3795502326011</v>
      </c>
      <c r="S8" s="35"/>
      <c r="T8" s="23">
        <v>1250516.1854187229</v>
      </c>
      <c r="U8" s="33">
        <v>151.06806261545546</v>
      </c>
      <c r="V8" s="5">
        <v>14</v>
      </c>
      <c r="W8" s="23">
        <v>97.333333333333329</v>
      </c>
      <c r="X8" s="33">
        <v>817.90442090993906</v>
      </c>
      <c r="Y8" s="23">
        <v>44.844682337541691</v>
      </c>
      <c r="Z8" s="5">
        <v>5828.09586112329</v>
      </c>
      <c r="AA8" s="35"/>
    </row>
    <row r="9" spans="2:27" x14ac:dyDescent="0.2">
      <c r="B9" s="4">
        <v>6</v>
      </c>
      <c r="C9" s="4">
        <v>234</v>
      </c>
      <c r="D9" s="23">
        <v>1171722.7209426111</v>
      </c>
      <c r="E9" s="33">
        <v>274.61161923075383</v>
      </c>
      <c r="F9" s="5">
        <v>16</v>
      </c>
      <c r="G9" s="23">
        <v>97.333333333333329</v>
      </c>
      <c r="H9" s="33">
        <v>552.87315230917284</v>
      </c>
      <c r="I9" s="23">
        <v>39.68895058554655</v>
      </c>
      <c r="J9" s="5">
        <v>5498.4921850503042</v>
      </c>
      <c r="K9" s="31"/>
      <c r="L9" s="23">
        <v>1085350.962210787</v>
      </c>
      <c r="M9" s="33">
        <v>121.80432884613623</v>
      </c>
      <c r="N9" s="5">
        <v>11</v>
      </c>
      <c r="O9" s="23">
        <v>70.666666666666671</v>
      </c>
      <c r="P9" s="33">
        <v>59.288775628565176</v>
      </c>
      <c r="Q9" s="23">
        <v>39.141034784761196</v>
      </c>
      <c r="R9" s="5">
        <v>4610.1256723264642</v>
      </c>
      <c r="S9" s="35"/>
      <c r="T9" s="23">
        <v>1298760.2263387539</v>
      </c>
      <c r="U9" s="33">
        <v>277.54592976917945</v>
      </c>
      <c r="V9" s="5">
        <v>16</v>
      </c>
      <c r="W9" s="23">
        <v>97.333333333333329</v>
      </c>
      <c r="X9" s="33">
        <v>833.66697949198476</v>
      </c>
      <c r="Y9" s="23">
        <v>39.42796157734707</v>
      </c>
      <c r="Z9" s="5">
        <v>5862.1568005125109</v>
      </c>
      <c r="AA9" s="35"/>
    </row>
    <row r="10" spans="2:27" x14ac:dyDescent="0.2">
      <c r="B10" s="4">
        <v>7</v>
      </c>
      <c r="C10" s="4">
        <v>385</v>
      </c>
      <c r="D10" s="23">
        <v>1199176.476264515</v>
      </c>
      <c r="E10" s="33">
        <v>210.84975484615339</v>
      </c>
      <c r="F10" s="5">
        <v>15</v>
      </c>
      <c r="G10" s="23">
        <v>97.333333333333329</v>
      </c>
      <c r="H10" s="33">
        <v>684.88362185811638</v>
      </c>
      <c r="I10" s="23">
        <v>42.229938727119269</v>
      </c>
      <c r="J10" s="5">
        <v>5700.5202672705091</v>
      </c>
      <c r="K10" s="31"/>
      <c r="L10" s="23">
        <v>1044029.483098126</v>
      </c>
      <c r="M10" s="33">
        <v>198.04757246156586</v>
      </c>
      <c r="N10" s="5">
        <v>11</v>
      </c>
      <c r="O10" s="23">
        <v>72.666666666666671</v>
      </c>
      <c r="P10" s="33">
        <v>26.648540873172475</v>
      </c>
      <c r="Q10" s="23">
        <v>41.450956396728401</v>
      </c>
      <c r="R10" s="5">
        <v>4455.0817481252161</v>
      </c>
      <c r="S10" s="35"/>
      <c r="T10" s="23">
        <v>1239733.7695803009</v>
      </c>
      <c r="U10" s="33">
        <v>281.27782261536385</v>
      </c>
      <c r="V10" s="5">
        <v>16</v>
      </c>
      <c r="W10" s="23">
        <v>97.333333333333329</v>
      </c>
      <c r="X10" s="33">
        <v>677.82063907329393</v>
      </c>
      <c r="Y10" s="23">
        <v>39.808153383263907</v>
      </c>
      <c r="Z10" s="5">
        <v>5583.8916294158553</v>
      </c>
      <c r="AA10" s="35"/>
    </row>
    <row r="11" spans="2:27" x14ac:dyDescent="0.2">
      <c r="B11" s="4">
        <v>8</v>
      </c>
      <c r="C11" s="4">
        <v>576</v>
      </c>
      <c r="D11" s="23">
        <v>1228006.3899969719</v>
      </c>
      <c r="E11" s="33">
        <v>263.00417484617077</v>
      </c>
      <c r="F11" s="5">
        <v>14</v>
      </c>
      <c r="G11" s="23">
        <v>96</v>
      </c>
      <c r="H11" s="33">
        <v>728.9454375853295</v>
      </c>
      <c r="I11" s="23">
        <v>43.905044641544769</v>
      </c>
      <c r="J11" s="5">
        <v>5806.2910518564559</v>
      </c>
      <c r="K11" s="31"/>
      <c r="L11" s="23">
        <v>1066017.6258746961</v>
      </c>
      <c r="M11" s="33">
        <v>197.37729830774836</v>
      </c>
      <c r="N11" s="5">
        <v>11</v>
      </c>
      <c r="O11" s="23">
        <v>72</v>
      </c>
      <c r="P11" s="33">
        <v>57.346734246187189</v>
      </c>
      <c r="Q11" s="23">
        <v>40.980063827691794</v>
      </c>
      <c r="R11" s="5">
        <v>4569.300721986896</v>
      </c>
      <c r="S11" s="35"/>
      <c r="T11" s="23">
        <v>1316036.712202668</v>
      </c>
      <c r="U11" s="33">
        <v>101.51819761538016</v>
      </c>
      <c r="V11" s="5">
        <v>17</v>
      </c>
      <c r="W11" s="23">
        <v>97.333333333333329</v>
      </c>
      <c r="X11" s="33">
        <v>772.2372304761401</v>
      </c>
      <c r="Y11" s="23">
        <v>38.121590266095879</v>
      </c>
      <c r="Z11" s="5">
        <v>5906.9746084614953</v>
      </c>
      <c r="AA11" s="35"/>
    </row>
    <row r="12" spans="2:27" x14ac:dyDescent="0.2">
      <c r="B12" s="4">
        <v>9</v>
      </c>
      <c r="C12" s="4">
        <v>594</v>
      </c>
      <c r="D12" s="23">
        <v>1185839.3651102521</v>
      </c>
      <c r="E12" s="33">
        <v>262.34278969224897</v>
      </c>
      <c r="F12" s="5">
        <v>15</v>
      </c>
      <c r="G12" s="23">
        <v>96.666666666666671</v>
      </c>
      <c r="H12" s="33">
        <v>633.10958565160763</v>
      </c>
      <c r="I12" s="23">
        <v>42.066728622129048</v>
      </c>
      <c r="J12" s="5">
        <v>5564.7176633644267</v>
      </c>
      <c r="K12" s="31"/>
      <c r="L12" s="23">
        <v>1119133.955535182</v>
      </c>
      <c r="M12" s="33">
        <v>290.280202692285</v>
      </c>
      <c r="N12" s="5">
        <v>8</v>
      </c>
      <c r="O12" s="23">
        <v>58.666666666666657</v>
      </c>
      <c r="P12" s="33">
        <v>18.452156437923836</v>
      </c>
      <c r="Q12" s="23">
        <v>46.338341740410804</v>
      </c>
      <c r="R12" s="5">
        <v>4489.0698813834924</v>
      </c>
      <c r="S12" s="35"/>
      <c r="T12" s="23">
        <v>1234783.2680212969</v>
      </c>
      <c r="U12" s="33">
        <v>230.70728607690677</v>
      </c>
      <c r="V12" s="5">
        <v>16</v>
      </c>
      <c r="W12" s="23">
        <v>97.333333333333329</v>
      </c>
      <c r="X12" s="33">
        <v>647.89657914183169</v>
      </c>
      <c r="Y12" s="23">
        <v>40.405449413203762</v>
      </c>
      <c r="Z12" s="5">
        <v>5591.9736633957145</v>
      </c>
      <c r="AA12" s="35"/>
    </row>
    <row r="13" spans="2:27" x14ac:dyDescent="0.2">
      <c r="B13" s="4">
        <v>10</v>
      </c>
      <c r="C13" s="4">
        <v>912</v>
      </c>
      <c r="D13" s="23">
        <v>1261692.9026187391</v>
      </c>
      <c r="E13" s="33">
        <v>118.11249299995747</v>
      </c>
      <c r="F13" s="5">
        <v>16</v>
      </c>
      <c r="G13" s="23">
        <v>96.666666666666671</v>
      </c>
      <c r="H13" s="33">
        <v>807.19655192424</v>
      </c>
      <c r="I13" s="23">
        <v>40.074748015964047</v>
      </c>
      <c r="J13" s="5">
        <v>5813.0611014275755</v>
      </c>
      <c r="K13" s="31"/>
      <c r="L13" s="23">
        <v>1118523.9981225859</v>
      </c>
      <c r="M13" s="33">
        <v>269.89777515382644</v>
      </c>
      <c r="N13" s="5">
        <v>11</v>
      </c>
      <c r="O13" s="23">
        <v>66</v>
      </c>
      <c r="P13" s="33">
        <v>72.681952276346749</v>
      </c>
      <c r="Q13" s="23">
        <v>35.83378631744143</v>
      </c>
      <c r="R13" s="5">
        <v>4539.3794476098055</v>
      </c>
      <c r="S13" s="35"/>
      <c r="T13" s="23">
        <v>1380465.6416429619</v>
      </c>
      <c r="U13" s="33">
        <v>168.1656178461316</v>
      </c>
      <c r="V13" s="5">
        <v>17</v>
      </c>
      <c r="W13" s="23">
        <v>97.333333333333329</v>
      </c>
      <c r="X13" s="33">
        <v>1001.3804916596418</v>
      </c>
      <c r="Y13" s="23">
        <v>38.118840229099597</v>
      </c>
      <c r="Z13" s="5">
        <v>6111.075787765275</v>
      </c>
      <c r="AA13" s="35"/>
    </row>
    <row r="14" spans="2:27" x14ac:dyDescent="0.2">
      <c r="B14" s="50" t="s">
        <v>3</v>
      </c>
      <c r="C14" s="51"/>
      <c r="D14" s="9">
        <f>MIN(D4:D13)</f>
        <v>1171722.7209426111</v>
      </c>
      <c r="E14" s="22">
        <f>INDEX(E4:E13, MATCH($D$14, D4:D13, 0))</f>
        <v>274.61161923075383</v>
      </c>
      <c r="F14" s="9">
        <f>INDEX(F4:F13, MATCH($D$14, D4:D13, 0))</f>
        <v>16</v>
      </c>
      <c r="G14" s="9">
        <f>INDEX(G4:G13, MATCH($D$14, D4:D13, 0))</f>
        <v>97.333333333333329</v>
      </c>
      <c r="H14" s="22">
        <f>INDEX(H4:H13, MATCH($D$14, D4:D13, 0))</f>
        <v>552.87315230917284</v>
      </c>
      <c r="I14" s="22">
        <f>INDEX(I4:I13, MATCH($D$14, D4:D13, 0))</f>
        <v>39.68895058554655</v>
      </c>
      <c r="J14" s="22">
        <f>INDEX(J4:J13, MATCH($D$14, D4:D13, 0))</f>
        <v>5498.4921850503042</v>
      </c>
      <c r="K14" s="32" t="e">
        <f>(D14-$D$15)/$D$15</f>
        <v>#DIV/0!</v>
      </c>
      <c r="L14" s="16">
        <f>MIN(L4:L13)</f>
        <v>1034057.201660429</v>
      </c>
      <c r="M14" s="21">
        <f>INDEX(M4:M13, MATCH($L$14, L4:L13, 0))</f>
        <v>495.37216992314472</v>
      </c>
      <c r="N14" s="16">
        <f>INDEX(N4:N13, MATCH($L$14, L4:L13, 0))</f>
        <v>10</v>
      </c>
      <c r="O14" s="16">
        <f>INDEX(O4:O13, MATCH($L$14, L4:L13, 0))</f>
        <v>72</v>
      </c>
      <c r="P14" s="21">
        <f>INDEX(P4:P13, MATCH($L$14, L4:L13, 0))</f>
        <v>13.478434395278883</v>
      </c>
      <c r="Q14" s="21">
        <f>INDEX(Q4:Q13, MATCH($L$14, L4:L13, 0))</f>
        <v>45.296405693859718</v>
      </c>
      <c r="R14" s="21">
        <f>INDEX(R4:R13, MATCH($L$14, L4:L13, 0))</f>
        <v>4472.6739416609098</v>
      </c>
      <c r="S14" s="36" t="e">
        <f>(L14-$D$15)/$D$15</f>
        <v>#DIV/0!</v>
      </c>
      <c r="T14" s="38">
        <f>MIN(T4:T13)</f>
        <v>1212436.9349717861</v>
      </c>
      <c r="U14" s="39">
        <f>INDEX(U4:U13, MATCH($T$14, T4:T13, 0))</f>
        <v>209.23084030769621</v>
      </c>
      <c r="V14" s="38">
        <f>INDEX(V4:V13, MATCH($T$14, T4:T13, 0))</f>
        <v>16</v>
      </c>
      <c r="W14" s="38">
        <f>INDEX(W4:W13, MATCH($T$14, T4:T13, 0))</f>
        <v>97.333333333333329</v>
      </c>
      <c r="X14" s="39">
        <f>INDEX(X4:X13, MATCH($T$14, T4:T13, 0))</f>
        <v>553.97296848357178</v>
      </c>
      <c r="Y14" s="39">
        <f>INDEX(Y4:Y13, MATCH($T$14, T4:T13, 0))</f>
        <v>39.744303081052145</v>
      </c>
      <c r="Z14" s="39">
        <f>INDEX(Z4:Z13, MATCH($T$14, T4:T13, 0))</f>
        <v>5488.9248180775421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-0.11748984364785114</v>
      </c>
      <c r="M15" s="41">
        <f t="shared" ref="M15:R15" si="0">(M14-E14)/E14</f>
        <v>0.80390098318049563</v>
      </c>
      <c r="N15" s="41">
        <f t="shared" si="0"/>
        <v>-0.375</v>
      </c>
      <c r="O15" s="41">
        <f t="shared" si="0"/>
        <v>-0.26027397260273971</v>
      </c>
      <c r="P15" s="41">
        <f t="shared" si="0"/>
        <v>-0.97562110885836317</v>
      </c>
      <c r="Q15" s="41">
        <f t="shared" si="0"/>
        <v>0.14128504345880147</v>
      </c>
      <c r="R15" s="41">
        <f t="shared" si="0"/>
        <v>-0.18656355394638238</v>
      </c>
      <c r="T15" s="41">
        <f>(T14-D14)/D14</f>
        <v>3.474731120381603E-2</v>
      </c>
      <c r="U15" s="41">
        <f t="shared" ref="U15:Z15" si="1">(U14-E14)/E14</f>
        <v>-0.23808453227945428</v>
      </c>
      <c r="V15" s="41">
        <f t="shared" si="1"/>
        <v>0</v>
      </c>
      <c r="W15" s="41">
        <f t="shared" si="1"/>
        <v>0</v>
      </c>
      <c r="X15" s="41">
        <f t="shared" si="1"/>
        <v>1.9892739768703925E-3</v>
      </c>
      <c r="Y15" s="41">
        <f t="shared" si="1"/>
        <v>1.3946575731773683E-3</v>
      </c>
      <c r="Z15" s="41">
        <f t="shared" si="1"/>
        <v>-1.739998285125247E-3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129" priority="11"/>
    <cfRule type="duplicateValues" dxfId="128" priority="12"/>
  </conditionalFormatting>
  <conditionalFormatting sqref="C2">
    <cfRule type="duplicateValues" dxfId="127" priority="3"/>
    <cfRule type="duplicateValues" dxfId="126" priority="4"/>
  </conditionalFormatting>
  <conditionalFormatting sqref="C4:C13">
    <cfRule type="duplicateValues" dxfId="125" priority="5"/>
    <cfRule type="duplicateValues" dxfId="124" priority="6"/>
  </conditionalFormatting>
  <conditionalFormatting sqref="C14">
    <cfRule type="duplicateValues" dxfId="123" priority="9"/>
    <cfRule type="duplicateValues" dxfId="122" priority="10"/>
  </conditionalFormatting>
  <conditionalFormatting sqref="C15">
    <cfRule type="duplicateValues" dxfId="121" priority="7"/>
    <cfRule type="duplicateValues" dxfId="120" priority="8"/>
  </conditionalFormatting>
  <conditionalFormatting sqref="C17:C39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0BAC-9010-4EB7-A509-C645931A7C55}">
  <dimension ref="B1:AA17"/>
  <sheetViews>
    <sheetView zoomScale="85" zoomScaleNormal="85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-0.89614034264637432</v>
      </c>
      <c r="R2" s="1">
        <f>(R14-J14)/J14</f>
        <v>-0.11902670622200701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</v>
      </c>
      <c r="D4" s="23">
        <v>1170325.1112011869</v>
      </c>
      <c r="E4" s="33">
        <v>164.01283223083462</v>
      </c>
      <c r="F4" s="5">
        <v>14</v>
      </c>
      <c r="G4" s="23">
        <v>94</v>
      </c>
      <c r="H4" s="33">
        <v>305.01396819264107</v>
      </c>
      <c r="I4" s="23">
        <v>37.38867361217094</v>
      </c>
      <c r="J4" s="5">
        <v>5359.7381602944406</v>
      </c>
      <c r="K4" s="31"/>
      <c r="L4" s="23">
        <v>1022506.357473821</v>
      </c>
      <c r="M4" s="33">
        <v>177.12691892305608</v>
      </c>
      <c r="N4" s="5">
        <v>11</v>
      </c>
      <c r="O4" s="23">
        <v>77.333333333333329</v>
      </c>
      <c r="P4" s="33">
        <v>49.31824609657793</v>
      </c>
      <c r="Q4" s="23">
        <v>36.430389761745388</v>
      </c>
      <c r="R4" s="5">
        <v>4531.5446343882932</v>
      </c>
      <c r="S4" s="35"/>
      <c r="T4" s="23">
        <v>1251143.818140771</v>
      </c>
      <c r="U4" s="33">
        <v>150.25153176921708</v>
      </c>
      <c r="V4" s="5">
        <v>13</v>
      </c>
      <c r="W4" s="23">
        <v>94</v>
      </c>
      <c r="X4" s="33">
        <v>317.6643659027651</v>
      </c>
      <c r="Y4" s="23">
        <v>41.286889990337073</v>
      </c>
      <c r="Z4" s="5">
        <v>5441.9440521288579</v>
      </c>
      <c r="AA4" s="35"/>
    </row>
    <row r="5" spans="2:27" x14ac:dyDescent="0.2">
      <c r="B5" s="4">
        <v>2</v>
      </c>
      <c r="C5" s="4">
        <v>171</v>
      </c>
      <c r="D5" s="23">
        <v>1148316.5899994089</v>
      </c>
      <c r="E5" s="33">
        <v>126.27732507696446</v>
      </c>
      <c r="F5" s="5">
        <v>13</v>
      </c>
      <c r="G5" s="23">
        <v>94</v>
      </c>
      <c r="H5" s="33">
        <v>328.83944130422299</v>
      </c>
      <c r="I5" s="23">
        <v>41.467997513292097</v>
      </c>
      <c r="J5" s="5">
        <v>5347.5358915945953</v>
      </c>
      <c r="K5" s="31"/>
      <c r="L5" s="23">
        <v>1003184.033186147</v>
      </c>
      <c r="M5" s="33">
        <v>292.5105576153594</v>
      </c>
      <c r="N5" s="5">
        <v>10</v>
      </c>
      <c r="O5" s="23">
        <v>77.333333333333329</v>
      </c>
      <c r="P5" s="33">
        <v>29.86313551113204</v>
      </c>
      <c r="Q5" s="23">
        <v>40.68830439847919</v>
      </c>
      <c r="R5" s="5">
        <v>4599.6035014828822</v>
      </c>
      <c r="S5" s="35"/>
      <c r="T5" s="23">
        <v>1240338.712354125</v>
      </c>
      <c r="U5" s="33">
        <v>223.73803492313107</v>
      </c>
      <c r="V5" s="5">
        <v>13</v>
      </c>
      <c r="W5" s="23">
        <v>94</v>
      </c>
      <c r="X5" s="33">
        <v>310.38003815540594</v>
      </c>
      <c r="Y5" s="23">
        <v>41.308549276997255</v>
      </c>
      <c r="Z5" s="5">
        <v>5371.3099522502316</v>
      </c>
      <c r="AA5" s="35"/>
    </row>
    <row r="6" spans="2:27" x14ac:dyDescent="0.2">
      <c r="B6" s="4">
        <v>3</v>
      </c>
      <c r="C6" s="4">
        <v>263</v>
      </c>
      <c r="D6" s="23">
        <v>1141726.937281823</v>
      </c>
      <c r="E6" s="33">
        <v>371.94766284620312</v>
      </c>
      <c r="F6" s="5">
        <v>14</v>
      </c>
      <c r="G6" s="23">
        <v>94</v>
      </c>
      <c r="H6" s="33">
        <v>284.12843424466513</v>
      </c>
      <c r="I6" s="23">
        <v>38.423322876589999</v>
      </c>
      <c r="J6" s="5">
        <v>5202.2457846926009</v>
      </c>
      <c r="K6" s="31"/>
      <c r="L6" s="23">
        <v>993765.11369829392</v>
      </c>
      <c r="M6" s="33">
        <v>177.73949292300338</v>
      </c>
      <c r="N6" s="5">
        <v>10</v>
      </c>
      <c r="O6" s="23">
        <v>80.666666666666671</v>
      </c>
      <c r="P6" s="33">
        <v>39.919118734280694</v>
      </c>
      <c r="Q6" s="23">
        <v>42.725058171570012</v>
      </c>
      <c r="R6" s="5">
        <v>4710.6555739458454</v>
      </c>
      <c r="S6" s="35"/>
      <c r="T6" s="23">
        <v>1248536.602097295</v>
      </c>
      <c r="U6" s="33">
        <v>102.61342430764886</v>
      </c>
      <c r="V6" s="5">
        <v>14</v>
      </c>
      <c r="W6" s="23">
        <v>94</v>
      </c>
      <c r="X6" s="33">
        <v>316.53252931582574</v>
      </c>
      <c r="Y6" s="23">
        <v>37.695870873716366</v>
      </c>
      <c r="Z6" s="5">
        <v>5278.1607836447292</v>
      </c>
      <c r="AA6" s="35"/>
    </row>
    <row r="7" spans="2:27" x14ac:dyDescent="0.2">
      <c r="B7" s="4">
        <v>4</v>
      </c>
      <c r="C7" s="4">
        <v>299</v>
      </c>
      <c r="D7" s="23">
        <v>1145072.824623574</v>
      </c>
      <c r="E7" s="33">
        <v>307.01109215384344</v>
      </c>
      <c r="F7" s="5">
        <v>13</v>
      </c>
      <c r="G7" s="23">
        <v>94</v>
      </c>
      <c r="H7" s="33">
        <v>308.6668186090148</v>
      </c>
      <c r="I7" s="23">
        <v>41.432112602581164</v>
      </c>
      <c r="J7" s="5">
        <v>5340.9985116472035</v>
      </c>
      <c r="K7" s="31"/>
      <c r="L7" s="23">
        <v>1056614.446909745</v>
      </c>
      <c r="M7" s="33">
        <v>256.0605009230606</v>
      </c>
      <c r="N7" s="5">
        <v>10</v>
      </c>
      <c r="O7" s="23">
        <v>70</v>
      </c>
      <c r="P7" s="33">
        <v>18.972565788271353</v>
      </c>
      <c r="Q7" s="23">
        <v>40.095636008141952</v>
      </c>
      <c r="R7" s="5">
        <v>4472.2665381120769</v>
      </c>
      <c r="S7" s="35"/>
      <c r="T7" s="23">
        <v>1248926.034564472</v>
      </c>
      <c r="U7" s="33">
        <v>92.530828307633527</v>
      </c>
      <c r="V7" s="5">
        <v>14</v>
      </c>
      <c r="W7" s="23">
        <v>94</v>
      </c>
      <c r="X7" s="33">
        <v>298.10299633525716</v>
      </c>
      <c r="Y7" s="23">
        <v>38.45970904913208</v>
      </c>
      <c r="Z7" s="5">
        <v>5289.1381521550493</v>
      </c>
      <c r="AA7" s="35"/>
    </row>
    <row r="8" spans="2:27" x14ac:dyDescent="0.2">
      <c r="B8" s="4">
        <v>5</v>
      </c>
      <c r="C8" s="4">
        <v>407</v>
      </c>
      <c r="D8" s="23">
        <v>1158613.468585192</v>
      </c>
      <c r="E8" s="33">
        <v>113.97056346150261</v>
      </c>
      <c r="F8" s="5">
        <v>13</v>
      </c>
      <c r="G8" s="23">
        <v>94</v>
      </c>
      <c r="H8" s="33">
        <v>276.99255887922419</v>
      </c>
      <c r="I8" s="23">
        <v>40.910058745666142</v>
      </c>
      <c r="J8" s="5">
        <v>5439.6005044727408</v>
      </c>
      <c r="K8" s="31"/>
      <c r="L8" s="23">
        <v>1007088.1765837159</v>
      </c>
      <c r="M8" s="33">
        <v>340.75606292310664</v>
      </c>
      <c r="N8" s="5">
        <v>10</v>
      </c>
      <c r="O8" s="23">
        <v>78</v>
      </c>
      <c r="P8" s="33">
        <v>19.871232913652381</v>
      </c>
      <c r="Q8" s="23">
        <v>42.254074483646626</v>
      </c>
      <c r="R8" s="5">
        <v>4663.6064784558193</v>
      </c>
      <c r="S8" s="35"/>
      <c r="T8" s="23">
        <v>1239822.8460430349</v>
      </c>
      <c r="U8" s="33">
        <v>156.36038723079346</v>
      </c>
      <c r="V8" s="5">
        <v>14</v>
      </c>
      <c r="W8" s="23">
        <v>94</v>
      </c>
      <c r="X8" s="33">
        <v>244.15194056233329</v>
      </c>
      <c r="Y8" s="23">
        <v>38.150962979426154</v>
      </c>
      <c r="Z8" s="5">
        <v>5276.7685873350583</v>
      </c>
      <c r="AA8" s="35"/>
    </row>
    <row r="9" spans="2:27" x14ac:dyDescent="0.2">
      <c r="B9" s="4">
        <v>6</v>
      </c>
      <c r="C9" s="4">
        <v>501</v>
      </c>
      <c r="D9" s="23">
        <v>1179523.9750385331</v>
      </c>
      <c r="E9" s="33">
        <v>190.68499353839653</v>
      </c>
      <c r="F9" s="5">
        <v>15</v>
      </c>
      <c r="G9" s="23">
        <v>94</v>
      </c>
      <c r="H9" s="33">
        <v>358.06900163112118</v>
      </c>
      <c r="I9" s="23">
        <v>36.081197209071505</v>
      </c>
      <c r="J9" s="5">
        <v>5274.6486469221954</v>
      </c>
      <c r="K9" s="31"/>
      <c r="L9" s="23">
        <v>990396.84939570259</v>
      </c>
      <c r="M9" s="33">
        <v>189.13858723074483</v>
      </c>
      <c r="N9" s="5">
        <v>10</v>
      </c>
      <c r="O9" s="23">
        <v>78.666666666666671</v>
      </c>
      <c r="P9" s="33">
        <v>29.509481825073095</v>
      </c>
      <c r="Q9" s="23">
        <v>41.782197420572871</v>
      </c>
      <c r="R9" s="5">
        <v>4583.0396039833204</v>
      </c>
      <c r="S9" s="35"/>
      <c r="T9" s="23">
        <v>1271420.3699460621</v>
      </c>
      <c r="U9" s="33">
        <v>114.43347815388384</v>
      </c>
      <c r="V9" s="5">
        <v>14</v>
      </c>
      <c r="W9" s="23">
        <v>94</v>
      </c>
      <c r="X9" s="33">
        <v>412.14503025988114</v>
      </c>
      <c r="Y9" s="23">
        <v>38.452344305944017</v>
      </c>
      <c r="Z9" s="5">
        <v>5364.6075690463304</v>
      </c>
      <c r="AA9" s="35"/>
    </row>
    <row r="10" spans="2:27" x14ac:dyDescent="0.2">
      <c r="B10" s="4">
        <v>7</v>
      </c>
      <c r="C10" s="4">
        <v>503</v>
      </c>
      <c r="D10" s="23">
        <v>1154877.678065887</v>
      </c>
      <c r="E10" s="33">
        <v>101.398167923057</v>
      </c>
      <c r="F10" s="5">
        <v>13</v>
      </c>
      <c r="G10" s="23">
        <v>94</v>
      </c>
      <c r="H10" s="33">
        <v>338.97353268411445</v>
      </c>
      <c r="I10" s="23">
        <v>41.849561469790942</v>
      </c>
      <c r="J10" s="5">
        <v>5392.7221290743882</v>
      </c>
      <c r="K10" s="31"/>
      <c r="L10" s="23">
        <v>1061049.499988636</v>
      </c>
      <c r="M10" s="33">
        <v>292.54117615386627</v>
      </c>
      <c r="N10" s="5">
        <v>12</v>
      </c>
      <c r="O10" s="23">
        <v>74</v>
      </c>
      <c r="P10" s="33">
        <v>56.153680426264579</v>
      </c>
      <c r="Q10" s="23">
        <v>32.622098038933835</v>
      </c>
      <c r="R10" s="5">
        <v>4484.4002849459648</v>
      </c>
      <c r="S10" s="35"/>
      <c r="T10" s="23">
        <v>1269618.8459885679</v>
      </c>
      <c r="U10" s="33">
        <v>203.13351592308697</v>
      </c>
      <c r="V10" s="5">
        <v>14</v>
      </c>
      <c r="W10" s="23">
        <v>94</v>
      </c>
      <c r="X10" s="33">
        <v>403.63972552176381</v>
      </c>
      <c r="Y10" s="23">
        <v>39.556643937334464</v>
      </c>
      <c r="Z10" s="5">
        <v>5383.8346569122587</v>
      </c>
      <c r="AA10" s="35"/>
    </row>
    <row r="11" spans="2:27" x14ac:dyDescent="0.2">
      <c r="B11" s="4">
        <v>8</v>
      </c>
      <c r="C11" s="4">
        <v>599</v>
      </c>
      <c r="D11" s="23">
        <v>1174685.3457871131</v>
      </c>
      <c r="E11" s="33">
        <v>296.92075176916728</v>
      </c>
      <c r="F11" s="5">
        <v>14</v>
      </c>
      <c r="G11" s="23">
        <v>94</v>
      </c>
      <c r="H11" s="33">
        <v>429.42313508461041</v>
      </c>
      <c r="I11" s="23">
        <v>37.882386142464846</v>
      </c>
      <c r="J11" s="5">
        <v>5298.07573068689</v>
      </c>
      <c r="K11" s="31"/>
      <c r="L11" s="23">
        <v>1024331.85595128</v>
      </c>
      <c r="M11" s="33">
        <v>185.85919907692676</v>
      </c>
      <c r="N11" s="5">
        <v>11</v>
      </c>
      <c r="O11" s="23">
        <v>74</v>
      </c>
      <c r="P11" s="33">
        <v>44.783297568701762</v>
      </c>
      <c r="Q11" s="23">
        <v>36.256060158149772</v>
      </c>
      <c r="R11" s="5">
        <v>4298.6417237573378</v>
      </c>
      <c r="S11" s="35"/>
      <c r="T11" s="23">
        <v>1219565.643279949</v>
      </c>
      <c r="U11" s="33">
        <v>332.49471876931443</v>
      </c>
      <c r="V11" s="5">
        <v>14</v>
      </c>
      <c r="W11" s="23">
        <v>94</v>
      </c>
      <c r="X11" s="33">
        <v>279.36404292574383</v>
      </c>
      <c r="Y11" s="23">
        <v>38.142789624261006</v>
      </c>
      <c r="Z11" s="5">
        <v>5114.0273392005838</v>
      </c>
      <c r="AA11" s="35"/>
    </row>
    <row r="12" spans="2:27" x14ac:dyDescent="0.2">
      <c r="B12" s="4">
        <v>9</v>
      </c>
      <c r="C12" s="4">
        <v>663</v>
      </c>
      <c r="D12" s="23">
        <v>1201901.4673412519</v>
      </c>
      <c r="E12" s="33">
        <v>337.01970092307494</v>
      </c>
      <c r="F12" s="5">
        <v>14</v>
      </c>
      <c r="G12" s="23">
        <v>94</v>
      </c>
      <c r="H12" s="33">
        <v>479.43363229327366</v>
      </c>
      <c r="I12" s="23">
        <v>37.805822536630714</v>
      </c>
      <c r="J12" s="5">
        <v>5435.3960991830681</v>
      </c>
      <c r="K12" s="31"/>
      <c r="L12" s="23">
        <v>1002486.635827772</v>
      </c>
      <c r="M12" s="33">
        <v>254.67386300003943</v>
      </c>
      <c r="N12" s="5">
        <v>10</v>
      </c>
      <c r="O12" s="23">
        <v>78</v>
      </c>
      <c r="P12" s="33">
        <v>18.496885703980723</v>
      </c>
      <c r="Q12" s="23">
        <v>41.992811160107877</v>
      </c>
      <c r="R12" s="5">
        <v>4651.3472072962049</v>
      </c>
      <c r="S12" s="35"/>
      <c r="T12" s="23">
        <v>1239266.0433995179</v>
      </c>
      <c r="U12" s="33">
        <v>124.55413876916283</v>
      </c>
      <c r="V12" s="5">
        <v>13</v>
      </c>
      <c r="W12" s="23">
        <v>94</v>
      </c>
      <c r="X12" s="33">
        <v>338.0386139516653</v>
      </c>
      <c r="Y12" s="23">
        <v>41.52795328359435</v>
      </c>
      <c r="Z12" s="5">
        <v>5348.0471889380415</v>
      </c>
      <c r="AA12" s="35"/>
    </row>
    <row r="13" spans="2:27" x14ac:dyDescent="0.2">
      <c r="B13" s="4">
        <v>10</v>
      </c>
      <c r="C13" s="4">
        <v>731</v>
      </c>
      <c r="D13" s="23">
        <v>1183377.9090020419</v>
      </c>
      <c r="E13" s="33">
        <v>94.942989307634832</v>
      </c>
      <c r="F13" s="5">
        <v>14</v>
      </c>
      <c r="G13" s="23">
        <v>94</v>
      </c>
      <c r="H13" s="33">
        <v>422.50210120117367</v>
      </c>
      <c r="I13" s="23">
        <v>37.633366425991447</v>
      </c>
      <c r="J13" s="5">
        <v>5369.8627720996546</v>
      </c>
      <c r="K13" s="31"/>
      <c r="L13" s="23">
        <v>1035729.610311657</v>
      </c>
      <c r="M13" s="33">
        <v>175.61674038467638</v>
      </c>
      <c r="N13" s="5">
        <v>9</v>
      </c>
      <c r="O13" s="23">
        <v>72.666666666666671</v>
      </c>
      <c r="P13" s="33">
        <v>42.059099041092672</v>
      </c>
      <c r="Q13" s="23">
        <v>43.783672697941221</v>
      </c>
      <c r="R13" s="5">
        <v>4658.1638004220731</v>
      </c>
      <c r="S13" s="35"/>
      <c r="T13" s="23">
        <v>1236329.950538523</v>
      </c>
      <c r="U13" s="33">
        <v>93.693847153873079</v>
      </c>
      <c r="V13" s="5">
        <v>14</v>
      </c>
      <c r="W13" s="23">
        <v>94</v>
      </c>
      <c r="X13" s="33">
        <v>235.49869753632976</v>
      </c>
      <c r="Y13" s="23">
        <v>38.122706895583825</v>
      </c>
      <c r="Z13" s="5">
        <v>5255.2151580423424</v>
      </c>
      <c r="AA13" s="35"/>
    </row>
    <row r="14" spans="2:27" x14ac:dyDescent="0.2">
      <c r="B14" s="50" t="s">
        <v>3</v>
      </c>
      <c r="C14" s="51"/>
      <c r="D14" s="9">
        <f>MIN(D4:D13)</f>
        <v>1141726.937281823</v>
      </c>
      <c r="E14" s="22">
        <f>INDEX(E4:E13, MATCH($D$14, D4:D13, 0))</f>
        <v>371.94766284620312</v>
      </c>
      <c r="F14" s="9">
        <f>INDEX(F4:F13, MATCH($D$14, D4:D13, 0))</f>
        <v>14</v>
      </c>
      <c r="G14" s="9">
        <f>INDEX(G4:G13, MATCH($D$14, D4:D13, 0))</f>
        <v>94</v>
      </c>
      <c r="H14" s="22">
        <f>INDEX(H4:H13, MATCH($D$14, D4:D13, 0))</f>
        <v>284.12843424466513</v>
      </c>
      <c r="I14" s="22">
        <f>INDEX(I4:I13, MATCH($D$14, D4:D13, 0))</f>
        <v>38.423322876589999</v>
      </c>
      <c r="J14" s="22">
        <f>INDEX(J4:J13, MATCH($D$14, D4:D13, 0))</f>
        <v>5202.2457846926009</v>
      </c>
      <c r="K14" s="32" t="e">
        <f>(D14-$D$15)/$D$15</f>
        <v>#DIV/0!</v>
      </c>
      <c r="L14" s="16">
        <f>MIN(L4:L13)</f>
        <v>990396.84939570259</v>
      </c>
      <c r="M14" s="21">
        <f>INDEX(M4:M13, MATCH($L$14, L4:L13, 0))</f>
        <v>189.13858723074483</v>
      </c>
      <c r="N14" s="16">
        <f>INDEX(N4:N13, MATCH($L$14, L4:L13, 0))</f>
        <v>10</v>
      </c>
      <c r="O14" s="16">
        <f>INDEX(O4:O13, MATCH($L$14, L4:L13, 0))</f>
        <v>78.666666666666671</v>
      </c>
      <c r="P14" s="21">
        <f>INDEX(P4:P13, MATCH($L$14, L4:L13, 0))</f>
        <v>29.509481825073095</v>
      </c>
      <c r="Q14" s="21">
        <f>INDEX(Q4:Q13, MATCH($L$14, L4:L13, 0))</f>
        <v>41.782197420572871</v>
      </c>
      <c r="R14" s="21">
        <f>INDEX(R4:R13, MATCH($L$14, L4:L13, 0))</f>
        <v>4583.0396039833204</v>
      </c>
      <c r="S14" s="36" t="e">
        <f>(L14-$D$15)/$D$15</f>
        <v>#DIV/0!</v>
      </c>
      <c r="T14" s="38">
        <f>MIN(T4:T13)</f>
        <v>1219565.643279949</v>
      </c>
      <c r="U14" s="39">
        <f>INDEX(U4:U13, MATCH($T$14, T4:T13, 0))</f>
        <v>332.49471876931443</v>
      </c>
      <c r="V14" s="38">
        <f>INDEX(V4:V13, MATCH($T$14, T4:T13, 0))</f>
        <v>14</v>
      </c>
      <c r="W14" s="38">
        <f>INDEX(W4:W13, MATCH($T$14, T4:T13, 0))</f>
        <v>94</v>
      </c>
      <c r="X14" s="39">
        <f>INDEX(X4:X13, MATCH($T$14, T4:T13, 0))</f>
        <v>279.36404292574383</v>
      </c>
      <c r="Y14" s="39">
        <f>INDEX(Y4:Y13, MATCH($T$14, T4:T13, 0))</f>
        <v>38.142789624261006</v>
      </c>
      <c r="Z14" s="39">
        <f>INDEX(Z4:Z13, MATCH($T$14, T4:T13, 0))</f>
        <v>5114.0273392005838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-0.13254490451666223</v>
      </c>
      <c r="M15" s="41">
        <f t="shared" ref="M15:R15" si="0">(M14-E14)/E14</f>
        <v>-0.4914913948284389</v>
      </c>
      <c r="N15" s="41">
        <f t="shared" si="0"/>
        <v>-0.2857142857142857</v>
      </c>
      <c r="O15" s="41">
        <f t="shared" si="0"/>
        <v>-0.16312056737588648</v>
      </c>
      <c r="P15" s="41">
        <f t="shared" si="0"/>
        <v>-0.89614034264637432</v>
      </c>
      <c r="Q15" s="41">
        <f t="shared" si="0"/>
        <v>8.7417596722987156E-2</v>
      </c>
      <c r="R15" s="41">
        <f t="shared" si="0"/>
        <v>-0.11902670622200701</v>
      </c>
      <c r="T15" s="41">
        <f>(T14-D14)/D14</f>
        <v>6.8176289317865416E-2</v>
      </c>
      <c r="U15" s="41">
        <f t="shared" ref="U15:Z15" si="1">(U14-E14)/E14</f>
        <v>-0.10607122457764201</v>
      </c>
      <c r="V15" s="41">
        <f t="shared" si="1"/>
        <v>0</v>
      </c>
      <c r="W15" s="41">
        <f t="shared" si="1"/>
        <v>0</v>
      </c>
      <c r="X15" s="41">
        <f t="shared" si="1"/>
        <v>-1.6768442523491488E-2</v>
      </c>
      <c r="Y15" s="41">
        <f t="shared" si="1"/>
        <v>-7.3011189904117479E-3</v>
      </c>
      <c r="Z15" s="41">
        <f t="shared" si="1"/>
        <v>-1.6957761924974071E-2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119" priority="11"/>
    <cfRule type="duplicateValues" dxfId="118" priority="12"/>
  </conditionalFormatting>
  <conditionalFormatting sqref="C2">
    <cfRule type="duplicateValues" dxfId="117" priority="3"/>
    <cfRule type="duplicateValues" dxfId="116" priority="4"/>
  </conditionalFormatting>
  <conditionalFormatting sqref="C4:C13">
    <cfRule type="duplicateValues" dxfId="115" priority="5"/>
    <cfRule type="duplicateValues" dxfId="114" priority="6"/>
  </conditionalFormatting>
  <conditionalFormatting sqref="C14">
    <cfRule type="duplicateValues" dxfId="113" priority="9"/>
    <cfRule type="duplicateValues" dxfId="112" priority="10"/>
  </conditionalFormatting>
  <conditionalFormatting sqref="C15">
    <cfRule type="duplicateValues" dxfId="111" priority="7"/>
    <cfRule type="duplicateValues" dxfId="110" priority="8"/>
  </conditionalFormatting>
  <conditionalFormatting sqref="C17:C39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5481-6863-4A2C-ACE5-11B06FC7399E}">
  <dimension ref="B1:AA17"/>
  <sheetViews>
    <sheetView zoomScale="90" zoomScaleNormal="90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-0.75580074144640197</v>
      </c>
      <c r="R2" s="1">
        <f>(R14-J14)/J14</f>
        <v>-0.15387490092991157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1165811.7722223699</v>
      </c>
      <c r="E4" s="33">
        <v>146.44345992307461</v>
      </c>
      <c r="F4" s="5">
        <v>12</v>
      </c>
      <c r="G4" s="23">
        <v>93.333333333333329</v>
      </c>
      <c r="H4" s="33">
        <v>333.17399140428307</v>
      </c>
      <c r="I4" s="23">
        <v>46.56837742252381</v>
      </c>
      <c r="J4" s="5">
        <v>5421.3436955217421</v>
      </c>
      <c r="K4" s="31"/>
      <c r="L4" s="23">
        <v>1028974.997655298</v>
      </c>
      <c r="M4" s="33">
        <v>316.1416546154158</v>
      </c>
      <c r="N4" s="5">
        <v>10</v>
      </c>
      <c r="O4" s="23">
        <v>75.333333333333329</v>
      </c>
      <c r="P4" s="33">
        <v>69.673304722919966</v>
      </c>
      <c r="Q4" s="23">
        <v>42.860708590080762</v>
      </c>
      <c r="R4" s="5">
        <v>4608.0788486997553</v>
      </c>
      <c r="S4" s="35"/>
      <c r="T4" s="23">
        <v>1245237.3132694829</v>
      </c>
      <c r="U4" s="33">
        <v>207.72633792313098</v>
      </c>
      <c r="V4" s="5">
        <v>13</v>
      </c>
      <c r="W4" s="23">
        <v>94</v>
      </c>
      <c r="X4" s="33">
        <v>331.96363401475816</v>
      </c>
      <c r="Y4" s="23">
        <v>43.753869819143581</v>
      </c>
      <c r="Z4" s="5">
        <v>5315.9362759048781</v>
      </c>
      <c r="AA4" s="35"/>
    </row>
    <row r="5" spans="2:27" x14ac:dyDescent="0.2">
      <c r="B5" s="4">
        <v>2</v>
      </c>
      <c r="C5" s="4">
        <v>199</v>
      </c>
      <c r="D5" s="23">
        <v>1177420.745513577</v>
      </c>
      <c r="E5" s="33">
        <v>181.57157261533524</v>
      </c>
      <c r="F5" s="5">
        <v>13</v>
      </c>
      <c r="G5" s="23">
        <v>94</v>
      </c>
      <c r="H5" s="33">
        <v>373.33237715219161</v>
      </c>
      <c r="I5" s="23">
        <v>43.243950924027288</v>
      </c>
      <c r="J5" s="5">
        <v>5436.530931383867</v>
      </c>
      <c r="K5" s="31"/>
      <c r="L5" s="23">
        <v>1041381.601743272</v>
      </c>
      <c r="M5" s="33">
        <v>156.89409392303784</v>
      </c>
      <c r="N5" s="5">
        <v>12</v>
      </c>
      <c r="O5" s="23">
        <v>72.666666666666671</v>
      </c>
      <c r="P5" s="33">
        <v>56.611095273531994</v>
      </c>
      <c r="Q5" s="23">
        <v>33.043672781498678</v>
      </c>
      <c r="R5" s="5">
        <v>4108.7002308471474</v>
      </c>
      <c r="S5" s="35"/>
      <c r="T5" s="23">
        <v>1237043.9427260051</v>
      </c>
      <c r="U5" s="33">
        <v>123.76787184621207</v>
      </c>
      <c r="V5" s="5">
        <v>13</v>
      </c>
      <c r="W5" s="23">
        <v>94</v>
      </c>
      <c r="X5" s="33">
        <v>348.42290226356158</v>
      </c>
      <c r="Y5" s="23">
        <v>43.416132881496132</v>
      </c>
      <c r="Z5" s="5">
        <v>5269.0393996821522</v>
      </c>
      <c r="AA5" s="35"/>
    </row>
    <row r="6" spans="2:27" x14ac:dyDescent="0.2">
      <c r="B6" s="4">
        <v>3</v>
      </c>
      <c r="C6" s="4">
        <v>221</v>
      </c>
      <c r="D6" s="23">
        <v>1181428.0970732439</v>
      </c>
      <c r="E6" s="33">
        <v>221.80821776927377</v>
      </c>
      <c r="F6" s="5">
        <v>12</v>
      </c>
      <c r="G6" s="23">
        <v>94</v>
      </c>
      <c r="H6" s="33">
        <v>323.89224579221337</v>
      </c>
      <c r="I6" s="23">
        <v>46.327004582394245</v>
      </c>
      <c r="J6" s="5">
        <v>5606.299673098998</v>
      </c>
      <c r="K6" s="31"/>
      <c r="L6" s="23">
        <v>1054504.671636038</v>
      </c>
      <c r="M6" s="33">
        <v>409.50147838466086</v>
      </c>
      <c r="N6" s="5">
        <v>10</v>
      </c>
      <c r="O6" s="23">
        <v>67.333333333333329</v>
      </c>
      <c r="P6" s="33">
        <v>20.108578050254078</v>
      </c>
      <c r="Q6" s="23">
        <v>36.771178567784418</v>
      </c>
      <c r="R6" s="5">
        <v>4141.2750605728197</v>
      </c>
      <c r="S6" s="35"/>
      <c r="T6" s="23">
        <v>1244111.963514202</v>
      </c>
      <c r="U6" s="33">
        <v>119.83333392301576</v>
      </c>
      <c r="V6" s="5">
        <v>13</v>
      </c>
      <c r="W6" s="23">
        <v>94</v>
      </c>
      <c r="X6" s="33">
        <v>318.80211748613425</v>
      </c>
      <c r="Y6" s="23">
        <v>43.330453190567589</v>
      </c>
      <c r="Z6" s="5">
        <v>5326.9803578447672</v>
      </c>
      <c r="AA6" s="35"/>
    </row>
    <row r="7" spans="2:27" x14ac:dyDescent="0.2">
      <c r="B7" s="4">
        <v>4</v>
      </c>
      <c r="C7" s="4">
        <v>254</v>
      </c>
      <c r="D7" s="23">
        <v>1174184.5602595841</v>
      </c>
      <c r="E7" s="33">
        <v>154.33890084619631</v>
      </c>
      <c r="F7" s="5">
        <v>14</v>
      </c>
      <c r="G7" s="23">
        <v>94</v>
      </c>
      <c r="H7" s="33">
        <v>349.88343846988687</v>
      </c>
      <c r="I7" s="23">
        <v>40.279638286506497</v>
      </c>
      <c r="J7" s="5">
        <v>5312.0648531790848</v>
      </c>
      <c r="K7" s="31"/>
      <c r="L7" s="23">
        <v>1044535.87791829</v>
      </c>
      <c r="M7" s="33">
        <v>181.61929984612823</v>
      </c>
      <c r="N7" s="5">
        <v>11</v>
      </c>
      <c r="O7" s="23">
        <v>73.333333333333329</v>
      </c>
      <c r="P7" s="33">
        <v>107.10822418916449</v>
      </c>
      <c r="Q7" s="23">
        <v>37.001179243913569</v>
      </c>
      <c r="R7" s="5">
        <v>4385.0231904035627</v>
      </c>
      <c r="S7" s="35"/>
      <c r="T7" s="23">
        <v>1271428.0970732439</v>
      </c>
      <c r="U7" s="33">
        <v>201.90856161536291</v>
      </c>
      <c r="V7" s="5">
        <v>12</v>
      </c>
      <c r="W7" s="23">
        <v>94</v>
      </c>
      <c r="X7" s="33">
        <v>323.89224579221337</v>
      </c>
      <c r="Y7" s="23">
        <v>46.327004582394245</v>
      </c>
      <c r="Z7" s="5">
        <v>5606.299673098998</v>
      </c>
      <c r="AA7" s="35"/>
    </row>
    <row r="8" spans="2:27" x14ac:dyDescent="0.2">
      <c r="B8" s="4">
        <v>5</v>
      </c>
      <c r="C8" s="4">
        <v>322</v>
      </c>
      <c r="D8" s="23">
        <v>1183868.953052948</v>
      </c>
      <c r="E8" s="33">
        <v>120.23267007692576</v>
      </c>
      <c r="F8" s="5">
        <v>12</v>
      </c>
      <c r="G8" s="23">
        <v>94</v>
      </c>
      <c r="H8" s="33">
        <v>521.56548228476356</v>
      </c>
      <c r="I8" s="23">
        <v>47.834075658752916</v>
      </c>
      <c r="J8" s="5">
        <v>5524.5107805118623</v>
      </c>
      <c r="K8" s="31"/>
      <c r="L8" s="23">
        <v>1056288.396718445</v>
      </c>
      <c r="M8" s="33">
        <v>281.61133030769776</v>
      </c>
      <c r="N8" s="5">
        <v>11</v>
      </c>
      <c r="O8" s="23">
        <v>72.666666666666671</v>
      </c>
      <c r="P8" s="33">
        <v>91.578430582540975</v>
      </c>
      <c r="Q8" s="23">
        <v>37.863064242061121</v>
      </c>
      <c r="R8" s="5">
        <v>4428.1917146753949</v>
      </c>
      <c r="S8" s="35"/>
      <c r="T8" s="23">
        <v>1271779.366863461</v>
      </c>
      <c r="U8" s="33">
        <v>132.67629353848929</v>
      </c>
      <c r="V8" s="5">
        <v>12</v>
      </c>
      <c r="W8" s="23">
        <v>94</v>
      </c>
      <c r="X8" s="33">
        <v>311.77321287120395</v>
      </c>
      <c r="Y8" s="23">
        <v>46.288798923239291</v>
      </c>
      <c r="Z8" s="5">
        <v>5613.6518943901956</v>
      </c>
      <c r="AA8" s="35"/>
    </row>
    <row r="9" spans="2:27" x14ac:dyDescent="0.2">
      <c r="B9" s="4">
        <v>6</v>
      </c>
      <c r="C9" s="4">
        <v>333</v>
      </c>
      <c r="D9" s="23">
        <v>1155075.914594016</v>
      </c>
      <c r="E9" s="33">
        <v>124.98730038462853</v>
      </c>
      <c r="F9" s="5">
        <v>13</v>
      </c>
      <c r="G9" s="23">
        <v>94</v>
      </c>
      <c r="H9" s="33">
        <v>315.4818009440686</v>
      </c>
      <c r="I9" s="23">
        <v>43.565165325317544</v>
      </c>
      <c r="J9" s="5">
        <v>5346.775780707324</v>
      </c>
      <c r="K9" s="31"/>
      <c r="L9" s="23">
        <v>1041085.248937876</v>
      </c>
      <c r="M9" s="33">
        <v>125.73974823077708</v>
      </c>
      <c r="N9" s="5">
        <v>11</v>
      </c>
      <c r="O9" s="23">
        <v>72</v>
      </c>
      <c r="P9" s="33">
        <v>41.426363031678555</v>
      </c>
      <c r="Q9" s="23">
        <v>36.018280448901734</v>
      </c>
      <c r="R9" s="5">
        <v>4228.9640316636842</v>
      </c>
      <c r="S9" s="35"/>
      <c r="T9" s="23">
        <v>1268197.688390359</v>
      </c>
      <c r="U9" s="33">
        <v>143.79356846159607</v>
      </c>
      <c r="V9" s="5">
        <v>14</v>
      </c>
      <c r="W9" s="23">
        <v>94</v>
      </c>
      <c r="X9" s="33">
        <v>340.75771604784376</v>
      </c>
      <c r="Y9" s="23">
        <v>40.402823933833588</v>
      </c>
      <c r="Z9" s="5">
        <v>5343.3062906252053</v>
      </c>
      <c r="AA9" s="35"/>
    </row>
    <row r="10" spans="2:27" x14ac:dyDescent="0.2">
      <c r="B10" s="4">
        <v>7</v>
      </c>
      <c r="C10" s="4">
        <v>475</v>
      </c>
      <c r="D10" s="23">
        <v>1183868.953052948</v>
      </c>
      <c r="E10" s="33">
        <v>177.72703538460729</v>
      </c>
      <c r="F10" s="5">
        <v>12</v>
      </c>
      <c r="G10" s="23">
        <v>94</v>
      </c>
      <c r="H10" s="33">
        <v>521.56548228476356</v>
      </c>
      <c r="I10" s="23">
        <v>47.834075658752916</v>
      </c>
      <c r="J10" s="5">
        <v>5524.5107805118623</v>
      </c>
      <c r="K10" s="31"/>
      <c r="L10" s="23">
        <v>1024938.560446501</v>
      </c>
      <c r="M10" s="33">
        <v>288.50682299996083</v>
      </c>
      <c r="N10" s="5">
        <v>11</v>
      </c>
      <c r="O10" s="23">
        <v>77.333333333333329</v>
      </c>
      <c r="P10" s="33">
        <v>77.040421877695323</v>
      </c>
      <c r="Q10" s="23">
        <v>39.442620028230458</v>
      </c>
      <c r="R10" s="5">
        <v>4524.0411871565339</v>
      </c>
      <c r="S10" s="35"/>
      <c r="T10" s="23">
        <v>1273930.7475264161</v>
      </c>
      <c r="U10" s="33">
        <v>123.41805723074893</v>
      </c>
      <c r="V10" s="5">
        <v>12</v>
      </c>
      <c r="W10" s="23">
        <v>94</v>
      </c>
      <c r="X10" s="33">
        <v>508.85020443111489</v>
      </c>
      <c r="Y10" s="23">
        <v>47.852966562671561</v>
      </c>
      <c r="Z10" s="5">
        <v>5532.796550568467</v>
      </c>
      <c r="AA10" s="35"/>
    </row>
    <row r="11" spans="2:27" x14ac:dyDescent="0.2">
      <c r="B11" s="4">
        <v>8</v>
      </c>
      <c r="C11" s="4">
        <v>637</v>
      </c>
      <c r="D11" s="23">
        <v>1183868.953052948</v>
      </c>
      <c r="E11" s="33">
        <v>188.87606300001676</v>
      </c>
      <c r="F11" s="5">
        <v>12</v>
      </c>
      <c r="G11" s="23">
        <v>94</v>
      </c>
      <c r="H11" s="33">
        <v>521.56548228476356</v>
      </c>
      <c r="I11" s="23">
        <v>47.834075658752916</v>
      </c>
      <c r="J11" s="5">
        <v>5524.5107805118623</v>
      </c>
      <c r="K11" s="31"/>
      <c r="L11" s="23">
        <v>1046445.912796366</v>
      </c>
      <c r="M11" s="33">
        <v>198.91521184615647</v>
      </c>
      <c r="N11" s="5">
        <v>11</v>
      </c>
      <c r="O11" s="23">
        <v>74</v>
      </c>
      <c r="P11" s="33">
        <v>48.720194697617814</v>
      </c>
      <c r="Q11" s="23">
        <v>37.615653594271684</v>
      </c>
      <c r="R11" s="5">
        <v>4485.6452305653047</v>
      </c>
      <c r="S11" s="35"/>
      <c r="T11" s="23">
        <v>1275518.4163246651</v>
      </c>
      <c r="U11" s="33">
        <v>133.95749923074615</v>
      </c>
      <c r="V11" s="5">
        <v>13</v>
      </c>
      <c r="W11" s="23">
        <v>94</v>
      </c>
      <c r="X11" s="33">
        <v>373.72396151845203</v>
      </c>
      <c r="Y11" s="23">
        <v>42.482748615953795</v>
      </c>
      <c r="Z11" s="5">
        <v>5473.7327626587039</v>
      </c>
      <c r="AA11" s="35"/>
    </row>
    <row r="12" spans="2:27" x14ac:dyDescent="0.2">
      <c r="B12" s="4">
        <v>9</v>
      </c>
      <c r="C12" s="4">
        <v>903</v>
      </c>
      <c r="D12" s="23">
        <v>1175236.7998209151</v>
      </c>
      <c r="E12" s="33">
        <v>169.29325138460484</v>
      </c>
      <c r="F12" s="5">
        <v>13</v>
      </c>
      <c r="G12" s="23">
        <v>94</v>
      </c>
      <c r="H12" s="33">
        <v>385.7997171012762</v>
      </c>
      <c r="I12" s="23">
        <v>43.97680808942669</v>
      </c>
      <c r="J12" s="5">
        <v>5432.5516405024864</v>
      </c>
      <c r="K12" s="31"/>
      <c r="L12" s="23">
        <v>1142706.6122937619</v>
      </c>
      <c r="M12" s="33">
        <v>144.01167630773185</v>
      </c>
      <c r="N12" s="5">
        <v>7</v>
      </c>
      <c r="O12" s="23">
        <v>52.666666666666657</v>
      </c>
      <c r="P12" s="33">
        <v>26.326231245738533</v>
      </c>
      <c r="Q12" s="23">
        <v>41.04426493641445</v>
      </c>
      <c r="R12" s="5">
        <v>4255.4890851331384</v>
      </c>
      <c r="S12" s="35"/>
      <c r="T12" s="23">
        <v>1265334.6529154291</v>
      </c>
      <c r="U12" s="33">
        <v>165.10159030771598</v>
      </c>
      <c r="V12" s="5">
        <v>13</v>
      </c>
      <c r="W12" s="23">
        <v>94</v>
      </c>
      <c r="X12" s="33">
        <v>377.48746750806936</v>
      </c>
      <c r="Y12" s="23">
        <v>43.307745266199426</v>
      </c>
      <c r="Z12" s="5">
        <v>5433.7418309036166</v>
      </c>
      <c r="AA12" s="35"/>
    </row>
    <row r="13" spans="2:27" x14ac:dyDescent="0.2">
      <c r="B13" s="4">
        <v>10</v>
      </c>
      <c r="C13" s="4">
        <v>998</v>
      </c>
      <c r="D13" s="23">
        <v>1157102.776712934</v>
      </c>
      <c r="E13" s="33">
        <v>180.61401653846798</v>
      </c>
      <c r="F13" s="5">
        <v>13</v>
      </c>
      <c r="G13" s="23">
        <v>94</v>
      </c>
      <c r="H13" s="33">
        <v>310.69270707462476</v>
      </c>
      <c r="I13" s="23">
        <v>43.500701755209576</v>
      </c>
      <c r="J13" s="5">
        <v>5348.9870947343234</v>
      </c>
      <c r="K13" s="31"/>
      <c r="L13" s="23">
        <v>1101074.132229036</v>
      </c>
      <c r="M13" s="33">
        <v>526.05648500003065</v>
      </c>
      <c r="N13" s="5">
        <v>10</v>
      </c>
      <c r="O13" s="23">
        <v>62</v>
      </c>
      <c r="P13" s="33">
        <v>16.996233086619281</v>
      </c>
      <c r="Q13" s="23">
        <v>35.828008294495746</v>
      </c>
      <c r="R13" s="5">
        <v>4109.8601309625192</v>
      </c>
      <c r="S13" s="35"/>
      <c r="T13" s="23">
        <v>1247180.1066071831</v>
      </c>
      <c r="U13" s="33">
        <v>100.42488215383715</v>
      </c>
      <c r="V13" s="5">
        <v>13</v>
      </c>
      <c r="W13" s="23">
        <v>94</v>
      </c>
      <c r="X13" s="33">
        <v>318.47974687240685</v>
      </c>
      <c r="Y13" s="23">
        <v>43.525875653610036</v>
      </c>
      <c r="Z13" s="5">
        <v>5342.7625103993851</v>
      </c>
      <c r="AA13" s="35"/>
    </row>
    <row r="14" spans="2:27" x14ac:dyDescent="0.2">
      <c r="B14" s="50" t="s">
        <v>3</v>
      </c>
      <c r="C14" s="51"/>
      <c r="D14" s="9">
        <f>MIN(D4:D13)</f>
        <v>1155075.914594016</v>
      </c>
      <c r="E14" s="22">
        <f>INDEX(E4:E13, MATCH($D$14, D4:D13, 0))</f>
        <v>124.98730038462853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315.4818009440686</v>
      </c>
      <c r="I14" s="22">
        <f>INDEX(I4:I13, MATCH($D$14, D4:D13, 0))</f>
        <v>43.565165325317544</v>
      </c>
      <c r="J14" s="22">
        <f>INDEX(J4:J13, MATCH($D$14, D4:D13, 0))</f>
        <v>5346.775780707324</v>
      </c>
      <c r="K14" s="32" t="e">
        <f>(D14-$D$15)/$D$15</f>
        <v>#DIV/0!</v>
      </c>
      <c r="L14" s="16">
        <f>MIN(L4:L13)</f>
        <v>1024938.560446501</v>
      </c>
      <c r="M14" s="21">
        <f>INDEX(M4:M13, MATCH($L$14, L4:L13, 0))</f>
        <v>288.50682299996083</v>
      </c>
      <c r="N14" s="16">
        <f>INDEX(N4:N13, MATCH($L$14, L4:L13, 0))</f>
        <v>11</v>
      </c>
      <c r="O14" s="16">
        <f>INDEX(O4:O13, MATCH($L$14, L4:L13, 0))</f>
        <v>77.333333333333329</v>
      </c>
      <c r="P14" s="21">
        <f>INDEX(P4:P13, MATCH($L$14, L4:L13, 0))</f>
        <v>77.040421877695323</v>
      </c>
      <c r="Q14" s="21">
        <f>INDEX(Q4:Q13, MATCH($L$14, L4:L13, 0))</f>
        <v>39.442620028230458</v>
      </c>
      <c r="R14" s="21">
        <f>INDEX(R4:R13, MATCH($L$14, L4:L13, 0))</f>
        <v>4524.0411871565339</v>
      </c>
      <c r="S14" s="36" t="e">
        <f>(L14-$D$15)/$D$15</f>
        <v>#DIV/0!</v>
      </c>
      <c r="T14" s="38">
        <f>MIN(T4:T13)</f>
        <v>1237043.9427260051</v>
      </c>
      <c r="U14" s="39">
        <f>INDEX(U4:U13, MATCH($T$14, T4:T13, 0))</f>
        <v>123.76787184621207</v>
      </c>
      <c r="V14" s="38">
        <f>INDEX(V4:V13, MATCH($T$14, T4:T13, 0))</f>
        <v>13</v>
      </c>
      <c r="W14" s="38">
        <f>INDEX(W4:W13, MATCH($T$14, T4:T13, 0))</f>
        <v>94</v>
      </c>
      <c r="X14" s="39">
        <f>INDEX(X4:X13, MATCH($T$14, T4:T13, 0))</f>
        <v>348.42290226356158</v>
      </c>
      <c r="Y14" s="39">
        <f>INDEX(Y4:Y13, MATCH($T$14, T4:T13, 0))</f>
        <v>43.416132881496132</v>
      </c>
      <c r="Z14" s="39">
        <f>INDEX(Z4:Z13, MATCH($T$14, T4:T13, 0))</f>
        <v>5269.0393996821522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-0.11266562872904805</v>
      </c>
      <c r="M15" s="41">
        <f t="shared" ref="M15:R15" si="0">(M14-E14)/E14</f>
        <v>1.3082890990694815</v>
      </c>
      <c r="N15" s="41">
        <f t="shared" si="0"/>
        <v>-0.15384615384615385</v>
      </c>
      <c r="O15" s="41">
        <f t="shared" si="0"/>
        <v>-0.17730496453900715</v>
      </c>
      <c r="P15" s="41">
        <f t="shared" si="0"/>
        <v>-0.75580074144640197</v>
      </c>
      <c r="Q15" s="41">
        <f t="shared" si="0"/>
        <v>-9.462939636065841E-2</v>
      </c>
      <c r="R15" s="41">
        <f t="shared" si="0"/>
        <v>-0.15387490092991157</v>
      </c>
      <c r="T15" s="41">
        <f>(T14-D14)/D14</f>
        <v>7.0963325523759224E-2</v>
      </c>
      <c r="U15" s="41">
        <f t="shared" ref="U15:Z15" si="1">(U14-E14)/E14</f>
        <v>-9.7564195295350362E-3</v>
      </c>
      <c r="V15" s="41">
        <f t="shared" si="1"/>
        <v>0</v>
      </c>
      <c r="W15" s="41">
        <f t="shared" si="1"/>
        <v>0</v>
      </c>
      <c r="X15" s="41">
        <f t="shared" si="1"/>
        <v>0.10441521894739365</v>
      </c>
      <c r="Y15" s="41">
        <f t="shared" si="1"/>
        <v>-3.4209084875158886E-3</v>
      </c>
      <c r="Z15" s="41">
        <f t="shared" si="1"/>
        <v>-1.4538926675337051E-2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109" priority="11"/>
    <cfRule type="duplicateValues" dxfId="108" priority="12"/>
  </conditionalFormatting>
  <conditionalFormatting sqref="C2">
    <cfRule type="duplicateValues" dxfId="107" priority="3"/>
    <cfRule type="duplicateValues" dxfId="106" priority="4"/>
  </conditionalFormatting>
  <conditionalFormatting sqref="C4:C13">
    <cfRule type="duplicateValues" dxfId="105" priority="5"/>
    <cfRule type="duplicateValues" dxfId="104" priority="6"/>
  </conditionalFormatting>
  <conditionalFormatting sqref="C14">
    <cfRule type="duplicateValues" dxfId="103" priority="9"/>
    <cfRule type="duplicateValues" dxfId="102" priority="10"/>
  </conditionalFormatting>
  <conditionalFormatting sqref="C15">
    <cfRule type="duplicateValues" dxfId="101" priority="7"/>
    <cfRule type="duplicateValues" dxfId="100" priority="8"/>
  </conditionalFormatting>
  <conditionalFormatting sqref="C17:C39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C41-71D6-43C7-8DDF-0A8890644F1D}">
  <dimension ref="B1:AA17"/>
  <sheetViews>
    <sheetView zoomScale="90" zoomScaleNormal="90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-0.92766934189457917</v>
      </c>
      <c r="R2" s="1">
        <f>(R14-J14)/J14</f>
        <v>-0.19542276953978377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1121786.2826260659</v>
      </c>
      <c r="E4" s="33">
        <v>323.91321707696005</v>
      </c>
      <c r="F4" s="5">
        <v>13</v>
      </c>
      <c r="G4" s="23">
        <v>98.666666666666671</v>
      </c>
      <c r="H4" s="33">
        <v>619.0229855192207</v>
      </c>
      <c r="I4" s="23">
        <v>45.072103264841239</v>
      </c>
      <c r="J4" s="5">
        <v>5694.8610713517592</v>
      </c>
      <c r="K4" s="31"/>
      <c r="L4" s="23">
        <v>1098158.884664295</v>
      </c>
      <c r="M4" s="33">
        <v>308.01656092302153</v>
      </c>
      <c r="N4" s="5">
        <v>11</v>
      </c>
      <c r="O4" s="23">
        <v>68.666666666666671</v>
      </c>
      <c r="P4" s="33">
        <v>67.989228479938802</v>
      </c>
      <c r="Q4" s="23">
        <v>34.608174712578467</v>
      </c>
      <c r="R4" s="5">
        <v>4589.8744671233389</v>
      </c>
      <c r="S4" s="35"/>
      <c r="T4" s="23">
        <v>1135879.713511416</v>
      </c>
      <c r="U4" s="33">
        <v>148.49221169232175</v>
      </c>
      <c r="V4" s="5">
        <v>13</v>
      </c>
      <c r="W4" s="23">
        <v>98.666666666666671</v>
      </c>
      <c r="X4" s="33">
        <v>556.01837234450318</v>
      </c>
      <c r="Y4" s="23">
        <v>46.863784793209042</v>
      </c>
      <c r="Z4" s="5">
        <v>5713.5534362711023</v>
      </c>
      <c r="AA4" s="35"/>
    </row>
    <row r="5" spans="2:27" x14ac:dyDescent="0.2">
      <c r="B5" s="4">
        <v>2</v>
      </c>
      <c r="C5" s="4">
        <v>43</v>
      </c>
      <c r="D5" s="23">
        <v>1121786.2826260659</v>
      </c>
      <c r="E5" s="33">
        <v>208.6951060769542</v>
      </c>
      <c r="F5" s="5">
        <v>13</v>
      </c>
      <c r="G5" s="23">
        <v>98.666666666666671</v>
      </c>
      <c r="H5" s="33">
        <v>619.0229855192207</v>
      </c>
      <c r="I5" s="23">
        <v>45.072103264841239</v>
      </c>
      <c r="J5" s="5">
        <v>5694.8610713517592</v>
      </c>
      <c r="K5" s="31"/>
      <c r="L5" s="23">
        <v>1096031.9518469209</v>
      </c>
      <c r="M5" s="33">
        <v>279.86435046150854</v>
      </c>
      <c r="N5" s="5">
        <v>10</v>
      </c>
      <c r="O5" s="23">
        <v>65.333333333333329</v>
      </c>
      <c r="P5" s="33">
        <v>33.494557479550146</v>
      </c>
      <c r="Q5" s="23">
        <v>34.582039610425696</v>
      </c>
      <c r="R5" s="5">
        <v>4434.6260975933483</v>
      </c>
      <c r="S5" s="35"/>
      <c r="T5" s="23">
        <v>1147677.6907645641</v>
      </c>
      <c r="U5" s="33">
        <v>107.15193723077668</v>
      </c>
      <c r="V5" s="5">
        <v>13</v>
      </c>
      <c r="W5" s="23">
        <v>98.666666666666671</v>
      </c>
      <c r="X5" s="33">
        <v>576.00835648112388</v>
      </c>
      <c r="Y5" s="23">
        <v>44.319799609270461</v>
      </c>
      <c r="Z5" s="5">
        <v>5748.1113812402182</v>
      </c>
      <c r="AA5" s="35"/>
    </row>
    <row r="6" spans="2:27" x14ac:dyDescent="0.2">
      <c r="B6" s="4">
        <v>3</v>
      </c>
      <c r="C6" s="4">
        <v>165</v>
      </c>
      <c r="D6" s="23">
        <v>1146239.0879266439</v>
      </c>
      <c r="E6" s="33">
        <v>145.33956584610183</v>
      </c>
      <c r="F6" s="5">
        <v>14</v>
      </c>
      <c r="G6" s="23">
        <v>98.666666666666671</v>
      </c>
      <c r="H6" s="33">
        <v>647.95799584527902</v>
      </c>
      <c r="I6" s="23">
        <v>42.327934779083762</v>
      </c>
      <c r="J6" s="5">
        <v>5712.7035541894957</v>
      </c>
      <c r="K6" s="31"/>
      <c r="L6" s="23">
        <v>1060519.6446372049</v>
      </c>
      <c r="M6" s="33">
        <v>479.71361315388305</v>
      </c>
      <c r="N6" s="5">
        <v>9</v>
      </c>
      <c r="O6" s="23">
        <v>68</v>
      </c>
      <c r="P6" s="33">
        <v>41.179801163207287</v>
      </c>
      <c r="Q6" s="23">
        <v>41.377894378671414</v>
      </c>
      <c r="R6" s="5">
        <v>4586.2356930907099</v>
      </c>
      <c r="S6" s="35"/>
      <c r="T6" s="23">
        <v>1187313.544436648</v>
      </c>
      <c r="U6" s="33">
        <v>106.25927676921354</v>
      </c>
      <c r="V6" s="5">
        <v>13</v>
      </c>
      <c r="W6" s="23">
        <v>98.666666666666671</v>
      </c>
      <c r="X6" s="33">
        <v>724.699970344044</v>
      </c>
      <c r="Y6" s="23">
        <v>45.546460848663749</v>
      </c>
      <c r="Z6" s="5">
        <v>5914.5100674268169</v>
      </c>
      <c r="AA6" s="35"/>
    </row>
    <row r="7" spans="2:27" x14ac:dyDescent="0.2">
      <c r="B7" s="4">
        <v>4</v>
      </c>
      <c r="C7" s="4">
        <v>242</v>
      </c>
      <c r="D7" s="23">
        <v>1130331.2847810029</v>
      </c>
      <c r="E7" s="33">
        <v>333.8130008461527</v>
      </c>
      <c r="F7" s="5">
        <v>14</v>
      </c>
      <c r="G7" s="23">
        <v>98.666666666666671</v>
      </c>
      <c r="H7" s="33">
        <v>539.58555323621454</v>
      </c>
      <c r="I7" s="23">
        <v>42.186819433527738</v>
      </c>
      <c r="J7" s="5">
        <v>5683.283563563481</v>
      </c>
      <c r="K7" s="31"/>
      <c r="L7" s="23">
        <v>1071144.2245125601</v>
      </c>
      <c r="M7" s="33">
        <v>295.7146289230933</v>
      </c>
      <c r="N7" s="5">
        <v>10</v>
      </c>
      <c r="O7" s="23">
        <v>69.333333333333329</v>
      </c>
      <c r="P7" s="33">
        <v>30.705728688384319</v>
      </c>
      <c r="Q7" s="23">
        <v>34.292588014526089</v>
      </c>
      <c r="R7" s="5">
        <v>4503.815107286282</v>
      </c>
      <c r="S7" s="35"/>
      <c r="T7" s="23">
        <v>1195625.1760297611</v>
      </c>
      <c r="U7" s="33">
        <v>297.33093623080856</v>
      </c>
      <c r="V7" s="5">
        <v>15</v>
      </c>
      <c r="W7" s="23">
        <v>98.666666666666671</v>
      </c>
      <c r="X7" s="33">
        <v>589.15819336935238</v>
      </c>
      <c r="Y7" s="23">
        <v>38.272546071173437</v>
      </c>
      <c r="Z7" s="5">
        <v>5794.3118207363568</v>
      </c>
      <c r="AA7" s="35"/>
    </row>
    <row r="8" spans="2:27" x14ac:dyDescent="0.2">
      <c r="B8" s="4">
        <v>5</v>
      </c>
      <c r="C8" s="4">
        <v>358</v>
      </c>
      <c r="D8" s="23">
        <v>1134322.89888199</v>
      </c>
      <c r="E8" s="33">
        <v>145.86066753845299</v>
      </c>
      <c r="F8" s="5">
        <v>13</v>
      </c>
      <c r="G8" s="23">
        <v>98.666666666666671</v>
      </c>
      <c r="H8" s="33">
        <v>601.82548601251983</v>
      </c>
      <c r="I8" s="23">
        <v>43.954983973877411</v>
      </c>
      <c r="J8" s="5">
        <v>5755.0234233203137</v>
      </c>
      <c r="K8" s="31"/>
      <c r="L8" s="23">
        <v>1027427.048583985</v>
      </c>
      <c r="M8" s="33">
        <v>208.3200982307944</v>
      </c>
      <c r="N8" s="5">
        <v>11</v>
      </c>
      <c r="O8" s="23">
        <v>76</v>
      </c>
      <c r="P8" s="33">
        <v>44.009982977526235</v>
      </c>
      <c r="Q8" s="23">
        <v>39.391660687473738</v>
      </c>
      <c r="R8" s="5">
        <v>4627.5561147425242</v>
      </c>
      <c r="S8" s="35"/>
      <c r="T8" s="23">
        <v>1123298.3103668189</v>
      </c>
      <c r="U8" s="33">
        <v>278.48659038463103</v>
      </c>
      <c r="V8" s="5">
        <v>13</v>
      </c>
      <c r="W8" s="23">
        <v>98.666666666666671</v>
      </c>
      <c r="X8" s="33">
        <v>545.13042414658526</v>
      </c>
      <c r="Y8" s="23">
        <v>45.703124723783539</v>
      </c>
      <c r="Z8" s="5">
        <v>5635.2663752598755</v>
      </c>
      <c r="AA8" s="35"/>
    </row>
    <row r="9" spans="2:27" x14ac:dyDescent="0.2">
      <c r="B9" s="4">
        <v>6</v>
      </c>
      <c r="C9" s="4">
        <v>479</v>
      </c>
      <c r="D9" s="23">
        <v>1120670.5772736871</v>
      </c>
      <c r="E9" s="33">
        <v>230.17353484613031</v>
      </c>
      <c r="F9" s="5">
        <v>13</v>
      </c>
      <c r="G9" s="23">
        <v>98.666666666666671</v>
      </c>
      <c r="H9" s="33">
        <v>598.59378458235756</v>
      </c>
      <c r="I9" s="23">
        <v>43.835182209102499</v>
      </c>
      <c r="J9" s="5">
        <v>5690.5646683356308</v>
      </c>
      <c r="K9" s="31"/>
      <c r="L9" s="23">
        <v>1049548.021414309</v>
      </c>
      <c r="M9" s="33">
        <v>307.25456299994568</v>
      </c>
      <c r="N9" s="5">
        <v>9</v>
      </c>
      <c r="O9" s="23">
        <v>68</v>
      </c>
      <c r="P9" s="33">
        <v>36.031669913803618</v>
      </c>
      <c r="Q9" s="23">
        <v>40.921076807955018</v>
      </c>
      <c r="R9" s="5">
        <v>4448.854203773908</v>
      </c>
      <c r="S9" s="35"/>
      <c r="T9" s="23">
        <v>1147972.5621725919</v>
      </c>
      <c r="U9" s="33">
        <v>161.16018261536598</v>
      </c>
      <c r="V9" s="5">
        <v>13</v>
      </c>
      <c r="W9" s="23">
        <v>98.666666666666671</v>
      </c>
      <c r="X9" s="33">
        <v>616.62569736169496</v>
      </c>
      <c r="Y9" s="23">
        <v>45.40495321223424</v>
      </c>
      <c r="Z9" s="5">
        <v>5738.0596815586814</v>
      </c>
      <c r="AA9" s="35"/>
    </row>
    <row r="10" spans="2:27" x14ac:dyDescent="0.2">
      <c r="B10" s="4">
        <v>7</v>
      </c>
      <c r="C10" s="4">
        <v>517</v>
      </c>
      <c r="D10" s="23">
        <v>1109461.4547045201</v>
      </c>
      <c r="E10" s="33">
        <v>267.75269992309256</v>
      </c>
      <c r="F10" s="5">
        <v>13</v>
      </c>
      <c r="G10" s="23">
        <v>98.666666666666671</v>
      </c>
      <c r="H10" s="33">
        <v>556.1484043778413</v>
      </c>
      <c r="I10" s="23">
        <v>46.079268944698597</v>
      </c>
      <c r="J10" s="5">
        <v>5662.791341137412</v>
      </c>
      <c r="K10" s="31"/>
      <c r="L10" s="23">
        <v>1026760.683233164</v>
      </c>
      <c r="M10" s="33">
        <v>248.16897684618681</v>
      </c>
      <c r="N10" s="5">
        <v>9</v>
      </c>
      <c r="O10" s="23">
        <v>72</v>
      </c>
      <c r="P10" s="33">
        <v>40.226580092928984</v>
      </c>
      <c r="Q10" s="23">
        <v>43.436140620917158</v>
      </c>
      <c r="R10" s="5">
        <v>4556.1529739264324</v>
      </c>
      <c r="S10" s="35"/>
      <c r="T10" s="23">
        <v>1285607.0635529649</v>
      </c>
      <c r="U10" s="33">
        <v>125.17349176923746</v>
      </c>
      <c r="V10" s="5">
        <v>14</v>
      </c>
      <c r="W10" s="23">
        <v>98.666666666666671</v>
      </c>
      <c r="X10" s="33">
        <v>940.50608438015297</v>
      </c>
      <c r="Y10" s="23">
        <v>41.323714195042797</v>
      </c>
      <c r="Z10" s="5">
        <v>6263.0193675524943</v>
      </c>
      <c r="AA10" s="35"/>
    </row>
    <row r="11" spans="2:27" x14ac:dyDescent="0.2">
      <c r="B11" s="4">
        <v>8</v>
      </c>
      <c r="C11" s="4">
        <v>583</v>
      </c>
      <c r="D11" s="23">
        <v>1208164.084242699</v>
      </c>
      <c r="E11" s="33">
        <v>135.39227392309562</v>
      </c>
      <c r="F11" s="5">
        <v>13</v>
      </c>
      <c r="G11" s="23">
        <v>97.333333333333329</v>
      </c>
      <c r="H11" s="33">
        <v>788.31076836414411</v>
      </c>
      <c r="I11" s="23">
        <v>45.564296915079552</v>
      </c>
      <c r="J11" s="5">
        <v>5997.4604940281197</v>
      </c>
      <c r="K11" s="31"/>
      <c r="L11" s="23">
        <v>1037962.520555609</v>
      </c>
      <c r="M11" s="33">
        <v>200.03046638466631</v>
      </c>
      <c r="N11" s="5">
        <v>10</v>
      </c>
      <c r="O11" s="23">
        <v>72.666666666666671</v>
      </c>
      <c r="P11" s="33">
        <v>61.035792083326832</v>
      </c>
      <c r="Q11" s="23">
        <v>39.501144453719675</v>
      </c>
      <c r="R11" s="5">
        <v>4537.0345858813571</v>
      </c>
      <c r="S11" s="35"/>
      <c r="T11" s="23">
        <v>1183435.95231685</v>
      </c>
      <c r="U11" s="33">
        <v>105.56967830768998</v>
      </c>
      <c r="V11" s="5">
        <v>13</v>
      </c>
      <c r="W11" s="23">
        <v>98.666666666666671</v>
      </c>
      <c r="X11" s="33">
        <v>737.66095447373743</v>
      </c>
      <c r="Y11" s="23">
        <v>44.111387570118424</v>
      </c>
      <c r="Z11" s="5">
        <v>5867.6396136866515</v>
      </c>
      <c r="AA11" s="35"/>
    </row>
    <row r="12" spans="2:27" x14ac:dyDescent="0.2">
      <c r="B12" s="4">
        <v>9</v>
      </c>
      <c r="C12" s="4">
        <v>614</v>
      </c>
      <c r="D12" s="23">
        <v>1158688.9487574219</v>
      </c>
      <c r="E12" s="33">
        <v>130.9993118461436</v>
      </c>
      <c r="F12" s="5">
        <v>13</v>
      </c>
      <c r="G12" s="23">
        <v>98</v>
      </c>
      <c r="H12" s="33">
        <v>600.50049892048003</v>
      </c>
      <c r="I12" s="23">
        <v>44.082311528140231</v>
      </c>
      <c r="J12" s="5">
        <v>5867.9866836457422</v>
      </c>
      <c r="K12" s="31"/>
      <c r="L12" s="23">
        <v>1069914.701674839</v>
      </c>
      <c r="M12" s="33">
        <v>342.7054290768977</v>
      </c>
      <c r="N12" s="5">
        <v>8</v>
      </c>
      <c r="O12" s="23">
        <v>64.666666666666671</v>
      </c>
      <c r="P12" s="33">
        <v>34.778139478901601</v>
      </c>
      <c r="Q12" s="23">
        <v>43.043093661776226</v>
      </c>
      <c r="R12" s="5">
        <v>4501.9066625044161</v>
      </c>
      <c r="S12" s="35"/>
      <c r="T12" s="23">
        <v>1147972.5621725919</v>
      </c>
      <c r="U12" s="33">
        <v>167.68800523078352</v>
      </c>
      <c r="V12" s="5">
        <v>13</v>
      </c>
      <c r="W12" s="23">
        <v>98.666666666666671</v>
      </c>
      <c r="X12" s="33">
        <v>616.62569736169496</v>
      </c>
      <c r="Y12" s="23">
        <v>45.40495321223424</v>
      </c>
      <c r="Z12" s="5">
        <v>5738.0596815586814</v>
      </c>
      <c r="AA12" s="35"/>
    </row>
    <row r="13" spans="2:27" x14ac:dyDescent="0.2">
      <c r="B13" s="4">
        <v>10</v>
      </c>
      <c r="C13" s="4">
        <v>945</v>
      </c>
      <c r="D13" s="23">
        <v>1148819.2570402501</v>
      </c>
      <c r="E13" s="33">
        <v>155.96661746152677</v>
      </c>
      <c r="F13" s="5">
        <v>14</v>
      </c>
      <c r="G13" s="23">
        <v>98.666666666666671</v>
      </c>
      <c r="H13" s="33">
        <v>613.47811460885009</v>
      </c>
      <c r="I13" s="23">
        <v>41.600870935938474</v>
      </c>
      <c r="J13" s="5">
        <v>5742.8782596553647</v>
      </c>
      <c r="K13" s="31"/>
      <c r="L13" s="23">
        <v>1082499.1106721759</v>
      </c>
      <c r="M13" s="33">
        <v>177.76161592310436</v>
      </c>
      <c r="N13" s="5">
        <v>10</v>
      </c>
      <c r="O13" s="23">
        <v>67.333333333333329</v>
      </c>
      <c r="P13" s="33">
        <v>35.080388553194275</v>
      </c>
      <c r="Q13" s="23">
        <v>37.714753052455748</v>
      </c>
      <c r="R13" s="5">
        <v>4514.029209624111</v>
      </c>
      <c r="S13" s="35"/>
      <c r="T13" s="23">
        <v>1155723.2774941111</v>
      </c>
      <c r="U13" s="33">
        <v>155.09930623077352</v>
      </c>
      <c r="V13" s="5">
        <v>14</v>
      </c>
      <c r="W13" s="23">
        <v>98.666666666666671</v>
      </c>
      <c r="X13" s="33">
        <v>580.61051996912067</v>
      </c>
      <c r="Y13" s="23">
        <v>40.715757849897315</v>
      </c>
      <c r="Z13" s="5">
        <v>5669.3649235872545</v>
      </c>
      <c r="AA13" s="35"/>
    </row>
    <row r="14" spans="2:27" x14ac:dyDescent="0.2">
      <c r="B14" s="50" t="s">
        <v>3</v>
      </c>
      <c r="C14" s="51"/>
      <c r="D14" s="9">
        <f>MIN(D4:D13)</f>
        <v>1109461.4547045201</v>
      </c>
      <c r="E14" s="22">
        <f>INDEX(E4:E13, MATCH($D$14, D4:D13, 0))</f>
        <v>267.75269992309256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556.1484043778413</v>
      </c>
      <c r="I14" s="22">
        <f>INDEX(I4:I13, MATCH($D$14, D4:D13, 0))</f>
        <v>46.079268944698597</v>
      </c>
      <c r="J14" s="22">
        <f>INDEX(J4:J13, MATCH($D$14, D4:D13, 0))</f>
        <v>5662.791341137412</v>
      </c>
      <c r="K14" s="32" t="e">
        <f>(D14-$D$15)/$D$15</f>
        <v>#DIV/0!</v>
      </c>
      <c r="L14" s="16">
        <f>MIN(L4:L13)</f>
        <v>1026760.683233164</v>
      </c>
      <c r="M14" s="21">
        <f>INDEX(M4:M13, MATCH($L$14, L4:L13, 0))</f>
        <v>248.16897684618681</v>
      </c>
      <c r="N14" s="16">
        <f>INDEX(N4:N13, MATCH($L$14, L4:L13, 0))</f>
        <v>9</v>
      </c>
      <c r="O14" s="16">
        <f>INDEX(O4:O13, MATCH($L$14, L4:L13, 0))</f>
        <v>72</v>
      </c>
      <c r="P14" s="21">
        <f>INDEX(P4:P13, MATCH($L$14, L4:L13, 0))</f>
        <v>40.226580092928984</v>
      </c>
      <c r="Q14" s="21">
        <f>INDEX(Q4:Q13, MATCH($L$14, L4:L13, 0))</f>
        <v>43.436140620917158</v>
      </c>
      <c r="R14" s="21">
        <f>INDEX(R4:R13, MATCH($L$14, L4:L13, 0))</f>
        <v>4556.1529739264324</v>
      </c>
      <c r="S14" s="36" t="e">
        <f>(L14-$D$15)/$D$15</f>
        <v>#DIV/0!</v>
      </c>
      <c r="T14" s="38">
        <f>MIN(T4:T13)</f>
        <v>1123298.3103668189</v>
      </c>
      <c r="U14" s="39">
        <f>INDEX(U4:U13, MATCH($T$14, T4:T13, 0))</f>
        <v>278.48659038463103</v>
      </c>
      <c r="V14" s="38">
        <f>INDEX(V4:V13, MATCH($T$14, T4:T13, 0))</f>
        <v>13</v>
      </c>
      <c r="W14" s="38">
        <f>INDEX(W4:W13, MATCH($T$14, T4:T13, 0))</f>
        <v>98.666666666666671</v>
      </c>
      <c r="X14" s="39">
        <f>INDEX(X4:X13, MATCH($T$14, T4:T13, 0))</f>
        <v>545.13042414658526</v>
      </c>
      <c r="Y14" s="39">
        <f>INDEX(Y4:Y13, MATCH($T$14, T4:T13, 0))</f>
        <v>45.703124723783539</v>
      </c>
      <c r="Z14" s="39">
        <f>INDEX(Z4:Z13, MATCH($T$14, T4:T13, 0))</f>
        <v>5635.2663752598755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-7.4541365200814044E-2</v>
      </c>
      <c r="M15" s="41">
        <f t="shared" ref="M15:R15" si="0">(M14-E14)/E14</f>
        <v>-7.3141085346780252E-2</v>
      </c>
      <c r="N15" s="41">
        <f t="shared" si="0"/>
        <v>-0.30769230769230771</v>
      </c>
      <c r="O15" s="41">
        <f t="shared" si="0"/>
        <v>-0.27027027027027029</v>
      </c>
      <c r="P15" s="41">
        <f t="shared" si="0"/>
        <v>-0.92766934189457917</v>
      </c>
      <c r="Q15" s="41">
        <f t="shared" si="0"/>
        <v>-5.7360465656552714E-2</v>
      </c>
      <c r="R15" s="41">
        <f t="shared" si="0"/>
        <v>-0.19542276953978377</v>
      </c>
      <c r="T15" s="41">
        <f>(T14-D14)/D14</f>
        <v>1.2471686694139355E-2</v>
      </c>
      <c r="U15" s="41">
        <f t="shared" ref="U15:Z15" si="1">(U14-E14)/E14</f>
        <v>4.0088822501590439E-2</v>
      </c>
      <c r="V15" s="41">
        <f t="shared" si="1"/>
        <v>0</v>
      </c>
      <c r="W15" s="41">
        <f t="shared" si="1"/>
        <v>0</v>
      </c>
      <c r="X15" s="41">
        <f t="shared" si="1"/>
        <v>-1.9811223307530247E-2</v>
      </c>
      <c r="Y15" s="41">
        <f t="shared" si="1"/>
        <v>-8.1629815213970312E-3</v>
      </c>
      <c r="Z15" s="41">
        <f t="shared" si="1"/>
        <v>-4.8606710400189148E-3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99" priority="11"/>
    <cfRule type="duplicateValues" dxfId="98" priority="12"/>
  </conditionalFormatting>
  <conditionalFormatting sqref="C2">
    <cfRule type="duplicateValues" dxfId="97" priority="3"/>
    <cfRule type="duplicateValues" dxfId="96" priority="4"/>
  </conditionalFormatting>
  <conditionalFormatting sqref="C4:C13">
    <cfRule type="duplicateValues" dxfId="95" priority="5"/>
    <cfRule type="duplicateValues" dxfId="94" priority="6"/>
  </conditionalFormatting>
  <conditionalFormatting sqref="C14">
    <cfRule type="duplicateValues" dxfId="93" priority="9"/>
    <cfRule type="duplicateValues" dxfId="92" priority="10"/>
  </conditionalFormatting>
  <conditionalFormatting sqref="C15">
    <cfRule type="duplicateValues" dxfId="91" priority="7"/>
    <cfRule type="duplicateValues" dxfId="90" priority="8"/>
  </conditionalFormatting>
  <conditionalFormatting sqref="C17:C39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562-5A4A-4199-8EFE-21B684C6C986}">
  <dimension ref="B1:AA17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-0.86229205759863115</v>
      </c>
      <c r="R2" s="1">
        <f>(R14-J14)/J14</f>
        <v>-0.11618870407386052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1140190.0234291479</v>
      </c>
      <c r="E4" s="33">
        <v>126.30827415376331</v>
      </c>
      <c r="F4" s="5">
        <v>12</v>
      </c>
      <c r="G4" s="23">
        <v>96.666666666666671</v>
      </c>
      <c r="H4" s="33">
        <v>564.16082997875378</v>
      </c>
      <c r="I4" s="23">
        <v>44.547633874464715</v>
      </c>
      <c r="J4" s="5">
        <v>5610.9785466450712</v>
      </c>
      <c r="K4" s="31"/>
      <c r="L4" s="23">
        <v>1029218.889459189</v>
      </c>
      <c r="M4" s="33">
        <v>197.97075469225931</v>
      </c>
      <c r="N4" s="5">
        <v>10</v>
      </c>
      <c r="O4" s="23">
        <v>76.666666666666671</v>
      </c>
      <c r="P4" s="33">
        <v>50.5019538708422</v>
      </c>
      <c r="Q4" s="23">
        <v>38.137883983440545</v>
      </c>
      <c r="R4" s="5">
        <v>4612.6582844986106</v>
      </c>
      <c r="S4" s="35"/>
      <c r="T4" s="23">
        <v>1211336.3170430129</v>
      </c>
      <c r="U4" s="33">
        <v>110.29762323077124</v>
      </c>
      <c r="V4" s="5">
        <v>15</v>
      </c>
      <c r="W4" s="23">
        <v>96.666666666666671</v>
      </c>
      <c r="X4" s="33">
        <v>475.77430753878355</v>
      </c>
      <c r="Y4" s="23">
        <v>35.509048511797026</v>
      </c>
      <c r="Z4" s="5">
        <v>5419.274759873314</v>
      </c>
      <c r="AA4" s="35"/>
    </row>
    <row r="5" spans="2:27" x14ac:dyDescent="0.2">
      <c r="B5" s="4">
        <v>2</v>
      </c>
      <c r="C5" s="4">
        <v>80</v>
      </c>
      <c r="D5" s="23">
        <v>1082711.424619141</v>
      </c>
      <c r="E5" s="33">
        <v>196.92162207685985</v>
      </c>
      <c r="F5" s="5">
        <v>14</v>
      </c>
      <c r="G5" s="23">
        <v>96.666666666666671</v>
      </c>
      <c r="H5" s="33">
        <v>341.23408527907327</v>
      </c>
      <c r="I5" s="23">
        <v>37.728680826147844</v>
      </c>
      <c r="J5" s="5">
        <v>5124.14575974318</v>
      </c>
      <c r="K5" s="31"/>
      <c r="L5" s="23">
        <v>982480.81277232221</v>
      </c>
      <c r="M5" s="33">
        <v>142.24829292300944</v>
      </c>
      <c r="N5" s="5">
        <v>11</v>
      </c>
      <c r="O5" s="23">
        <v>78</v>
      </c>
      <c r="P5" s="33">
        <v>35.916049102987692</v>
      </c>
      <c r="Q5" s="23">
        <v>36.808220848994864</v>
      </c>
      <c r="R5" s="5">
        <v>4232.7451800945573</v>
      </c>
      <c r="S5" s="35"/>
      <c r="T5" s="23">
        <v>1108340.3825884999</v>
      </c>
      <c r="U5" s="33">
        <v>342.43613330763759</v>
      </c>
      <c r="V5" s="5">
        <v>14</v>
      </c>
      <c r="W5" s="23">
        <v>96.666666666666671</v>
      </c>
      <c r="X5" s="33">
        <v>347.00820443457036</v>
      </c>
      <c r="Y5" s="23">
        <v>37.370351554066794</v>
      </c>
      <c r="Z5" s="5">
        <v>4956.8843810741519</v>
      </c>
      <c r="AA5" s="35"/>
    </row>
    <row r="6" spans="2:27" x14ac:dyDescent="0.2">
      <c r="B6" s="4">
        <v>3</v>
      </c>
      <c r="C6" s="4">
        <v>183</v>
      </c>
      <c r="D6" s="23">
        <v>1050417.709782372</v>
      </c>
      <c r="E6" s="33">
        <v>217.86547646150356</v>
      </c>
      <c r="F6" s="5">
        <v>14</v>
      </c>
      <c r="G6" s="23">
        <v>96.666666666666671</v>
      </c>
      <c r="H6" s="33">
        <v>371.24558506965866</v>
      </c>
      <c r="I6" s="23">
        <v>37.439649434799328</v>
      </c>
      <c r="J6" s="5">
        <v>4893.5953189958855</v>
      </c>
      <c r="K6" s="31"/>
      <c r="L6" s="23">
        <v>1028368.7306081241</v>
      </c>
      <c r="M6" s="33">
        <v>316.70708861542289</v>
      </c>
      <c r="N6" s="5">
        <v>10</v>
      </c>
      <c r="O6" s="23">
        <v>76.666666666666671</v>
      </c>
      <c r="P6" s="33">
        <v>48.1214937193986</v>
      </c>
      <c r="Q6" s="23">
        <v>38.433233315194826</v>
      </c>
      <c r="R6" s="5">
        <v>4639.9251531779009</v>
      </c>
      <c r="S6" s="35"/>
      <c r="T6" s="23">
        <v>1111396.405518461</v>
      </c>
      <c r="U6" s="33">
        <v>227.79902753850016</v>
      </c>
      <c r="V6" s="5">
        <v>14</v>
      </c>
      <c r="W6" s="23">
        <v>96.666666666666671</v>
      </c>
      <c r="X6" s="33">
        <v>313.79894363701629</v>
      </c>
      <c r="Y6" s="23">
        <v>37.71658117996143</v>
      </c>
      <c r="Z6" s="5">
        <v>5013.3378457776325</v>
      </c>
      <c r="AA6" s="35"/>
    </row>
    <row r="7" spans="2:27" x14ac:dyDescent="0.2">
      <c r="B7" s="4">
        <v>4</v>
      </c>
      <c r="C7" s="4">
        <v>194</v>
      </c>
      <c r="D7" s="23">
        <v>1093225.2305004499</v>
      </c>
      <c r="E7" s="33">
        <v>174.32775238457208</v>
      </c>
      <c r="F7" s="5">
        <v>14</v>
      </c>
      <c r="G7" s="23">
        <v>96.666666666666671</v>
      </c>
      <c r="H7" s="33">
        <v>390.90742838215931</v>
      </c>
      <c r="I7" s="23">
        <v>37.483494527445018</v>
      </c>
      <c r="J7" s="5">
        <v>5159.4165147039748</v>
      </c>
      <c r="K7" s="31"/>
      <c r="L7" s="23">
        <v>975245.32562972861</v>
      </c>
      <c r="M7" s="33">
        <v>284.79701053852642</v>
      </c>
      <c r="N7" s="5">
        <v>11</v>
      </c>
      <c r="O7" s="23">
        <v>79.333333333333329</v>
      </c>
      <c r="P7" s="33">
        <v>48.389064834389188</v>
      </c>
      <c r="Q7" s="23">
        <v>39.086776546035388</v>
      </c>
      <c r="R7" s="5">
        <v>4305.4019509150585</v>
      </c>
      <c r="S7" s="35"/>
      <c r="T7" s="23">
        <v>1107859.8717631339</v>
      </c>
      <c r="U7" s="33">
        <v>191.71510607693699</v>
      </c>
      <c r="V7" s="5">
        <v>14</v>
      </c>
      <c r="W7" s="23">
        <v>96.666666666666671</v>
      </c>
      <c r="X7" s="33">
        <v>384.40245341383098</v>
      </c>
      <c r="Y7" s="23">
        <v>37.560290155531902</v>
      </c>
      <c r="Z7" s="5">
        <v>4930.4258808411078</v>
      </c>
      <c r="AA7" s="35"/>
    </row>
    <row r="8" spans="2:27" x14ac:dyDescent="0.2">
      <c r="B8" s="4">
        <v>5</v>
      </c>
      <c r="C8" s="4">
        <v>323</v>
      </c>
      <c r="D8" s="23">
        <v>1129378.7609582299</v>
      </c>
      <c r="E8" s="33">
        <v>338.10159884617087</v>
      </c>
      <c r="F8" s="5">
        <v>15</v>
      </c>
      <c r="G8" s="23">
        <v>96.666666666666671</v>
      </c>
      <c r="H8" s="33">
        <v>386.83742233253872</v>
      </c>
      <c r="I8" s="23">
        <v>34.229361819244104</v>
      </c>
      <c r="J8" s="5">
        <v>5229.5433522831599</v>
      </c>
      <c r="K8" s="31"/>
      <c r="L8" s="23">
        <v>983248.78148294648</v>
      </c>
      <c r="M8" s="33">
        <v>278.78782600003223</v>
      </c>
      <c r="N8" s="5">
        <v>10</v>
      </c>
      <c r="O8" s="23">
        <v>78</v>
      </c>
      <c r="P8" s="33">
        <v>40.926942680443716</v>
      </c>
      <c r="Q8" s="23">
        <v>40.284385247005602</v>
      </c>
      <c r="R8" s="5">
        <v>4422.3385119074273</v>
      </c>
      <c r="S8" s="35"/>
      <c r="T8" s="23">
        <v>1142577.2095546699</v>
      </c>
      <c r="U8" s="33">
        <v>108.35546876921745</v>
      </c>
      <c r="V8" s="5">
        <v>14</v>
      </c>
      <c r="W8" s="23">
        <v>96.666666666666671</v>
      </c>
      <c r="X8" s="33">
        <v>394.08931338108056</v>
      </c>
      <c r="Y8" s="23">
        <v>37.805653890022079</v>
      </c>
      <c r="Z8" s="5">
        <v>5147.5938820094852</v>
      </c>
      <c r="AA8" s="35"/>
    </row>
    <row r="9" spans="2:27" x14ac:dyDescent="0.2">
      <c r="B9" s="4">
        <v>6</v>
      </c>
      <c r="C9" s="4">
        <v>356</v>
      </c>
      <c r="D9" s="23">
        <v>1046045.483747479</v>
      </c>
      <c r="E9" s="33">
        <v>205.49383246160752</v>
      </c>
      <c r="F9" s="5">
        <v>14</v>
      </c>
      <c r="G9" s="23">
        <v>96.666666666666671</v>
      </c>
      <c r="H9" s="33">
        <v>351.38906290061749</v>
      </c>
      <c r="I9" s="23">
        <v>37.424531203822959</v>
      </c>
      <c r="J9" s="5">
        <v>4871.4040777261835</v>
      </c>
      <c r="K9" s="31"/>
      <c r="L9" s="23">
        <v>1029642.7974177609</v>
      </c>
      <c r="M9" s="33">
        <v>150.93097653848906</v>
      </c>
      <c r="N9" s="5">
        <v>9</v>
      </c>
      <c r="O9" s="23">
        <v>70</v>
      </c>
      <c r="P9" s="33">
        <v>9.6683791693974506</v>
      </c>
      <c r="Q9" s="23">
        <v>40.4469675644593</v>
      </c>
      <c r="R9" s="5">
        <v>4370.6856943968387</v>
      </c>
      <c r="S9" s="35"/>
      <c r="T9" s="23">
        <v>1112617.429057512</v>
      </c>
      <c r="U9" s="33">
        <v>260.47547215380922</v>
      </c>
      <c r="V9" s="5">
        <v>14</v>
      </c>
      <c r="W9" s="23">
        <v>96.666666666666671</v>
      </c>
      <c r="X9" s="33">
        <v>378.3153433346879</v>
      </c>
      <c r="Y9" s="23">
        <v>38.428571581629207</v>
      </c>
      <c r="Z9" s="5">
        <v>4998.3491623568016</v>
      </c>
      <c r="AA9" s="35"/>
    </row>
    <row r="10" spans="2:27" x14ac:dyDescent="0.2">
      <c r="B10" s="4">
        <v>7</v>
      </c>
      <c r="C10" s="4">
        <v>435</v>
      </c>
      <c r="D10" s="23">
        <v>1106261.1965489159</v>
      </c>
      <c r="E10" s="33">
        <v>163.43257253846298</v>
      </c>
      <c r="F10" s="5">
        <v>14</v>
      </c>
      <c r="G10" s="23">
        <v>96.666666666666671</v>
      </c>
      <c r="H10" s="33">
        <v>458.61522459470422</v>
      </c>
      <c r="I10" s="23">
        <v>38.401762948415197</v>
      </c>
      <c r="J10" s="5">
        <v>5223.9263487252529</v>
      </c>
      <c r="K10" s="31"/>
      <c r="L10" s="23">
        <v>1017553.185780151</v>
      </c>
      <c r="M10" s="33">
        <v>169.39283038462654</v>
      </c>
      <c r="N10" s="5">
        <v>10</v>
      </c>
      <c r="O10" s="23">
        <v>77.333333333333329</v>
      </c>
      <c r="P10" s="33">
        <v>74.990376318234183</v>
      </c>
      <c r="Q10" s="23">
        <v>39.974221274305123</v>
      </c>
      <c r="R10" s="5">
        <v>4607.0696755482277</v>
      </c>
      <c r="S10" s="35"/>
      <c r="T10" s="23">
        <v>1121918.5454070929</v>
      </c>
      <c r="U10" s="33">
        <v>103.49227753843968</v>
      </c>
      <c r="V10" s="5">
        <v>15</v>
      </c>
      <c r="W10" s="23">
        <v>96.666666666666671</v>
      </c>
      <c r="X10" s="33">
        <v>321.07661269570769</v>
      </c>
      <c r="Y10" s="23">
        <v>35.636189294442516</v>
      </c>
      <c r="Z10" s="5">
        <v>4950.2094414455396</v>
      </c>
      <c r="AA10" s="35"/>
    </row>
    <row r="11" spans="2:27" x14ac:dyDescent="0.2">
      <c r="B11" s="4">
        <v>8</v>
      </c>
      <c r="C11" s="4">
        <v>785</v>
      </c>
      <c r="D11" s="23">
        <v>1134999.855652645</v>
      </c>
      <c r="E11" s="33">
        <v>165.99049976919423</v>
      </c>
      <c r="F11" s="5">
        <v>12</v>
      </c>
      <c r="G11" s="23">
        <v>96.666666666666671</v>
      </c>
      <c r="H11" s="33">
        <v>529.03309148890014</v>
      </c>
      <c r="I11" s="23">
        <v>43.737179051491232</v>
      </c>
      <c r="J11" s="5">
        <v>5587.2704326917628</v>
      </c>
      <c r="K11" s="31"/>
      <c r="L11" s="23">
        <v>1014682.784330885</v>
      </c>
      <c r="M11" s="33">
        <v>566.18228299999964</v>
      </c>
      <c r="N11" s="5">
        <v>10</v>
      </c>
      <c r="O11" s="23">
        <v>78</v>
      </c>
      <c r="P11" s="33">
        <v>51.753296290012408</v>
      </c>
      <c r="Q11" s="23">
        <v>40.888317568952871</v>
      </c>
      <c r="R11" s="5">
        <v>4620.9566890275337</v>
      </c>
      <c r="S11" s="35"/>
      <c r="T11" s="23">
        <v>1108409.483769943</v>
      </c>
      <c r="U11" s="33">
        <v>211.10827723079214</v>
      </c>
      <c r="V11" s="5">
        <v>14</v>
      </c>
      <c r="W11" s="23">
        <v>96.666666666666671</v>
      </c>
      <c r="X11" s="33">
        <v>348.9459923342763</v>
      </c>
      <c r="Y11" s="23">
        <v>37.468659044287065</v>
      </c>
      <c r="Z11" s="5">
        <v>4958.8221689738575</v>
      </c>
      <c r="AA11" s="35"/>
    </row>
    <row r="12" spans="2:27" x14ac:dyDescent="0.2">
      <c r="B12" s="4">
        <v>9</v>
      </c>
      <c r="C12" s="4">
        <v>800</v>
      </c>
      <c r="D12" s="23">
        <v>1088715.929915909</v>
      </c>
      <c r="E12" s="33">
        <v>133.22303138467336</v>
      </c>
      <c r="F12" s="5">
        <v>14</v>
      </c>
      <c r="G12" s="23">
        <v>96.666666666666671</v>
      </c>
      <c r="H12" s="33">
        <v>321.74700318718203</v>
      </c>
      <c r="I12" s="23">
        <v>37.137340567116851</v>
      </c>
      <c r="J12" s="5">
        <v>5173.6222561572185</v>
      </c>
      <c r="K12" s="31"/>
      <c r="L12" s="23">
        <v>1041273.020878571</v>
      </c>
      <c r="M12" s="33">
        <v>465.33898953849877</v>
      </c>
      <c r="N12" s="5">
        <v>10</v>
      </c>
      <c r="O12" s="23">
        <v>72.666666666666671</v>
      </c>
      <c r="P12" s="33">
        <v>39.049950090792457</v>
      </c>
      <c r="Q12" s="23">
        <v>36.560557126013137</v>
      </c>
      <c r="R12" s="5">
        <v>4450.1586041630171</v>
      </c>
      <c r="S12" s="35"/>
      <c r="T12" s="23">
        <v>1126080.5711591861</v>
      </c>
      <c r="U12" s="33">
        <v>250.13115846157928</v>
      </c>
      <c r="V12" s="5">
        <v>15</v>
      </c>
      <c r="W12" s="23">
        <v>96.666666666666671</v>
      </c>
      <c r="X12" s="33">
        <v>260.26331403730438</v>
      </c>
      <c r="Y12" s="23">
        <v>35.162439589029177</v>
      </c>
      <c r="Z12" s="5">
        <v>5018.7872586275489</v>
      </c>
      <c r="AA12" s="35"/>
    </row>
    <row r="13" spans="2:27" x14ac:dyDescent="0.2">
      <c r="B13" s="4">
        <v>10</v>
      </c>
      <c r="C13" s="4">
        <v>876</v>
      </c>
      <c r="D13" s="23">
        <v>1078172.497278759</v>
      </c>
      <c r="E13" s="33">
        <v>146.12448830766462</v>
      </c>
      <c r="F13" s="5">
        <v>13</v>
      </c>
      <c r="G13" s="23">
        <v>96.666666666666671</v>
      </c>
      <c r="H13" s="33">
        <v>443.58333674363513</v>
      </c>
      <c r="I13" s="23">
        <v>40.349749483757215</v>
      </c>
      <c r="J13" s="5">
        <v>5150.676543416781</v>
      </c>
      <c r="K13" s="31"/>
      <c r="L13" s="23">
        <v>1004074.575566557</v>
      </c>
      <c r="M13" s="33">
        <v>308.19929007691547</v>
      </c>
      <c r="N13" s="5">
        <v>10</v>
      </c>
      <c r="O13" s="23">
        <v>76.666666666666671</v>
      </c>
      <c r="P13" s="33">
        <v>37.760357692611827</v>
      </c>
      <c r="Q13" s="23">
        <v>39.27381586109825</v>
      </c>
      <c r="R13" s="5">
        <v>4492.1551273577697</v>
      </c>
      <c r="S13" s="35"/>
      <c r="T13" s="23">
        <v>1124544.2419714951</v>
      </c>
      <c r="U13" s="33">
        <v>205.30675461533693</v>
      </c>
      <c r="V13" s="5">
        <v>15</v>
      </c>
      <c r="W13" s="23">
        <v>96.666666666666671</v>
      </c>
      <c r="X13" s="33">
        <v>289.86886971764977</v>
      </c>
      <c r="Y13" s="23">
        <v>35.01831992322257</v>
      </c>
      <c r="Z13" s="5">
        <v>4982.8906532263227</v>
      </c>
      <c r="AA13" s="35"/>
    </row>
    <row r="14" spans="2:27" x14ac:dyDescent="0.2">
      <c r="B14" s="50" t="s">
        <v>3</v>
      </c>
      <c r="C14" s="51"/>
      <c r="D14" s="9">
        <f>MIN(D4:D13)</f>
        <v>1046045.483747479</v>
      </c>
      <c r="E14" s="22">
        <f>INDEX(E4:E13, MATCH($D$14, D4:D13, 0))</f>
        <v>205.49383246160752</v>
      </c>
      <c r="F14" s="9">
        <f>INDEX(F4:F13, MATCH($D$14, D4:D13, 0))</f>
        <v>14</v>
      </c>
      <c r="G14" s="9">
        <f>INDEX(G4:G13, MATCH($D$14, D4:D13, 0))</f>
        <v>96.666666666666671</v>
      </c>
      <c r="H14" s="22">
        <f>INDEX(H4:H13, MATCH($D$14, D4:D13, 0))</f>
        <v>351.38906290061749</v>
      </c>
      <c r="I14" s="22">
        <f>INDEX(I4:I13, MATCH($D$14, D4:D13, 0))</f>
        <v>37.424531203822959</v>
      </c>
      <c r="J14" s="22">
        <f>INDEX(J4:J13, MATCH($D$14, D4:D13, 0))</f>
        <v>4871.4040777261835</v>
      </c>
      <c r="K14" s="32" t="e">
        <f>(D14-$D$15)/$D$15</f>
        <v>#DIV/0!</v>
      </c>
      <c r="L14" s="16">
        <f>MIN(L4:L13)</f>
        <v>975245.32562972861</v>
      </c>
      <c r="M14" s="21">
        <f>INDEX(M4:M13, MATCH($L$14, L4:L13, 0))</f>
        <v>284.79701053852642</v>
      </c>
      <c r="N14" s="16">
        <f>INDEX(N4:N13, MATCH($L$14, L4:L13, 0))</f>
        <v>11</v>
      </c>
      <c r="O14" s="16">
        <f>INDEX(O4:O13, MATCH($L$14, L4:L13, 0))</f>
        <v>79.333333333333329</v>
      </c>
      <c r="P14" s="21">
        <f>INDEX(P4:P13, MATCH($L$14, L4:L13, 0))</f>
        <v>48.389064834389188</v>
      </c>
      <c r="Q14" s="21">
        <f>INDEX(Q4:Q13, MATCH($L$14, L4:L13, 0))</f>
        <v>39.086776546035388</v>
      </c>
      <c r="R14" s="21">
        <f>INDEX(R4:R13, MATCH($L$14, L4:L13, 0))</f>
        <v>4305.4019509150585</v>
      </c>
      <c r="S14" s="36" t="e">
        <f>(L14-$D$15)/$D$15</f>
        <v>#DIV/0!</v>
      </c>
      <c r="T14" s="38">
        <f>MIN(T4:T13)</f>
        <v>1107859.8717631339</v>
      </c>
      <c r="U14" s="39">
        <f>INDEX(U4:U13, MATCH($T$14, T4:T13, 0))</f>
        <v>191.71510607693699</v>
      </c>
      <c r="V14" s="38">
        <f>INDEX(V4:V13, MATCH($T$14, T4:T13, 0))</f>
        <v>14</v>
      </c>
      <c r="W14" s="38">
        <f>INDEX(W4:W13, MATCH($T$14, T4:T13, 0))</f>
        <v>96.666666666666671</v>
      </c>
      <c r="X14" s="39">
        <f>INDEX(X4:X13, MATCH($T$14, T4:T13, 0))</f>
        <v>384.40245341383098</v>
      </c>
      <c r="Y14" s="39">
        <f>INDEX(Y4:Y13, MATCH($T$14, T4:T13, 0))</f>
        <v>37.560290155531902</v>
      </c>
      <c r="Z14" s="39">
        <f>INDEX(Z4:Z13, MATCH($T$14, T4:T13, 0))</f>
        <v>4930.4258808411078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-6.7683632516730943E-2</v>
      </c>
      <c r="M15" s="41">
        <f t="shared" ref="M15:R15" si="0">(M14-E14)/E14</f>
        <v>0.38591512517406151</v>
      </c>
      <c r="N15" s="41">
        <f t="shared" si="0"/>
        <v>-0.21428571428571427</v>
      </c>
      <c r="O15" s="41">
        <f t="shared" si="0"/>
        <v>-0.17931034482758629</v>
      </c>
      <c r="P15" s="41">
        <f t="shared" si="0"/>
        <v>-0.86229205759863115</v>
      </c>
      <c r="Q15" s="41">
        <f t="shared" si="0"/>
        <v>4.4415929571954914E-2</v>
      </c>
      <c r="R15" s="41">
        <f t="shared" si="0"/>
        <v>-0.11618870407386052</v>
      </c>
      <c r="T15" s="41">
        <f>(T14-D14)/D14</f>
        <v>5.9093403657939976E-2</v>
      </c>
      <c r="U15" s="41">
        <f t="shared" ref="U15:Z15" si="1">(U14-E14)/E14</f>
        <v>-6.705177581056998E-2</v>
      </c>
      <c r="V15" s="41">
        <f t="shared" si="1"/>
        <v>0</v>
      </c>
      <c r="W15" s="41">
        <f t="shared" si="1"/>
        <v>0</v>
      </c>
      <c r="X15" s="41">
        <f t="shared" si="1"/>
        <v>9.3951104341999936E-2</v>
      </c>
      <c r="Y15" s="41">
        <f t="shared" si="1"/>
        <v>3.6275391392230926E-3</v>
      </c>
      <c r="Z15" s="41">
        <f t="shared" si="1"/>
        <v>1.2115973582399634E-2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89" priority="11"/>
    <cfRule type="duplicateValues" dxfId="88" priority="12"/>
  </conditionalFormatting>
  <conditionalFormatting sqref="C2">
    <cfRule type="duplicateValues" dxfId="87" priority="3"/>
    <cfRule type="duplicateValues" dxfId="86" priority="4"/>
  </conditionalFormatting>
  <conditionalFormatting sqref="C4:C13">
    <cfRule type="duplicateValues" dxfId="85" priority="5"/>
    <cfRule type="duplicateValues" dxfId="84" priority="6"/>
  </conditionalFormatting>
  <conditionalFormatting sqref="C14">
    <cfRule type="duplicateValues" dxfId="83" priority="9"/>
    <cfRule type="duplicateValues" dxfId="82" priority="10"/>
  </conditionalFormatting>
  <conditionalFormatting sqref="C15">
    <cfRule type="duplicateValues" dxfId="81" priority="7"/>
    <cfRule type="duplicateValues" dxfId="80" priority="8"/>
  </conditionalFormatting>
  <conditionalFormatting sqref="C17:C39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EAD-C54D-4644-92BB-97A76528F3AE}">
  <dimension ref="B1:AA17"/>
  <sheetViews>
    <sheetView zoomScale="90" zoomScaleNormal="90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-0.97196105711336722</v>
      </c>
      <c r="R2" s="1">
        <f>(R14-J14)/J14</f>
        <v>-0.21397567611406682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1318656.474301717</v>
      </c>
      <c r="E4" s="33">
        <v>439.80038330764864</v>
      </c>
      <c r="F4" s="5">
        <v>15</v>
      </c>
      <c r="G4" s="23">
        <v>93.333333333333329</v>
      </c>
      <c r="H4" s="33">
        <v>611.49334131411842</v>
      </c>
      <c r="I4" s="23">
        <v>33.981339648843765</v>
      </c>
      <c r="J4" s="5">
        <v>5812.7765925569047</v>
      </c>
      <c r="K4" s="31"/>
      <c r="L4" s="23">
        <v>1143477.2450733101</v>
      </c>
      <c r="M4" s="33">
        <v>128.22143638461753</v>
      </c>
      <c r="N4" s="5">
        <v>10</v>
      </c>
      <c r="O4" s="23">
        <v>63.333333333333343</v>
      </c>
      <c r="P4" s="33">
        <v>32.58379687332652</v>
      </c>
      <c r="Q4" s="23">
        <v>30.046577680791721</v>
      </c>
      <c r="R4" s="5">
        <v>4550.2599798158226</v>
      </c>
      <c r="S4" s="35"/>
      <c r="T4" s="23">
        <v>1437292.832018201</v>
      </c>
      <c r="U4" s="33">
        <v>421.38817784618226</v>
      </c>
      <c r="V4" s="5">
        <v>15</v>
      </c>
      <c r="W4" s="23">
        <v>93.333333333333329</v>
      </c>
      <c r="X4" s="33">
        <v>724.87362947692213</v>
      </c>
      <c r="Y4" s="23">
        <v>33.800619119232479</v>
      </c>
      <c r="Z4" s="5">
        <v>5856.9542772113073</v>
      </c>
      <c r="AA4" s="35"/>
    </row>
    <row r="5" spans="2:27" x14ac:dyDescent="0.2">
      <c r="B5" s="4">
        <v>2</v>
      </c>
      <c r="C5" s="4">
        <v>114</v>
      </c>
      <c r="D5" s="23">
        <v>1331858.0465048731</v>
      </c>
      <c r="E5" s="33">
        <v>212.70075661533221</v>
      </c>
      <c r="F5" s="5">
        <v>15</v>
      </c>
      <c r="G5" s="23">
        <v>93.333333333333329</v>
      </c>
      <c r="H5" s="33">
        <v>618.58717806284756</v>
      </c>
      <c r="I5" s="23">
        <v>34.525110804306841</v>
      </c>
      <c r="J5" s="5">
        <v>5927.1238187888921</v>
      </c>
      <c r="K5" s="31"/>
      <c r="L5" s="23">
        <v>1120945.1986827019</v>
      </c>
      <c r="M5" s="33">
        <v>481.45262653849875</v>
      </c>
      <c r="N5" s="5">
        <v>10</v>
      </c>
      <c r="O5" s="23">
        <v>66</v>
      </c>
      <c r="P5" s="33">
        <v>8.021832270102113</v>
      </c>
      <c r="Q5" s="23">
        <v>32.255363647140797</v>
      </c>
      <c r="R5" s="5">
        <v>4629.5302839578835</v>
      </c>
      <c r="S5" s="35"/>
      <c r="T5" s="23">
        <v>1422602.7350569831</v>
      </c>
      <c r="U5" s="33">
        <v>389.91427615383424</v>
      </c>
      <c r="V5" s="5">
        <v>15</v>
      </c>
      <c r="W5" s="23">
        <v>93.333333333333329</v>
      </c>
      <c r="X5" s="33">
        <v>628.08834446153128</v>
      </c>
      <c r="Y5" s="23">
        <v>34.359134977920903</v>
      </c>
      <c r="Z5" s="5">
        <v>5821.2937955098023</v>
      </c>
      <c r="AA5" s="35"/>
    </row>
    <row r="6" spans="2:27" x14ac:dyDescent="0.2">
      <c r="B6" s="4">
        <v>3</v>
      </c>
      <c r="C6" s="4">
        <v>155</v>
      </c>
      <c r="D6" s="23">
        <v>1298314.612475632</v>
      </c>
      <c r="E6" s="33">
        <v>222.78767107690396</v>
      </c>
      <c r="F6" s="5">
        <v>15</v>
      </c>
      <c r="G6" s="23">
        <v>93.333333333333329</v>
      </c>
      <c r="H6" s="33">
        <v>557.2158028380004</v>
      </c>
      <c r="I6" s="23">
        <v>34.54691388475625</v>
      </c>
      <c r="J6" s="5">
        <v>5750.2115391621046</v>
      </c>
      <c r="K6" s="31"/>
      <c r="L6" s="23">
        <v>1145604.063404069</v>
      </c>
      <c r="M6" s="33">
        <v>248.84655607694114</v>
      </c>
      <c r="N6" s="5">
        <v>8</v>
      </c>
      <c r="O6" s="23">
        <v>56.666666666666657</v>
      </c>
      <c r="P6" s="33">
        <v>5.065291065976143</v>
      </c>
      <c r="Q6" s="23">
        <v>32.050452709350836</v>
      </c>
      <c r="R6" s="5">
        <v>4357.8131118825149</v>
      </c>
      <c r="S6" s="35"/>
      <c r="T6" s="23">
        <v>1461975.2178641709</v>
      </c>
      <c r="U6" s="33">
        <v>153.95316746148569</v>
      </c>
      <c r="V6" s="5">
        <v>15</v>
      </c>
      <c r="W6" s="23">
        <v>93.333333333333329</v>
      </c>
      <c r="X6" s="33">
        <v>793.00911995222623</v>
      </c>
      <c r="Y6" s="23">
        <v>34.44513638979118</v>
      </c>
      <c r="Z6" s="5">
        <v>5989.633307444501</v>
      </c>
      <c r="AA6" s="35"/>
    </row>
    <row r="7" spans="2:27" x14ac:dyDescent="0.2">
      <c r="B7" s="4">
        <v>4</v>
      </c>
      <c r="C7" s="4">
        <v>270</v>
      </c>
      <c r="D7" s="23">
        <v>1352309.5085820509</v>
      </c>
      <c r="E7" s="33">
        <v>295.05281261535578</v>
      </c>
      <c r="F7" s="5">
        <v>15</v>
      </c>
      <c r="G7" s="23">
        <v>93.333333333333329</v>
      </c>
      <c r="H7" s="33">
        <v>798.17551819688629</v>
      </c>
      <c r="I7" s="23">
        <v>34.087832887533501</v>
      </c>
      <c r="J7" s="5">
        <v>5904.2385145919625</v>
      </c>
      <c r="K7" s="31"/>
      <c r="L7" s="23">
        <v>1106335.1619803789</v>
      </c>
      <c r="M7" s="33">
        <v>369.31848092309133</v>
      </c>
      <c r="N7" s="5">
        <v>11</v>
      </c>
      <c r="O7" s="23">
        <v>66.666666666666671</v>
      </c>
      <c r="P7" s="33">
        <v>11.073667172264777</v>
      </c>
      <c r="Q7" s="23">
        <v>29.884741600994161</v>
      </c>
      <c r="R7" s="5">
        <v>4362.9568356831951</v>
      </c>
      <c r="S7" s="35"/>
      <c r="T7" s="23">
        <v>1416227.250684741</v>
      </c>
      <c r="U7" s="33">
        <v>278.17132438470321</v>
      </c>
      <c r="V7" s="5">
        <v>15</v>
      </c>
      <c r="W7" s="23">
        <v>93.333333333333329</v>
      </c>
      <c r="X7" s="33">
        <v>668.07999402694486</v>
      </c>
      <c r="Y7" s="23">
        <v>34.464697970863504</v>
      </c>
      <c r="Z7" s="5">
        <v>5794.5926824511644</v>
      </c>
      <c r="AA7" s="35"/>
    </row>
    <row r="8" spans="2:27" x14ac:dyDescent="0.2">
      <c r="B8" s="4">
        <v>5</v>
      </c>
      <c r="C8" s="4">
        <v>272</v>
      </c>
      <c r="D8" s="23">
        <v>1330395.726383463</v>
      </c>
      <c r="E8" s="33">
        <v>346.17247461538329</v>
      </c>
      <c r="F8" s="5">
        <v>15</v>
      </c>
      <c r="G8" s="23">
        <v>93.333333333333329</v>
      </c>
      <c r="H8" s="33">
        <v>769.00489567171348</v>
      </c>
      <c r="I8" s="23">
        <v>34.446184128575169</v>
      </c>
      <c r="J8" s="5">
        <v>5825.6334466884691</v>
      </c>
      <c r="K8" s="31"/>
      <c r="L8" s="23">
        <v>1116774.5114938419</v>
      </c>
      <c r="M8" s="33">
        <v>278.40986153845176</v>
      </c>
      <c r="N8" s="5">
        <v>10</v>
      </c>
      <c r="O8" s="23">
        <v>65.333333333333329</v>
      </c>
      <c r="P8" s="33">
        <v>10.745894229399322</v>
      </c>
      <c r="Q8" s="23">
        <v>31.2826439301687</v>
      </c>
      <c r="R8" s="5">
        <v>4479.1547846155891</v>
      </c>
      <c r="S8" s="35"/>
      <c r="T8" s="23">
        <v>1473169.9186687269</v>
      </c>
      <c r="U8" s="33">
        <v>314.82257638457946</v>
      </c>
      <c r="V8" s="5">
        <v>15</v>
      </c>
      <c r="W8" s="23">
        <v>93.333333333333329</v>
      </c>
      <c r="X8" s="33">
        <v>784.33588692094122</v>
      </c>
      <c r="Y8" s="23">
        <v>34.438224272063344</v>
      </c>
      <c r="Z8" s="5">
        <v>6084.2813475606454</v>
      </c>
      <c r="AA8" s="35"/>
    </row>
    <row r="9" spans="2:27" x14ac:dyDescent="0.2">
      <c r="B9" s="4">
        <v>6</v>
      </c>
      <c r="C9" s="4">
        <v>483</v>
      </c>
      <c r="D9" s="23">
        <v>1323385.3430637461</v>
      </c>
      <c r="E9" s="33">
        <v>244.84482315386859</v>
      </c>
      <c r="F9" s="5">
        <v>15</v>
      </c>
      <c r="G9" s="23">
        <v>93.333333333333329</v>
      </c>
      <c r="H9" s="33">
        <v>624.66099323344724</v>
      </c>
      <c r="I9" s="23">
        <v>34.677709108612028</v>
      </c>
      <c r="J9" s="5">
        <v>5870.1829840585997</v>
      </c>
      <c r="K9" s="31"/>
      <c r="L9" s="23">
        <v>1085413.6026631941</v>
      </c>
      <c r="M9" s="33">
        <v>289.47915753842182</v>
      </c>
      <c r="N9" s="5">
        <v>10</v>
      </c>
      <c r="O9" s="23">
        <v>68</v>
      </c>
      <c r="P9" s="33">
        <v>26.554953046706416</v>
      </c>
      <c r="Q9" s="23">
        <v>32.890493095556423</v>
      </c>
      <c r="R9" s="5">
        <v>4413.7227829728508</v>
      </c>
      <c r="S9" s="35"/>
      <c r="T9" s="23">
        <v>1398143.4479756169</v>
      </c>
      <c r="U9" s="33">
        <v>276.14834923082248</v>
      </c>
      <c r="V9" s="5">
        <v>16</v>
      </c>
      <c r="W9" s="23">
        <v>93.333333333333329</v>
      </c>
      <c r="X9" s="33">
        <v>560.1079999723521</v>
      </c>
      <c r="Y9" s="23">
        <v>32.209743096087536</v>
      </c>
      <c r="Z9" s="5">
        <v>5611.5340097715925</v>
      </c>
      <c r="AA9" s="35"/>
    </row>
    <row r="10" spans="2:27" x14ac:dyDescent="0.2">
      <c r="B10" s="4">
        <v>7</v>
      </c>
      <c r="C10" s="4">
        <v>530</v>
      </c>
      <c r="D10" s="23">
        <v>1317647.020910942</v>
      </c>
      <c r="E10" s="33">
        <v>190.8173417692216</v>
      </c>
      <c r="F10" s="5">
        <v>14</v>
      </c>
      <c r="G10" s="23">
        <v>93.333333333333329</v>
      </c>
      <c r="H10" s="33">
        <v>664.29440446850401</v>
      </c>
      <c r="I10" s="23">
        <v>37.190397721197243</v>
      </c>
      <c r="J10" s="5">
        <v>5945.0812900184528</v>
      </c>
      <c r="K10" s="31"/>
      <c r="L10" s="23">
        <v>1171302.7729565371</v>
      </c>
      <c r="M10" s="33">
        <v>243.77299453839299</v>
      </c>
      <c r="N10" s="5">
        <v>10</v>
      </c>
      <c r="O10" s="23">
        <v>58.666666666666657</v>
      </c>
      <c r="P10" s="33">
        <v>28.88888186341628</v>
      </c>
      <c r="Q10" s="23">
        <v>29.415702221332275</v>
      </c>
      <c r="R10" s="5">
        <v>4481.5689313705971</v>
      </c>
      <c r="S10" s="35"/>
      <c r="T10" s="23">
        <v>1506693.7673972831</v>
      </c>
      <c r="U10" s="33">
        <v>219.69330776921615</v>
      </c>
      <c r="V10" s="5">
        <v>14</v>
      </c>
      <c r="W10" s="23">
        <v>93.333333333333329</v>
      </c>
      <c r="X10" s="33">
        <v>921.93797828225422</v>
      </c>
      <c r="Y10" s="23">
        <v>36.674742672052489</v>
      </c>
      <c r="Z10" s="5">
        <v>6327.0869031192469</v>
      </c>
      <c r="AA10" s="35"/>
    </row>
    <row r="11" spans="2:27" x14ac:dyDescent="0.2">
      <c r="B11" s="4">
        <v>8</v>
      </c>
      <c r="C11" s="4">
        <v>552</v>
      </c>
      <c r="D11" s="23">
        <v>1311506.1473503071</v>
      </c>
      <c r="E11" s="33">
        <v>208.09396546154932</v>
      </c>
      <c r="F11" s="5">
        <v>13</v>
      </c>
      <c r="G11" s="23">
        <v>92.666666666666671</v>
      </c>
      <c r="H11" s="33">
        <v>583.33842659823233</v>
      </c>
      <c r="I11" s="23">
        <v>38.564171508025964</v>
      </c>
      <c r="J11" s="5">
        <v>5966.8106890680565</v>
      </c>
      <c r="K11" s="31"/>
      <c r="L11" s="23">
        <v>1158604.681733781</v>
      </c>
      <c r="M11" s="33">
        <v>351.21617900001678</v>
      </c>
      <c r="N11" s="5">
        <v>10</v>
      </c>
      <c r="O11" s="23">
        <v>62</v>
      </c>
      <c r="P11" s="33">
        <v>37.655332496081954</v>
      </c>
      <c r="Q11" s="23">
        <v>28.407792761126892</v>
      </c>
      <c r="R11" s="5">
        <v>4607.8507728983986</v>
      </c>
      <c r="S11" s="35"/>
      <c r="T11" s="23">
        <v>1401103.658845464</v>
      </c>
      <c r="U11" s="33">
        <v>218.83798599995384</v>
      </c>
      <c r="V11" s="5">
        <v>15</v>
      </c>
      <c r="W11" s="23">
        <v>93.333333333333329</v>
      </c>
      <c r="X11" s="33">
        <v>572.22938123569429</v>
      </c>
      <c r="Y11" s="23">
        <v>34.440069738515149</v>
      </c>
      <c r="Z11" s="5">
        <v>5750.4119657549254</v>
      </c>
      <c r="AA11" s="35"/>
    </row>
    <row r="12" spans="2:27" x14ac:dyDescent="0.2">
      <c r="B12" s="4">
        <v>9</v>
      </c>
      <c r="C12" s="4">
        <v>603</v>
      </c>
      <c r="D12" s="23">
        <v>1329535.156040655</v>
      </c>
      <c r="E12" s="33">
        <v>491.55465099996383</v>
      </c>
      <c r="F12" s="5">
        <v>15</v>
      </c>
      <c r="G12" s="23">
        <v>93.333333333333329</v>
      </c>
      <c r="H12" s="33">
        <v>755.46045363842416</v>
      </c>
      <c r="I12" s="23">
        <v>34.456092298980067</v>
      </c>
      <c r="J12" s="5">
        <v>5826.6500093091863</v>
      </c>
      <c r="K12" s="31"/>
      <c r="L12" s="23">
        <v>1104918.9790334089</v>
      </c>
      <c r="M12" s="33">
        <v>262.2658444615081</v>
      </c>
      <c r="N12" s="5">
        <v>10</v>
      </c>
      <c r="O12" s="23">
        <v>65.333333333333329</v>
      </c>
      <c r="P12" s="33">
        <v>36.664016643658137</v>
      </c>
      <c r="Q12" s="23">
        <v>31.233260549924331</v>
      </c>
      <c r="R12" s="5">
        <v>4409.9873095484945</v>
      </c>
      <c r="S12" s="35"/>
      <c r="T12" s="23">
        <v>1423926.2696335281</v>
      </c>
      <c r="U12" s="33">
        <v>111.20561207698368</v>
      </c>
      <c r="V12" s="5">
        <v>16</v>
      </c>
      <c r="W12" s="23">
        <v>93.333333333333329</v>
      </c>
      <c r="X12" s="33">
        <v>696.22573122574624</v>
      </c>
      <c r="Y12" s="23">
        <v>31.761037848943921</v>
      </c>
      <c r="Z12" s="5">
        <v>5688.8633864952417</v>
      </c>
      <c r="AA12" s="35"/>
    </row>
    <row r="13" spans="2:27" x14ac:dyDescent="0.2">
      <c r="B13" s="4">
        <v>10</v>
      </c>
      <c r="C13" s="4">
        <v>884</v>
      </c>
      <c r="D13" s="23">
        <v>1329961.296754769</v>
      </c>
      <c r="E13" s="33">
        <v>126.39722792306337</v>
      </c>
      <c r="F13" s="5">
        <v>14</v>
      </c>
      <c r="G13" s="23">
        <v>91.333333333333329</v>
      </c>
      <c r="H13" s="33">
        <v>562.03464641089442</v>
      </c>
      <c r="I13" s="23">
        <v>35.258811173301211</v>
      </c>
      <c r="J13" s="5">
        <v>5787.7386323284072</v>
      </c>
      <c r="K13" s="31"/>
      <c r="L13" s="23">
        <v>1078448.8753351159</v>
      </c>
      <c r="M13" s="33">
        <v>276.65905915379807</v>
      </c>
      <c r="N13" s="5">
        <v>10</v>
      </c>
      <c r="O13" s="23">
        <v>70</v>
      </c>
      <c r="P13" s="33">
        <v>15.62374207130396</v>
      </c>
      <c r="Q13" s="23">
        <v>33.930679992443629</v>
      </c>
      <c r="R13" s="5">
        <v>4519.8061372709844</v>
      </c>
      <c r="S13" s="35"/>
      <c r="T13" s="23">
        <v>1413970.2113276611</v>
      </c>
      <c r="U13" s="33">
        <v>439.79630146148759</v>
      </c>
      <c r="V13" s="5">
        <v>16</v>
      </c>
      <c r="W13" s="23">
        <v>93.333333333333329</v>
      </c>
      <c r="X13" s="33">
        <v>639.44123900743853</v>
      </c>
      <c r="Y13" s="23">
        <v>32.182907247602685</v>
      </c>
      <c r="Z13" s="5">
        <v>5687.1383732275317</v>
      </c>
      <c r="AA13" s="35"/>
    </row>
    <row r="14" spans="2:27" x14ac:dyDescent="0.2">
      <c r="B14" s="50" t="s">
        <v>3</v>
      </c>
      <c r="C14" s="51"/>
      <c r="D14" s="9">
        <f>MIN(D4:D13)</f>
        <v>1298314.612475632</v>
      </c>
      <c r="E14" s="22">
        <f>INDEX(E4:E13, MATCH($D$14, D4:D13, 0))</f>
        <v>222.78767107690396</v>
      </c>
      <c r="F14" s="9">
        <f>INDEX(F4:F13, MATCH($D$14, D4:D13, 0))</f>
        <v>15</v>
      </c>
      <c r="G14" s="9">
        <f>INDEX(G4:G13, MATCH($D$14, D4:D13, 0))</f>
        <v>93.333333333333329</v>
      </c>
      <c r="H14" s="22">
        <f>INDEX(H4:H13, MATCH($D$14, D4:D13, 0))</f>
        <v>557.2158028380004</v>
      </c>
      <c r="I14" s="22">
        <f>INDEX(I4:I13, MATCH($D$14, D4:D13, 0))</f>
        <v>34.54691388475625</v>
      </c>
      <c r="J14" s="22">
        <f>INDEX(J4:J13, MATCH($D$14, D4:D13, 0))</f>
        <v>5750.2115391621046</v>
      </c>
      <c r="K14" s="32" t="e">
        <f>(D14-$D$15)/$D$15</f>
        <v>#DIV/0!</v>
      </c>
      <c r="L14" s="16">
        <f>MIN(L4:L13)</f>
        <v>1078448.8753351159</v>
      </c>
      <c r="M14" s="21">
        <f>INDEX(M4:M13, MATCH($L$14, L4:L13, 0))</f>
        <v>276.65905915379807</v>
      </c>
      <c r="N14" s="16">
        <f>INDEX(N4:N13, MATCH($L$14, L4:L13, 0))</f>
        <v>10</v>
      </c>
      <c r="O14" s="16">
        <f>INDEX(O4:O13, MATCH($L$14, L4:L13, 0))</f>
        <v>70</v>
      </c>
      <c r="P14" s="21">
        <f>INDEX(P4:P13, MATCH($L$14, L4:L13, 0))</f>
        <v>15.62374207130396</v>
      </c>
      <c r="Q14" s="21">
        <f>INDEX(Q4:Q13, MATCH($L$14, L4:L13, 0))</f>
        <v>33.930679992443629</v>
      </c>
      <c r="R14" s="21">
        <f>INDEX(R4:R13, MATCH($L$14, L4:L13, 0))</f>
        <v>4519.8061372709844</v>
      </c>
      <c r="S14" s="36" t="e">
        <f>(L14-$D$15)/$D$15</f>
        <v>#DIV/0!</v>
      </c>
      <c r="T14" s="38">
        <f>MIN(T4:T13)</f>
        <v>1398143.4479756169</v>
      </c>
      <c r="U14" s="39">
        <f>INDEX(U4:U13, MATCH($T$14, T4:T13, 0))</f>
        <v>276.14834923082248</v>
      </c>
      <c r="V14" s="38">
        <f>INDEX(V4:V13, MATCH($T$14, T4:T13, 0))</f>
        <v>16</v>
      </c>
      <c r="W14" s="38">
        <f>INDEX(W4:W13, MATCH($T$14, T4:T13, 0))</f>
        <v>93.333333333333329</v>
      </c>
      <c r="X14" s="39">
        <f>INDEX(X4:X13, MATCH($T$14, T4:T13, 0))</f>
        <v>560.1079999723521</v>
      </c>
      <c r="Y14" s="39">
        <f>INDEX(Y4:Y13, MATCH($T$14, T4:T13, 0))</f>
        <v>32.209743096087536</v>
      </c>
      <c r="Z14" s="39">
        <f>INDEX(Z4:Z13, MATCH($T$14, T4:T13, 0))</f>
        <v>5611.5340097715925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-0.16934704040746726</v>
      </c>
      <c r="M15" s="41">
        <f t="shared" ref="M15:R15" si="0">(M14-E14)/E14</f>
        <v>0.24180596626596212</v>
      </c>
      <c r="N15" s="41">
        <f t="shared" si="0"/>
        <v>-0.33333333333333331</v>
      </c>
      <c r="O15" s="41">
        <f t="shared" si="0"/>
        <v>-0.24999999999999997</v>
      </c>
      <c r="P15" s="41">
        <f t="shared" si="0"/>
        <v>-0.97196105711336722</v>
      </c>
      <c r="Q15" s="41">
        <f t="shared" si="0"/>
        <v>-1.7837595982329792E-2</v>
      </c>
      <c r="R15" s="41">
        <f t="shared" si="0"/>
        <v>-0.21397567611406682</v>
      </c>
      <c r="T15" s="41">
        <f>(T14-D14)/D14</f>
        <v>7.6891097535774361E-2</v>
      </c>
      <c r="U15" s="41">
        <f t="shared" ref="U15:Z15" si="1">(U14-E14)/E14</f>
        <v>0.23951360457239562</v>
      </c>
      <c r="V15" s="41">
        <f t="shared" si="1"/>
        <v>6.6666666666666666E-2</v>
      </c>
      <c r="W15" s="41">
        <f t="shared" si="1"/>
        <v>0</v>
      </c>
      <c r="X15" s="41">
        <f t="shared" si="1"/>
        <v>5.190443486385748E-3</v>
      </c>
      <c r="Y15" s="41">
        <f t="shared" si="1"/>
        <v>-6.765208598560192E-2</v>
      </c>
      <c r="Z15" s="41">
        <f t="shared" si="1"/>
        <v>-2.4116943949981977E-2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79" priority="11"/>
    <cfRule type="duplicateValues" dxfId="78" priority="12"/>
  </conditionalFormatting>
  <conditionalFormatting sqref="C2">
    <cfRule type="duplicateValues" dxfId="77" priority="3"/>
    <cfRule type="duplicateValues" dxfId="76" priority="4"/>
  </conditionalFormatting>
  <conditionalFormatting sqref="C4:C13">
    <cfRule type="duplicateValues" dxfId="75" priority="5"/>
    <cfRule type="duplicateValues" dxfId="74" priority="6"/>
  </conditionalFormatting>
  <conditionalFormatting sqref="C14">
    <cfRule type="duplicateValues" dxfId="73" priority="9"/>
    <cfRule type="duplicateValues" dxfId="72" priority="10"/>
  </conditionalFormatting>
  <conditionalFormatting sqref="C15">
    <cfRule type="duplicateValues" dxfId="71" priority="7"/>
    <cfRule type="duplicateValues" dxfId="70" priority="8"/>
  </conditionalFormatting>
  <conditionalFormatting sqref="C17:C39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6D35-3901-4478-9CED-E4E71666CB2D}">
  <dimension ref="B1:AA17"/>
  <sheetViews>
    <sheetView zoomScale="90" zoomScaleNormal="90" workbookViewId="0">
      <selection activeCell="U19" sqref="U19:U3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-0.93980306435380967</v>
      </c>
      <c r="R2" s="1">
        <f>(R14-J14)/J14</f>
        <v>-0.16307408462606654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1168643.226288683</v>
      </c>
      <c r="E4" s="33">
        <v>309.76703292314107</v>
      </c>
      <c r="F4" s="5">
        <v>13</v>
      </c>
      <c r="G4" s="23">
        <v>94</v>
      </c>
      <c r="H4" s="33">
        <v>362.73205147026351</v>
      </c>
      <c r="I4" s="23">
        <v>40.263651627371402</v>
      </c>
      <c r="J4" s="5">
        <v>5415.5349556114834</v>
      </c>
      <c r="K4" s="31"/>
      <c r="L4" s="23">
        <v>1023291.003602447</v>
      </c>
      <c r="M4" s="33">
        <v>154.30585153839692</v>
      </c>
      <c r="N4" s="5">
        <v>10</v>
      </c>
      <c r="O4" s="23">
        <v>74</v>
      </c>
      <c r="P4" s="33">
        <v>29.625855367345697</v>
      </c>
      <c r="Q4" s="23">
        <v>40.485460165251489</v>
      </c>
      <c r="R4" s="5">
        <v>4474.7673039600504</v>
      </c>
      <c r="S4" s="35"/>
      <c r="T4" s="23">
        <v>1259422.3932702451</v>
      </c>
      <c r="U4" s="33">
        <v>92.170246538455373</v>
      </c>
      <c r="V4" s="5">
        <v>12</v>
      </c>
      <c r="W4" s="23">
        <v>94.666666666666671</v>
      </c>
      <c r="X4" s="33">
        <v>438.2960408125968</v>
      </c>
      <c r="Y4" s="23">
        <v>43.915001104564055</v>
      </c>
      <c r="Z4" s="5">
        <v>5646.406472561328</v>
      </c>
      <c r="AA4" s="35"/>
    </row>
    <row r="5" spans="2:27" x14ac:dyDescent="0.2">
      <c r="B5" s="4">
        <v>2</v>
      </c>
      <c r="C5" s="4">
        <v>157</v>
      </c>
      <c r="D5" s="23">
        <v>1179422.3932702451</v>
      </c>
      <c r="E5" s="33">
        <v>98.198421076925143</v>
      </c>
      <c r="F5" s="5">
        <v>12</v>
      </c>
      <c r="G5" s="23">
        <v>94.666666666666671</v>
      </c>
      <c r="H5" s="33">
        <v>438.2960408125968</v>
      </c>
      <c r="I5" s="23">
        <v>43.915001104564055</v>
      </c>
      <c r="J5" s="5">
        <v>5646.406472561328</v>
      </c>
      <c r="K5" s="31"/>
      <c r="L5" s="23">
        <v>1073661.8434601061</v>
      </c>
      <c r="M5" s="33">
        <v>276.35042192306946</v>
      </c>
      <c r="N5" s="5">
        <v>10</v>
      </c>
      <c r="O5" s="23">
        <v>70</v>
      </c>
      <c r="P5" s="33">
        <v>31.608144578742369</v>
      </c>
      <c r="Q5" s="23">
        <v>37.080025480711036</v>
      </c>
      <c r="R5" s="5">
        <v>4594.9643500967577</v>
      </c>
      <c r="S5" s="35"/>
      <c r="T5" s="23">
        <v>1270581.084991307</v>
      </c>
      <c r="U5" s="33">
        <v>466.4840799230688</v>
      </c>
      <c r="V5" s="5">
        <v>14</v>
      </c>
      <c r="W5" s="23">
        <v>94.666666666666671</v>
      </c>
      <c r="X5" s="33">
        <v>445.1008795245163</v>
      </c>
      <c r="Y5" s="23">
        <v>37.070042281506844</v>
      </c>
      <c r="Z5" s="5">
        <v>5434.5273979250887</v>
      </c>
      <c r="AA5" s="35"/>
    </row>
    <row r="6" spans="2:27" x14ac:dyDescent="0.2">
      <c r="B6" s="4">
        <v>3</v>
      </c>
      <c r="C6" s="4">
        <v>204</v>
      </c>
      <c r="D6" s="23">
        <v>1168814.8782724959</v>
      </c>
      <c r="E6" s="33">
        <v>230.17236007690931</v>
      </c>
      <c r="F6" s="5">
        <v>13</v>
      </c>
      <c r="G6" s="23">
        <v>94</v>
      </c>
      <c r="H6" s="33">
        <v>361.64317955181463</v>
      </c>
      <c r="I6" s="23">
        <v>40.120958464931775</v>
      </c>
      <c r="J6" s="5">
        <v>5405.6134102949354</v>
      </c>
      <c r="K6" s="31"/>
      <c r="L6" s="23">
        <v>1085715.792454059</v>
      </c>
      <c r="M6" s="33">
        <v>139.94580261534654</v>
      </c>
      <c r="N6" s="5">
        <v>7</v>
      </c>
      <c r="O6" s="23">
        <v>60</v>
      </c>
      <c r="P6" s="33">
        <v>20.987993631824892</v>
      </c>
      <c r="Q6" s="23">
        <v>46.746543354525372</v>
      </c>
      <c r="R6" s="5">
        <v>4469.9044499640258</v>
      </c>
      <c r="S6" s="35"/>
      <c r="T6" s="23">
        <v>1259422.3932702451</v>
      </c>
      <c r="U6" s="33">
        <v>171.51637615385255</v>
      </c>
      <c r="V6" s="5">
        <v>12</v>
      </c>
      <c r="W6" s="23">
        <v>94.666666666666671</v>
      </c>
      <c r="X6" s="33">
        <v>438.2960408125968</v>
      </c>
      <c r="Y6" s="23">
        <v>43.915001104564055</v>
      </c>
      <c r="Z6" s="5">
        <v>5646.406472561328</v>
      </c>
      <c r="AA6" s="35"/>
    </row>
    <row r="7" spans="2:27" x14ac:dyDescent="0.2">
      <c r="B7" s="4">
        <v>4</v>
      </c>
      <c r="C7" s="4">
        <v>223</v>
      </c>
      <c r="D7" s="23">
        <v>1209864.3907835791</v>
      </c>
      <c r="E7" s="33">
        <v>179.55091323076678</v>
      </c>
      <c r="F7" s="5">
        <v>13</v>
      </c>
      <c r="G7" s="23">
        <v>94</v>
      </c>
      <c r="H7" s="33">
        <v>433.02601265982452</v>
      </c>
      <c r="I7" s="23">
        <v>39.336379694786949</v>
      </c>
      <c r="J7" s="5">
        <v>5647.4674768098557</v>
      </c>
      <c r="K7" s="31"/>
      <c r="L7" s="23">
        <v>1088090.1198167959</v>
      </c>
      <c r="M7" s="33">
        <v>253.40238453847218</v>
      </c>
      <c r="N7" s="5">
        <v>10</v>
      </c>
      <c r="O7" s="23">
        <v>69.333333333333329</v>
      </c>
      <c r="P7" s="33">
        <v>38.721393349201932</v>
      </c>
      <c r="Q7" s="23">
        <v>36.225473417638689</v>
      </c>
      <c r="R7" s="5">
        <v>4708.4615436307377</v>
      </c>
      <c r="S7" s="35"/>
      <c r="T7" s="23">
        <v>1256780.1205895271</v>
      </c>
      <c r="U7" s="33">
        <v>233.37470161531553</v>
      </c>
      <c r="V7" s="5">
        <v>13</v>
      </c>
      <c r="W7" s="23">
        <v>94.666666666666671</v>
      </c>
      <c r="X7" s="33">
        <v>421.75401134357543</v>
      </c>
      <c r="Y7" s="23">
        <v>40.35839193248998</v>
      </c>
      <c r="Z7" s="5">
        <v>5496.4996083023025</v>
      </c>
      <c r="AA7" s="35"/>
    </row>
    <row r="8" spans="2:27" x14ac:dyDescent="0.2">
      <c r="B8" s="4">
        <v>5</v>
      </c>
      <c r="C8" s="4">
        <v>237</v>
      </c>
      <c r="D8" s="23">
        <v>1243711.955503087</v>
      </c>
      <c r="E8" s="33">
        <v>141.27079630772084</v>
      </c>
      <c r="F8" s="5">
        <v>13</v>
      </c>
      <c r="G8" s="23">
        <v>94.666666666666671</v>
      </c>
      <c r="H8" s="33">
        <v>623.91760614343332</v>
      </c>
      <c r="I8" s="23">
        <v>40.118266863383056</v>
      </c>
      <c r="J8" s="5">
        <v>5811.4492872780693</v>
      </c>
      <c r="K8" s="31"/>
      <c r="L8" s="23">
        <v>1070353.9905261081</v>
      </c>
      <c r="M8" s="33">
        <v>115.83789161540784</v>
      </c>
      <c r="N8" s="5">
        <v>10</v>
      </c>
      <c r="O8" s="23">
        <v>72.666666666666671</v>
      </c>
      <c r="P8" s="33">
        <v>64.874291882245842</v>
      </c>
      <c r="Q8" s="23">
        <v>38.509552458543553</v>
      </c>
      <c r="R8" s="5">
        <v>4739.7901689541386</v>
      </c>
      <c r="S8" s="35"/>
      <c r="T8" s="23">
        <v>1259022.156395887</v>
      </c>
      <c r="U8" s="33">
        <v>138.8551767692507</v>
      </c>
      <c r="V8" s="5">
        <v>13</v>
      </c>
      <c r="W8" s="23">
        <v>94.666666666666671</v>
      </c>
      <c r="X8" s="33">
        <v>416.03514631399361</v>
      </c>
      <c r="Y8" s="23">
        <v>40.558463628075806</v>
      </c>
      <c r="Z8" s="5">
        <v>5537.7708948837808</v>
      </c>
      <c r="AA8" s="35"/>
    </row>
    <row r="9" spans="2:27" x14ac:dyDescent="0.2">
      <c r="B9" s="4">
        <v>6</v>
      </c>
      <c r="C9" s="4">
        <v>363</v>
      </c>
      <c r="D9" s="23">
        <v>1190772.751406092</v>
      </c>
      <c r="E9" s="33">
        <v>171.87102507692398</v>
      </c>
      <c r="F9" s="5">
        <v>13</v>
      </c>
      <c r="G9" s="23">
        <v>94.666666666666671</v>
      </c>
      <c r="H9" s="33">
        <v>460.59135454137476</v>
      </c>
      <c r="I9" s="23">
        <v>40.837244570789089</v>
      </c>
      <c r="J9" s="5">
        <v>5567.9654675734828</v>
      </c>
      <c r="K9" s="31"/>
      <c r="L9" s="23">
        <v>1108348.083230373</v>
      </c>
      <c r="M9" s="33">
        <v>345.4829420769014</v>
      </c>
      <c r="N9" s="5">
        <v>7</v>
      </c>
      <c r="O9" s="23">
        <v>58</v>
      </c>
      <c r="P9" s="33">
        <v>36.610393210824512</v>
      </c>
      <c r="Q9" s="23">
        <v>46.784778885792839</v>
      </c>
      <c r="R9" s="5">
        <v>4481.2203367360707</v>
      </c>
      <c r="S9" s="35"/>
      <c r="T9" s="23">
        <v>1323540.794248299</v>
      </c>
      <c r="U9" s="33">
        <v>225.66391146150775</v>
      </c>
      <c r="V9" s="5">
        <v>13</v>
      </c>
      <c r="W9" s="23">
        <v>94.666666666666671</v>
      </c>
      <c r="X9" s="33">
        <v>625.94308333523634</v>
      </c>
      <c r="Y9" s="23">
        <v>40.150780724078245</v>
      </c>
      <c r="Z9" s="5">
        <v>5812.3250245556246</v>
      </c>
      <c r="AA9" s="35"/>
    </row>
    <row r="10" spans="2:27" x14ac:dyDescent="0.2">
      <c r="B10" s="4">
        <v>7</v>
      </c>
      <c r="C10" s="4">
        <v>434</v>
      </c>
      <c r="D10" s="23">
        <v>1211151.1259381061</v>
      </c>
      <c r="E10" s="33">
        <v>215.50041484619629</v>
      </c>
      <c r="F10" s="5">
        <v>14</v>
      </c>
      <c r="G10" s="23">
        <v>94.666666666666671</v>
      </c>
      <c r="H10" s="33">
        <v>520.73937083825979</v>
      </c>
      <c r="I10" s="23">
        <v>37.974113345284842</v>
      </c>
      <c r="J10" s="5">
        <v>5556.6362525577761</v>
      </c>
      <c r="K10" s="31"/>
      <c r="L10" s="23">
        <v>1051088.08691573</v>
      </c>
      <c r="M10" s="33">
        <v>176.56475423074039</v>
      </c>
      <c r="N10" s="5">
        <v>9</v>
      </c>
      <c r="O10" s="23">
        <v>70.666666666666671</v>
      </c>
      <c r="P10" s="33">
        <v>33.542378902809915</v>
      </c>
      <c r="Q10" s="23">
        <v>40.752205011329302</v>
      </c>
      <c r="R10" s="5">
        <v>4605.0194550021015</v>
      </c>
      <c r="S10" s="35"/>
      <c r="T10" s="23">
        <v>1269193.3032450851</v>
      </c>
      <c r="U10" s="33">
        <v>161.28623453846484</v>
      </c>
      <c r="V10" s="5">
        <v>14</v>
      </c>
      <c r="W10" s="23">
        <v>94.666666666666671</v>
      </c>
      <c r="X10" s="33">
        <v>440.88668706536708</v>
      </c>
      <c r="Y10" s="23">
        <v>37.760447976378039</v>
      </c>
      <c r="Z10" s="5">
        <v>5435.1207847589449</v>
      </c>
      <c r="AA10" s="35"/>
    </row>
    <row r="11" spans="2:27" x14ac:dyDescent="0.2">
      <c r="B11" s="4">
        <v>8</v>
      </c>
      <c r="C11" s="4">
        <v>486</v>
      </c>
      <c r="D11" s="23">
        <v>1221464.7729007881</v>
      </c>
      <c r="E11" s="33">
        <v>148.57329807691991</v>
      </c>
      <c r="F11" s="5">
        <v>12</v>
      </c>
      <c r="G11" s="23">
        <v>93.333333333333329</v>
      </c>
      <c r="H11" s="33">
        <v>497.96427611527832</v>
      </c>
      <c r="I11" s="23">
        <v>43.330760313874919</v>
      </c>
      <c r="J11" s="5">
        <v>5702.8304282870968</v>
      </c>
      <c r="K11" s="31"/>
      <c r="L11" s="23">
        <v>1020628.601738326</v>
      </c>
      <c r="M11" s="33">
        <v>207.0900250000592</v>
      </c>
      <c r="N11" s="5">
        <v>9</v>
      </c>
      <c r="O11" s="23">
        <v>72</v>
      </c>
      <c r="P11" s="33">
        <v>26.153517961369054</v>
      </c>
      <c r="Q11" s="23">
        <v>43.024453375214271</v>
      </c>
      <c r="R11" s="5">
        <v>4481.9738507258508</v>
      </c>
      <c r="S11" s="35"/>
      <c r="T11" s="23">
        <v>1284266.252248571</v>
      </c>
      <c r="U11" s="33">
        <v>184.25227392303682</v>
      </c>
      <c r="V11" s="5">
        <v>13</v>
      </c>
      <c r="W11" s="23">
        <v>94.666666666666671</v>
      </c>
      <c r="X11" s="33">
        <v>472.61519859621558</v>
      </c>
      <c r="Y11" s="23">
        <v>40.197182847620674</v>
      </c>
      <c r="Z11" s="5">
        <v>5657.8237302641364</v>
      </c>
      <c r="AA11" s="35"/>
    </row>
    <row r="12" spans="2:27" x14ac:dyDescent="0.2">
      <c r="B12" s="4">
        <v>9</v>
      </c>
      <c r="C12" s="4">
        <v>603</v>
      </c>
      <c r="D12" s="23">
        <v>1171192.273408608</v>
      </c>
      <c r="E12" s="33">
        <v>178.29719907693706</v>
      </c>
      <c r="F12" s="5">
        <v>14</v>
      </c>
      <c r="G12" s="23">
        <v>94.666666666666671</v>
      </c>
      <c r="H12" s="33">
        <v>407.82753733113157</v>
      </c>
      <c r="I12" s="23">
        <v>38.041275864139564</v>
      </c>
      <c r="J12" s="5">
        <v>5383.0256376659336</v>
      </c>
      <c r="K12" s="31"/>
      <c r="L12" s="23">
        <v>1082459.505146449</v>
      </c>
      <c r="M12" s="33">
        <v>403.75017453844731</v>
      </c>
      <c r="N12" s="5">
        <v>8</v>
      </c>
      <c r="O12" s="23">
        <v>64</v>
      </c>
      <c r="P12" s="33">
        <v>23.878371234310986</v>
      </c>
      <c r="Q12" s="23">
        <v>43.784361243800042</v>
      </c>
      <c r="R12" s="5">
        <v>4546.0423814805226</v>
      </c>
      <c r="S12" s="35"/>
      <c r="T12" s="23">
        <v>1271601.7058093881</v>
      </c>
      <c r="U12" s="33">
        <v>172.75540923081837</v>
      </c>
      <c r="V12" s="5">
        <v>13</v>
      </c>
      <c r="W12" s="23">
        <v>94.666666666666671</v>
      </c>
      <c r="X12" s="33">
        <v>483.38842642427437</v>
      </c>
      <c r="Y12" s="23">
        <v>40.557773308097367</v>
      </c>
      <c r="Z12" s="5">
        <v>5565.691878201651</v>
      </c>
      <c r="AA12" s="35"/>
    </row>
    <row r="13" spans="2:27" x14ac:dyDescent="0.2">
      <c r="B13" s="4">
        <v>10</v>
      </c>
      <c r="C13" s="4">
        <v>817</v>
      </c>
      <c r="D13" s="23">
        <v>1171164.502807962</v>
      </c>
      <c r="E13" s="33">
        <v>126.49336761544245</v>
      </c>
      <c r="F13" s="5">
        <v>13</v>
      </c>
      <c r="G13" s="23">
        <v>94</v>
      </c>
      <c r="H13" s="33">
        <v>335.11944124890414</v>
      </c>
      <c r="I13" s="23">
        <v>40.259183073031487</v>
      </c>
      <c r="J13" s="5">
        <v>5454.0835218996663</v>
      </c>
      <c r="K13" s="31"/>
      <c r="L13" s="23">
        <v>1018042.319429566</v>
      </c>
      <c r="M13" s="33">
        <v>236.96240092314278</v>
      </c>
      <c r="N13" s="5">
        <v>9</v>
      </c>
      <c r="O13" s="23">
        <v>73.333333333333329</v>
      </c>
      <c r="P13" s="33">
        <v>21.835357959166057</v>
      </c>
      <c r="Q13" s="23">
        <v>43.702942227989993</v>
      </c>
      <c r="R13" s="5">
        <v>4532.4015499646748</v>
      </c>
      <c r="S13" s="35"/>
      <c r="T13" s="23">
        <v>1315260.3682006651</v>
      </c>
      <c r="U13" s="33">
        <v>85.983396153807462</v>
      </c>
      <c r="V13" s="5">
        <v>13</v>
      </c>
      <c r="W13" s="23">
        <v>94.666666666666671</v>
      </c>
      <c r="X13" s="33">
        <v>493.99061117344934</v>
      </c>
      <c r="Y13" s="23">
        <v>39.584292474572734</v>
      </c>
      <c r="Z13" s="5">
        <v>5846.2684862102833</v>
      </c>
      <c r="AA13" s="35"/>
    </row>
    <row r="14" spans="2:27" x14ac:dyDescent="0.2">
      <c r="B14" s="50" t="s">
        <v>3</v>
      </c>
      <c r="C14" s="51"/>
      <c r="D14" s="9">
        <f>MIN(D4:D13)</f>
        <v>1168643.226288683</v>
      </c>
      <c r="E14" s="22">
        <f>INDEX(E4:E13, MATCH($D$14, D4:D13, 0))</f>
        <v>309.76703292314107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362.73205147026351</v>
      </c>
      <c r="I14" s="22">
        <f>INDEX(I4:I13, MATCH($D$14, D4:D13, 0))</f>
        <v>40.263651627371402</v>
      </c>
      <c r="J14" s="22">
        <f>INDEX(J4:J13, MATCH($D$14, D4:D13, 0))</f>
        <v>5415.5349556114834</v>
      </c>
      <c r="K14" s="32" t="e">
        <f>(D14-$D$15)/$D$15</f>
        <v>#DIV/0!</v>
      </c>
      <c r="L14" s="16">
        <f>MIN(L4:L13)</f>
        <v>1018042.319429566</v>
      </c>
      <c r="M14" s="21">
        <f>INDEX(M4:M13, MATCH($L$14, L4:L13, 0))</f>
        <v>236.96240092314278</v>
      </c>
      <c r="N14" s="16">
        <f>INDEX(N4:N13, MATCH($L$14, L4:L13, 0))</f>
        <v>9</v>
      </c>
      <c r="O14" s="16">
        <f>INDEX(O4:O13, MATCH($L$14, L4:L13, 0))</f>
        <v>73.333333333333329</v>
      </c>
      <c r="P14" s="21">
        <f>INDEX(P4:P13, MATCH($L$14, L4:L13, 0))</f>
        <v>21.835357959166057</v>
      </c>
      <c r="Q14" s="21">
        <f>INDEX(Q4:Q13, MATCH($L$14, L4:L13, 0))</f>
        <v>43.702942227989993</v>
      </c>
      <c r="R14" s="21">
        <f>INDEX(R4:R13, MATCH($L$14, L4:L13, 0))</f>
        <v>4532.4015499646748</v>
      </c>
      <c r="S14" s="36" t="e">
        <f>(L14-$D$15)/$D$15</f>
        <v>#DIV/0!</v>
      </c>
      <c r="T14" s="38">
        <f>MIN(T4:T13)</f>
        <v>1256780.1205895271</v>
      </c>
      <c r="U14" s="39">
        <f>INDEX(U4:U13, MATCH($T$14, T4:T13, 0))</f>
        <v>233.37470161531553</v>
      </c>
      <c r="V14" s="38">
        <f>INDEX(V4:V13, MATCH($T$14, T4:T13, 0))</f>
        <v>13</v>
      </c>
      <c r="W14" s="38">
        <f>INDEX(W4:W13, MATCH($T$14, T4:T13, 0))</f>
        <v>94.666666666666671</v>
      </c>
      <c r="X14" s="39">
        <f>INDEX(X4:X13, MATCH($T$14, T4:T13, 0))</f>
        <v>421.75401134357543</v>
      </c>
      <c r="Y14" s="39">
        <f>INDEX(Y4:Y13, MATCH($T$14, T4:T13, 0))</f>
        <v>40.35839193248998</v>
      </c>
      <c r="Z14" s="39">
        <f>INDEX(Z4:Z13, MATCH($T$14, T4:T13, 0))</f>
        <v>5496.4996083023025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-0.12886816392834244</v>
      </c>
      <c r="M15" s="41">
        <f t="shared" ref="M15:R15" si="0">(M14-E14)/E14</f>
        <v>-0.2350302784417426</v>
      </c>
      <c r="N15" s="41">
        <f t="shared" si="0"/>
        <v>-0.30769230769230771</v>
      </c>
      <c r="O15" s="41">
        <f t="shared" si="0"/>
        <v>-0.21985815602836883</v>
      </c>
      <c r="P15" s="41">
        <f t="shared" si="0"/>
        <v>-0.93980306435380967</v>
      </c>
      <c r="Q15" s="41">
        <f t="shared" si="0"/>
        <v>8.5419241961664172E-2</v>
      </c>
      <c r="R15" s="41">
        <f t="shared" si="0"/>
        <v>-0.16307408462606654</v>
      </c>
      <c r="T15" s="41">
        <f>(T14-D14)/D14</f>
        <v>7.5418136449346196E-2</v>
      </c>
      <c r="U15" s="41">
        <f t="shared" ref="U15:Z15" si="1">(U14-E14)/E14</f>
        <v>-0.24661220591146604</v>
      </c>
      <c r="V15" s="41">
        <f t="shared" si="1"/>
        <v>0</v>
      </c>
      <c r="W15" s="41">
        <f t="shared" si="1"/>
        <v>7.0921985815603338E-3</v>
      </c>
      <c r="X15" s="41">
        <f t="shared" si="1"/>
        <v>0.16271503892219596</v>
      </c>
      <c r="Y15" s="41">
        <f t="shared" si="1"/>
        <v>2.3529983319787238E-3</v>
      </c>
      <c r="Z15" s="41">
        <f t="shared" si="1"/>
        <v>1.4950444112067807E-2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69" priority="11"/>
    <cfRule type="duplicateValues" dxfId="68" priority="12"/>
  </conditionalFormatting>
  <conditionalFormatting sqref="C2">
    <cfRule type="duplicateValues" dxfId="67" priority="3"/>
    <cfRule type="duplicateValues" dxfId="66" priority="4"/>
  </conditionalFormatting>
  <conditionalFormatting sqref="C4:C13">
    <cfRule type="duplicateValues" dxfId="65" priority="5"/>
    <cfRule type="duplicateValues" dxfId="64" priority="6"/>
  </conditionalFormatting>
  <conditionalFormatting sqref="C14">
    <cfRule type="duplicateValues" dxfId="63" priority="9"/>
    <cfRule type="duplicateValues" dxfId="62" priority="10"/>
  </conditionalFormatting>
  <conditionalFormatting sqref="C15">
    <cfRule type="duplicateValues" dxfId="61" priority="7"/>
    <cfRule type="duplicateValues" dxfId="60" priority="8"/>
  </conditionalFormatting>
  <conditionalFormatting sqref="C17:C3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1086-73B8-4522-A718-A32ADBBE88D5}">
  <dimension ref="B1:AA17"/>
  <sheetViews>
    <sheetView zoomScale="90" zoomScaleNormal="90" workbookViewId="0">
      <selection activeCell="U19" sqref="U19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-0.83315514028387938</v>
      </c>
      <c r="R2" s="1">
        <f>(R14-J14)/J14</f>
        <v>-0.12147671138359885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1281702.7336423241</v>
      </c>
      <c r="E4" s="33">
        <v>144.5523972307833</v>
      </c>
      <c r="F4" s="5">
        <v>11</v>
      </c>
      <c r="G4" s="23">
        <v>92</v>
      </c>
      <c r="H4" s="33">
        <v>592.76653159283774</v>
      </c>
      <c r="I4" s="23">
        <v>41.443088648347867</v>
      </c>
      <c r="J4" s="5">
        <v>5860.5421444969725</v>
      </c>
      <c r="K4" s="31"/>
      <c r="L4" s="23">
        <v>1120121.931983836</v>
      </c>
      <c r="M4" s="33">
        <v>380.01479707694108</v>
      </c>
      <c r="N4" s="5">
        <v>9</v>
      </c>
      <c r="O4" s="23">
        <v>66</v>
      </c>
      <c r="P4" s="33">
        <v>45.561833854917111</v>
      </c>
      <c r="Q4" s="23">
        <v>32.328323300867339</v>
      </c>
      <c r="R4" s="5">
        <v>4679.647614960767</v>
      </c>
      <c r="S4" s="35"/>
      <c r="T4" s="23">
        <v>1389870.4613131341</v>
      </c>
      <c r="U4" s="33">
        <v>167.34527453851814</v>
      </c>
      <c r="V4" s="5">
        <v>15</v>
      </c>
      <c r="W4" s="23">
        <v>92.666666666666671</v>
      </c>
      <c r="X4" s="33">
        <v>554.71032831018999</v>
      </c>
      <c r="Y4" s="23">
        <v>30.927466369569522</v>
      </c>
      <c r="Z4" s="5">
        <v>5451.3328437545042</v>
      </c>
      <c r="AA4" s="35"/>
    </row>
    <row r="5" spans="2:27" x14ac:dyDescent="0.2">
      <c r="B5" s="4">
        <v>2</v>
      </c>
      <c r="C5" s="4">
        <v>48</v>
      </c>
      <c r="D5" s="23">
        <v>1239485.4862941881</v>
      </c>
      <c r="E5" s="33">
        <v>177.19669053841454</v>
      </c>
      <c r="F5" s="5">
        <v>12</v>
      </c>
      <c r="G5" s="23">
        <v>92</v>
      </c>
      <c r="H5" s="33">
        <v>488.76502468408506</v>
      </c>
      <c r="I5" s="23">
        <v>38.605788126454136</v>
      </c>
      <c r="J5" s="5">
        <v>5528.7049505883151</v>
      </c>
      <c r="K5" s="31"/>
      <c r="L5" s="23">
        <v>1110706.7343456619</v>
      </c>
      <c r="M5" s="33">
        <v>152.2614156923149</v>
      </c>
      <c r="N5" s="5">
        <v>9</v>
      </c>
      <c r="O5" s="23">
        <v>66</v>
      </c>
      <c r="P5" s="33">
        <v>27.944921920139468</v>
      </c>
      <c r="Q5" s="23">
        <v>33.358615321457954</v>
      </c>
      <c r="R5" s="5">
        <v>4613.5383054216964</v>
      </c>
      <c r="S5" s="35"/>
      <c r="T5" s="23">
        <v>1358970.6076040231</v>
      </c>
      <c r="U5" s="33">
        <v>147.63096846156537</v>
      </c>
      <c r="V5" s="5">
        <v>13</v>
      </c>
      <c r="W5" s="23">
        <v>92.666666666666671</v>
      </c>
      <c r="X5" s="33">
        <v>451.85780184380144</v>
      </c>
      <c r="Y5" s="23">
        <v>35.211617099899158</v>
      </c>
      <c r="Z5" s="5">
        <v>5556.7943134465222</v>
      </c>
      <c r="AA5" s="35"/>
    </row>
    <row r="6" spans="2:27" x14ac:dyDescent="0.2">
      <c r="B6" s="4">
        <v>3</v>
      </c>
      <c r="C6" s="4">
        <v>445</v>
      </c>
      <c r="D6" s="23">
        <v>1210876.1857202931</v>
      </c>
      <c r="E6" s="33">
        <v>111.06697430762532</v>
      </c>
      <c r="F6" s="5">
        <v>12</v>
      </c>
      <c r="G6" s="23">
        <v>92.666666666666671</v>
      </c>
      <c r="H6" s="33">
        <v>395.7095551113469</v>
      </c>
      <c r="I6" s="23">
        <v>38.858003489073702</v>
      </c>
      <c r="J6" s="5">
        <v>5502.549474089722</v>
      </c>
      <c r="K6" s="31"/>
      <c r="L6" s="23">
        <v>1067594.2213590851</v>
      </c>
      <c r="M6" s="33">
        <v>353.47658346156373</v>
      </c>
      <c r="N6" s="5">
        <v>10</v>
      </c>
      <c r="O6" s="23">
        <v>74.666666666666671</v>
      </c>
      <c r="P6" s="33">
        <v>27.78436978515246</v>
      </c>
      <c r="Q6" s="23">
        <v>34.681319091951323</v>
      </c>
      <c r="R6" s="5">
        <v>4720.0939383884916</v>
      </c>
      <c r="S6" s="35"/>
      <c r="T6" s="23">
        <v>1398935.0373444189</v>
      </c>
      <c r="U6" s="33">
        <v>156.2109696154053</v>
      </c>
      <c r="V6" s="5">
        <v>15</v>
      </c>
      <c r="W6" s="23">
        <v>92.666666666666671</v>
      </c>
      <c r="X6" s="33">
        <v>529.67923606723559</v>
      </c>
      <c r="Y6" s="23">
        <v>30.114321353116232</v>
      </c>
      <c r="Z6" s="5">
        <v>5493.7680360248014</v>
      </c>
      <c r="AA6" s="35"/>
    </row>
    <row r="7" spans="2:27" x14ac:dyDescent="0.2">
      <c r="B7" s="4">
        <v>4</v>
      </c>
      <c r="C7" s="4">
        <v>568</v>
      </c>
      <c r="D7" s="23">
        <v>1254769.981569526</v>
      </c>
      <c r="E7" s="33">
        <v>226.45354630765863</v>
      </c>
      <c r="F7" s="5">
        <v>13</v>
      </c>
      <c r="G7" s="23">
        <v>92.666666666666671</v>
      </c>
      <c r="H7" s="33">
        <v>456.81481322441994</v>
      </c>
      <c r="I7" s="23">
        <v>35.2152440558243</v>
      </c>
      <c r="J7" s="5">
        <v>5592.3213535914902</v>
      </c>
      <c r="K7" s="31"/>
      <c r="L7" s="23">
        <v>1061815.039962244</v>
      </c>
      <c r="M7" s="33">
        <v>177.74528930769662</v>
      </c>
      <c r="N7" s="5">
        <v>10</v>
      </c>
      <c r="O7" s="23">
        <v>74</v>
      </c>
      <c r="P7" s="33">
        <v>41.98116659371501</v>
      </c>
      <c r="Q7" s="23">
        <v>34.627936769080655</v>
      </c>
      <c r="R7" s="5">
        <v>4665.2748510629281</v>
      </c>
      <c r="S7" s="35"/>
      <c r="T7" s="23">
        <v>1389956.3869651789</v>
      </c>
      <c r="U7" s="33">
        <v>189.08026776921292</v>
      </c>
      <c r="V7" s="5">
        <v>14</v>
      </c>
      <c r="W7" s="23">
        <v>92.666666666666671</v>
      </c>
      <c r="X7" s="33">
        <v>493.68851435851627</v>
      </c>
      <c r="Y7" s="23">
        <v>32.678492905501322</v>
      </c>
      <c r="Z7" s="5">
        <v>5614.0836443261778</v>
      </c>
      <c r="AA7" s="35"/>
    </row>
    <row r="8" spans="2:27" x14ac:dyDescent="0.2">
      <c r="B8" s="4">
        <v>5</v>
      </c>
      <c r="C8" s="4">
        <v>612</v>
      </c>
      <c r="D8" s="23">
        <v>1284308.6324758481</v>
      </c>
      <c r="E8" s="33">
        <v>150.23558484614253</v>
      </c>
      <c r="F8" s="5">
        <v>13</v>
      </c>
      <c r="G8" s="23">
        <v>92.666666666666671</v>
      </c>
      <c r="H8" s="33">
        <v>625.07008847448844</v>
      </c>
      <c r="I8" s="23">
        <v>35.288092697441826</v>
      </c>
      <c r="J8" s="5">
        <v>5692.6336826878842</v>
      </c>
      <c r="K8" s="31"/>
      <c r="L8" s="23">
        <v>1051871.837651243</v>
      </c>
      <c r="M8" s="33">
        <v>311.52516753842622</v>
      </c>
      <c r="N8" s="5">
        <v>10</v>
      </c>
      <c r="O8" s="23">
        <v>74</v>
      </c>
      <c r="P8" s="33">
        <v>30.979278397300067</v>
      </c>
      <c r="Q8" s="23">
        <v>34.404173470020417</v>
      </c>
      <c r="R8" s="5">
        <v>4532.3722080382177</v>
      </c>
      <c r="S8" s="35"/>
      <c r="T8" s="23">
        <v>1335303.3426123119</v>
      </c>
      <c r="U8" s="33">
        <v>106.11023815384561</v>
      </c>
      <c r="V8" s="5">
        <v>13</v>
      </c>
      <c r="W8" s="23">
        <v>92.666666666666671</v>
      </c>
      <c r="X8" s="33">
        <v>406.40675921345178</v>
      </c>
      <c r="Y8" s="23">
        <v>35.200540579965441</v>
      </c>
      <c r="Z8" s="5">
        <v>5432.9616420053626</v>
      </c>
      <c r="AA8" s="35"/>
    </row>
    <row r="9" spans="2:27" x14ac:dyDescent="0.2">
      <c r="B9" s="4">
        <v>6</v>
      </c>
      <c r="C9" s="4">
        <v>662</v>
      </c>
      <c r="D9" s="23">
        <v>1234967.8278609221</v>
      </c>
      <c r="E9" s="33">
        <v>128.72566730769063</v>
      </c>
      <c r="F9" s="5">
        <v>13</v>
      </c>
      <c r="G9" s="23">
        <v>92</v>
      </c>
      <c r="H9" s="33">
        <v>478.82561724374682</v>
      </c>
      <c r="I9" s="23">
        <v>35.647182140057424</v>
      </c>
      <c r="J9" s="5">
        <v>5377.3523421048058</v>
      </c>
      <c r="K9" s="31"/>
      <c r="L9" s="23">
        <v>1122976.7534769119</v>
      </c>
      <c r="M9" s="33">
        <v>493.06101792303917</v>
      </c>
      <c r="N9" s="5">
        <v>10</v>
      </c>
      <c r="O9" s="23">
        <v>66</v>
      </c>
      <c r="P9" s="33">
        <v>72.512919606148913</v>
      </c>
      <c r="Q9" s="23">
        <v>31.832940885149061</v>
      </c>
      <c r="R9" s="5">
        <v>4559.8399265918297</v>
      </c>
      <c r="S9" s="35"/>
      <c r="T9" s="23">
        <v>1307285.90394826</v>
      </c>
      <c r="U9" s="33">
        <v>327.85426207692723</v>
      </c>
      <c r="V9" s="5">
        <v>13</v>
      </c>
      <c r="W9" s="23">
        <v>92.666666666666671</v>
      </c>
      <c r="X9" s="33">
        <v>365.45753505285359</v>
      </c>
      <c r="Y9" s="23">
        <v>35.461587042009121</v>
      </c>
      <c r="Z9" s="5">
        <v>5278.5088819209413</v>
      </c>
      <c r="AA9" s="35"/>
    </row>
    <row r="10" spans="2:27" x14ac:dyDescent="0.2">
      <c r="B10" s="4">
        <v>7</v>
      </c>
      <c r="C10" s="4">
        <v>718</v>
      </c>
      <c r="D10" s="23">
        <v>1300345.0328045429</v>
      </c>
      <c r="E10" s="33">
        <v>121.58971038458938</v>
      </c>
      <c r="F10" s="5">
        <v>12</v>
      </c>
      <c r="G10" s="23">
        <v>91.333333333333329</v>
      </c>
      <c r="H10" s="33">
        <v>546.76674491528581</v>
      </c>
      <c r="I10" s="23">
        <v>36.973246245291058</v>
      </c>
      <c r="J10" s="5">
        <v>5795.3987995766183</v>
      </c>
      <c r="K10" s="31"/>
      <c r="L10" s="23">
        <v>1081013.3270400709</v>
      </c>
      <c r="M10" s="33">
        <v>221.53469269235546</v>
      </c>
      <c r="N10" s="5">
        <v>10</v>
      </c>
      <c r="O10" s="23">
        <v>70</v>
      </c>
      <c r="P10" s="33">
        <v>44.045352605727899</v>
      </c>
      <c r="Q10" s="23">
        <v>33.919831108941253</v>
      </c>
      <c r="R10" s="5">
        <v>4504.0834156986994</v>
      </c>
      <c r="S10" s="35"/>
      <c r="T10" s="23">
        <v>1403843.745544391</v>
      </c>
      <c r="U10" s="33">
        <v>145.55657946146454</v>
      </c>
      <c r="V10" s="5">
        <v>13</v>
      </c>
      <c r="W10" s="23">
        <v>92.666666666666671</v>
      </c>
      <c r="X10" s="33">
        <v>674.66424773877907</v>
      </c>
      <c r="Y10" s="23">
        <v>36.279616105159931</v>
      </c>
      <c r="Z10" s="5">
        <v>5745.3011471806603</v>
      </c>
      <c r="AA10" s="35"/>
    </row>
    <row r="11" spans="2:27" x14ac:dyDescent="0.2">
      <c r="B11" s="4">
        <v>8</v>
      </c>
      <c r="C11" s="4">
        <v>720</v>
      </c>
      <c r="D11" s="23">
        <v>1234202.7726563241</v>
      </c>
      <c r="E11" s="33">
        <v>151.25684261536938</v>
      </c>
      <c r="F11" s="5">
        <v>12</v>
      </c>
      <c r="G11" s="23">
        <v>92.666666666666671</v>
      </c>
      <c r="H11" s="33">
        <v>553.85010705655168</v>
      </c>
      <c r="I11" s="23">
        <v>38.891761396309242</v>
      </c>
      <c r="J11" s="5">
        <v>5524.9167794800851</v>
      </c>
      <c r="K11" s="31"/>
      <c r="L11" s="23">
        <v>1077138.5925882389</v>
      </c>
      <c r="M11" s="33">
        <v>347.68552038460399</v>
      </c>
      <c r="N11" s="5">
        <v>11</v>
      </c>
      <c r="O11" s="23">
        <v>72.666666666666671</v>
      </c>
      <c r="P11" s="33">
        <v>39.706201069346847</v>
      </c>
      <c r="Q11" s="23">
        <v>31.25633861619789</v>
      </c>
      <c r="R11" s="5">
        <v>4504.7036061505378</v>
      </c>
      <c r="S11" s="35"/>
      <c r="T11" s="23">
        <v>1393663.39244608</v>
      </c>
      <c r="U11" s="33">
        <v>291.65076492309498</v>
      </c>
      <c r="V11" s="5">
        <v>13</v>
      </c>
      <c r="W11" s="23">
        <v>92.666666666666671</v>
      </c>
      <c r="X11" s="33">
        <v>588.5363841304254</v>
      </c>
      <c r="Y11" s="23">
        <v>35.485949008246266</v>
      </c>
      <c r="Z11" s="5">
        <v>5692.2959297508569</v>
      </c>
      <c r="AA11" s="35"/>
    </row>
    <row r="12" spans="2:27" x14ac:dyDescent="0.2">
      <c r="B12" s="4">
        <v>9</v>
      </c>
      <c r="C12" s="4">
        <v>740</v>
      </c>
      <c r="D12" s="23">
        <v>1204846.1049447469</v>
      </c>
      <c r="E12" s="33">
        <v>167.72226484617792</v>
      </c>
      <c r="F12" s="5">
        <v>12</v>
      </c>
      <c r="G12" s="23">
        <v>92.666666666666671</v>
      </c>
      <c r="H12" s="33">
        <v>381.05739905978987</v>
      </c>
      <c r="I12" s="23">
        <v>38.403845039915126</v>
      </c>
      <c r="J12" s="5">
        <v>5454.0471054728532</v>
      </c>
      <c r="K12" s="31"/>
      <c r="L12" s="23">
        <v>1041515.8644130731</v>
      </c>
      <c r="M12" s="33">
        <v>158.27231215384714</v>
      </c>
      <c r="N12" s="5">
        <v>10</v>
      </c>
      <c r="O12" s="23">
        <v>78.666666666666671</v>
      </c>
      <c r="P12" s="33">
        <v>63.577468289920418</v>
      </c>
      <c r="Q12" s="23">
        <v>37.719511172173171</v>
      </c>
      <c r="R12" s="5">
        <v>4791.5073993687747</v>
      </c>
      <c r="S12" s="35"/>
      <c r="T12" s="23">
        <v>1308196.949661568</v>
      </c>
      <c r="U12" s="33">
        <v>151.56243823083614</v>
      </c>
      <c r="V12" s="5">
        <v>13</v>
      </c>
      <c r="W12" s="23">
        <v>92.666666666666671</v>
      </c>
      <c r="X12" s="33">
        <v>347.09569057104613</v>
      </c>
      <c r="Y12" s="23">
        <v>35.521786496529749</v>
      </c>
      <c r="Z12" s="5">
        <v>5295.6493524504122</v>
      </c>
      <c r="AA12" s="35"/>
    </row>
    <row r="13" spans="2:27" x14ac:dyDescent="0.2">
      <c r="B13" s="4">
        <v>10</v>
      </c>
      <c r="C13" s="4">
        <v>867</v>
      </c>
      <c r="D13" s="23">
        <v>1248605.2160460739</v>
      </c>
      <c r="E13" s="33">
        <v>144.23978576920209</v>
      </c>
      <c r="F13" s="5">
        <v>13</v>
      </c>
      <c r="G13" s="23">
        <v>92.666666666666671</v>
      </c>
      <c r="H13" s="33">
        <v>480.96239642334535</v>
      </c>
      <c r="I13" s="23">
        <v>35.62313838826659</v>
      </c>
      <c r="J13" s="5">
        <v>5544.2671744864574</v>
      </c>
      <c r="K13" s="31"/>
      <c r="L13" s="23">
        <v>1193485.906985828</v>
      </c>
      <c r="M13" s="33">
        <v>247.70680461535591</v>
      </c>
      <c r="N13" s="5">
        <v>7</v>
      </c>
      <c r="O13" s="23">
        <v>51.333333333333343</v>
      </c>
      <c r="P13" s="33">
        <v>17.937335073874603</v>
      </c>
      <c r="Q13" s="23">
        <v>32.33203311262848</v>
      </c>
      <c r="R13" s="5">
        <v>4584.5706314673598</v>
      </c>
      <c r="S13" s="35"/>
      <c r="T13" s="23">
        <v>1337566.6747702891</v>
      </c>
      <c r="U13" s="33">
        <v>170.88478769229437</v>
      </c>
      <c r="V13" s="5">
        <v>14</v>
      </c>
      <c r="W13" s="23">
        <v>92.666666666666671</v>
      </c>
      <c r="X13" s="33">
        <v>456.94678424619667</v>
      </c>
      <c r="Y13" s="23">
        <v>33.243329355375273</v>
      </c>
      <c r="Z13" s="5">
        <v>5289.3059662539599</v>
      </c>
      <c r="AA13" s="35"/>
    </row>
    <row r="14" spans="2:27" x14ac:dyDescent="0.2">
      <c r="B14" s="50" t="s">
        <v>3</v>
      </c>
      <c r="C14" s="51"/>
      <c r="D14" s="9">
        <f>MIN(D4:D13)</f>
        <v>1204846.1049447469</v>
      </c>
      <c r="E14" s="22">
        <f>INDEX(E4:E13, MATCH($D$14, D4:D13, 0))</f>
        <v>167.72226484617792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381.05739905978987</v>
      </c>
      <c r="I14" s="22">
        <f>INDEX(I4:I13, MATCH($D$14, D4:D13, 0))</f>
        <v>38.403845039915126</v>
      </c>
      <c r="J14" s="22">
        <f>INDEX(J4:J13, MATCH($D$14, D4:D13, 0))</f>
        <v>5454.0471054728532</v>
      </c>
      <c r="K14" s="32" t="e">
        <f>(D14-$D$15)/$D$15</f>
        <v>#DIV/0!</v>
      </c>
      <c r="L14" s="16">
        <f>MIN(L4:L13)</f>
        <v>1041515.8644130731</v>
      </c>
      <c r="M14" s="21">
        <f>INDEX(M4:M13, MATCH($L$14, L4:L13, 0))</f>
        <v>158.27231215384714</v>
      </c>
      <c r="N14" s="16">
        <f>INDEX(N4:N13, MATCH($L$14, L4:L13, 0))</f>
        <v>10</v>
      </c>
      <c r="O14" s="16">
        <f>INDEX(O4:O13, MATCH($L$14, L4:L13, 0))</f>
        <v>78.666666666666671</v>
      </c>
      <c r="P14" s="21">
        <f>INDEX(P4:P13, MATCH($L$14, L4:L13, 0))</f>
        <v>63.577468289920418</v>
      </c>
      <c r="Q14" s="21">
        <f>INDEX(Q4:Q13, MATCH($L$14, L4:L13, 0))</f>
        <v>37.719511172173171</v>
      </c>
      <c r="R14" s="21">
        <f>INDEX(R4:R13, MATCH($L$14, L4:L13, 0))</f>
        <v>4791.5073993687747</v>
      </c>
      <c r="S14" s="36" t="e">
        <f>(L14-$D$15)/$D$15</f>
        <v>#DIV/0!</v>
      </c>
      <c r="T14" s="38">
        <f>MIN(T4:T13)</f>
        <v>1307285.90394826</v>
      </c>
      <c r="U14" s="39">
        <f>INDEX(U4:U13, MATCH($T$14, T4:T13, 0))</f>
        <v>327.85426207692723</v>
      </c>
      <c r="V14" s="38">
        <f>INDEX(V4:V13, MATCH($T$14, T4:T13, 0))</f>
        <v>13</v>
      </c>
      <c r="W14" s="38">
        <f>INDEX(W4:W13, MATCH($T$14, T4:T13, 0))</f>
        <v>92.666666666666671</v>
      </c>
      <c r="X14" s="39">
        <f>INDEX(X4:X13, MATCH($T$14, T4:T13, 0))</f>
        <v>365.45753505285359</v>
      </c>
      <c r="Y14" s="39">
        <f>INDEX(Y4:Y13, MATCH($T$14, T4:T13, 0))</f>
        <v>35.461587042009121</v>
      </c>
      <c r="Z14" s="39">
        <f>INDEX(Z4:Z13, MATCH($T$14, T4:T13, 0))</f>
        <v>5278.5088819209413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-0.13556108108857939</v>
      </c>
      <c r="M15" s="41">
        <f t="shared" ref="M15:R15" si="0">(M14-E14)/E14</f>
        <v>-5.6342863608463425E-2</v>
      </c>
      <c r="N15" s="41">
        <f t="shared" si="0"/>
        <v>-0.16666666666666666</v>
      </c>
      <c r="O15" s="41">
        <f t="shared" si="0"/>
        <v>-0.15107913669064749</v>
      </c>
      <c r="P15" s="41">
        <f t="shared" si="0"/>
        <v>-0.83315514028387938</v>
      </c>
      <c r="Q15" s="41">
        <f t="shared" si="0"/>
        <v>-1.7819410192669284E-2</v>
      </c>
      <c r="R15" s="41">
        <f t="shared" si="0"/>
        <v>-0.12147671138359885</v>
      </c>
      <c r="T15" s="41">
        <f>(T14-D14)/D14</f>
        <v>8.5023139953804186E-2</v>
      </c>
      <c r="U15" s="41">
        <f t="shared" ref="U15:Z15" si="1">(U14-E14)/E14</f>
        <v>0.95474502074969103</v>
      </c>
      <c r="V15" s="41">
        <f t="shared" si="1"/>
        <v>8.3333333333333329E-2</v>
      </c>
      <c r="W15" s="41">
        <f t="shared" si="1"/>
        <v>0</v>
      </c>
      <c r="X15" s="41">
        <f t="shared" si="1"/>
        <v>-4.0938357437559129E-2</v>
      </c>
      <c r="Y15" s="41">
        <f t="shared" si="1"/>
        <v>-7.6613630610371491E-2</v>
      </c>
      <c r="Z15" s="41">
        <f t="shared" si="1"/>
        <v>-3.2184948196682855E-2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59" priority="11"/>
    <cfRule type="duplicateValues" dxfId="58" priority="12"/>
  </conditionalFormatting>
  <conditionalFormatting sqref="C2">
    <cfRule type="duplicateValues" dxfId="57" priority="3"/>
    <cfRule type="duplicateValues" dxfId="56" priority="4"/>
  </conditionalFormatting>
  <conditionalFormatting sqref="C4:C13">
    <cfRule type="duplicateValues" dxfId="55" priority="5"/>
    <cfRule type="duplicateValues" dxfId="54" priority="6"/>
  </conditionalFormatting>
  <conditionalFormatting sqref="C14">
    <cfRule type="duplicateValues" dxfId="53" priority="9"/>
    <cfRule type="duplicateValues" dxfId="52" priority="10"/>
  </conditionalFormatting>
  <conditionalFormatting sqref="C15">
    <cfRule type="duplicateValues" dxfId="51" priority="7"/>
    <cfRule type="duplicateValues" dxfId="50" priority="8"/>
  </conditionalFormatting>
  <conditionalFormatting sqref="C17:C3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50" t="s">
        <v>3</v>
      </c>
      <c r="C14" s="51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50" t="s">
        <v>3</v>
      </c>
      <c r="C14" s="51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50" t="s">
        <v>3</v>
      </c>
      <c r="C14" s="51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2026-10-27T20:00:50Z</dcterms:modified>
</cp:coreProperties>
</file>