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SA-AOS/150-5-10/"/>
    </mc:Choice>
  </mc:AlternateContent>
  <xr:revisionPtr revIDLastSave="0" documentId="13_ncr:1_{363E779F-C99C-114D-80D7-544072DBEF97}" xr6:coauthVersionLast="47" xr6:coauthVersionMax="47" xr10:uidLastSave="{00000000-0000-0000-0000-000000000000}"/>
  <bookViews>
    <workbookView xWindow="0" yWindow="760" windowWidth="34560" windowHeight="20580" tabRatio="740" activeTab="10" xr2:uid="{41E620E7-D6DF-9342-B452-EA60AB3B07C5}"/>
  </bookViews>
  <sheets>
    <sheet name="Summary" sheetId="56" r:id="rId1"/>
    <sheet name="results70" sheetId="65" r:id="rId2"/>
    <sheet name="results203" sheetId="66" r:id="rId3"/>
    <sheet name="results299" sheetId="57" r:id="rId4"/>
    <sheet name="results327" sheetId="58" r:id="rId5"/>
    <sheet name="results459" sheetId="59" r:id="rId6"/>
    <sheet name="results539" sheetId="60" r:id="rId7"/>
    <sheet name="results662" sheetId="61" r:id="rId8"/>
    <sheet name="results713" sheetId="62" r:id="rId9"/>
    <sheet name="results740" sheetId="63" r:id="rId10"/>
    <sheet name="results752" sheetId="64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" i="61" l="1"/>
  <c r="Y15" i="61"/>
  <c r="X15" i="61"/>
  <c r="W15" i="61"/>
  <c r="V15" i="61"/>
  <c r="T15" i="61"/>
  <c r="R15" i="61"/>
  <c r="Q15" i="61"/>
  <c r="P15" i="61"/>
  <c r="O15" i="61"/>
  <c r="N15" i="61"/>
  <c r="L15" i="61"/>
  <c r="V15" i="65"/>
  <c r="W15" i="65"/>
  <c r="X15" i="65"/>
  <c r="Y15" i="65"/>
  <c r="Z15" i="65"/>
  <c r="T15" i="65"/>
  <c r="N15" i="65"/>
  <c r="O15" i="65"/>
  <c r="P15" i="65"/>
  <c r="Q15" i="65"/>
  <c r="R15" i="65"/>
  <c r="L15" i="65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T12" i="56" a="1"/>
  <c r="L6" i="56" a="1"/>
  <c r="D8" i="56" a="1"/>
  <c r="M11" i="56" a="1"/>
  <c r="Q4" i="56" a="1"/>
  <c r="W11" i="56" a="1"/>
  <c r="K3" i="56" a="1"/>
  <c r="V5" i="56" a="1"/>
  <c r="Q7" i="56" a="1"/>
  <c r="P6" i="56" a="1"/>
  <c r="X3" i="56" a="1"/>
  <c r="M8" i="56" a="1"/>
  <c r="V11" i="56" a="1"/>
  <c r="X7" i="56" a="1"/>
  <c r="X10" i="56" a="1"/>
  <c r="O11" i="56" a="1"/>
  <c r="V9" i="56" a="1"/>
  <c r="S5" i="56" a="1"/>
  <c r="U11" i="56" a="1"/>
  <c r="Q11" i="56" a="1"/>
  <c r="M7" i="56" a="1"/>
  <c r="T10" i="56" a="1"/>
  <c r="U9" i="56" a="1"/>
  <c r="N3" i="56" a="1"/>
  <c r="W8" i="56" a="1"/>
  <c r="P12" i="56" a="1"/>
  <c r="Q12" i="56" a="1"/>
  <c r="K6" i="56" a="1"/>
  <c r="Y8" i="56" a="1"/>
  <c r="D9" i="56" a="1"/>
  <c r="U8" i="56" a="1"/>
  <c r="X8" i="56" a="1"/>
  <c r="T8" i="56" a="1"/>
  <c r="N12" i="56" a="1"/>
  <c r="X12" i="56" a="1"/>
  <c r="M4" i="56" a="1"/>
  <c r="O3" i="56" a="1"/>
  <c r="T5" i="56" a="1"/>
  <c r="L8" i="56" a="1"/>
  <c r="D11" i="56" a="1"/>
  <c r="N8" i="56" a="1"/>
  <c r="S10" i="56" a="1"/>
  <c r="S3" i="56" a="1"/>
  <c r="X11" i="56" a="1"/>
  <c r="X6" i="56" a="1"/>
  <c r="U12" i="56" a="1"/>
  <c r="X5" i="56" a="1"/>
  <c r="X4" i="56" a="1"/>
  <c r="O4" i="56" a="1"/>
  <c r="O6" i="56" a="1"/>
  <c r="P7" i="56" a="1"/>
  <c r="N7" i="56" a="1"/>
  <c r="X9" i="56" a="1"/>
  <c r="Q6" i="56" a="1"/>
  <c r="Q3" i="56" a="1"/>
  <c r="S12" i="56" a="1"/>
  <c r="S4" i="56" a="1"/>
  <c r="U6" i="56" a="1"/>
  <c r="O12" i="56" a="1"/>
  <c r="P4" i="56" a="1"/>
  <c r="T4" i="56" a="1"/>
  <c r="L7" i="56" a="1"/>
  <c r="D5" i="56" a="1"/>
  <c r="W3" i="56" a="1"/>
  <c r="O8" i="56" a="1"/>
  <c r="V8" i="56" a="1"/>
  <c r="P3" i="56" a="1"/>
  <c r="P8" i="56" a="1"/>
  <c r="K10" i="56" a="1"/>
  <c r="M6" i="56" a="1"/>
  <c r="Q8" i="56" a="1"/>
  <c r="U3" i="56" a="1"/>
  <c r="L4" i="56" a="1"/>
  <c r="V3" i="56" a="1"/>
  <c r="I3" i="56" a="1"/>
  <c r="T9" i="56" a="1"/>
  <c r="P10" i="56" a="1"/>
  <c r="U4" i="56" a="1"/>
  <c r="T7" i="56" a="1"/>
  <c r="Y12" i="56" a="1"/>
  <c r="Y3" i="56" a="1"/>
  <c r="O7" i="56" a="1"/>
  <c r="K12" i="56" a="1"/>
  <c r="D12" i="56" a="1"/>
  <c r="V4" i="56" a="1"/>
  <c r="W5" i="56" a="1"/>
  <c r="L3" i="56" a="1"/>
  <c r="V7" i="56" a="1"/>
  <c r="Y11" i="56" a="1"/>
  <c r="T3" i="56" a="1"/>
  <c r="L11" i="56" a="1"/>
  <c r="D4" i="56" a="1"/>
  <c r="K11" i="56" a="1"/>
  <c r="V12" i="56" a="1"/>
  <c r="O9" i="56" a="1"/>
  <c r="K9" i="56" a="1"/>
  <c r="O10" i="56" a="1"/>
  <c r="N11" i="56" a="1"/>
  <c r="K4" i="56" a="1"/>
  <c r="N5" i="56" a="1"/>
  <c r="S7" i="56" a="1"/>
  <c r="K5" i="56" a="1"/>
  <c r="D10" i="56" a="1"/>
  <c r="Q10" i="56" a="1"/>
  <c r="Y9" i="56" a="1"/>
  <c r="C3" i="56" a="1"/>
  <c r="S11" i="56" a="1"/>
  <c r="P9" i="56" a="1"/>
  <c r="W4" i="56" a="1"/>
  <c r="T6" i="56" a="1"/>
  <c r="N6" i="56" a="1"/>
  <c r="Y6" i="56" a="1"/>
  <c r="M9" i="56" a="1"/>
  <c r="W12" i="56" a="1"/>
  <c r="N4" i="56" a="1"/>
  <c r="N9" i="56" a="1"/>
  <c r="T11" i="56" a="1"/>
  <c r="L5" i="56" a="1"/>
  <c r="D7" i="56" a="1"/>
  <c r="Y5" i="56" a="1"/>
  <c r="Y4" i="56" a="1"/>
  <c r="P11" i="56" a="1"/>
  <c r="Y10" i="56" a="1"/>
  <c r="S9" i="56" a="1"/>
  <c r="W6" i="56" a="1"/>
  <c r="V10" i="56" a="1"/>
  <c r="N10" i="56" a="1"/>
  <c r="L9" i="56" a="1"/>
  <c r="S8" i="56" a="1"/>
  <c r="W7" i="56" a="1"/>
  <c r="L10" i="56" a="1"/>
  <c r="U7" i="56" a="1"/>
  <c r="M5" i="56" a="1"/>
  <c r="P5" i="56" a="1"/>
  <c r="Q9" i="56" a="1"/>
  <c r="U5" i="56" a="1"/>
  <c r="K7" i="56" a="1"/>
  <c r="D6" i="56" a="1"/>
  <c r="M12" i="56" a="1"/>
  <c r="V6" i="56" a="1"/>
  <c r="L12" i="56" a="1"/>
  <c r="D3" i="56" a="1"/>
  <c r="M3" i="56" a="1"/>
  <c r="W10" i="56" a="1"/>
  <c r="Y7" i="56" a="1"/>
  <c r="W9" i="56" a="1"/>
  <c r="S6" i="56" a="1"/>
  <c r="M10" i="56" a="1"/>
  <c r="Q5" i="56" a="1"/>
  <c r="O5" i="56" a="1"/>
  <c r="K8" i="56" a="1"/>
  <c r="U10" i="56" a="1"/>
  <c r="T8" i="56" l="1"/>
  <c r="T6" i="56"/>
  <c r="T7" i="56"/>
  <c r="T9" i="56"/>
  <c r="T10" i="56"/>
  <c r="T11" i="56"/>
  <c r="T3" i="56"/>
  <c r="T4" i="56"/>
  <c r="T5" i="56"/>
  <c r="T12" i="56"/>
  <c r="L10" i="56"/>
  <c r="L9" i="56"/>
  <c r="L4" i="56"/>
  <c r="L5" i="56"/>
  <c r="L11" i="56"/>
  <c r="L7" i="56"/>
  <c r="L8" i="56"/>
  <c r="L6" i="56"/>
  <c r="L12" i="56"/>
  <c r="L3" i="56"/>
  <c r="D10" i="56"/>
  <c r="D7" i="56"/>
  <c r="D4" i="56"/>
  <c r="D5" i="56"/>
  <c r="D11" i="56"/>
  <c r="D8" i="56"/>
  <c r="D3" i="56"/>
  <c r="D6" i="56"/>
  <c r="D12" i="56"/>
  <c r="D9" i="56"/>
  <c r="C3" i="56"/>
  <c r="V12" i="56"/>
  <c r="S11" i="56"/>
  <c r="W9" i="56"/>
  <c r="X6" i="56"/>
  <c r="U5" i="56"/>
  <c r="Y10" i="56"/>
  <c r="X10" i="56"/>
  <c r="V6" i="56"/>
  <c r="S12" i="56"/>
  <c r="W10" i="56"/>
  <c r="X7" i="56"/>
  <c r="U6" i="56"/>
  <c r="Y4" i="56"/>
  <c r="Y7" i="56"/>
  <c r="V9" i="56"/>
  <c r="Y11" i="56"/>
  <c r="V10" i="56"/>
  <c r="S9" i="56"/>
  <c r="W7" i="56"/>
  <c r="X4" i="56"/>
  <c r="U9" i="56"/>
  <c r="U12" i="56"/>
  <c r="S8" i="56"/>
  <c r="W6" i="56"/>
  <c r="S5" i="56"/>
  <c r="X11" i="56"/>
  <c r="U10" i="56"/>
  <c r="Y8" i="56"/>
  <c r="V7" i="56"/>
  <c r="S6" i="56"/>
  <c r="W4" i="56"/>
  <c r="X8" i="56"/>
  <c r="Y12" i="56"/>
  <c r="V11" i="56"/>
  <c r="W8" i="56"/>
  <c r="X5" i="56"/>
  <c r="U4" i="56"/>
  <c r="W11" i="56"/>
  <c r="U7" i="56"/>
  <c r="X12" i="56"/>
  <c r="U11" i="56"/>
  <c r="Y9" i="56"/>
  <c r="V8" i="56"/>
  <c r="S7" i="56"/>
  <c r="W5" i="56"/>
  <c r="V4" i="56"/>
  <c r="Y5" i="56"/>
  <c r="S10" i="56"/>
  <c r="W12" i="56"/>
  <c r="X9" i="56"/>
  <c r="U8" i="56"/>
  <c r="Y6" i="56"/>
  <c r="V5" i="56"/>
  <c r="S4" i="56"/>
  <c r="Y3" i="56"/>
  <c r="X3" i="56"/>
  <c r="W3" i="56"/>
  <c r="V3" i="56"/>
  <c r="U3" i="56"/>
  <c r="S3" i="56"/>
  <c r="O11" i="56"/>
  <c r="M7" i="56"/>
  <c r="N11" i="56"/>
  <c r="O8" i="56"/>
  <c r="N12" i="56"/>
  <c r="K11" i="56"/>
  <c r="O9" i="56"/>
  <c r="P6" i="56"/>
  <c r="M5" i="56"/>
  <c r="K5" i="56"/>
  <c r="Q4" i="56"/>
  <c r="Q10" i="56"/>
  <c r="K8" i="56"/>
  <c r="Q7" i="56"/>
  <c r="M6" i="56"/>
  <c r="O6" i="56"/>
  <c r="M9" i="56"/>
  <c r="K12" i="56"/>
  <c r="P7" i="56"/>
  <c r="Q11" i="56"/>
  <c r="N10" i="56"/>
  <c r="K9" i="56"/>
  <c r="O7" i="56"/>
  <c r="P4" i="56"/>
  <c r="P8" i="56"/>
  <c r="M12" i="56"/>
  <c r="N9" i="56"/>
  <c r="P10" i="56"/>
  <c r="N6" i="56"/>
  <c r="O10" i="56"/>
  <c r="P11" i="56"/>
  <c r="M10" i="56"/>
  <c r="Q8" i="56"/>
  <c r="N7" i="56"/>
  <c r="K6" i="56"/>
  <c r="O4" i="56"/>
  <c r="N4" i="56"/>
  <c r="M4" i="56"/>
  <c r="Q5" i="56"/>
  <c r="Q12" i="56"/>
  <c r="K10" i="56"/>
  <c r="P5" i="56"/>
  <c r="P12" i="56"/>
  <c r="M11" i="56"/>
  <c r="Q9" i="56"/>
  <c r="N8" i="56"/>
  <c r="K7" i="56"/>
  <c r="O5" i="56"/>
  <c r="O12" i="56"/>
  <c r="P9" i="56"/>
  <c r="M8" i="56"/>
  <c r="Q6" i="56"/>
  <c r="N5" i="56"/>
  <c r="K4" i="56"/>
  <c r="Q3" i="56"/>
  <c r="P3" i="56"/>
  <c r="O3" i="56"/>
  <c r="N3" i="56"/>
  <c r="M3" i="56"/>
  <c r="K3" i="56"/>
  <c r="I3" i="56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S16" i="56" l="1"/>
  <c r="K16" i="56"/>
  <c r="S13" i="56"/>
  <c r="Z13" i="56" s="1"/>
  <c r="T13" i="56"/>
  <c r="W13" i="56"/>
  <c r="V13" i="56"/>
  <c r="Y13" i="56"/>
  <c r="U13" i="56"/>
  <c r="X13" i="56"/>
  <c r="N13" i="56"/>
  <c r="K13" i="56"/>
  <c r="M13" i="56"/>
  <c r="Q13" i="56"/>
  <c r="P13" i="56"/>
  <c r="L13" i="56"/>
  <c r="O13" i="56"/>
  <c r="T14" i="65"/>
  <c r="AA14" i="65"/>
  <c r="X14" i="65"/>
  <c r="Z14" i="65"/>
  <c r="Y14" i="65"/>
  <c r="V14" i="65"/>
  <c r="U14" i="65"/>
  <c r="W14" i="65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C12" i="56" a="1"/>
  <c r="C4" i="56" a="1"/>
  <c r="C5" i="56" a="1"/>
  <c r="C9" i="56" a="1"/>
  <c r="C6" i="56" a="1"/>
  <c r="C10" i="56" a="1"/>
  <c r="C7" i="56" a="1"/>
  <c r="C11" i="56" a="1"/>
  <c r="C8" i="56" a="1"/>
  <c r="R13" i="56" l="1"/>
  <c r="K8" i="63"/>
  <c r="K10" i="63"/>
  <c r="K6" i="63"/>
  <c r="K4" i="63"/>
  <c r="K11" i="63"/>
  <c r="K5" i="63"/>
  <c r="K13" i="63"/>
  <c r="K7" i="63"/>
  <c r="K12" i="63"/>
  <c r="K9" i="63"/>
  <c r="T14" i="60"/>
  <c r="Z14" i="60" s="1"/>
  <c r="T14" i="59"/>
  <c r="W14" i="59" s="1"/>
  <c r="T14" i="58"/>
  <c r="U14" i="58" s="1"/>
  <c r="T14" i="57"/>
  <c r="V14" i="57"/>
  <c r="U14" i="60"/>
  <c r="Y14" i="60"/>
  <c r="Y14" i="58"/>
  <c r="V14" i="58"/>
  <c r="T14" i="66"/>
  <c r="AA14" i="66" s="1"/>
  <c r="V14" i="60"/>
  <c r="W14" i="60"/>
  <c r="X14" i="60"/>
  <c r="AA14" i="60"/>
  <c r="U14" i="59"/>
  <c r="V14" i="59"/>
  <c r="X14" i="59"/>
  <c r="Z14" i="59"/>
  <c r="AA14" i="59"/>
  <c r="Z14" i="58"/>
  <c r="W14" i="58"/>
  <c r="X14" i="58"/>
  <c r="C8" i="56"/>
  <c r="C9" i="56"/>
  <c r="C10" i="56"/>
  <c r="C6" i="56"/>
  <c r="C12" i="56"/>
  <c r="C4" i="56"/>
  <c r="C11" i="56"/>
  <c r="C5" i="56"/>
  <c r="C7" i="56"/>
  <c r="G14" i="26"/>
  <c r="E14" i="26"/>
  <c r="D14" i="26"/>
  <c r="K14" i="26"/>
  <c r="P14" i="25"/>
  <c r="N14" i="25"/>
  <c r="M14" i="25"/>
  <c r="T14" i="25"/>
  <c r="D14" i="25"/>
  <c r="G8" i="56" a="1"/>
  <c r="F4" i="56" a="1"/>
  <c r="F11" i="56" a="1"/>
  <c r="H8" i="56" a="1"/>
  <c r="G10" i="56" a="1"/>
  <c r="H6" i="56" a="1"/>
  <c r="F12" i="56" a="1"/>
  <c r="E6" i="56" a="1"/>
  <c r="G4" i="56" a="1"/>
  <c r="I6" i="56" a="1"/>
  <c r="E4" i="56" a="1"/>
  <c r="E7" i="56" a="1"/>
  <c r="F10" i="56" a="1"/>
  <c r="I7" i="56" a="1"/>
  <c r="I10" i="56" a="1"/>
  <c r="H10" i="56" a="1"/>
  <c r="F6" i="56" a="1"/>
  <c r="E11" i="56" a="1"/>
  <c r="I11" i="56" a="1"/>
  <c r="H5" i="56" a="1"/>
  <c r="E10" i="56" a="1"/>
  <c r="I4" i="23" a="1"/>
  <c r="H3" i="56" a="1"/>
  <c r="E3" i="56" a="1"/>
  <c r="G5" i="56" a="1"/>
  <c r="E12" i="56" a="1"/>
  <c r="F8" i="56" a="1"/>
  <c r="H7" i="56" a="1"/>
  <c r="G3" i="56" a="1"/>
  <c r="F9" i="56" a="1"/>
  <c r="H9" i="56" a="1"/>
  <c r="E8" i="56" a="1"/>
  <c r="I12" i="56" a="1"/>
  <c r="H11" i="56" a="1"/>
  <c r="H4" i="56" a="1"/>
  <c r="F3" i="56" a="1"/>
  <c r="G6" i="56" a="1"/>
  <c r="I5" i="56" a="1"/>
  <c r="G7" i="56" a="1"/>
  <c r="I8" i="56" a="1"/>
  <c r="F5" i="56" a="1"/>
  <c r="G11" i="56" a="1"/>
  <c r="H4" i="23" a="1"/>
  <c r="G9" i="56" a="1"/>
  <c r="F7" i="56" a="1"/>
  <c r="H12" i="56" a="1"/>
  <c r="G12" i="56" a="1"/>
  <c r="E5" i="56" a="1"/>
  <c r="E9" i="56" a="1"/>
  <c r="I9" i="56" a="1"/>
  <c r="I4" i="56" a="1"/>
  <c r="C16" i="56" l="1"/>
  <c r="D14" i="64"/>
  <c r="G14" i="64"/>
  <c r="T15" i="64"/>
  <c r="L15" i="64"/>
  <c r="D14" i="59"/>
  <c r="H14" i="59" s="1"/>
  <c r="L14" i="64"/>
  <c r="R14" i="64" s="1"/>
  <c r="L14" i="63"/>
  <c r="R14" i="63" s="1"/>
  <c r="L14" i="59"/>
  <c r="M14" i="59" s="1"/>
  <c r="L14" i="60"/>
  <c r="S14" i="60" s="1"/>
  <c r="L14" i="62"/>
  <c r="M14" i="62" s="1"/>
  <c r="L14" i="61"/>
  <c r="S14" i="61" s="1"/>
  <c r="L14" i="58"/>
  <c r="R14" i="58" s="1"/>
  <c r="Z2" i="58" s="1"/>
  <c r="L14" i="57"/>
  <c r="M14" i="57" s="1"/>
  <c r="L14" i="66"/>
  <c r="S14" i="66" s="1"/>
  <c r="L14" i="65"/>
  <c r="Q14" i="65" s="1"/>
  <c r="T14" i="64"/>
  <c r="W14" i="64" s="1"/>
  <c r="T14" i="63"/>
  <c r="W14" i="63" s="1"/>
  <c r="T14" i="62"/>
  <c r="AA14" i="62" s="1"/>
  <c r="P14" i="64"/>
  <c r="D14" i="63"/>
  <c r="H14" i="64"/>
  <c r="O14" i="61"/>
  <c r="N14" i="61"/>
  <c r="I14" i="64"/>
  <c r="J14" i="64"/>
  <c r="F14" i="64"/>
  <c r="K14" i="64"/>
  <c r="P14" i="61"/>
  <c r="E14" i="64"/>
  <c r="N14" i="64"/>
  <c r="O14" i="64"/>
  <c r="Q14" i="61"/>
  <c r="R14" i="60"/>
  <c r="Z2" i="60" s="1"/>
  <c r="Q14" i="60"/>
  <c r="P14" i="60"/>
  <c r="X2" i="60" s="1"/>
  <c r="D14" i="65"/>
  <c r="H14" i="65" s="1"/>
  <c r="H2" i="65" s="1"/>
  <c r="M14" i="60"/>
  <c r="M14" i="61"/>
  <c r="O14" i="57"/>
  <c r="D14" i="61"/>
  <c r="E14" i="61" s="1"/>
  <c r="Q14" i="64"/>
  <c r="N14" i="59"/>
  <c r="N14" i="60"/>
  <c r="D14" i="60"/>
  <c r="P14" i="57"/>
  <c r="R14" i="59"/>
  <c r="Z2" i="59" s="1"/>
  <c r="N14" i="58"/>
  <c r="Q14" i="59"/>
  <c r="Y14" i="64"/>
  <c r="X14" i="63"/>
  <c r="S14" i="59"/>
  <c r="Q14" i="66"/>
  <c r="D14" i="57"/>
  <c r="D14" i="62"/>
  <c r="M14" i="65"/>
  <c r="AA14" i="64"/>
  <c r="M14" i="58"/>
  <c r="Z14" i="64"/>
  <c r="Z2" i="64" s="1"/>
  <c r="Q14" i="58"/>
  <c r="S14" i="58"/>
  <c r="V14" i="64"/>
  <c r="U14" i="64"/>
  <c r="P14" i="65"/>
  <c r="X2" i="65" s="1"/>
  <c r="N14" i="65"/>
  <c r="R14" i="65"/>
  <c r="Z2" i="65" s="1"/>
  <c r="D14" i="66"/>
  <c r="O14" i="58"/>
  <c r="M14" i="64"/>
  <c r="P14" i="58"/>
  <c r="X2" i="58" s="1"/>
  <c r="O14" i="65"/>
  <c r="S14" i="65"/>
  <c r="T14" i="61"/>
  <c r="R14" i="61"/>
  <c r="M14" i="66"/>
  <c r="O14" i="60"/>
  <c r="D14" i="58"/>
  <c r="P14" i="66"/>
  <c r="Y14" i="59"/>
  <c r="AA14" i="58"/>
  <c r="AA14" i="57"/>
  <c r="Z14" i="57"/>
  <c r="X14" i="57"/>
  <c r="U14" i="57"/>
  <c r="W14" i="57"/>
  <c r="Y14" i="57"/>
  <c r="X14" i="66"/>
  <c r="Y14" i="66"/>
  <c r="Z14" i="66"/>
  <c r="W14" i="66"/>
  <c r="U14" i="66"/>
  <c r="V14" i="66"/>
  <c r="H8" i="56"/>
  <c r="I8" i="56"/>
  <c r="E8" i="56"/>
  <c r="F8" i="56"/>
  <c r="G8" i="56"/>
  <c r="I9" i="56"/>
  <c r="E9" i="56"/>
  <c r="F9" i="56"/>
  <c r="G9" i="56"/>
  <c r="H9" i="56"/>
  <c r="E10" i="56"/>
  <c r="H10" i="56"/>
  <c r="I10" i="56"/>
  <c r="F10" i="56"/>
  <c r="G10" i="56"/>
  <c r="F6" i="56"/>
  <c r="I6" i="56"/>
  <c r="E6" i="56"/>
  <c r="G6" i="56"/>
  <c r="H6" i="56"/>
  <c r="E12" i="56"/>
  <c r="I12" i="56"/>
  <c r="F12" i="56"/>
  <c r="G12" i="56"/>
  <c r="H12" i="56"/>
  <c r="H4" i="56"/>
  <c r="E4" i="56"/>
  <c r="I4" i="56"/>
  <c r="G4" i="56"/>
  <c r="F4" i="56"/>
  <c r="E11" i="56"/>
  <c r="I11" i="56"/>
  <c r="H11" i="56"/>
  <c r="G11" i="56"/>
  <c r="F11" i="56"/>
  <c r="C13" i="56"/>
  <c r="E5" i="56"/>
  <c r="I5" i="56"/>
  <c r="F5" i="56"/>
  <c r="G5" i="56"/>
  <c r="H5" i="56"/>
  <c r="G7" i="56"/>
  <c r="F7" i="56"/>
  <c r="E7" i="56"/>
  <c r="H7" i="56"/>
  <c r="I7" i="56"/>
  <c r="F3" i="56"/>
  <c r="E3" i="56"/>
  <c r="G3" i="56"/>
  <c r="H3" i="56"/>
  <c r="H4" i="23"/>
  <c r="I4" i="23"/>
  <c r="E12" i="23" a="1"/>
  <c r="D5" i="23" a="1"/>
  <c r="G4" i="23" a="1"/>
  <c r="F6" i="23" a="1"/>
  <c r="D11" i="23" a="1"/>
  <c r="F4" i="23" a="1"/>
  <c r="F10" i="23" a="1"/>
  <c r="F12" i="23" a="1"/>
  <c r="F5" i="23" a="1"/>
  <c r="G13" i="23" a="1"/>
  <c r="E10" i="23" a="1"/>
  <c r="E8" i="23" a="1"/>
  <c r="G10" i="23" a="1"/>
  <c r="G6" i="23" a="1"/>
  <c r="G12" i="23" a="1"/>
  <c r="G7" i="23" a="1"/>
  <c r="F11" i="23" a="1"/>
  <c r="D6" i="23" a="1"/>
  <c r="F9" i="23" a="1"/>
  <c r="F8" i="23" a="1"/>
  <c r="D8" i="23" a="1"/>
  <c r="D12" i="23" a="1"/>
  <c r="G9" i="23" a="1"/>
  <c r="D13" i="23" a="1"/>
  <c r="E4" i="23" a="1"/>
  <c r="G11" i="23" a="1"/>
  <c r="E11" i="23" a="1"/>
  <c r="D9" i="23" a="1"/>
  <c r="E5" i="23" a="1"/>
  <c r="F13" i="23" a="1"/>
  <c r="G5" i="23" a="1"/>
  <c r="D10" i="23" a="1"/>
  <c r="F7" i="23" a="1"/>
  <c r="E7" i="23" a="1"/>
  <c r="E6" i="23" a="1"/>
  <c r="E13" i="23" a="1"/>
  <c r="E9" i="23" a="1"/>
  <c r="G8" i="23" a="1"/>
  <c r="D4" i="23" a="1"/>
  <c r="D7" i="23" a="1"/>
  <c r="M15" i="61" l="1"/>
  <c r="K14" i="56"/>
  <c r="S14" i="56"/>
  <c r="J13" i="56"/>
  <c r="Y15" i="64"/>
  <c r="Q15" i="64"/>
  <c r="X15" i="64"/>
  <c r="P15" i="64"/>
  <c r="U15" i="64"/>
  <c r="M15" i="64"/>
  <c r="V15" i="64"/>
  <c r="N15" i="64"/>
  <c r="Z15" i="64"/>
  <c r="R15" i="64"/>
  <c r="O15" i="64"/>
  <c r="W15" i="64"/>
  <c r="G14" i="63"/>
  <c r="T15" i="63"/>
  <c r="L15" i="63"/>
  <c r="G14" i="62"/>
  <c r="T15" i="62"/>
  <c r="L15" i="62"/>
  <c r="I14" i="59"/>
  <c r="T15" i="59"/>
  <c r="F14" i="59"/>
  <c r="E14" i="59"/>
  <c r="M15" i="59" s="1"/>
  <c r="G14" i="59"/>
  <c r="K14" i="59"/>
  <c r="L15" i="59"/>
  <c r="J14" i="59"/>
  <c r="H2" i="59"/>
  <c r="J14" i="60"/>
  <c r="J2" i="60" s="1"/>
  <c r="T15" i="60"/>
  <c r="L15" i="60"/>
  <c r="V15" i="59"/>
  <c r="N15" i="59"/>
  <c r="Z15" i="59"/>
  <c r="R15" i="59"/>
  <c r="W15" i="59"/>
  <c r="O15" i="59"/>
  <c r="Y15" i="59"/>
  <c r="Q15" i="59"/>
  <c r="X15" i="59"/>
  <c r="P15" i="59"/>
  <c r="G14" i="58"/>
  <c r="T15" i="58"/>
  <c r="L15" i="58"/>
  <c r="F14" i="57"/>
  <c r="L15" i="57"/>
  <c r="T15" i="57"/>
  <c r="E14" i="66"/>
  <c r="T15" i="66"/>
  <c r="L15" i="66"/>
  <c r="S14" i="64"/>
  <c r="R2" i="64"/>
  <c r="P14" i="63"/>
  <c r="M14" i="63"/>
  <c r="S14" i="63"/>
  <c r="Q14" i="63"/>
  <c r="O14" i="63"/>
  <c r="N14" i="63"/>
  <c r="P14" i="59"/>
  <c r="X2" i="59" s="1"/>
  <c r="O14" i="59"/>
  <c r="R14" i="62"/>
  <c r="O14" i="62"/>
  <c r="Q14" i="62"/>
  <c r="P14" i="62"/>
  <c r="N14" i="62"/>
  <c r="S14" i="62"/>
  <c r="N14" i="57"/>
  <c r="Q14" i="57"/>
  <c r="S14" i="57"/>
  <c r="R14" i="57"/>
  <c r="R14" i="66"/>
  <c r="N14" i="66"/>
  <c r="O14" i="66"/>
  <c r="X14" i="64"/>
  <c r="X2" i="64" s="1"/>
  <c r="Z14" i="63"/>
  <c r="Z2" i="63" s="1"/>
  <c r="U14" i="63"/>
  <c r="V14" i="63"/>
  <c r="AA14" i="63"/>
  <c r="Y14" i="63"/>
  <c r="F14" i="63"/>
  <c r="P2" i="64"/>
  <c r="J14" i="63"/>
  <c r="I14" i="63"/>
  <c r="H2" i="64"/>
  <c r="E14" i="63"/>
  <c r="K14" i="63"/>
  <c r="W14" i="62"/>
  <c r="V14" i="62"/>
  <c r="Y14" i="62"/>
  <c r="X14" i="62"/>
  <c r="X2" i="62" s="1"/>
  <c r="Z14" i="62"/>
  <c r="U14" i="62"/>
  <c r="H14" i="63"/>
  <c r="F14" i="61"/>
  <c r="J2" i="64"/>
  <c r="I14" i="61"/>
  <c r="P2" i="59"/>
  <c r="I14" i="65"/>
  <c r="G14" i="61"/>
  <c r="X2" i="63"/>
  <c r="J14" i="61"/>
  <c r="J2" i="61" s="1"/>
  <c r="E14" i="65"/>
  <c r="G14" i="65"/>
  <c r="J14" i="65"/>
  <c r="J2" i="65" s="1"/>
  <c r="K14" i="65"/>
  <c r="K14" i="57"/>
  <c r="I14" i="57"/>
  <c r="J14" i="57"/>
  <c r="K14" i="60"/>
  <c r="F14" i="60"/>
  <c r="K14" i="61"/>
  <c r="F14" i="65"/>
  <c r="R2" i="59"/>
  <c r="J2" i="59"/>
  <c r="G14" i="66"/>
  <c r="F14" i="62"/>
  <c r="I14" i="60"/>
  <c r="K14" i="62"/>
  <c r="G14" i="60"/>
  <c r="J14" i="62"/>
  <c r="E14" i="62"/>
  <c r="X2" i="57"/>
  <c r="Z2" i="57"/>
  <c r="H14" i="61"/>
  <c r="P2" i="61" s="1"/>
  <c r="K14" i="58"/>
  <c r="F14" i="58"/>
  <c r="E14" i="60"/>
  <c r="H14" i="62"/>
  <c r="H14" i="60"/>
  <c r="I14" i="62"/>
  <c r="H14" i="66"/>
  <c r="I14" i="66"/>
  <c r="K14" i="66"/>
  <c r="G14" i="57"/>
  <c r="H14" i="57"/>
  <c r="J14" i="66"/>
  <c r="E14" i="57"/>
  <c r="Z2" i="66"/>
  <c r="X2" i="66"/>
  <c r="F14" i="66"/>
  <c r="U14" i="61"/>
  <c r="U15" i="61" s="1"/>
  <c r="X14" i="61"/>
  <c r="X2" i="61" s="1"/>
  <c r="W14" i="61"/>
  <c r="AA14" i="61"/>
  <c r="V14" i="61"/>
  <c r="Y14" i="61"/>
  <c r="Z14" i="61"/>
  <c r="Z2" i="61" s="1"/>
  <c r="P2" i="65"/>
  <c r="I14" i="58"/>
  <c r="J14" i="58"/>
  <c r="H14" i="58"/>
  <c r="E14" i="58"/>
  <c r="G13" i="56"/>
  <c r="E13" i="56"/>
  <c r="F13" i="56"/>
  <c r="V14" i="56" s="1"/>
  <c r="D13" i="56"/>
  <c r="I13" i="56"/>
  <c r="H13" i="56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U15" i="59" l="1"/>
  <c r="U15" i="65"/>
  <c r="M15" i="65"/>
  <c r="N14" i="56"/>
  <c r="Q14" i="56"/>
  <c r="Y14" i="56"/>
  <c r="M14" i="56"/>
  <c r="U14" i="56"/>
  <c r="O14" i="56"/>
  <c r="W14" i="56"/>
  <c r="P14" i="56"/>
  <c r="X14" i="56"/>
  <c r="L14" i="56"/>
  <c r="T14" i="56"/>
  <c r="U15" i="63"/>
  <c r="M15" i="63"/>
  <c r="Y15" i="63"/>
  <c r="Q15" i="63"/>
  <c r="R2" i="63"/>
  <c r="Z15" i="63"/>
  <c r="R15" i="63"/>
  <c r="V15" i="63"/>
  <c r="N15" i="63"/>
  <c r="P2" i="63"/>
  <c r="X15" i="63"/>
  <c r="P15" i="63"/>
  <c r="W15" i="63"/>
  <c r="O15" i="63"/>
  <c r="Y15" i="62"/>
  <c r="Q15" i="62"/>
  <c r="H2" i="62"/>
  <c r="P15" i="62"/>
  <c r="X15" i="62"/>
  <c r="U15" i="62"/>
  <c r="M15" i="62"/>
  <c r="Z15" i="62"/>
  <c r="R15" i="62"/>
  <c r="V15" i="62"/>
  <c r="N15" i="62"/>
  <c r="W15" i="62"/>
  <c r="O15" i="62"/>
  <c r="W15" i="60"/>
  <c r="O15" i="60"/>
  <c r="R2" i="60"/>
  <c r="Y15" i="60"/>
  <c r="Q15" i="60"/>
  <c r="P2" i="60"/>
  <c r="X15" i="60"/>
  <c r="P15" i="60"/>
  <c r="V15" i="60"/>
  <c r="N15" i="60"/>
  <c r="M15" i="60"/>
  <c r="U15" i="60"/>
  <c r="Z15" i="60"/>
  <c r="R15" i="60"/>
  <c r="P2" i="58"/>
  <c r="X15" i="58"/>
  <c r="P15" i="58"/>
  <c r="Y15" i="58"/>
  <c r="Q15" i="58"/>
  <c r="V15" i="58"/>
  <c r="N15" i="58"/>
  <c r="J2" i="58"/>
  <c r="Z15" i="58"/>
  <c r="R15" i="58"/>
  <c r="U15" i="58"/>
  <c r="M15" i="58"/>
  <c r="O15" i="58"/>
  <c r="W15" i="58"/>
  <c r="M15" i="57"/>
  <c r="U15" i="57"/>
  <c r="H2" i="57"/>
  <c r="X15" i="57"/>
  <c r="P15" i="57"/>
  <c r="R2" i="57"/>
  <c r="Z15" i="57"/>
  <c r="R15" i="57"/>
  <c r="Y15" i="57"/>
  <c r="Q15" i="57"/>
  <c r="O15" i="57"/>
  <c r="W15" i="57"/>
  <c r="V15" i="57"/>
  <c r="N15" i="57"/>
  <c r="V15" i="66"/>
  <c r="N15" i="66"/>
  <c r="W15" i="66"/>
  <c r="O15" i="66"/>
  <c r="Y15" i="66"/>
  <c r="Q15" i="66"/>
  <c r="J2" i="66"/>
  <c r="Z15" i="66"/>
  <c r="R15" i="66"/>
  <c r="H2" i="66"/>
  <c r="P15" i="66"/>
  <c r="X15" i="66"/>
  <c r="U15" i="66"/>
  <c r="M15" i="66"/>
  <c r="Z2" i="62"/>
  <c r="R2" i="62"/>
  <c r="J2" i="63"/>
  <c r="H2" i="63"/>
  <c r="R2" i="61"/>
  <c r="J2" i="57"/>
  <c r="P2" i="62"/>
  <c r="R2" i="65"/>
  <c r="J2" i="62"/>
  <c r="H2" i="61"/>
  <c r="P2" i="66"/>
  <c r="P2" i="57"/>
  <c r="H2" i="60"/>
  <c r="R2" i="66"/>
  <c r="R2" i="58"/>
  <c r="H2" i="5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<sst xmlns="http://schemas.openxmlformats.org/spreadsheetml/2006/main" count="677" uniqueCount="22">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</sst>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AECB-F9CF-8943-AB32-EBC2909970E5}">
  <dimension ref="B2:Z16"/>
  <sheetViews>
    <sheetView topLeftCell="J1" zoomScale="85" zoomScaleNormal="85" workbookViewId="0">
      <selection activeCell="T13" sqref="T13:Y13"/>
    </sheetView>
  </sheetViews>
  <sheetFormatPr baseColWidth="10" defaultColWidth="11.5" defaultRowHeight="16" x14ac:dyDescent="0.2"/>
  <cols>
    <col min="1" max="1" width="3.5" customWidth="1"/>
    <col min="2" max="2" width="10.6640625" style="1"/>
    <col min="3" max="3" width="9.5" bestFit="1" customWidth="1"/>
    <col min="4" max="4" width="9.5" customWidth="1"/>
    <col min="5" max="5" width="9.1640625" bestFit="1" customWidth="1"/>
    <col min="6" max="6" width="18.33203125" bestFit="1" customWidth="1"/>
    <col min="7" max="7" width="19.33203125" bestFit="1" customWidth="1"/>
    <col min="8" max="8" width="24.6640625" bestFit="1" customWidth="1"/>
    <col min="9" max="9" width="18" bestFit="1" customWidth="1"/>
    <col min="11" max="11" width="8" bestFit="1" customWidth="1"/>
    <col min="12" max="12" width="9.1640625" bestFit="1" customWidth="1"/>
    <col min="13" max="13" width="8.6640625" bestFit="1" customWidth="1"/>
    <col min="14" max="14" width="17.6640625" bestFit="1" customWidth="1"/>
    <col min="15" max="15" width="12.1640625" bestFit="1" customWidth="1"/>
    <col min="16" max="16" width="23.66406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6640625" bestFit="1" customWidth="1"/>
    <col min="22" max="22" width="17.6640625" bestFit="1" customWidth="1"/>
    <col min="23" max="23" width="12.1640625" bestFit="1" customWidth="1"/>
    <col min="24" max="24" width="23.66406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70</v>
      </c>
      <c r="C3" s="5" cm="1">
        <f t="array" aca="1" ref="C3" ca="1">INDIRECT("'results" &amp; $B3 &amp; "'!D$14")</f>
        <v>1838874.0529794539</v>
      </c>
      <c r="D3" s="33" cm="1">
        <f t="array" aca="1" ref="D3" ca="1">INDIRECT("'results" &amp; $B3 &amp; "'!E$14")</f>
        <v>140.70689875675785</v>
      </c>
      <c r="E3" s="5" cm="1">
        <f t="array" aca="1" ref="E3" ca="1">INDIRECT("'results" &amp; $B3 &amp; "'!F$14")</f>
        <v>10</v>
      </c>
      <c r="F3" s="5" cm="1">
        <f t="array" aca="1" ref="F3" ca="1">INDIRECT("'results" &amp; $B3 &amp; "'!G$14")</f>
        <v>72</v>
      </c>
      <c r="G3" s="5" cm="1">
        <f t="array" aca="1" ref="G3" ca="1">INDIRECT("'results" &amp; $B3 &amp; "'!H$14")</f>
        <v>1448.7949825831688</v>
      </c>
      <c r="H3" s="33" cm="1">
        <f t="array" aca="1" ref="H3" ca="1">INDIRECT("'results" &amp; $B3 &amp; "'!I$14")</f>
        <v>38.748274635336472</v>
      </c>
      <c r="I3" s="5" cm="1">
        <f t="array" aca="1" ref="I3" ca="1">INDIRECT("'results" &amp; $B3 &amp; "'!J$14")</f>
        <v>6841.469560503444</v>
      </c>
      <c r="J3" s="5"/>
      <c r="K3" s="5" cm="1">
        <f t="array" aca="1" ref="K3" ca="1">INDIRECT("'results" &amp; $B3 &amp; "'!L$14")</f>
        <v>2096545.4742425911</v>
      </c>
      <c r="L3" s="5" cm="1">
        <f t="array" aca="1" ref="L3" ca="1">INDIRECT("'results" &amp; $B3 &amp; "'!M$14")</f>
        <v>385.20387445946187</v>
      </c>
      <c r="M3" s="5" cm="1">
        <f t="array" aca="1" ref="M3" ca="1">INDIRECT("'results" &amp; $B3 &amp; "'!N$14")</f>
        <v>15</v>
      </c>
      <c r="N3" s="5" cm="1">
        <f t="array" aca="1" ref="N3" ca="1">INDIRECT("'results" &amp; $B3 &amp; "'!O$14")</f>
        <v>59.333333333333343</v>
      </c>
      <c r="O3" s="5" cm="1">
        <f t="array" aca="1" ref="O3" ca="1">INDIRECT("'results" &amp; $B3 &amp; "'!P$14")</f>
        <v>1208.5094674454856</v>
      </c>
      <c r="P3" s="5" cm="1">
        <f t="array" aca="1" ref="P3" ca="1">INDIRECT("'results" &amp; $B3 &amp; "'!Q$14")</f>
        <v>19.496587372077208</v>
      </c>
      <c r="Q3" s="5" cm="1">
        <f t="array" aca="1" ref="Q3" ca="1">INDIRECT("'results" &amp; $B3 &amp; "'!R$14")</f>
        <v>6127.5712351704396</v>
      </c>
      <c r="R3" s="5"/>
      <c r="S3" s="5" cm="1">
        <f t="array" aca="1" ref="S3" ca="1">INDIRECT("'results" &amp; $B3 &amp; "'!T$14")</f>
        <v>2143366.2197869509</v>
      </c>
      <c r="T3" s="5" cm="1">
        <f t="array" aca="1" ref="T3" ca="1">INDIRECT("'results" &amp; $B3 &amp; "'!U$14")</f>
        <v>93.369879486486454</v>
      </c>
      <c r="U3" s="5" cm="1">
        <f t="array" aca="1" ref="U3" ca="1">INDIRECT("'results" &amp; $B3 &amp; "'!V$14")</f>
        <v>10</v>
      </c>
      <c r="V3" s="5" cm="1">
        <f t="array" aca="1" ref="V3" ca="1">INDIRECT("'results" &amp; $B3 &amp; "'!W$14")</f>
        <v>54.666666666666657</v>
      </c>
      <c r="W3" s="5" cm="1">
        <f t="array" aca="1" ref="W3" ca="1">INDIRECT("'results" &amp; $B3 &amp; "'!X$14")</f>
        <v>1471.8605698959623</v>
      </c>
      <c r="X3" s="5" cm="1">
        <f t="array" aca="1" ref="X3" ca="1">INDIRECT("'results" &amp; $B3 &amp; "'!Y$14")</f>
        <v>41.825830375567584</v>
      </c>
      <c r="Y3" s="5" cm="1">
        <f t="array" aca="1" ref="Y3" ca="1">INDIRECT("'results" &amp; $B3 &amp; "'!Z$14")</f>
        <v>6991.4262820597505</v>
      </c>
      <c r="Z3" s="5"/>
    </row>
    <row r="4" spans="2:26" x14ac:dyDescent="0.2">
      <c r="B4" s="4">
        <v>203</v>
      </c>
      <c r="C4" s="5" cm="1">
        <f t="array" aca="1" ref="C4" ca="1">INDIRECT("'results" &amp; $B4 &amp; "'!D$14")</f>
        <v>1589645.1396163141</v>
      </c>
      <c r="D4" s="33" cm="1">
        <f t="array" aca="1" ref="D4" ca="1">INDIRECT("'results" &amp; $B4 &amp; "'!E$14")</f>
        <v>166.84301656756605</v>
      </c>
      <c r="E4" s="5" cm="1">
        <f t="array" aca="1" ref="E4" ca="1">INDIRECT("'results" &amp; $B4 &amp; "'!F$14")</f>
        <v>12</v>
      </c>
      <c r="F4" s="5" cm="1">
        <f t="array" aca="1" ref="F4" ca="1">INDIRECT("'results" &amp; $B4 &amp; "'!G$14")</f>
        <v>85.333333333333329</v>
      </c>
      <c r="G4" s="5" cm="1">
        <f t="array" aca="1" ref="G4" ca="1">INDIRECT("'results" &amp; $B4 &amp; "'!H$14")</f>
        <v>1494.5723454330059</v>
      </c>
      <c r="H4" s="33" cm="1">
        <f t="array" aca="1" ref="H4" ca="1">INDIRECT("'results" &amp; $B4 &amp; "'!I$14")</f>
        <v>42.273766269907988</v>
      </c>
      <c r="I4" s="5" cm="1">
        <f t="array" aca="1" ref="I4" ca="1">INDIRECT("'results" &amp; $B4 &amp; "'!J$14")</f>
        <v>6524.7128002946229</v>
      </c>
      <c r="J4" s="5"/>
      <c r="K4" s="5" cm="1">
        <f t="array" aca="1" ref="K4" ca="1">INDIRECT("'results" &amp; $B4 &amp; "'!L$14")</f>
        <v>1910954.673422758</v>
      </c>
      <c r="L4" s="5" cm="1">
        <f t="array" aca="1" ref="L4" ca="1">INDIRECT("'results" &amp; $B4 &amp; "'!M$14")</f>
        <v>160.47478905405433</v>
      </c>
      <c r="M4" s="5" cm="1">
        <f t="array" aca="1" ref="M4" ca="1">INDIRECT("'results" &amp; $B4 &amp; "'!N$14")</f>
        <v>16</v>
      </c>
      <c r="N4" s="5" cm="1">
        <f t="array" aca="1" ref="N4" ca="1">INDIRECT("'results" &amp; $B4 &amp; "'!O$14")</f>
        <v>66</v>
      </c>
      <c r="O4" s="5" cm="1">
        <f t="array" aca="1" ref="O4" ca="1">INDIRECT("'results" &amp; $B4 &amp; "'!P$14")</f>
        <v>1114.7897733130965</v>
      </c>
      <c r="P4" s="5" cm="1">
        <f t="array" aca="1" ref="P4" ca="1">INDIRECT("'results" &amp; $B4 &amp; "'!Q$14")</f>
        <v>20.858177902128745</v>
      </c>
      <c r="Q4" s="5" cm="1">
        <f t="array" aca="1" ref="Q4" ca="1">INDIRECT("'results" &amp; $B4 &amp; "'!R$14")</f>
        <v>5543.7364508033543</v>
      </c>
      <c r="R4" s="5"/>
      <c r="S4" s="5" cm="1">
        <f t="array" aca="1" ref="S4" ca="1">INDIRECT("'results" &amp; $B4 &amp; "'!T$14")</f>
        <v>1911931.8876519999</v>
      </c>
      <c r="T4" s="5" cm="1">
        <f t="array" aca="1" ref="T4" ca="1">INDIRECT("'results" &amp; $B4 &amp; "'!U$14")</f>
        <v>136.05052381081066</v>
      </c>
      <c r="U4" s="5" cm="1">
        <f t="array" aca="1" ref="U4" ca="1">INDIRECT("'results" &amp; $B4 &amp; "'!V$14")</f>
        <v>11</v>
      </c>
      <c r="V4" s="5" cm="1">
        <f t="array" aca="1" ref="V4" ca="1">INDIRECT("'results" &amp; $B4 &amp; "'!W$14")</f>
        <v>67.333333333333329</v>
      </c>
      <c r="W4" s="5" cm="1">
        <f t="array" aca="1" ref="W4" ca="1">INDIRECT("'results" &amp; $B4 &amp; "'!X$14")</f>
        <v>1649.338314424203</v>
      </c>
      <c r="X4" s="5" cm="1">
        <f t="array" aca="1" ref="X4" ca="1">INDIRECT("'results" &amp; $B4 &amp; "'!Y$14")</f>
        <v>52.38105185844536</v>
      </c>
      <c r="Y4" s="5" cm="1">
        <f t="array" aca="1" ref="Y4" ca="1">INDIRECT("'results" &amp; $B4 &amp; "'!Z$14")</f>
        <v>6792.3411717345616</v>
      </c>
      <c r="Z4" s="5"/>
    </row>
    <row r="5" spans="2:26" x14ac:dyDescent="0.2">
      <c r="B5" s="4">
        <v>299</v>
      </c>
      <c r="C5" s="5" cm="1">
        <f t="array" aca="1" ref="C5" ca="1">INDIRECT("'results" &amp; $B5 &amp; "'!D$14")</f>
        <v>1694998.099506784</v>
      </c>
      <c r="D5" s="33" cm="1">
        <f t="array" aca="1" ref="D5" ca="1">INDIRECT("'results" &amp; $B5 &amp; "'!E$14")</f>
        <v>180.87206618919356</v>
      </c>
      <c r="E5" s="5" cm="1">
        <f t="array" aca="1" ref="E5" ca="1">INDIRECT("'results" &amp; $B5 &amp; "'!F$14")</f>
        <v>11</v>
      </c>
      <c r="F5" s="5" cm="1">
        <f t="array" aca="1" ref="F5" ca="1">INDIRECT("'results" &amp; $B5 &amp; "'!G$14")</f>
        <v>80</v>
      </c>
      <c r="G5" s="5" cm="1">
        <f t="array" aca="1" ref="G5" ca="1">INDIRECT("'results" &amp; $B5 &amp; "'!H$14")</f>
        <v>1631.8096576415016</v>
      </c>
      <c r="H5" s="33" cm="1">
        <f t="array" aca="1" ref="H5" ca="1">INDIRECT("'results" &amp; $B5 &amp; "'!I$14")</f>
        <v>42.581692147222739</v>
      </c>
      <c r="I5" s="5" cm="1">
        <f t="array" aca="1" ref="I5" ca="1">INDIRECT("'results" &amp; $B5 &amp; "'!J$14")</f>
        <v>6712.1316861484602</v>
      </c>
      <c r="J5" s="5"/>
      <c r="K5" s="5" cm="1">
        <f t="array" aca="1" ref="K5" ca="1">INDIRECT("'results" &amp; $B5 &amp; "'!L$14")</f>
        <v>1980453.674220429</v>
      </c>
      <c r="L5" s="5" cm="1">
        <f t="array" aca="1" ref="L5" ca="1">INDIRECT("'results" &amp; $B5 &amp; "'!M$14")</f>
        <v>149.35932959459416</v>
      </c>
      <c r="M5" s="5" cm="1">
        <f t="array" aca="1" ref="M5" ca="1">INDIRECT("'results" &amp; $B5 &amp; "'!N$14")</f>
        <v>17</v>
      </c>
      <c r="N5" s="5" cm="1">
        <f t="array" aca="1" ref="N5" ca="1">INDIRECT("'results" &amp; $B5 &amp; "'!O$14")</f>
        <v>65.333333333333329</v>
      </c>
      <c r="O5" s="5" cm="1">
        <f t="array" aca="1" ref="O5" ca="1">INDIRECT("'results" &amp; $B5 &amp; "'!P$14")</f>
        <v>1230.2382310770492</v>
      </c>
      <c r="P5" s="5" cm="1">
        <f t="array" aca="1" ref="P5" ca="1">INDIRECT("'results" &amp; $B5 &amp; "'!Q$14")</f>
        <v>21.297331420316411</v>
      </c>
      <c r="Q5" s="5" cm="1">
        <f t="array" aca="1" ref="Q5" ca="1">INDIRECT("'results" &amp; $B5 &amp; "'!R$14")</f>
        <v>5839.7523414868856</v>
      </c>
      <c r="R5" s="5"/>
      <c r="S5" s="5" cm="1">
        <f t="array" aca="1" ref="S5" ca="1">INDIRECT("'results" &amp; $B5 &amp; "'!T$14")</f>
        <v>2061427.2486684299</v>
      </c>
      <c r="T5" s="5" cm="1">
        <f t="array" aca="1" ref="T5" ca="1">INDIRECT("'results" &amp; $B5 &amp; "'!U$14")</f>
        <v>168.42815116216227</v>
      </c>
      <c r="U5" s="5" cm="1">
        <f t="array" aca="1" ref="U5" ca="1">INDIRECT("'results" &amp; $B5 &amp; "'!V$14")</f>
        <v>11</v>
      </c>
      <c r="V5" s="5" cm="1">
        <f t="array" aca="1" ref="V5" ca="1">INDIRECT("'results" &amp; $B5 &amp; "'!W$14")</f>
        <v>59.333333333333343</v>
      </c>
      <c r="W5" s="5" cm="1">
        <f t="array" aca="1" ref="W5" ca="1">INDIRECT("'results" &amp; $B5 &amp; "'!X$14")</f>
        <v>1694.6520186287476</v>
      </c>
      <c r="X5" s="5" cm="1">
        <f t="array" aca="1" ref="X5" ca="1">INDIRECT("'results" &amp; $B5 &amp; "'!Y$14")</f>
        <v>51.461145089389042</v>
      </c>
      <c r="Y5" s="5" cm="1">
        <f t="array" aca="1" ref="Y5" ca="1">INDIRECT("'results" &amp; $B5 &amp; "'!Z$14")</f>
        <v>6946.9021462408136</v>
      </c>
      <c r="Z5" s="5"/>
    </row>
    <row r="6" spans="2:26" x14ac:dyDescent="0.2">
      <c r="B6" s="4">
        <v>327</v>
      </c>
      <c r="C6" s="5" cm="1">
        <f t="array" aca="1" ref="C6" ca="1">INDIRECT("'results" &amp; $B6 &amp; "'!D$14")</f>
        <v>1780966.768487537</v>
      </c>
      <c r="D6" s="33" cm="1">
        <f t="array" aca="1" ref="D6" ca="1">INDIRECT("'results" &amp; $B6 &amp; "'!E$14")</f>
        <v>122.46576054053968</v>
      </c>
      <c r="E6" s="5" cm="1">
        <f t="array" aca="1" ref="E6" ca="1">INDIRECT("'results" &amp; $B6 &amp; "'!F$14")</f>
        <v>11</v>
      </c>
      <c r="F6" s="5" cm="1">
        <f t="array" aca="1" ref="F6" ca="1">INDIRECT("'results" &amp; $B6 &amp; "'!G$14")</f>
        <v>76.666666666666671</v>
      </c>
      <c r="G6" s="5" cm="1">
        <f t="array" aca="1" ref="G6" ca="1">INDIRECT("'results" &amp; $B6 &amp; "'!H$14")</f>
        <v>1405.5465636459433</v>
      </c>
      <c r="H6" s="33" cm="1">
        <f t="array" aca="1" ref="H6" ca="1">INDIRECT("'results" &amp; $B6 &amp; "'!I$14")</f>
        <v>35.987785689663298</v>
      </c>
      <c r="I6" s="5" cm="1">
        <f t="array" aca="1" ref="I6" ca="1">INDIRECT("'results" &amp; $B6 &amp; "'!J$14")</f>
        <v>7024.9326859845705</v>
      </c>
      <c r="J6" s="5"/>
      <c r="K6" s="5" cm="1">
        <f t="array" aca="1" ref="K6" ca="1">INDIRECT("'results" &amp; $B6 &amp; "'!L$14")</f>
        <v>2032028.107165575</v>
      </c>
      <c r="L6" s="5" cm="1">
        <f t="array" aca="1" ref="L6" ca="1">INDIRECT("'results" &amp; $B6 &amp; "'!M$14")</f>
        <v>178.1468838108137</v>
      </c>
      <c r="M6" s="5" cm="1">
        <f t="array" aca="1" ref="M6" ca="1">INDIRECT("'results" &amp; $B6 &amp; "'!N$14")</f>
        <v>16</v>
      </c>
      <c r="N6" s="5" cm="1">
        <f t="array" aca="1" ref="N6" ca="1">INDIRECT("'results" &amp; $B6 &amp; "'!O$14")</f>
        <v>62.666666666666657</v>
      </c>
      <c r="O6" s="5" cm="1">
        <f t="array" aca="1" ref="O6" ca="1">INDIRECT("'results" &amp; $B6 &amp; "'!P$14")</f>
        <v>1255.3342684434385</v>
      </c>
      <c r="P6" s="5" cm="1">
        <f t="array" aca="1" ref="P6" ca="1">INDIRECT("'results" &amp; $B6 &amp; "'!Q$14")</f>
        <v>18.284237901153574</v>
      </c>
      <c r="Q6" s="5" cm="1">
        <f t="array" aca="1" ref="Q6" ca="1">INDIRECT("'results" &amp; $B6 &amp; "'!R$14")</f>
        <v>5867.2006925800715</v>
      </c>
      <c r="R6" s="5"/>
      <c r="S6" s="5" cm="1">
        <f t="array" aca="1" ref="S6" ca="1">INDIRECT("'results" &amp; $B6 &amp; "'!T$14")</f>
        <v>2155437.2913191379</v>
      </c>
      <c r="T6" s="5" cm="1">
        <f t="array" aca="1" ref="T6" ca="1">INDIRECT("'results" &amp; $B6 &amp; "'!U$14")</f>
        <v>105.68407881081079</v>
      </c>
      <c r="U6" s="5" cm="1">
        <f t="array" aca="1" ref="U6" ca="1">INDIRECT("'results" &amp; $B6 &amp; "'!V$14")</f>
        <v>11</v>
      </c>
      <c r="V6" s="5" cm="1">
        <f t="array" aca="1" ref="V6" ca="1">INDIRECT("'results" &amp; $B6 &amp; "'!W$14")</f>
        <v>57.333333333333343</v>
      </c>
      <c r="W6" s="5" cm="1">
        <f t="array" aca="1" ref="W6" ca="1">INDIRECT("'results" &amp; $B6 &amp; "'!X$14")</f>
        <v>1615.0538694851969</v>
      </c>
      <c r="X6" s="5" cm="1">
        <f t="array" aca="1" ref="X6" ca="1">INDIRECT("'results" &amp; $B6 &amp; "'!Y$14")</f>
        <v>39.804195835961387</v>
      </c>
      <c r="Y6" s="5" cm="1">
        <f t="array" aca="1" ref="Y6" ca="1">INDIRECT("'results" &amp; $B6 &amp; "'!Z$14")</f>
        <v>7405.9707228486241</v>
      </c>
      <c r="Z6" s="5"/>
    </row>
    <row r="7" spans="2:26" x14ac:dyDescent="0.2">
      <c r="B7" s="4">
        <v>459</v>
      </c>
      <c r="C7" s="5" cm="1">
        <f t="array" aca="1" ref="C7" ca="1">INDIRECT("'results" &amp; $B7 &amp; "'!D$14")</f>
        <v>1726657.840571566</v>
      </c>
      <c r="D7" s="33" cm="1">
        <f t="array" aca="1" ref="D7" ca="1">INDIRECT("'results" &amp; $B7 &amp; "'!E$14")</f>
        <v>153.89877735135283</v>
      </c>
      <c r="E7" s="5" cm="1">
        <f t="array" aca="1" ref="E7" ca="1">INDIRECT("'results" &amp; $B7 &amp; "'!F$14")</f>
        <v>10</v>
      </c>
      <c r="F7" s="5" cm="1">
        <f t="array" aca="1" ref="F7" ca="1">INDIRECT("'results" &amp; $B7 &amp; "'!G$14")</f>
        <v>79.333333333333329</v>
      </c>
      <c r="G7" s="5" cm="1">
        <f t="array" aca="1" ref="G7" ca="1">INDIRECT("'results" &amp; $B7 &amp; "'!H$14")</f>
        <v>1601.1880507796768</v>
      </c>
      <c r="H7" s="33" cm="1">
        <f t="array" aca="1" ref="H7" ca="1">INDIRECT("'results" &amp; $B7 &amp; "'!I$14")</f>
        <v>38.676782900419411</v>
      </c>
      <c r="I7" s="5" cm="1">
        <f t="array" aca="1" ref="I7" ca="1">INDIRECT("'results" &amp; $B7 &amp; "'!J$14")</f>
        <v>6862.6763194712139</v>
      </c>
      <c r="J7" s="5"/>
      <c r="K7" s="5" cm="1">
        <f t="array" aca="1" ref="K7" ca="1">INDIRECT("'results" &amp; $B7 &amp; "'!L$14")</f>
        <v>1972574.3100132011</v>
      </c>
      <c r="L7" s="5" cm="1">
        <f t="array" aca="1" ref="L7" ca="1">INDIRECT("'results" &amp; $B7 &amp; "'!M$14")</f>
        <v>139.79303302702721</v>
      </c>
      <c r="M7" s="5" cm="1">
        <f t="array" aca="1" ref="M7" ca="1">INDIRECT("'results" &amp; $B7 &amp; "'!N$14")</f>
        <v>15</v>
      </c>
      <c r="N7" s="5" cm="1">
        <f t="array" aca="1" ref="N7" ca="1">INDIRECT("'results" &amp; $B7 &amp; "'!O$14")</f>
        <v>67.333333333333329</v>
      </c>
      <c r="O7" s="5" cm="1">
        <f t="array" aca="1" ref="O7" ca="1">INDIRECT("'results" &amp; $B7 &amp; "'!P$14")</f>
        <v>1392.4288902334447</v>
      </c>
      <c r="P7" s="5" cm="1">
        <f t="array" aca="1" ref="P7" ca="1">INDIRECT("'results" &amp; $B7 &amp; "'!Q$14")</f>
        <v>19.452071288046636</v>
      </c>
      <c r="Q7" s="5" cm="1">
        <f t="array" aca="1" ref="Q7" ca="1">INDIRECT("'results" &amp; $B7 &amp; "'!R$14")</f>
        <v>6227.8460832035817</v>
      </c>
      <c r="R7" s="5"/>
      <c r="S7" s="5" cm="1">
        <f t="array" aca="1" ref="S7" ca="1">INDIRECT("'results" &amp; $B7 &amp; "'!T$14")</f>
        <v>2097508.6374532748</v>
      </c>
      <c r="T7" s="5" cm="1">
        <f t="array" aca="1" ref="T7" ca="1">INDIRECT("'results" &amp; $B7 &amp; "'!U$14")</f>
        <v>213.39009627026996</v>
      </c>
      <c r="U7" s="5" cm="1">
        <f t="array" aca="1" ref="U7" ca="1">INDIRECT("'results" &amp; $B7 &amp; "'!V$14")</f>
        <v>10</v>
      </c>
      <c r="V7" s="5" cm="1">
        <f t="array" aca="1" ref="V7" ca="1">INDIRECT("'results" &amp; $B7 &amp; "'!W$14")</f>
        <v>58.666666666666657</v>
      </c>
      <c r="W7" s="5" cm="1">
        <f t="array" aca="1" ref="W7" ca="1">INDIRECT("'results" &amp; $B7 &amp; "'!X$14")</f>
        <v>1620.4549242923006</v>
      </c>
      <c r="X7" s="5" cm="1">
        <f t="array" aca="1" ref="X7" ca="1">INDIRECT("'results" &amp; $B7 &amp; "'!Y$14")</f>
        <v>39.97542829714741</v>
      </c>
      <c r="Y7" s="5" cm="1">
        <f t="array" aca="1" ref="Y7" ca="1">INDIRECT("'results" &amp; $B7 &amp; "'!Z$14")</f>
        <v>7046.6325668399231</v>
      </c>
      <c r="Z7" s="5"/>
    </row>
    <row r="8" spans="2:26" x14ac:dyDescent="0.2">
      <c r="B8" s="4">
        <v>539</v>
      </c>
      <c r="C8" s="5" cm="1">
        <f t="array" aca="1" ref="C8" ca="1">INDIRECT("'results" &amp; $B8 &amp; "'!D$14")</f>
        <v>1802440.607248253</v>
      </c>
      <c r="D8" s="33" cm="1">
        <f t="array" aca="1" ref="D8" ca="1">INDIRECT("'results" &amp; $B8 &amp; "'!E$14")</f>
        <v>166.85079364865118</v>
      </c>
      <c r="E8" s="5" cm="1">
        <f t="array" aca="1" ref="E8" ca="1">INDIRECT("'results" &amp; $B8 &amp; "'!F$14")</f>
        <v>10</v>
      </c>
      <c r="F8" s="5" cm="1">
        <f t="array" aca="1" ref="F8" ca="1">INDIRECT("'results" &amp; $B8 &amp; "'!G$14")</f>
        <v>72</v>
      </c>
      <c r="G8" s="5" cm="1">
        <f t="array" aca="1" ref="G8" ca="1">INDIRECT("'results" &amp; $B8 &amp; "'!H$14")</f>
        <v>1384.1625680186214</v>
      </c>
      <c r="H8" s="33" cm="1">
        <f t="array" aca="1" ref="H8" ca="1">INDIRECT("'results" &amp; $B8 &amp; "'!I$14")</f>
        <v>42.173102263451426</v>
      </c>
      <c r="I8" s="5" cm="1">
        <f t="array" aca="1" ref="I8" ca="1">INDIRECT("'results" &amp; $B8 &amp; "'!J$14")</f>
        <v>6487.7581407414382</v>
      </c>
      <c r="J8" s="5"/>
      <c r="K8" s="5" cm="1">
        <f t="array" aca="1" ref="K8" ca="1">INDIRECT("'results" &amp; $B8 &amp; "'!L$14")</f>
        <v>2069138.6110236531</v>
      </c>
      <c r="L8" s="5" cm="1">
        <f t="array" aca="1" ref="L8" ca="1">INDIRECT("'results" &amp; $B8 &amp; "'!M$14")</f>
        <v>291.3964274594627</v>
      </c>
      <c r="M8" s="5" cm="1">
        <f t="array" aca="1" ref="M8" ca="1">INDIRECT("'results" &amp; $B8 &amp; "'!N$14")</f>
        <v>13</v>
      </c>
      <c r="N8" s="5" cm="1">
        <f t="array" aca="1" ref="N8" ca="1">INDIRECT("'results" &amp; $B8 &amp; "'!O$14")</f>
        <v>56.666666666666657</v>
      </c>
      <c r="O8" s="5" cm="1">
        <f t="array" aca="1" ref="O8" ca="1">INDIRECT("'results" &amp; $B8 &amp; "'!P$14")</f>
        <v>1100.2728243383592</v>
      </c>
      <c r="P8" s="5" cm="1">
        <f t="array" aca="1" ref="P8" ca="1">INDIRECT("'results" &amp; $B8 &amp; "'!Q$14")</f>
        <v>23.741688966577389</v>
      </c>
      <c r="Q8" s="5" cm="1">
        <f t="array" aca="1" ref="Q8" ca="1">INDIRECT("'results" &amp; $B8 &amp; "'!R$14")</f>
        <v>5681.1492689867109</v>
      </c>
      <c r="R8" s="5"/>
      <c r="S8" s="5" cm="1">
        <f t="array" aca="1" ref="S8" ca="1">INDIRECT("'results" &amp; $B8 &amp; "'!T$14")</f>
        <v>2144556.0438279519</v>
      </c>
      <c r="T8" s="5" cm="1">
        <f t="array" aca="1" ref="T8" ca="1">INDIRECT("'results" &amp; $B8 &amp; "'!U$14")</f>
        <v>129.29786372972976</v>
      </c>
      <c r="U8" s="5" cm="1">
        <f t="array" aca="1" ref="U8" ca="1">INDIRECT("'results" &amp; $B8 &amp; "'!V$14")</f>
        <v>9</v>
      </c>
      <c r="V8" s="5" cm="1">
        <f t="array" aca="1" ref="V8" ca="1">INDIRECT("'results" &amp; $B8 &amp; "'!W$14")</f>
        <v>54.666666666666657</v>
      </c>
      <c r="W8" s="5" cm="1">
        <f t="array" aca="1" ref="W8" ca="1">INDIRECT("'results" &amp; $B8 &amp; "'!X$14")</f>
        <v>1656.1460291040448</v>
      </c>
      <c r="X8" s="5" cm="1">
        <f t="array" aca="1" ref="X8" ca="1">INDIRECT("'results" &amp; $B8 &amp; "'!Y$14")</f>
        <v>51.825430657844066</v>
      </c>
      <c r="Y8" s="5" cm="1">
        <f t="array" aca="1" ref="Y8" ca="1">INDIRECT("'results" &amp; $B8 &amp; "'!Z$14")</f>
        <v>7137.9385025601769</v>
      </c>
      <c r="Z8" s="5"/>
    </row>
    <row r="9" spans="2:26" x14ac:dyDescent="0.2">
      <c r="B9" s="4">
        <v>662</v>
      </c>
      <c r="C9" s="5" cm="1">
        <f t="array" aca="1" ref="C9" ca="1">INDIRECT("'results" &amp; $B9 &amp; "'!D$14")</f>
        <v>1811346.410727045</v>
      </c>
      <c r="D9" s="33" cm="1">
        <f t="array" aca="1" ref="D9" ca="1">INDIRECT("'results" &amp; $B9 &amp; "'!E$14")</f>
        <v>140.33616002702556</v>
      </c>
      <c r="E9" s="5" cm="1">
        <f t="array" aca="1" ref="E9" ca="1">INDIRECT("'results" &amp; $B9 &amp; "'!F$14")</f>
        <v>11</v>
      </c>
      <c r="F9" s="5" cm="1">
        <f t="array" aca="1" ref="F9" ca="1">INDIRECT("'results" &amp; $B9 &amp; "'!G$14")</f>
        <v>75.333333333333329</v>
      </c>
      <c r="G9" s="5" cm="1">
        <f t="array" aca="1" ref="G9" ca="1">INDIRECT("'results" &amp; $B9 &amp; "'!H$14")</f>
        <v>1599.7975617016828</v>
      </c>
      <c r="H9" s="33" cm="1">
        <f t="array" aca="1" ref="H9" ca="1">INDIRECT("'results" &amp; $B9 &amp; "'!I$14")</f>
        <v>30.789007524787099</v>
      </c>
      <c r="I9" s="5" cm="1">
        <f t="array" aca="1" ref="I9" ca="1">INDIRECT("'results" &amp; $B9 &amp; "'!J$14")</f>
        <v>6799.400531004917</v>
      </c>
      <c r="J9" s="5"/>
      <c r="K9" s="5" cm="1">
        <f t="array" aca="1" ref="K9" ca="1">INDIRECT("'results" &amp; $B9 &amp; "'!L$14")</f>
        <v>2028891.6809014031</v>
      </c>
      <c r="L9" s="5" cm="1">
        <f t="array" aca="1" ref="L9" ca="1">INDIRECT("'results" &amp; $B9 &amp; "'!M$14")</f>
        <v>186.56569783783885</v>
      </c>
      <c r="M9" s="5" cm="1">
        <f t="array" aca="1" ref="M9" ca="1">INDIRECT("'results" &amp; $B9 &amp; "'!N$14")</f>
        <v>11</v>
      </c>
      <c r="N9" s="5" cm="1">
        <f t="array" aca="1" ref="N9" ca="1">INDIRECT("'results" &amp; $B9 &amp; "'!O$14")</f>
        <v>59.333333333333343</v>
      </c>
      <c r="O9" s="5" cm="1">
        <f t="array" aca="1" ref="O9" ca="1">INDIRECT("'results" &amp; $B9 &amp; "'!P$14")</f>
        <v>1206.8954283817657</v>
      </c>
      <c r="P9" s="5" cm="1">
        <f t="array" aca="1" ref="P9" ca="1">INDIRECT("'results" &amp; $B9 &amp; "'!Q$14")</f>
        <v>21.103693934915377</v>
      </c>
      <c r="Q9" s="5" cm="1">
        <f t="array" aca="1" ref="Q9" ca="1">INDIRECT("'results" &amp; $B9 &amp; "'!R$14")</f>
        <v>6109.8955087604618</v>
      </c>
      <c r="R9" s="5"/>
      <c r="S9" s="5" cm="1">
        <f t="array" aca="1" ref="S9" ca="1">INDIRECT("'results" &amp; $B9 &amp; "'!T$14")</f>
        <v>2104670.4507145849</v>
      </c>
      <c r="T9" s="5" cm="1">
        <f t="array" aca="1" ref="T9" ca="1">INDIRECT("'results" &amp; $B9 &amp; "'!U$14")</f>
        <v>113.32374927026966</v>
      </c>
      <c r="U9" s="5" cm="1">
        <f t="array" aca="1" ref="U9" ca="1">INDIRECT("'results" &amp; $B9 &amp; "'!V$14")</f>
        <v>10</v>
      </c>
      <c r="V9" s="5" cm="1">
        <f t="array" aca="1" ref="V9" ca="1">INDIRECT("'results" &amp; $B9 &amp; "'!W$14")</f>
        <v>58.666666666666657</v>
      </c>
      <c r="W9" s="5" cm="1">
        <f t="array" aca="1" ref="W9" ca="1">INDIRECT("'results" &amp; $B9 &amp; "'!X$14")</f>
        <v>1614.0233996955549</v>
      </c>
      <c r="X9" s="5" cm="1">
        <f t="array" aca="1" ref="X9" ca="1">INDIRECT("'results" &amp; $B9 &amp; "'!Y$14")</f>
        <v>36.700282965382371</v>
      </c>
      <c r="Y9" s="5" cm="1">
        <f t="array" aca="1" ref="Y9" ca="1">INDIRECT("'results" &amp; $B9 &amp; "'!Z$14")</f>
        <v>7006.3111088668138</v>
      </c>
      <c r="Z9" s="5"/>
    </row>
    <row r="10" spans="2:26" x14ac:dyDescent="0.2">
      <c r="B10" s="4">
        <v>713</v>
      </c>
      <c r="C10" s="5" cm="1">
        <f t="array" aca="1" ref="C10" ca="1">INDIRECT("'results" &amp; $B10 &amp; "'!D$14")</f>
        <v>1696751.6127685329</v>
      </c>
      <c r="D10" s="33" cm="1">
        <f t="array" aca="1" ref="D10" ca="1">INDIRECT("'results" &amp; $B10 &amp; "'!E$14")</f>
        <v>284.11265840540756</v>
      </c>
      <c r="E10" s="5" cm="1">
        <f t="array" aca="1" ref="E10" ca="1">INDIRECT("'results" &amp; $B10 &amp; "'!F$14")</f>
        <v>10</v>
      </c>
      <c r="F10" s="5" cm="1">
        <f t="array" aca="1" ref="F10" ca="1">INDIRECT("'results" &amp; $B10 &amp; "'!G$14")</f>
        <v>82</v>
      </c>
      <c r="G10" s="5" cm="1">
        <f t="array" aca="1" ref="G10" ca="1">INDIRECT("'results" &amp; $B10 &amp; "'!H$14")</f>
        <v>1647.5928382943287</v>
      </c>
      <c r="H10" s="33" cm="1">
        <f t="array" aca="1" ref="H10" ca="1">INDIRECT("'results" &amp; $B10 &amp; "'!I$14")</f>
        <v>40.631640169438739</v>
      </c>
      <c r="I10" s="5" cm="1">
        <f t="array" aca="1" ref="I10" ca="1">INDIRECT("'results" &amp; $B10 &amp; "'!J$14")</f>
        <v>7037.3755498544742</v>
      </c>
      <c r="J10" s="5"/>
      <c r="K10" s="5" cm="1">
        <f t="array" aca="1" ref="K10" ca="1">INDIRECT("'results" &amp; $B10 &amp; "'!L$14")</f>
        <v>1993155.449039029</v>
      </c>
      <c r="L10" s="5" cm="1">
        <f t="array" aca="1" ref="L10" ca="1">INDIRECT("'results" &amp; $B10 &amp; "'!M$14")</f>
        <v>308.86235897297132</v>
      </c>
      <c r="M10" s="5" cm="1">
        <f t="array" aca="1" ref="M10" ca="1">INDIRECT("'results" &amp; $B10 &amp; "'!N$14")</f>
        <v>16</v>
      </c>
      <c r="N10" s="5" cm="1">
        <f t="array" aca="1" ref="N10" ca="1">INDIRECT("'results" &amp; $B10 &amp; "'!O$14")</f>
        <v>66</v>
      </c>
      <c r="O10" s="5" cm="1">
        <f t="array" aca="1" ref="O10" ca="1">INDIRECT("'results" &amp; $B10 &amp; "'!P$14")</f>
        <v>1379.0616253402943</v>
      </c>
      <c r="P10" s="5" cm="1">
        <f t="array" aca="1" ref="P10" ca="1">INDIRECT("'results" &amp; $B10 &amp; "'!Q$14")</f>
        <v>20.092751714924155</v>
      </c>
      <c r="Q10" s="5" cm="1">
        <f t="array" aca="1" ref="Q10" ca="1">INDIRECT("'results" &amp; $B10 &amp; "'!R$14")</f>
        <v>6122.1502558540533</v>
      </c>
      <c r="R10" s="5"/>
      <c r="S10" s="5" cm="1">
        <f t="array" aca="1" ref="S10" ca="1">INDIRECT("'results" &amp; $B10 &amp; "'!T$14")</f>
        <v>2040762.495630397</v>
      </c>
      <c r="T10" s="5" cm="1">
        <f t="array" aca="1" ref="T10" ca="1">INDIRECT("'results" &amp; $B10 &amp; "'!U$14")</f>
        <v>260.85383754054072</v>
      </c>
      <c r="U10" s="5" cm="1">
        <f t="array" aca="1" ref="U10" ca="1">INDIRECT("'results" &amp; $B10 &amp; "'!V$14")</f>
        <v>10</v>
      </c>
      <c r="V10" s="5" cm="1">
        <f t="array" aca="1" ref="V10" ca="1">INDIRECT("'results" &amp; $B10 &amp; "'!W$14")</f>
        <v>64</v>
      </c>
      <c r="W10" s="5" cm="1">
        <f t="array" aca="1" ref="W10" ca="1">INDIRECT("'results" &amp; $B10 &amp; "'!X$14")</f>
        <v>1950.9981377895783</v>
      </c>
      <c r="X10" s="5" cm="1">
        <f t="array" aca="1" ref="X10" ca="1">INDIRECT("'results" &amp; $B10 &amp; "'!Y$14")</f>
        <v>46.509734923275033</v>
      </c>
      <c r="Y10" s="5" cm="1">
        <f t="array" aca="1" ref="Y10" ca="1">INDIRECT("'results" &amp; $B10 &amp; "'!Z$14")</f>
        <v>7313.3034226840828</v>
      </c>
      <c r="Z10" s="5"/>
    </row>
    <row r="11" spans="2:26" x14ac:dyDescent="0.2">
      <c r="B11" s="4">
        <v>740</v>
      </c>
      <c r="C11" s="5" cm="1">
        <f t="array" aca="1" ref="C11" ca="1">INDIRECT("'results" &amp; $B11 &amp; "'!D$14")</f>
        <v>1919962.71010217</v>
      </c>
      <c r="D11" s="33" cm="1">
        <f t="array" aca="1" ref="D11" ca="1">INDIRECT("'results" &amp; $B11 &amp; "'!E$14")</f>
        <v>221.32729735134981</v>
      </c>
      <c r="E11" s="5" cm="1">
        <f t="array" aca="1" ref="E11" ca="1">INDIRECT("'results" &amp; $B11 &amp; "'!F$14")</f>
        <v>11</v>
      </c>
      <c r="F11" s="5" cm="1">
        <f t="array" aca="1" ref="F11" ca="1">INDIRECT("'results" &amp; $B11 &amp; "'!G$14")</f>
        <v>70</v>
      </c>
      <c r="G11" s="5" cm="1">
        <f t="array" aca="1" ref="G11" ca="1">INDIRECT("'results" &amp; $B11 &amp; "'!H$14")</f>
        <v>1607.2549849711968</v>
      </c>
      <c r="H11" s="33" cm="1">
        <f t="array" aca="1" ref="H11" ca="1">INDIRECT("'results" &amp; $B11 &amp; "'!I$14")</f>
        <v>29.228592360049809</v>
      </c>
      <c r="I11" s="5" cm="1">
        <f t="array" aca="1" ref="I11" ca="1">INDIRECT("'results" &amp; $B11 &amp; "'!J$14")</f>
        <v>7049.9468134045919</v>
      </c>
      <c r="J11" s="5"/>
      <c r="K11" s="5" cm="1">
        <f t="array" aca="1" ref="K11" ca="1">INDIRECT("'results" &amp; $B11 &amp; "'!L$14")</f>
        <v>2123001.8900593342</v>
      </c>
      <c r="L11" s="5" cm="1">
        <f t="array" aca="1" ref="L11" ca="1">INDIRECT("'results" &amp; $B11 &amp; "'!M$14")</f>
        <v>214.614739405405</v>
      </c>
      <c r="M11" s="5" cm="1">
        <f t="array" aca="1" ref="M11" ca="1">INDIRECT("'results" &amp; $B11 &amp; "'!N$14")</f>
        <v>15</v>
      </c>
      <c r="N11" s="5" cm="1">
        <f t="array" aca="1" ref="N11" ca="1">INDIRECT("'results" &amp; $B11 &amp; "'!O$14")</f>
        <v>58.666666666666657</v>
      </c>
      <c r="O11" s="5" cm="1">
        <f t="array" aca="1" ref="O11" ca="1">INDIRECT("'results" &amp; $B11 &amp; "'!P$14")</f>
        <v>1462.1711585859459</v>
      </c>
      <c r="P11" s="5" cm="1">
        <f t="array" aca="1" ref="P11" ca="1">INDIRECT("'results" &amp; $B11 &amp; "'!Q$14")</f>
        <v>16.438537032359587</v>
      </c>
      <c r="Q11" s="5" cm="1">
        <f t="array" aca="1" ref="Q11" ca="1">INDIRECT("'results" &amp; $B11 &amp; "'!R$14")</f>
        <v>6207.7566674090813</v>
      </c>
      <c r="R11" s="5"/>
      <c r="S11" s="5" cm="1">
        <f t="array" aca="1" ref="S11" ca="1">INDIRECT("'results" &amp; $B11 &amp; "'!T$14")</f>
        <v>2240232.7686519958</v>
      </c>
      <c r="T11" s="5" cm="1">
        <f t="array" aca="1" ref="T11" ca="1">INDIRECT("'results" &amp; $B11 &amp; "'!U$14")</f>
        <v>355.42541081081077</v>
      </c>
      <c r="U11" s="5" cm="1">
        <f t="array" aca="1" ref="U11" ca="1">INDIRECT("'results" &amp; $B11 &amp; "'!V$14")</f>
        <v>10</v>
      </c>
      <c r="V11" s="5" cm="1">
        <f t="array" aca="1" ref="V11" ca="1">INDIRECT("'results" &amp; $B11 &amp; "'!W$14")</f>
        <v>52</v>
      </c>
      <c r="W11" s="5" cm="1">
        <f t="array" aca="1" ref="W11" ca="1">INDIRECT("'results" &amp; $B11 &amp; "'!X$14")</f>
        <v>1826.8628912185693</v>
      </c>
      <c r="X11" s="5" cm="1">
        <f t="array" aca="1" ref="X11" ca="1">INDIRECT("'results" &amp; $B11 &amp; "'!Y$14")</f>
        <v>35.260831866515751</v>
      </c>
      <c r="Y11" s="5" cm="1">
        <f t="array" aca="1" ref="Y11" ca="1">INDIRECT("'results" &amp; $B11 &amp; "'!Z$14")</f>
        <v>7399.2193930603053</v>
      </c>
      <c r="Z11" s="5"/>
    </row>
    <row r="12" spans="2:26" x14ac:dyDescent="0.2">
      <c r="B12" s="4">
        <v>752</v>
      </c>
      <c r="C12" s="5" cm="1">
        <f t="array" aca="1" ref="C12" ca="1">INDIRECT("'results" &amp; $B12 &amp; "'!D$14")</f>
        <v>1736040.410439004</v>
      </c>
      <c r="D12" s="33" cm="1">
        <f t="array" aca="1" ref="D12" ca="1">INDIRECT("'results" &amp; $B12 &amp; "'!E$14")</f>
        <v>102.80827064864727</v>
      </c>
      <c r="E12" s="5" cm="1">
        <f t="array" aca="1" ref="E12" ca="1">INDIRECT("'results" &amp; $B12 &amp; "'!F$14")</f>
        <v>10</v>
      </c>
      <c r="F12" s="5" cm="1">
        <f t="array" aca="1" ref="F12" ca="1">INDIRECT("'results" &amp; $B12 &amp; "'!G$14")</f>
        <v>76.666666666666671</v>
      </c>
      <c r="G12" s="5" cm="1">
        <f t="array" aca="1" ref="G12" ca="1">INDIRECT("'results" &amp; $B12 &amp; "'!H$14")</f>
        <v>1412.947660075205</v>
      </c>
      <c r="H12" s="33" cm="1">
        <f t="array" aca="1" ref="H12" ca="1">INDIRECT("'results" &amp; $B12 &amp; "'!I$14")</f>
        <v>39.210008164391297</v>
      </c>
      <c r="I12" s="5" cm="1">
        <f t="array" aca="1" ref="I12" ca="1">INDIRECT("'results" &amp; $B12 &amp; "'!J$14")</f>
        <v>6526.083747397608</v>
      </c>
      <c r="J12" s="5"/>
      <c r="K12" s="5" cm="1">
        <f t="array" aca="1" ref="K12" ca="1">INDIRECT("'results" &amp; $B12 &amp; "'!L$14")</f>
        <v>1987678.0751236789</v>
      </c>
      <c r="L12" s="5" cm="1">
        <f t="array" aca="1" ref="L12" ca="1">INDIRECT("'results" &amp; $B12 &amp; "'!M$14")</f>
        <v>189.80152110811449</v>
      </c>
      <c r="M12" s="5" cm="1">
        <f t="array" aca="1" ref="M12" ca="1">INDIRECT("'results" &amp; $B12 &amp; "'!N$14")</f>
        <v>13</v>
      </c>
      <c r="N12" s="5" cm="1">
        <f t="array" aca="1" ref="N12" ca="1">INDIRECT("'results" &amp; $B12 &amp; "'!O$14")</f>
        <v>61.333333333333343</v>
      </c>
      <c r="O12" s="5" cm="1">
        <f t="array" aca="1" ref="O12" ca="1">INDIRECT("'results" &amp; $B12 &amp; "'!P$14")</f>
        <v>871.12250144507186</v>
      </c>
      <c r="P12" s="5" cm="1">
        <f t="array" aca="1" ref="P12" ca="1">INDIRECT("'results" &amp; $B12 &amp; "'!Q$14")</f>
        <v>22.833155624402934</v>
      </c>
      <c r="Q12" s="5" cm="1">
        <f t="array" aca="1" ref="Q12" ca="1">INDIRECT("'results" &amp; $B12 &amp; "'!R$14")</f>
        <v>5781.0961761892831</v>
      </c>
      <c r="R12" s="5"/>
      <c r="S12" s="5" cm="1">
        <f t="array" aca="1" ref="S12" ca="1">INDIRECT("'results" &amp; $B12 &amp; "'!T$14")</f>
        <v>2083329.5458378531</v>
      </c>
      <c r="T12" s="5" cm="1">
        <f t="array" aca="1" ref="T12" ca="1">INDIRECT("'results" &amp; $B12 &amp; "'!U$14")</f>
        <v>270.67580848648703</v>
      </c>
      <c r="U12" s="5" cm="1">
        <f t="array" aca="1" ref="U12" ca="1">INDIRECT("'results" &amp; $B12 &amp; "'!V$14")</f>
        <v>10</v>
      </c>
      <c r="V12" s="5" cm="1">
        <f t="array" aca="1" ref="V12" ca="1">INDIRECT("'results" &amp; $B12 &amp; "'!W$14")</f>
        <v>60.666666666666657</v>
      </c>
      <c r="W12" s="5" cm="1">
        <f t="array" aca="1" ref="W12" ca="1">INDIRECT("'results" &amp; $B12 &amp; "'!X$14")</f>
        <v>1598.7965993019188</v>
      </c>
      <c r="X12" s="5" cm="1">
        <f t="array" aca="1" ref="X12" ca="1">INDIRECT("'results" &amp; $B12 &amp; "'!Y$14")</f>
        <v>44.318582462847793</v>
      </c>
      <c r="Y12" s="5" cm="1">
        <f t="array" aca="1" ref="Y12" ca="1">INDIRECT("'results" &amp; $B12 &amp; "'!Z$14")</f>
        <v>7032.3906374359367</v>
      </c>
      <c r="Z12" s="5"/>
    </row>
    <row r="13" spans="2:26" x14ac:dyDescent="0.2">
      <c r="B13" s="8" t="s">
        <v>3</v>
      </c>
      <c r="C13" s="9">
        <f ca="1">AVERAGE(C3:C12)</f>
        <v>1759768.3652446661</v>
      </c>
      <c r="D13" s="10">
        <f t="shared" ref="D13:I13" ca="1" si="0">AVERAGE(D3:D12)</f>
        <v>168.02216994864915</v>
      </c>
      <c r="E13" s="9">
        <f t="shared" ca="1" si="0"/>
        <v>10.6</v>
      </c>
      <c r="F13" s="9">
        <f t="shared" ca="1" si="0"/>
        <v>76.933333333333323</v>
      </c>
      <c r="G13" s="9">
        <f t="shared" ca="1" si="0"/>
        <v>1523.3667213144331</v>
      </c>
      <c r="H13" s="10">
        <f t="shared" ca="1" si="0"/>
        <v>38.03006521246683</v>
      </c>
      <c r="I13" s="9">
        <f t="shared" ca="1" si="0"/>
        <v>6786.6487834805348</v>
      </c>
      <c r="J13" s="32" t="e">
        <f ca="1">(C13-$D$15)/$D$15</f>
        <v>#DIV/0!</v>
      </c>
      <c r="K13" s="16">
        <f ca="1">AVERAGE(K3:K12)</f>
        <v>2019442.1945211652</v>
      </c>
      <c r="L13" s="42">
        <f t="shared" ref="L13:Q13" ca="1" si="1">AVERAGE(L3:L12)</f>
        <v>220.42186547297439</v>
      </c>
      <c r="M13" s="16">
        <f t="shared" ca="1" si="1"/>
        <v>14.7</v>
      </c>
      <c r="N13" s="16">
        <f ca="1">AVERAGE(N3:N12)</f>
        <v>62.266666666666673</v>
      </c>
      <c r="O13" s="16">
        <f t="shared" ca="1" si="1"/>
        <v>1222.0824168603954</v>
      </c>
      <c r="P13" s="42">
        <f t="shared" ca="1" si="1"/>
        <v>20.3598233156902</v>
      </c>
      <c r="Q13" s="16">
        <f t="shared" ca="1" si="1"/>
        <v>5950.8154680443931</v>
      </c>
      <c r="R13" s="43" t="e">
        <f ca="1">(K13-$D$15)/$D$15</f>
        <v>#DIV/0!</v>
      </c>
      <c r="S13" s="38">
        <f ca="1">AVERAGE(S3:S12)</f>
        <v>2098322.2589542572</v>
      </c>
      <c r="T13" s="44">
        <f t="shared" ref="T13:Y13" ca="1" si="2">AVERAGE(T3:T12)</f>
        <v>184.64993993783781</v>
      </c>
      <c r="U13" s="38">
        <f t="shared" ca="1" si="2"/>
        <v>10.199999999999999</v>
      </c>
      <c r="V13" s="38">
        <f t="shared" ca="1" si="2"/>
        <v>58.733333333333327</v>
      </c>
      <c r="W13" s="38">
        <f t="shared" ca="1" si="2"/>
        <v>1669.8186753836076</v>
      </c>
      <c r="X13" s="44">
        <f t="shared" ca="1" si="2"/>
        <v>44.00625143323758</v>
      </c>
      <c r="Y13" s="38">
        <f t="shared" ca="1" si="2"/>
        <v>7107.2435954330986</v>
      </c>
      <c r="Z13" s="45" t="e">
        <f ca="1">(S13-$D$15)/$D$15</f>
        <v>#DIV/0!</v>
      </c>
    </row>
    <row r="14" spans="2:26" x14ac:dyDescent="0.2">
      <c r="K14" s="46">
        <f ca="1">(K13-C13)/C13</f>
        <v>0.14756136910120887</v>
      </c>
      <c r="L14" s="46">
        <f t="shared" ref="L14:Q14" ca="1" si="3">(L13-D13)/D13</f>
        <v>0.31186179502585643</v>
      </c>
      <c r="M14" s="46">
        <f t="shared" ca="1" si="3"/>
        <v>0.38679245283018865</v>
      </c>
      <c r="N14" s="46">
        <f t="shared" ca="1" si="3"/>
        <v>-0.19064124783362199</v>
      </c>
      <c r="O14" s="46">
        <f t="shared" ca="1" si="3"/>
        <v>-0.19777529615067035</v>
      </c>
      <c r="P14" s="46">
        <f t="shared" ca="1" si="3"/>
        <v>-0.4646387482655186</v>
      </c>
      <c r="Q14" s="46">
        <f t="shared" ca="1" si="3"/>
        <v>-0.12315847513291889</v>
      </c>
      <c r="S14" s="46">
        <f ca="1">(S13-C13)/C13</f>
        <v>0.1923854868606647</v>
      </c>
      <c r="T14" s="46">
        <f t="shared" ref="T14:Y14" ca="1" si="4">(T13-D13)/D13</f>
        <v>9.8961761976234658E-2</v>
      </c>
      <c r="U14" s="46">
        <f t="shared" ca="1" si="4"/>
        <v>-3.7735849056603807E-2</v>
      </c>
      <c r="V14" s="46">
        <f ca="1">(V13-F13)/F13</f>
        <v>-0.23656845753899478</v>
      </c>
      <c r="W14" s="46">
        <f t="shared" ca="1" si="4"/>
        <v>9.6137031234874798E-2</v>
      </c>
      <c r="X14" s="46">
        <f t="shared" ca="1" si="4"/>
        <v>0.15714372792638981</v>
      </c>
      <c r="Y14" s="46">
        <f t="shared" ca="1" si="4"/>
        <v>4.7239045688194078E-2</v>
      </c>
    </row>
    <row r="16" spans="2:26" x14ac:dyDescent="0.2">
      <c r="B16" s="1" t="s">
        <v>21</v>
      </c>
      <c r="C16">
        <f ca="1">_xlfn.STDEV.S(C3:C12)</f>
        <v>91662.459459656064</v>
      </c>
      <c r="J16" s="1" t="s">
        <v>21</v>
      </c>
      <c r="K16">
        <f ca="1">_xlfn.STDEV.S(K3:K12)</f>
        <v>63747.031219414421</v>
      </c>
      <c r="R16" s="1" t="s">
        <v>21</v>
      </c>
      <c r="S16">
        <f ca="1">_xlfn.STDEV.S(S3:S12)</f>
        <v>86441.195537264663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CE69-B9CC-471E-ABBA-044C0A8D9FDE}">
  <dimension ref="B1:AA17"/>
  <sheetViews>
    <sheetView zoomScale="90" zoomScaleNormal="90" workbookViewId="0">
      <selection activeCell="A19" sqref="A19:XFD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-0.98654289419382502</v>
      </c>
      <c r="J2" s="28" t="e">
        <f>(S14-J14)/J14</f>
        <v>#DIV/0!</v>
      </c>
      <c r="K2" s="28"/>
      <c r="L2" s="1" t="s">
        <v>19</v>
      </c>
      <c r="P2" s="1">
        <f>(P14-H14)/H14</f>
        <v>-0.16585197907661134</v>
      </c>
      <c r="R2" s="1">
        <f>(R14-J14)/J14</f>
        <v>-0.104348681086651</v>
      </c>
      <c r="T2" s="1" t="s">
        <v>20</v>
      </c>
      <c r="X2" s="1">
        <f>(X14-P14)/P14</f>
        <v>0.21791397547521169</v>
      </c>
      <c r="Z2" s="1">
        <f>(Z14-R14)/R14</f>
        <v>0.14097837686994799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130</v>
      </c>
      <c r="D4" s="23">
        <v>1859167.427591264</v>
      </c>
      <c r="E4" s="33">
        <v>249.43616537838179</v>
      </c>
      <c r="F4" s="5">
        <v>11</v>
      </c>
      <c r="G4" s="23">
        <v>69.333333333333329</v>
      </c>
      <c r="H4" s="33">
        <v>1238.2779527553184</v>
      </c>
      <c r="I4" s="23">
        <v>34.483550511911069</v>
      </c>
      <c r="J4" s="5">
        <v>6631.2006469028875</v>
      </c>
      <c r="K4" s="31"/>
      <c r="L4" s="23">
        <v>2119762.3793229288</v>
      </c>
      <c r="M4" s="33">
        <v>94.858406864864136</v>
      </c>
      <c r="N4" s="5">
        <v>15</v>
      </c>
      <c r="O4" s="5">
        <v>58</v>
      </c>
      <c r="P4" s="33">
        <v>1090.3370457561618</v>
      </c>
      <c r="Q4" s="5">
        <v>18.725463422309883</v>
      </c>
      <c r="R4" s="5">
        <v>6161.9587953074733</v>
      </c>
      <c r="S4" s="35"/>
      <c r="T4" s="23">
        <v>2144068.808611955</v>
      </c>
      <c r="U4" s="33">
        <v>104.06367194594597</v>
      </c>
      <c r="V4" s="5">
        <v>10</v>
      </c>
      <c r="W4" s="5">
        <v>55.333333333333343</v>
      </c>
      <c r="X4" s="33">
        <v>1551.3336487355682</v>
      </c>
      <c r="Y4" s="5">
        <v>42.156448180281288</v>
      </c>
      <c r="Z4" s="5">
        <v>7053.8766065353484</v>
      </c>
      <c r="AA4" s="35"/>
    </row>
    <row r="5" spans="2:27" x14ac:dyDescent="0.2">
      <c r="B5" s="4">
        <v>2</v>
      </c>
      <c r="C5" s="4">
        <v>356</v>
      </c>
      <c r="D5" s="23">
        <v>1870712.8797420389</v>
      </c>
      <c r="E5" s="33">
        <v>105.39479424324313</v>
      </c>
      <c r="F5" s="5">
        <v>11</v>
      </c>
      <c r="G5" s="23">
        <v>70</v>
      </c>
      <c r="H5" s="33">
        <v>1416.457518683135</v>
      </c>
      <c r="I5" s="23">
        <v>35.022506635082607</v>
      </c>
      <c r="J5" s="5">
        <v>6765.5262231871893</v>
      </c>
      <c r="K5" s="31"/>
      <c r="L5" s="23">
        <v>2101283.5149528622</v>
      </c>
      <c r="M5" s="33">
        <v>213.79561021621575</v>
      </c>
      <c r="N5" s="5">
        <v>15</v>
      </c>
      <c r="O5" s="5">
        <v>60</v>
      </c>
      <c r="P5" s="33">
        <v>1449.8768688318989</v>
      </c>
      <c r="Q5" s="5">
        <v>20.280996599825844</v>
      </c>
      <c r="R5" s="5">
        <v>6254.8160710392222</v>
      </c>
      <c r="S5" s="35"/>
      <c r="T5" s="23">
        <v>2233003.4784929589</v>
      </c>
      <c r="U5" s="33">
        <v>83.407732000000024</v>
      </c>
      <c r="V5" s="5">
        <v>8</v>
      </c>
      <c r="W5" s="5">
        <v>47.333333333333343</v>
      </c>
      <c r="X5" s="33">
        <v>1290.5249052053207</v>
      </c>
      <c r="Y5" s="5">
        <v>45.540642838102599</v>
      </c>
      <c r="Z5" s="5">
        <v>6933.6879606165476</v>
      </c>
      <c r="AA5" s="35"/>
    </row>
    <row r="6" spans="2:27" x14ac:dyDescent="0.2">
      <c r="B6" s="4">
        <v>3</v>
      </c>
      <c r="C6" s="4">
        <v>436</v>
      </c>
      <c r="D6" s="23">
        <v>1853360.678873823</v>
      </c>
      <c r="E6" s="33">
        <v>113.17108716216329</v>
      </c>
      <c r="F6" s="5">
        <v>10</v>
      </c>
      <c r="G6" s="23">
        <v>72</v>
      </c>
      <c r="H6" s="33">
        <v>1592.2384352274516</v>
      </c>
      <c r="I6" s="23">
        <v>39.031361442029393</v>
      </c>
      <c r="J6" s="5">
        <v>6942.3224497891979</v>
      </c>
      <c r="K6" s="31"/>
      <c r="L6" s="23">
        <v>2132873.424936479</v>
      </c>
      <c r="M6" s="33">
        <v>199.78221332432537</v>
      </c>
      <c r="N6" s="5">
        <v>11</v>
      </c>
      <c r="O6" s="5">
        <v>51.333333333333343</v>
      </c>
      <c r="P6" s="33">
        <v>939.49956141983034</v>
      </c>
      <c r="Q6" s="5">
        <v>22.240717228927647</v>
      </c>
      <c r="R6" s="5">
        <v>5812.109812280085</v>
      </c>
      <c r="S6" s="35"/>
      <c r="T6" s="23">
        <v>2153510.4136884431</v>
      </c>
      <c r="U6" s="33">
        <v>123.46867502702702</v>
      </c>
      <c r="V6" s="5">
        <v>10</v>
      </c>
      <c r="W6" s="5">
        <v>56</v>
      </c>
      <c r="X6" s="33">
        <v>1637.6175011129769</v>
      </c>
      <c r="Y6" s="5">
        <v>42.748265544057332</v>
      </c>
      <c r="Z6" s="5">
        <v>7218.7436532540387</v>
      </c>
      <c r="AA6" s="35"/>
    </row>
    <row r="7" spans="2:27" x14ac:dyDescent="0.2">
      <c r="B7" s="4">
        <v>4</v>
      </c>
      <c r="C7" s="4">
        <v>441</v>
      </c>
      <c r="D7" s="23">
        <v>1872315.394826994</v>
      </c>
      <c r="E7" s="33">
        <v>170.04052643243355</v>
      </c>
      <c r="F7" s="5">
        <v>10</v>
      </c>
      <c r="G7" s="23">
        <v>71.333333333333329</v>
      </c>
      <c r="H7" s="33">
        <v>1489.5840291880454</v>
      </c>
      <c r="I7" s="23">
        <v>37.130212459011453</v>
      </c>
      <c r="J7" s="5">
        <v>7077.2779679273353</v>
      </c>
      <c r="K7" s="31"/>
      <c r="L7" s="23">
        <v>2136635.6176423919</v>
      </c>
      <c r="M7" s="33">
        <v>134.44842162162121</v>
      </c>
      <c r="N7" s="5">
        <v>14</v>
      </c>
      <c r="O7" s="5">
        <v>55.333333333333343</v>
      </c>
      <c r="P7" s="33">
        <v>1085.5119144006385</v>
      </c>
      <c r="Q7" s="5">
        <v>20.343219378493778</v>
      </c>
      <c r="R7" s="5">
        <v>5999.2411458861625</v>
      </c>
      <c r="S7" s="35"/>
      <c r="T7" s="23">
        <v>2154395.1778941811</v>
      </c>
      <c r="U7" s="33">
        <v>149.70821191891886</v>
      </c>
      <c r="V7" s="5">
        <v>9</v>
      </c>
      <c r="W7" s="5">
        <v>53.333333333333343</v>
      </c>
      <c r="X7" s="33">
        <v>1480.9204931638774</v>
      </c>
      <c r="Y7" s="5">
        <v>45.341724853666967</v>
      </c>
      <c r="Z7" s="5">
        <v>6963.6775088297709</v>
      </c>
      <c r="AA7" s="35"/>
    </row>
    <row r="8" spans="2:27" x14ac:dyDescent="0.2">
      <c r="B8" s="4">
        <v>5</v>
      </c>
      <c r="C8" s="4">
        <v>449</v>
      </c>
      <c r="D8" s="23">
        <v>1852462.7968486981</v>
      </c>
      <c r="E8" s="33">
        <v>114.76350221621672</v>
      </c>
      <c r="F8" s="5">
        <v>10</v>
      </c>
      <c r="G8" s="23">
        <v>71.333333333333329</v>
      </c>
      <c r="H8" s="33">
        <v>1473.3505962921304</v>
      </c>
      <c r="I8" s="23">
        <v>37.77072386718033</v>
      </c>
      <c r="J8" s="5">
        <v>6829.4858079948617</v>
      </c>
      <c r="K8" s="31"/>
      <c r="L8" s="23">
        <v>2112818.955404765</v>
      </c>
      <c r="M8" s="33">
        <v>89.685717351349993</v>
      </c>
      <c r="N8" s="5">
        <v>12</v>
      </c>
      <c r="O8" s="5">
        <v>54.666666666666657</v>
      </c>
      <c r="P8" s="33">
        <v>1065.2368516615263</v>
      </c>
      <c r="Q8" s="5">
        <v>22.331416317088213</v>
      </c>
      <c r="R8" s="5">
        <v>5971.59176601746</v>
      </c>
      <c r="S8" s="35"/>
      <c r="T8" s="23">
        <v>2215707.9164740541</v>
      </c>
      <c r="U8" s="33">
        <v>276.61156345945943</v>
      </c>
      <c r="V8" s="5">
        <v>10</v>
      </c>
      <c r="W8" s="5">
        <v>52</v>
      </c>
      <c r="X8" s="33">
        <v>1700.0864833506278</v>
      </c>
      <c r="Y8" s="5">
        <v>41.518718972577389</v>
      </c>
      <c r="Z8" s="5">
        <v>7219.6337159249961</v>
      </c>
      <c r="AA8" s="35"/>
    </row>
    <row r="9" spans="2:27" x14ac:dyDescent="0.2">
      <c r="B9" s="4">
        <v>6</v>
      </c>
      <c r="C9" s="4">
        <v>525</v>
      </c>
      <c r="D9" s="23">
        <v>1851992.734480272</v>
      </c>
      <c r="E9" s="33">
        <v>168.12394213513471</v>
      </c>
      <c r="F9" s="5">
        <v>10</v>
      </c>
      <c r="G9" s="23">
        <v>72</v>
      </c>
      <c r="H9" s="33">
        <v>1518.3004158742469</v>
      </c>
      <c r="I9" s="23">
        <v>38.284602452748032</v>
      </c>
      <c r="J9" s="5">
        <v>6891.6000628764195</v>
      </c>
      <c r="K9" s="31"/>
      <c r="L9" s="23">
        <v>2130119.863288336</v>
      </c>
      <c r="M9" s="33">
        <v>113.861258216218</v>
      </c>
      <c r="N9" s="5">
        <v>15</v>
      </c>
      <c r="O9" s="5">
        <v>59.333333333333343</v>
      </c>
      <c r="P9" s="33">
        <v>1328.7845701720323</v>
      </c>
      <c r="Q9" s="5">
        <v>19.671741635525436</v>
      </c>
      <c r="R9" s="5">
        <v>6329.5587691735645</v>
      </c>
      <c r="S9" s="35"/>
      <c r="T9" s="23">
        <v>2150636.590901453</v>
      </c>
      <c r="U9" s="33">
        <v>222.44736972972967</v>
      </c>
      <c r="V9" s="5">
        <v>9</v>
      </c>
      <c r="W9" s="5">
        <v>54</v>
      </c>
      <c r="X9" s="33">
        <v>1558.4438133213864</v>
      </c>
      <c r="Y9" s="5">
        <v>46.758813677633036</v>
      </c>
      <c r="Z9" s="5">
        <v>7093.4264896158202</v>
      </c>
      <c r="AA9" s="35"/>
    </row>
    <row r="10" spans="2:27" x14ac:dyDescent="0.2">
      <c r="B10" s="4">
        <v>7</v>
      </c>
      <c r="C10" s="4">
        <v>548</v>
      </c>
      <c r="D10" s="23">
        <v>1851939.5520896879</v>
      </c>
      <c r="E10" s="33">
        <v>203.73867054053775</v>
      </c>
      <c r="F10" s="5">
        <v>10</v>
      </c>
      <c r="G10" s="23">
        <v>73.333333333333329</v>
      </c>
      <c r="H10" s="33">
        <v>1621.2783125312917</v>
      </c>
      <c r="I10" s="23">
        <v>38.824474540480338</v>
      </c>
      <c r="J10" s="5">
        <v>7062.4094109863763</v>
      </c>
      <c r="K10" s="31"/>
      <c r="L10" s="23">
        <v>2098355.9157928871</v>
      </c>
      <c r="M10" s="33">
        <v>148.64547454054323</v>
      </c>
      <c r="N10" s="5">
        <v>14</v>
      </c>
      <c r="O10" s="5">
        <v>58.666666666666657</v>
      </c>
      <c r="P10" s="33">
        <v>1280.4663958789997</v>
      </c>
      <c r="Q10" s="5">
        <v>21.334592797417923</v>
      </c>
      <c r="R10" s="5">
        <v>6130.2383539244329</v>
      </c>
      <c r="S10" s="35"/>
      <c r="T10" s="23">
        <v>2191093.8135177731</v>
      </c>
      <c r="U10" s="33">
        <v>153.5235541621621</v>
      </c>
      <c r="V10" s="5">
        <v>9</v>
      </c>
      <c r="W10" s="5">
        <v>50.666666666666657</v>
      </c>
      <c r="X10" s="33">
        <v>1443.2813948874457</v>
      </c>
      <c r="Y10" s="5">
        <v>43.576151680358301</v>
      </c>
      <c r="Z10" s="5">
        <v>6916.8015319337337</v>
      </c>
      <c r="AA10" s="35"/>
    </row>
    <row r="11" spans="2:27" x14ac:dyDescent="0.2">
      <c r="B11" s="4">
        <v>8</v>
      </c>
      <c r="C11" s="4">
        <v>608</v>
      </c>
      <c r="D11" s="23">
        <v>1838874.0529794539</v>
      </c>
      <c r="E11" s="33">
        <v>140.70689875675785</v>
      </c>
      <c r="F11" s="5">
        <v>10</v>
      </c>
      <c r="G11" s="23">
        <v>72</v>
      </c>
      <c r="H11" s="33">
        <v>1448.7949825831688</v>
      </c>
      <c r="I11" s="23">
        <v>38.748274635336472</v>
      </c>
      <c r="J11" s="5">
        <v>6841.469560503444</v>
      </c>
      <c r="K11" s="31"/>
      <c r="L11" s="23">
        <v>2096545.4742425911</v>
      </c>
      <c r="M11" s="33">
        <v>385.20387445946187</v>
      </c>
      <c r="N11" s="5">
        <v>15</v>
      </c>
      <c r="O11" s="5">
        <v>59.333333333333343</v>
      </c>
      <c r="P11" s="33">
        <v>1208.5094674454856</v>
      </c>
      <c r="Q11" s="5">
        <v>19.496587372077208</v>
      </c>
      <c r="R11" s="5">
        <v>6127.5712351704396</v>
      </c>
      <c r="S11" s="35"/>
      <c r="T11" s="23">
        <v>2151312.882778137</v>
      </c>
      <c r="U11" s="33">
        <v>295.45872856756756</v>
      </c>
      <c r="V11" s="5">
        <v>9</v>
      </c>
      <c r="W11" s="5">
        <v>55.333333333333343</v>
      </c>
      <c r="X11" s="33">
        <v>1724.3659416414987</v>
      </c>
      <c r="Y11" s="5">
        <v>47.52791879340738</v>
      </c>
      <c r="Z11" s="5">
        <v>7277.3606555363376</v>
      </c>
      <c r="AA11" s="35"/>
    </row>
    <row r="12" spans="2:27" x14ac:dyDescent="0.2">
      <c r="B12" s="4">
        <v>9</v>
      </c>
      <c r="C12" s="4">
        <v>722</v>
      </c>
      <c r="D12" s="23">
        <v>1839388.8543159361</v>
      </c>
      <c r="E12" s="33">
        <v>109.43524135135088</v>
      </c>
      <c r="F12" s="5">
        <v>10</v>
      </c>
      <c r="G12" s="23">
        <v>72.666666666666671</v>
      </c>
      <c r="H12" s="33">
        <v>1516.6990831651995</v>
      </c>
      <c r="I12" s="23">
        <v>39.199732679695828</v>
      </c>
      <c r="J12" s="5">
        <v>6904.6069041311703</v>
      </c>
      <c r="K12" s="31"/>
      <c r="L12" s="23">
        <v>2104092.8683643271</v>
      </c>
      <c r="M12" s="33">
        <v>136.92240729729798</v>
      </c>
      <c r="N12" s="5">
        <v>13</v>
      </c>
      <c r="O12" s="5">
        <v>55.333333333333343</v>
      </c>
      <c r="P12" s="33">
        <v>1018.8318951472727</v>
      </c>
      <c r="Q12" s="5">
        <v>21.391704352677205</v>
      </c>
      <c r="R12" s="5">
        <v>5902.0024000753592</v>
      </c>
      <c r="S12" s="35"/>
      <c r="T12" s="23">
        <v>2143366.2197869509</v>
      </c>
      <c r="U12" s="33">
        <v>93.369879486486454</v>
      </c>
      <c r="V12" s="5">
        <v>10</v>
      </c>
      <c r="W12" s="5">
        <v>54.666666666666657</v>
      </c>
      <c r="X12" s="33">
        <v>1471.8605698959623</v>
      </c>
      <c r="Y12" s="5">
        <v>41.825830375567584</v>
      </c>
      <c r="Z12" s="5">
        <v>6991.4262820597505</v>
      </c>
      <c r="AA12" s="35"/>
    </row>
    <row r="13" spans="2:27" x14ac:dyDescent="0.2">
      <c r="B13" s="4">
        <v>10</v>
      </c>
      <c r="C13" s="4">
        <v>974</v>
      </c>
      <c r="D13" s="23">
        <v>1891074.9809126169</v>
      </c>
      <c r="E13" s="33">
        <v>140.28173070270378</v>
      </c>
      <c r="F13" s="5">
        <v>10</v>
      </c>
      <c r="G13" s="23">
        <v>71.333333333333329</v>
      </c>
      <c r="H13" s="33">
        <v>1614.2624046962812</v>
      </c>
      <c r="I13" s="23">
        <v>37.424491160115892</v>
      </c>
      <c r="J13" s="5">
        <v>7141.9878775974103</v>
      </c>
      <c r="K13" s="31"/>
      <c r="L13" s="23">
        <v>2196438.6241377122</v>
      </c>
      <c r="M13" s="33">
        <v>101.9997608108128</v>
      </c>
      <c r="N13" s="5">
        <v>11</v>
      </c>
      <c r="O13" s="5">
        <v>50.666666666666657</v>
      </c>
      <c r="P13" s="33">
        <v>1306.995326872729</v>
      </c>
      <c r="Q13" s="5">
        <v>21.861224116575286</v>
      </c>
      <c r="R13" s="5">
        <v>6129.1442725774841</v>
      </c>
      <c r="S13" s="35"/>
      <c r="T13" s="23">
        <v>2145717.8649116922</v>
      </c>
      <c r="U13" s="33">
        <v>196.68946632432429</v>
      </c>
      <c r="V13" s="5">
        <v>10</v>
      </c>
      <c r="W13" s="5">
        <v>54.666666666666657</v>
      </c>
      <c r="X13" s="33">
        <v>1535.2242323059581</v>
      </c>
      <c r="Y13" s="5">
        <v>41.935194977481459</v>
      </c>
      <c r="Z13" s="5">
        <v>7016.8435305398334</v>
      </c>
      <c r="AA13" s="35"/>
    </row>
    <row r="14" spans="2:27" x14ac:dyDescent="0.2">
      <c r="B14" s="47" t="s">
        <v>3</v>
      </c>
      <c r="C14" s="48"/>
      <c r="D14" s="9">
        <f>MIN(D4:D13)</f>
        <v>1838874.0529794539</v>
      </c>
      <c r="E14" s="22">
        <f>INDEX(E4:E13, MATCH($D$14, D4:D13, 0))</f>
        <v>140.70689875675785</v>
      </c>
      <c r="F14" s="9">
        <f>INDEX(F4:F13, MATCH($D$14, D4:D13, 0))</f>
        <v>10</v>
      </c>
      <c r="G14" s="9">
        <f>INDEX(G4:G13, MATCH($D$14, D4:D13, 0))</f>
        <v>72</v>
      </c>
      <c r="H14" s="22">
        <f>INDEX(H4:H13, MATCH($D$14, D4:D13, 0))</f>
        <v>1448.7949825831688</v>
      </c>
      <c r="I14" s="22">
        <f>INDEX(I4:I13, MATCH($D$14, D4:D13, 0))</f>
        <v>38.748274635336472</v>
      </c>
      <c r="J14" s="22">
        <f>INDEX(J4:J13, MATCH($D$14, D4:D13, 0))</f>
        <v>6841.469560503444</v>
      </c>
      <c r="K14" s="32" t="e">
        <f>(D14-$D$15)/$D$15</f>
        <v>#DIV/0!</v>
      </c>
      <c r="L14" s="16">
        <f>MIN(L4:L13)</f>
        <v>2096545.4742425911</v>
      </c>
      <c r="M14" s="21">
        <f>INDEX(M4:M13, MATCH($L$14, L4:L13, 0))</f>
        <v>385.20387445946187</v>
      </c>
      <c r="N14" s="16">
        <f>INDEX(N4:N13, MATCH($L$14, L4:L13, 0))</f>
        <v>15</v>
      </c>
      <c r="O14" s="16">
        <f>INDEX(O4:O13, MATCH($L$14, L4:L13, 0))</f>
        <v>59.333333333333343</v>
      </c>
      <c r="P14" s="21">
        <f>INDEX(P4:P13, MATCH($L$14, L4:L13, 0))</f>
        <v>1208.5094674454856</v>
      </c>
      <c r="Q14" s="21">
        <f>INDEX(Q4:Q13, MATCH($L$14, L4:L13, 0))</f>
        <v>19.496587372077208</v>
      </c>
      <c r="R14" s="21">
        <f>INDEX(R4:R13, MATCH($L$14, L4:L13, 0))</f>
        <v>6127.5712351704396</v>
      </c>
      <c r="S14" s="36" t="e">
        <f>(L14-$D$15)/$D$15</f>
        <v>#DIV/0!</v>
      </c>
      <c r="T14" s="38">
        <f>MIN(T4:T13)</f>
        <v>2143366.2197869509</v>
      </c>
      <c r="U14" s="39">
        <f>INDEX(U4:U13, MATCH($T$14, T4:T13, 0))</f>
        <v>93.369879486486454</v>
      </c>
      <c r="V14" s="38">
        <f>INDEX(V4:V13, MATCH($T$14, T4:T13, 0))</f>
        <v>10</v>
      </c>
      <c r="W14" s="38">
        <f>INDEX(W4:W13, MATCH($T$14, T4:T13, 0))</f>
        <v>54.666666666666657</v>
      </c>
      <c r="X14" s="39">
        <f>INDEX(X4:X13, MATCH($T$14, T4:T13, 0))</f>
        <v>1471.8605698959623</v>
      </c>
      <c r="Y14" s="39">
        <f>INDEX(Y4:Y13, MATCH($T$14, T4:T13, 0))</f>
        <v>41.825830375567584</v>
      </c>
      <c r="Z14" s="39">
        <f>INDEX(Z4:Z13, MATCH($T$14, T4:T13, 0))</f>
        <v>6991.4262820597505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0.14012456200882406</v>
      </c>
      <c r="M15" s="41">
        <f t="shared" ref="M15:R15" si="0">(M14-E14)/E14</f>
        <v>1.7376331783516148</v>
      </c>
      <c r="N15" s="41">
        <f t="shared" si="0"/>
        <v>0.5</v>
      </c>
      <c r="O15" s="41">
        <f t="shared" si="0"/>
        <v>-0.17592592592592579</v>
      </c>
      <c r="P15" s="41">
        <f t="shared" si="0"/>
        <v>-0.16585197907661134</v>
      </c>
      <c r="Q15" s="41">
        <f t="shared" si="0"/>
        <v>-0.49683985788886448</v>
      </c>
      <c r="R15" s="41">
        <f t="shared" si="0"/>
        <v>-0.104348681086651</v>
      </c>
      <c r="T15" s="41">
        <f>(T14-D14)/D14</f>
        <v>0.16558620005222244</v>
      </c>
      <c r="U15" s="41">
        <f t="shared" ref="U15:Z15" si="1">(U14-E14)/E14</f>
        <v>-0.33642287399215315</v>
      </c>
      <c r="V15" s="41">
        <f t="shared" si="1"/>
        <v>0</v>
      </c>
      <c r="W15" s="41">
        <f t="shared" si="1"/>
        <v>-0.24074074074074087</v>
      </c>
      <c r="X15" s="41">
        <f t="shared" si="1"/>
        <v>1.5920532297584333E-2</v>
      </c>
      <c r="Y15" s="41">
        <f t="shared" si="1"/>
        <v>7.9424329707432614E-2</v>
      </c>
      <c r="Z15" s="41">
        <f t="shared" si="1"/>
        <v>2.1918788095181069E-2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109" priority="3"/>
    <cfRule type="duplicateValues" dxfId="108" priority="4"/>
  </conditionalFormatting>
  <conditionalFormatting sqref="C14">
    <cfRule type="duplicateValues" dxfId="107" priority="1"/>
    <cfRule type="duplicateValues" dxfId="10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63BF-9BD1-4F49-AF5E-BB7B73F5AAAD}">
  <dimension ref="B1:AA17"/>
  <sheetViews>
    <sheetView zoomScale="90" zoomScaleNormal="90" workbookViewId="0">
      <selection activeCell="U30" sqref="U30:U4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-0.98604404934571044</v>
      </c>
      <c r="J2" s="28" t="e">
        <f>(S14-J14)/J14</f>
        <v>#DIV/0!</v>
      </c>
      <c r="K2" s="28"/>
      <c r="L2" s="1" t="s">
        <v>19</v>
      </c>
      <c r="P2" s="1">
        <f>(P14-H14)/H14</f>
        <v>-0.25410785451799539</v>
      </c>
      <c r="R2" s="1">
        <f>(R14-J14)/J14</f>
        <v>-0.15034782058866603</v>
      </c>
      <c r="T2" s="1" t="s">
        <v>20</v>
      </c>
      <c r="X2" s="1">
        <f>(X14-P14)/P14</f>
        <v>0.47950613999844688</v>
      </c>
      <c r="Z2" s="1">
        <f>(Z14-R14)/R14</f>
        <v>0.22522800858440328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20</v>
      </c>
      <c r="D4" s="23">
        <v>1607452.9392378409</v>
      </c>
      <c r="E4" s="33">
        <v>169.62127848648672</v>
      </c>
      <c r="F4" s="5">
        <v>11</v>
      </c>
      <c r="G4" s="23">
        <v>84.666666666666671</v>
      </c>
      <c r="H4" s="33">
        <v>1593.8217693837428</v>
      </c>
      <c r="I4" s="23">
        <v>46.423447165631408</v>
      </c>
      <c r="J4" s="5">
        <v>6599.7356462902499</v>
      </c>
      <c r="K4" s="31"/>
      <c r="L4" s="23">
        <v>1924045.796664543</v>
      </c>
      <c r="M4" s="33">
        <v>321.00198124324567</v>
      </c>
      <c r="N4" s="5">
        <v>20</v>
      </c>
      <c r="O4" s="5">
        <v>71.333333333333329</v>
      </c>
      <c r="P4" s="33">
        <v>1292.2038202200188</v>
      </c>
      <c r="Q4" s="5">
        <v>19.223076001366969</v>
      </c>
      <c r="R4" s="5">
        <v>5834.5639265492382</v>
      </c>
      <c r="S4" s="35"/>
      <c r="T4" s="23">
        <v>1957062.8295924291</v>
      </c>
      <c r="U4" s="33">
        <v>90.486358810810827</v>
      </c>
      <c r="V4" s="5">
        <v>11</v>
      </c>
      <c r="W4" s="5">
        <v>65.333333333333329</v>
      </c>
      <c r="X4" s="33">
        <v>1672.3259661315055</v>
      </c>
      <c r="Y4" s="5">
        <v>51.768696107688989</v>
      </c>
      <c r="Z4" s="5">
        <v>6876.090316203803</v>
      </c>
      <c r="AA4" s="35"/>
    </row>
    <row r="5" spans="2:27" x14ac:dyDescent="0.2">
      <c r="B5" s="4">
        <v>2</v>
      </c>
      <c r="C5" s="4">
        <v>117</v>
      </c>
      <c r="D5" s="23">
        <v>1617277.9197326</v>
      </c>
      <c r="E5" s="33">
        <v>254.1167381081126</v>
      </c>
      <c r="F5" s="5">
        <v>10</v>
      </c>
      <c r="G5" s="23">
        <v>80</v>
      </c>
      <c r="H5" s="33">
        <v>1265.7646234274964</v>
      </c>
      <c r="I5" s="23">
        <v>44.812077149273911</v>
      </c>
      <c r="J5" s="5">
        <v>6255.5563556412726</v>
      </c>
      <c r="K5" s="31"/>
      <c r="L5" s="23">
        <v>1968976.390127291</v>
      </c>
      <c r="M5" s="33">
        <v>320.70474043243081</v>
      </c>
      <c r="N5" s="5">
        <v>13</v>
      </c>
      <c r="O5" s="5">
        <v>60</v>
      </c>
      <c r="P5" s="33">
        <v>1014.2715067306168</v>
      </c>
      <c r="Q5" s="5">
        <v>23.77180335879298</v>
      </c>
      <c r="R5" s="5">
        <v>5526.1485652279171</v>
      </c>
      <c r="S5" s="35"/>
      <c r="T5" s="23">
        <v>1942451.602994869</v>
      </c>
      <c r="U5" s="33">
        <v>100.48927935135144</v>
      </c>
      <c r="V5" s="5">
        <v>11</v>
      </c>
      <c r="W5" s="5">
        <v>66</v>
      </c>
      <c r="X5" s="33">
        <v>1636.3080025514034</v>
      </c>
      <c r="Y5" s="5">
        <v>47.985613764567866</v>
      </c>
      <c r="Z5" s="5">
        <v>6792.7291699960697</v>
      </c>
      <c r="AA5" s="35"/>
    </row>
    <row r="6" spans="2:27" x14ac:dyDescent="0.2">
      <c r="B6" s="4">
        <v>3</v>
      </c>
      <c r="C6" s="4">
        <v>271</v>
      </c>
      <c r="D6" s="23">
        <v>1601295.56911255</v>
      </c>
      <c r="E6" s="33">
        <v>148.72754889189554</v>
      </c>
      <c r="F6" s="5">
        <v>11</v>
      </c>
      <c r="G6" s="23">
        <v>84</v>
      </c>
      <c r="H6" s="33">
        <v>1488.6197532481053</v>
      </c>
      <c r="I6" s="23">
        <v>45.897619177851588</v>
      </c>
      <c r="J6" s="5">
        <v>6519.5955445865711</v>
      </c>
      <c r="K6" s="31"/>
      <c r="L6" s="23">
        <v>1975572.015121402</v>
      </c>
      <c r="M6" s="33">
        <v>308.50635654053866</v>
      </c>
      <c r="N6" s="5">
        <v>13</v>
      </c>
      <c r="O6" s="5">
        <v>60</v>
      </c>
      <c r="P6" s="33">
        <v>1099.3119836226031</v>
      </c>
      <c r="Q6" s="5">
        <v>23.348178632192536</v>
      </c>
      <c r="R6" s="5">
        <v>5556.5340943585452</v>
      </c>
      <c r="S6" s="35"/>
      <c r="T6" s="23">
        <v>1960225.5763612001</v>
      </c>
      <c r="U6" s="33">
        <v>61.705155459459647</v>
      </c>
      <c r="V6" s="5">
        <v>11</v>
      </c>
      <c r="W6" s="5">
        <v>63.333333333333343</v>
      </c>
      <c r="X6" s="33">
        <v>1496.1655188558077</v>
      </c>
      <c r="Y6" s="5">
        <v>48.722827074457335</v>
      </c>
      <c r="Z6" s="5">
        <v>6609.4161179227458</v>
      </c>
      <c r="AA6" s="35"/>
    </row>
    <row r="7" spans="2:27" x14ac:dyDescent="0.2">
      <c r="B7" s="4">
        <v>4</v>
      </c>
      <c r="C7" s="4">
        <v>344</v>
      </c>
      <c r="D7" s="23">
        <v>1626313.4373149869</v>
      </c>
      <c r="E7" s="33">
        <v>481.54157178378131</v>
      </c>
      <c r="F7" s="5">
        <v>10</v>
      </c>
      <c r="G7" s="23">
        <v>80</v>
      </c>
      <c r="H7" s="33">
        <v>1316.278349981219</v>
      </c>
      <c r="I7" s="23">
        <v>44.824152273756923</v>
      </c>
      <c r="J7" s="5">
        <v>6275.4470624808546</v>
      </c>
      <c r="K7" s="31"/>
      <c r="L7" s="23">
        <v>1910954.673422758</v>
      </c>
      <c r="M7" s="33">
        <v>160.47478905405433</v>
      </c>
      <c r="N7" s="5">
        <v>16</v>
      </c>
      <c r="O7" s="5">
        <v>66</v>
      </c>
      <c r="P7" s="33">
        <v>1114.7897733130965</v>
      </c>
      <c r="Q7" s="5">
        <v>20.858177902128745</v>
      </c>
      <c r="R7" s="5">
        <v>5543.7364508033543</v>
      </c>
      <c r="S7" s="35"/>
      <c r="T7" s="23">
        <v>1941359.653423599</v>
      </c>
      <c r="U7" s="33">
        <v>209.65081608108105</v>
      </c>
      <c r="V7" s="5">
        <v>10</v>
      </c>
      <c r="W7" s="5">
        <v>64.666666666666671</v>
      </c>
      <c r="X7" s="33">
        <v>1578.5479589392839</v>
      </c>
      <c r="Y7" s="5">
        <v>50.621145478669987</v>
      </c>
      <c r="Z7" s="5">
        <v>6682.8874090852532</v>
      </c>
      <c r="AA7" s="35"/>
    </row>
    <row r="8" spans="2:27" x14ac:dyDescent="0.2">
      <c r="B8" s="4">
        <v>5</v>
      </c>
      <c r="C8" s="4">
        <v>511</v>
      </c>
      <c r="D8" s="23">
        <v>1606143.1254305041</v>
      </c>
      <c r="E8" s="33">
        <v>112.32244218918305</v>
      </c>
      <c r="F8" s="5">
        <v>11</v>
      </c>
      <c r="G8" s="23">
        <v>81.333333333333329</v>
      </c>
      <c r="H8" s="33">
        <v>1327.3270358848476</v>
      </c>
      <c r="I8" s="23">
        <v>43.956118281940341</v>
      </c>
      <c r="J8" s="5">
        <v>6307.0732410928558</v>
      </c>
      <c r="K8" s="31"/>
      <c r="L8" s="23">
        <v>1962981.8213559671</v>
      </c>
      <c r="M8" s="33">
        <v>355.12830002702589</v>
      </c>
      <c r="N8" s="5">
        <v>15</v>
      </c>
      <c r="O8" s="5">
        <v>61.333333333333343</v>
      </c>
      <c r="P8" s="33">
        <v>845.62250360583948</v>
      </c>
      <c r="Q8" s="5">
        <v>20.761752678274281</v>
      </c>
      <c r="R8" s="5">
        <v>5393.5723222454699</v>
      </c>
      <c r="S8" s="35"/>
      <c r="T8" s="23">
        <v>1991858.6516041129</v>
      </c>
      <c r="U8" s="33">
        <v>152.64931599999997</v>
      </c>
      <c r="V8" s="5">
        <v>12</v>
      </c>
      <c r="W8" s="5">
        <v>62</v>
      </c>
      <c r="X8" s="33">
        <v>1515.4941146633382</v>
      </c>
      <c r="Y8" s="5">
        <v>46.922466481817736</v>
      </c>
      <c r="Z8" s="5">
        <v>6603.0134552876734</v>
      </c>
      <c r="AA8" s="35"/>
    </row>
    <row r="9" spans="2:27" x14ac:dyDescent="0.2">
      <c r="B9" s="4">
        <v>6</v>
      </c>
      <c r="C9" s="4">
        <v>737</v>
      </c>
      <c r="D9" s="23">
        <v>1589645.1396163141</v>
      </c>
      <c r="E9" s="33">
        <v>166.84301656756605</v>
      </c>
      <c r="F9" s="5">
        <v>12</v>
      </c>
      <c r="G9" s="23">
        <v>85.333333333333329</v>
      </c>
      <c r="H9" s="33">
        <v>1494.5723454330059</v>
      </c>
      <c r="I9" s="23">
        <v>42.273766269907988</v>
      </c>
      <c r="J9" s="5">
        <v>6524.7128002946229</v>
      </c>
      <c r="K9" s="31"/>
      <c r="L9" s="23">
        <v>1971401.421680684</v>
      </c>
      <c r="M9" s="33">
        <v>315.98638108108321</v>
      </c>
      <c r="N9" s="5">
        <v>17</v>
      </c>
      <c r="O9" s="5">
        <v>66</v>
      </c>
      <c r="P9" s="33">
        <v>1217.5709871084885</v>
      </c>
      <c r="Q9" s="5">
        <v>19.861523549678214</v>
      </c>
      <c r="R9" s="5">
        <v>5847.1611412650709</v>
      </c>
      <c r="S9" s="35"/>
      <c r="T9" s="23">
        <v>1921770.4183016049</v>
      </c>
      <c r="U9" s="33">
        <v>91.880313108107941</v>
      </c>
      <c r="V9" s="5">
        <v>10</v>
      </c>
      <c r="W9" s="5">
        <v>64</v>
      </c>
      <c r="X9" s="33">
        <v>1513.7432857520107</v>
      </c>
      <c r="Y9" s="5">
        <v>57.278494489017248</v>
      </c>
      <c r="Z9" s="5">
        <v>6616.7308577453332</v>
      </c>
      <c r="AA9" s="35"/>
    </row>
    <row r="10" spans="2:27" x14ac:dyDescent="0.2">
      <c r="B10" s="4">
        <v>7</v>
      </c>
      <c r="C10" s="4">
        <v>844</v>
      </c>
      <c r="D10" s="23">
        <v>1620208.6042487549</v>
      </c>
      <c r="E10" s="33">
        <v>275.33338108107864</v>
      </c>
      <c r="F10" s="5">
        <v>10</v>
      </c>
      <c r="G10" s="23">
        <v>81.333333333333329</v>
      </c>
      <c r="H10" s="33">
        <v>1433.5331892921597</v>
      </c>
      <c r="I10" s="23">
        <v>45.518256347951329</v>
      </c>
      <c r="J10" s="5">
        <v>6430.6354130872733</v>
      </c>
      <c r="K10" s="31"/>
      <c r="L10" s="23">
        <v>2023888.2498523891</v>
      </c>
      <c r="M10" s="33">
        <v>149.80968010810838</v>
      </c>
      <c r="N10" s="5">
        <v>12</v>
      </c>
      <c r="O10" s="5">
        <v>56</v>
      </c>
      <c r="P10" s="33">
        <v>819.97447166091092</v>
      </c>
      <c r="Q10" s="5">
        <v>22.897415649523026</v>
      </c>
      <c r="R10" s="5">
        <v>5388.7334287164167</v>
      </c>
      <c r="S10" s="35"/>
      <c r="T10" s="23">
        <v>1990668.9840011059</v>
      </c>
      <c r="U10" s="33">
        <v>124.31274737837846</v>
      </c>
      <c r="V10" s="5">
        <v>10</v>
      </c>
      <c r="W10" s="5">
        <v>61.333333333333343</v>
      </c>
      <c r="X10" s="33">
        <v>1437.4726744140514</v>
      </c>
      <c r="Y10" s="5">
        <v>48.149717323177057</v>
      </c>
      <c r="Z10" s="5">
        <v>6673.7676322308325</v>
      </c>
      <c r="AA10" s="35"/>
    </row>
    <row r="11" spans="2:27" x14ac:dyDescent="0.2">
      <c r="B11" s="4">
        <v>8</v>
      </c>
      <c r="C11" s="4">
        <v>899</v>
      </c>
      <c r="D11" s="23">
        <v>1607297.5419048381</v>
      </c>
      <c r="E11" s="33">
        <v>52.559367675677159</v>
      </c>
      <c r="F11" s="5">
        <v>12</v>
      </c>
      <c r="G11" s="23">
        <v>82.666666666666671</v>
      </c>
      <c r="H11" s="33">
        <v>1382.0433186620546</v>
      </c>
      <c r="I11" s="23">
        <v>41.859684158189758</v>
      </c>
      <c r="J11" s="5">
        <v>6357.3573639027736</v>
      </c>
      <c r="K11" s="31"/>
      <c r="L11" s="23">
        <v>1956158.14561735</v>
      </c>
      <c r="M11" s="33">
        <v>134.64772527027054</v>
      </c>
      <c r="N11" s="5">
        <v>13</v>
      </c>
      <c r="O11" s="5">
        <v>60</v>
      </c>
      <c r="P11" s="33">
        <v>947.03664754115323</v>
      </c>
      <c r="Q11" s="5">
        <v>22.352540563532948</v>
      </c>
      <c r="R11" s="5">
        <v>5375.4622918596106</v>
      </c>
      <c r="S11" s="35"/>
      <c r="T11" s="23">
        <v>1911931.8876519999</v>
      </c>
      <c r="U11" s="33">
        <v>136.05052381081066</v>
      </c>
      <c r="V11" s="5">
        <v>11</v>
      </c>
      <c r="W11" s="5">
        <v>67.333333333333329</v>
      </c>
      <c r="X11" s="33">
        <v>1649.338314424203</v>
      </c>
      <c r="Y11" s="5">
        <v>52.38105185844536</v>
      </c>
      <c r="Z11" s="5">
        <v>6792.3411717345616</v>
      </c>
      <c r="AA11" s="35"/>
    </row>
    <row r="12" spans="2:27" x14ac:dyDescent="0.2">
      <c r="B12" s="4">
        <v>9</v>
      </c>
      <c r="C12" s="4">
        <v>952</v>
      </c>
      <c r="D12" s="23">
        <v>1628746.6934439901</v>
      </c>
      <c r="E12" s="33">
        <v>63.5595316756784</v>
      </c>
      <c r="F12" s="5">
        <v>10</v>
      </c>
      <c r="G12" s="23">
        <v>80.666666666666671</v>
      </c>
      <c r="H12" s="33">
        <v>1389.6695267162497</v>
      </c>
      <c r="I12" s="23">
        <v>44.53717523762289</v>
      </c>
      <c r="J12" s="5">
        <v>6400.0209414939964</v>
      </c>
      <c r="K12" s="31"/>
      <c r="L12" s="23">
        <v>1914350.0524953541</v>
      </c>
      <c r="M12" s="33">
        <v>303.1566768108097</v>
      </c>
      <c r="N12" s="5">
        <v>16</v>
      </c>
      <c r="O12" s="5">
        <v>66</v>
      </c>
      <c r="P12" s="33">
        <v>1056.5180875068579</v>
      </c>
      <c r="Q12" s="5">
        <v>21.572737651851266</v>
      </c>
      <c r="R12" s="5">
        <v>5653.2140505441785</v>
      </c>
      <c r="S12" s="35"/>
      <c r="T12" s="23">
        <v>1948921.6964599311</v>
      </c>
      <c r="U12" s="33">
        <v>146.63968970270273</v>
      </c>
      <c r="V12" s="5">
        <v>10</v>
      </c>
      <c r="W12" s="5">
        <v>62.666666666666657</v>
      </c>
      <c r="X12" s="33">
        <v>1432.0934093699536</v>
      </c>
      <c r="Y12" s="5">
        <v>48.792511799754024</v>
      </c>
      <c r="Z12" s="5">
        <v>6476.5502517653686</v>
      </c>
      <c r="AA12" s="35"/>
    </row>
    <row r="13" spans="2:27" x14ac:dyDescent="0.2">
      <c r="B13" s="4">
        <v>10</v>
      </c>
      <c r="C13" s="4">
        <v>988</v>
      </c>
      <c r="D13" s="23">
        <v>1627543.2053377531</v>
      </c>
      <c r="E13" s="33">
        <v>63.240486189189696</v>
      </c>
      <c r="F13" s="5">
        <v>10</v>
      </c>
      <c r="G13" s="23">
        <v>79.333333333333329</v>
      </c>
      <c r="H13" s="33">
        <v>1258.4127180562668</v>
      </c>
      <c r="I13" s="23">
        <v>44.746875539836438</v>
      </c>
      <c r="J13" s="5">
        <v>6260.1498309293447</v>
      </c>
      <c r="K13" s="31"/>
      <c r="L13" s="23">
        <v>1914879.3408455809</v>
      </c>
      <c r="M13" s="33">
        <v>260.43487164865223</v>
      </c>
      <c r="N13" s="5">
        <v>19</v>
      </c>
      <c r="O13" s="5">
        <v>72</v>
      </c>
      <c r="P13" s="33">
        <v>1350.1409991113414</v>
      </c>
      <c r="Q13" s="5">
        <v>20.182522865089812</v>
      </c>
      <c r="R13" s="5">
        <v>6017.1331807933984</v>
      </c>
      <c r="S13" s="35"/>
      <c r="T13" s="23">
        <v>1925237.2264033391</v>
      </c>
      <c r="U13" s="33">
        <v>148.68451935135133</v>
      </c>
      <c r="V13" s="5">
        <v>11</v>
      </c>
      <c r="W13" s="5">
        <v>66.666666666666671</v>
      </c>
      <c r="X13" s="33">
        <v>1615.1617885771639</v>
      </c>
      <c r="Y13" s="5">
        <v>53.327956885156119</v>
      </c>
      <c r="Z13" s="5">
        <v>6839.708865400502</v>
      </c>
      <c r="AA13" s="35"/>
    </row>
    <row r="14" spans="2:27" x14ac:dyDescent="0.2">
      <c r="B14" s="47" t="s">
        <v>3</v>
      </c>
      <c r="C14" s="48"/>
      <c r="D14" s="9">
        <f>MIN(D4:D13)</f>
        <v>1589645.1396163141</v>
      </c>
      <c r="E14" s="22">
        <f>INDEX(E4:E13, MATCH($D$14, D4:D13, 0))</f>
        <v>166.84301656756605</v>
      </c>
      <c r="F14" s="9">
        <f>INDEX(F4:F13, MATCH($D$14, D4:D13, 0))</f>
        <v>12</v>
      </c>
      <c r="G14" s="9">
        <f>INDEX(G4:G13, MATCH($D$14, D4:D13, 0))</f>
        <v>85.333333333333329</v>
      </c>
      <c r="H14" s="22">
        <f>INDEX(H4:H13, MATCH($D$14, D4:D13, 0))</f>
        <v>1494.5723454330059</v>
      </c>
      <c r="I14" s="22">
        <f>INDEX(I4:I13, MATCH($D$14, D4:D13, 0))</f>
        <v>42.273766269907988</v>
      </c>
      <c r="J14" s="22">
        <f>INDEX(J4:J13, MATCH($D$14, D4:D13, 0))</f>
        <v>6524.7128002946229</v>
      </c>
      <c r="K14" s="32" t="e">
        <f>(D14-$D$15)/$D$15</f>
        <v>#DIV/0!</v>
      </c>
      <c r="L14" s="16">
        <f>MIN(L4:L13)</f>
        <v>1910954.673422758</v>
      </c>
      <c r="M14" s="21">
        <f>INDEX(M4:M13, MATCH($L$14, L4:L13, 0))</f>
        <v>160.47478905405433</v>
      </c>
      <c r="N14" s="16">
        <f>INDEX(N4:N13, MATCH($L$14, L4:L13, 0))</f>
        <v>16</v>
      </c>
      <c r="O14" s="16">
        <f>INDEX(O4:O13, MATCH($L$14, L4:L13, 0))</f>
        <v>66</v>
      </c>
      <c r="P14" s="21">
        <f>INDEX(P4:P13, MATCH($L$14, L4:L13, 0))</f>
        <v>1114.7897733130965</v>
      </c>
      <c r="Q14" s="21">
        <f>INDEX(Q4:Q13, MATCH($L$14, L4:L13, 0))</f>
        <v>20.858177902128745</v>
      </c>
      <c r="R14" s="21">
        <f>INDEX(R4:R13, MATCH($L$14, L4:L13, 0))</f>
        <v>5543.7364508033543</v>
      </c>
      <c r="S14" s="36" t="e">
        <f>(L14-$D$15)/$D$15</f>
        <v>#DIV/0!</v>
      </c>
      <c r="T14" s="38">
        <f>MIN(T4:T13)</f>
        <v>1911931.8876519999</v>
      </c>
      <c r="U14" s="39">
        <f>INDEX(U4:U13, MATCH($T$14, T4:T13, 0))</f>
        <v>136.05052381081066</v>
      </c>
      <c r="V14" s="38">
        <f>INDEX(V4:V13, MATCH($T$14, T4:T13, 0))</f>
        <v>11</v>
      </c>
      <c r="W14" s="38">
        <f>INDEX(W4:W13, MATCH($T$14, T4:T13, 0))</f>
        <v>67.333333333333329</v>
      </c>
      <c r="X14" s="39">
        <f>INDEX(X4:X13, MATCH($T$14, T4:T13, 0))</f>
        <v>1649.338314424203</v>
      </c>
      <c r="Y14" s="39">
        <f>INDEX(Y4:Y13, MATCH($T$14, T4:T13, 0))</f>
        <v>52.38105185844536</v>
      </c>
      <c r="Z14" s="39">
        <f>INDEX(Z4:Z13, MATCH($T$14, T4:T13, 0))</f>
        <v>6792.3411717345616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0.20212657894452912</v>
      </c>
      <c r="M15" s="41">
        <f t="shared" ref="M15:R15" si="0">(M14-E14)/E14</f>
        <v>-3.8168978507606872E-2</v>
      </c>
      <c r="N15" s="41">
        <f t="shared" si="0"/>
        <v>0.33333333333333331</v>
      </c>
      <c r="O15" s="41">
        <f t="shared" si="0"/>
        <v>-0.22656249999999994</v>
      </c>
      <c r="P15" s="41">
        <f t="shared" si="0"/>
        <v>-0.25410785451799539</v>
      </c>
      <c r="Q15" s="41">
        <f t="shared" si="0"/>
        <v>-0.50659286497081391</v>
      </c>
      <c r="R15" s="41">
        <f t="shared" si="0"/>
        <v>-0.15034782058866603</v>
      </c>
      <c r="T15" s="41">
        <f>(T14-D14)/D14</f>
        <v>0.20274131628740413</v>
      </c>
      <c r="U15" s="41">
        <f t="shared" ref="U15:Z15" si="1">(U14-E14)/E14</f>
        <v>-0.18455967405915025</v>
      </c>
      <c r="V15" s="41">
        <f t="shared" si="1"/>
        <v>-8.3333333333333329E-2</v>
      </c>
      <c r="W15" s="41">
        <f t="shared" si="1"/>
        <v>-0.2109375</v>
      </c>
      <c r="X15" s="41">
        <f t="shared" si="1"/>
        <v>0.10355200901724058</v>
      </c>
      <c r="Y15" s="41">
        <f t="shared" si="1"/>
        <v>0.23909120195264238</v>
      </c>
      <c r="Z15" s="41">
        <f t="shared" si="1"/>
        <v>4.1017647769546882E-2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29 C40:C1048576">
    <cfRule type="duplicateValues" dxfId="105" priority="7"/>
    <cfRule type="duplicateValues" dxfId="104" priority="8"/>
  </conditionalFormatting>
  <conditionalFormatting sqref="C14">
    <cfRule type="duplicateValues" dxfId="103" priority="5"/>
    <cfRule type="duplicateValues" dxfId="102" priority="6"/>
  </conditionalFormatting>
  <conditionalFormatting sqref="C15">
    <cfRule type="duplicateValues" dxfId="101" priority="3"/>
    <cfRule type="duplicateValues" dxfId="100" priority="4"/>
  </conditionalFormatting>
  <conditionalFormatting sqref="C30:C39">
    <cfRule type="duplicateValues" dxfId="99" priority="1"/>
    <cfRule type="duplicateValues" dxfId="98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903E7-CA63-4B1D-B38F-F4623BEE0E3A}">
  <dimension ref="B1:AA17"/>
  <sheetViews>
    <sheetView zoomScale="90" zoomScaleNormal="90" workbookViewId="0">
      <selection activeCell="U30" sqref="U30:U4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-0.98694864237346291</v>
      </c>
      <c r="J2" s="28" t="e">
        <f>(S14-J14)/J14</f>
        <v>#DIV/0!</v>
      </c>
      <c r="K2" s="28"/>
      <c r="L2" s="1" t="s">
        <v>19</v>
      </c>
      <c r="P2" s="1">
        <f>(P14-H14)/H14</f>
        <v>-0.24608962490444772</v>
      </c>
      <c r="R2" s="1">
        <f>(R14-J14)/J14</f>
        <v>-0.12997053476496395</v>
      </c>
      <c r="T2" s="1" t="s">
        <v>20</v>
      </c>
      <c r="X2" s="1">
        <f>(X14-P14)/P14</f>
        <v>0.37749906954615875</v>
      </c>
      <c r="Z2" s="1">
        <f>(Z14-R14)/R14</f>
        <v>0.18958848595144903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89</v>
      </c>
      <c r="D4" s="23">
        <v>1707496.8574998181</v>
      </c>
      <c r="E4" s="33">
        <v>174.76101843242981</v>
      </c>
      <c r="F4" s="5">
        <v>11</v>
      </c>
      <c r="G4" s="23">
        <v>79.333333333333329</v>
      </c>
      <c r="H4" s="33">
        <v>1595.6372268421587</v>
      </c>
      <c r="I4" s="23">
        <v>42.563504692610053</v>
      </c>
      <c r="J4" s="5">
        <v>6753.5203925386822</v>
      </c>
      <c r="K4" s="31"/>
      <c r="L4" s="23">
        <v>1980453.674220429</v>
      </c>
      <c r="M4" s="33">
        <v>149.35932959459416</v>
      </c>
      <c r="N4" s="5">
        <v>17</v>
      </c>
      <c r="O4" s="5">
        <v>65.333333333333329</v>
      </c>
      <c r="P4" s="33">
        <v>1230.2382310770492</v>
      </c>
      <c r="Q4" s="5">
        <v>21.297331420316411</v>
      </c>
      <c r="R4" s="5">
        <v>5839.7523414868856</v>
      </c>
      <c r="S4" s="35"/>
      <c r="T4" s="23">
        <v>2105714.8920786879</v>
      </c>
      <c r="U4" s="33">
        <v>106.77068843243248</v>
      </c>
      <c r="V4" s="5">
        <v>11</v>
      </c>
      <c r="W4" s="5">
        <v>56</v>
      </c>
      <c r="X4" s="33">
        <v>1452.0807126473246</v>
      </c>
      <c r="Y4" s="5">
        <v>44.542538139712001</v>
      </c>
      <c r="Z4" s="5">
        <v>6671.5249104250397</v>
      </c>
      <c r="AA4" s="35"/>
    </row>
    <row r="5" spans="2:27" x14ac:dyDescent="0.2">
      <c r="B5" s="4">
        <v>2</v>
      </c>
      <c r="C5" s="4">
        <v>141</v>
      </c>
      <c r="D5" s="23">
        <v>1739224.0549574201</v>
      </c>
      <c r="E5" s="33">
        <v>140.94436589189539</v>
      </c>
      <c r="F5" s="5">
        <v>10</v>
      </c>
      <c r="G5" s="23">
        <v>77.333333333333329</v>
      </c>
      <c r="H5" s="33">
        <v>1651.8586115292348</v>
      </c>
      <c r="I5" s="23">
        <v>43.853888584499416</v>
      </c>
      <c r="J5" s="5">
        <v>6761.0309436259276</v>
      </c>
      <c r="K5" s="31"/>
      <c r="L5" s="23">
        <v>1994742.558274582</v>
      </c>
      <c r="M5" s="33">
        <v>285.18686789189024</v>
      </c>
      <c r="N5" s="5">
        <v>17</v>
      </c>
      <c r="O5" s="5">
        <v>66.666666666666671</v>
      </c>
      <c r="P5" s="33">
        <v>1400.7923810748543</v>
      </c>
      <c r="Q5" s="5">
        <v>22.046428811145272</v>
      </c>
      <c r="R5" s="5">
        <v>6184.175222460949</v>
      </c>
      <c r="S5" s="35"/>
      <c r="T5" s="23">
        <v>2116046.8738616351</v>
      </c>
      <c r="U5" s="33">
        <v>115.45981240540542</v>
      </c>
      <c r="V5" s="5">
        <v>10</v>
      </c>
      <c r="W5" s="5">
        <v>54.666666666666657</v>
      </c>
      <c r="X5" s="33">
        <v>1627.9517763335916</v>
      </c>
      <c r="Y5" s="5">
        <v>54.756426265252685</v>
      </c>
      <c r="Z5" s="5">
        <v>6918.2725406607224</v>
      </c>
      <c r="AA5" s="35"/>
    </row>
    <row r="6" spans="2:27" x14ac:dyDescent="0.2">
      <c r="B6" s="4">
        <v>3</v>
      </c>
      <c r="C6" s="4">
        <v>455</v>
      </c>
      <c r="D6" s="23">
        <v>1694998.099506784</v>
      </c>
      <c r="E6" s="33">
        <v>180.87206618919356</v>
      </c>
      <c r="F6" s="5">
        <v>11</v>
      </c>
      <c r="G6" s="23">
        <v>80</v>
      </c>
      <c r="H6" s="33">
        <v>1631.8096576415016</v>
      </c>
      <c r="I6" s="23">
        <v>42.581692147222739</v>
      </c>
      <c r="J6" s="5">
        <v>6712.1316861484602</v>
      </c>
      <c r="K6" s="31"/>
      <c r="L6" s="23">
        <v>1991980.0025525989</v>
      </c>
      <c r="M6" s="33">
        <v>338.10417437837833</v>
      </c>
      <c r="N6" s="5">
        <v>18</v>
      </c>
      <c r="O6" s="5">
        <v>67.333333333333329</v>
      </c>
      <c r="P6" s="33">
        <v>1361.5704151213395</v>
      </c>
      <c r="Q6" s="5">
        <v>20.689736081879698</v>
      </c>
      <c r="R6" s="5">
        <v>6118.4670918238335</v>
      </c>
      <c r="S6" s="35"/>
      <c r="T6" s="23">
        <v>2079963.1972268289</v>
      </c>
      <c r="U6" s="33">
        <v>119.2653337027027</v>
      </c>
      <c r="V6" s="5">
        <v>10</v>
      </c>
      <c r="W6" s="5">
        <v>56</v>
      </c>
      <c r="X6" s="33">
        <v>1349.377533843993</v>
      </c>
      <c r="Y6" s="5">
        <v>48.230773555155515</v>
      </c>
      <c r="Z6" s="5">
        <v>6594.0418446259882</v>
      </c>
      <c r="AA6" s="35"/>
    </row>
    <row r="7" spans="2:27" x14ac:dyDescent="0.2">
      <c r="B7" s="4">
        <v>4</v>
      </c>
      <c r="C7" s="4">
        <v>717</v>
      </c>
      <c r="D7" s="23">
        <v>1712392.883915453</v>
      </c>
      <c r="E7" s="33">
        <v>117.18364616215695</v>
      </c>
      <c r="F7" s="5">
        <v>11</v>
      </c>
      <c r="G7" s="23">
        <v>77.333333333333329</v>
      </c>
      <c r="H7" s="33">
        <v>1449.7829377894425</v>
      </c>
      <c r="I7" s="23">
        <v>39.499761247104111</v>
      </c>
      <c r="J7" s="5">
        <v>6527.3950660112778</v>
      </c>
      <c r="K7" s="31"/>
      <c r="L7" s="23">
        <v>2052885.3818041461</v>
      </c>
      <c r="M7" s="33">
        <v>154.4305915135113</v>
      </c>
      <c r="N7" s="5">
        <v>11</v>
      </c>
      <c r="O7" s="5">
        <v>54.666666666666657</v>
      </c>
      <c r="P7" s="33">
        <v>919.74505103179899</v>
      </c>
      <c r="Q7" s="5">
        <v>25.193406561414363</v>
      </c>
      <c r="R7" s="5">
        <v>5622.4996876243777</v>
      </c>
      <c r="S7" s="35"/>
      <c r="T7" s="23">
        <v>2061427.2486684299</v>
      </c>
      <c r="U7" s="33">
        <v>168.42815116216227</v>
      </c>
      <c r="V7" s="5">
        <v>11</v>
      </c>
      <c r="W7" s="5">
        <v>59.333333333333343</v>
      </c>
      <c r="X7" s="33">
        <v>1694.6520186287476</v>
      </c>
      <c r="Y7" s="5">
        <v>51.461145089389042</v>
      </c>
      <c r="Z7" s="5">
        <v>6946.9021462408136</v>
      </c>
      <c r="AA7" s="35"/>
    </row>
    <row r="8" spans="2:27" x14ac:dyDescent="0.2">
      <c r="B8" s="4">
        <v>5</v>
      </c>
      <c r="C8" s="4">
        <v>756</v>
      </c>
      <c r="D8" s="23">
        <v>1754365.790745588</v>
      </c>
      <c r="E8" s="33">
        <v>181.55220151351878</v>
      </c>
      <c r="F8" s="5">
        <v>11</v>
      </c>
      <c r="G8" s="23">
        <v>76.666666666666671</v>
      </c>
      <c r="H8" s="33">
        <v>1461.619847833809</v>
      </c>
      <c r="I8" s="23">
        <v>41.813775226899949</v>
      </c>
      <c r="J8" s="5">
        <v>6753.0215693363598</v>
      </c>
      <c r="K8" s="31"/>
      <c r="L8" s="23">
        <v>2008397.6700811279</v>
      </c>
      <c r="M8" s="33">
        <v>243.80428264864619</v>
      </c>
      <c r="N8" s="5">
        <v>14</v>
      </c>
      <c r="O8" s="5">
        <v>59.333333333333343</v>
      </c>
      <c r="P8" s="33">
        <v>1024.8150832268284</v>
      </c>
      <c r="Q8" s="5">
        <v>22.958740254659112</v>
      </c>
      <c r="R8" s="5">
        <v>5623.4913268120827</v>
      </c>
      <c r="S8" s="35"/>
      <c r="T8" s="23">
        <v>2142234.7331153438</v>
      </c>
      <c r="U8" s="33">
        <v>66.42247948648648</v>
      </c>
      <c r="V8" s="5">
        <v>9</v>
      </c>
      <c r="W8" s="5">
        <v>54</v>
      </c>
      <c r="X8" s="33">
        <v>1748.6789643795996</v>
      </c>
      <c r="Y8" s="5">
        <v>53.62959302891241</v>
      </c>
      <c r="Z8" s="5">
        <v>6975.4458829553951</v>
      </c>
      <c r="AA8" s="35"/>
    </row>
    <row r="9" spans="2:27" x14ac:dyDescent="0.2">
      <c r="B9" s="4">
        <v>6</v>
      </c>
      <c r="C9" s="4">
        <v>751</v>
      </c>
      <c r="D9" s="23">
        <v>1705979.205051074</v>
      </c>
      <c r="E9" s="33">
        <v>197.46614010811066</v>
      </c>
      <c r="F9" s="5">
        <v>11</v>
      </c>
      <c r="G9" s="23">
        <v>78</v>
      </c>
      <c r="H9" s="33">
        <v>1559.4653308385052</v>
      </c>
      <c r="I9" s="23">
        <v>41.51307539802891</v>
      </c>
      <c r="J9" s="5">
        <v>6640.2683294006838</v>
      </c>
      <c r="K9" s="31"/>
      <c r="L9" s="23">
        <v>2005069.2981541881</v>
      </c>
      <c r="M9" s="33">
        <v>272.65473872973001</v>
      </c>
      <c r="N9" s="5">
        <v>16</v>
      </c>
      <c r="O9" s="5">
        <v>64</v>
      </c>
      <c r="P9" s="33">
        <v>1285.572147960276</v>
      </c>
      <c r="Q9" s="5">
        <v>22.359176630966619</v>
      </c>
      <c r="R9" s="5">
        <v>5960.9508081556824</v>
      </c>
      <c r="S9" s="35"/>
      <c r="T9" s="23">
        <v>2136431.111502748</v>
      </c>
      <c r="U9" s="33">
        <v>78.497022162162196</v>
      </c>
      <c r="V9" s="5">
        <v>10</v>
      </c>
      <c r="W9" s="5">
        <v>56</v>
      </c>
      <c r="X9" s="33">
        <v>1776.27056517345</v>
      </c>
      <c r="Y9" s="5">
        <v>48.870368538811348</v>
      </c>
      <c r="Z9" s="5">
        <v>7134.7625985504574</v>
      </c>
      <c r="AA9" s="35"/>
    </row>
    <row r="10" spans="2:27" x14ac:dyDescent="0.2">
      <c r="B10" s="4">
        <v>7</v>
      </c>
      <c r="C10" s="4">
        <v>834</v>
      </c>
      <c r="D10" s="23">
        <v>1763428.78805093</v>
      </c>
      <c r="E10" s="33">
        <v>125.19998605405544</v>
      </c>
      <c r="F10" s="5">
        <v>10</v>
      </c>
      <c r="G10" s="23">
        <v>73.333333333333329</v>
      </c>
      <c r="H10" s="33">
        <v>1372.279870429945</v>
      </c>
      <c r="I10" s="23">
        <v>41.816592684493315</v>
      </c>
      <c r="J10" s="5">
        <v>6559.774460780799</v>
      </c>
      <c r="K10" s="31"/>
      <c r="L10" s="23">
        <v>1996661.9539317051</v>
      </c>
      <c r="M10" s="33">
        <v>167.67076113513383</v>
      </c>
      <c r="N10" s="5">
        <v>13</v>
      </c>
      <c r="O10" s="5">
        <v>58.666666666666657</v>
      </c>
      <c r="P10" s="33">
        <v>1030.7755029151201</v>
      </c>
      <c r="Q10" s="5">
        <v>23.967143556442025</v>
      </c>
      <c r="R10" s="5">
        <v>5452.4258096009517</v>
      </c>
      <c r="S10" s="35"/>
      <c r="T10" s="23">
        <v>2111872.797140378</v>
      </c>
      <c r="U10" s="33">
        <v>307.62051037837836</v>
      </c>
      <c r="V10" s="5">
        <v>10</v>
      </c>
      <c r="W10" s="5">
        <v>56.666666666666657</v>
      </c>
      <c r="X10" s="33">
        <v>1598.7522084691268</v>
      </c>
      <c r="Y10" s="5">
        <v>50.36734369026658</v>
      </c>
      <c r="Z10" s="5">
        <v>7063.3709390961112</v>
      </c>
      <c r="AA10" s="35"/>
    </row>
    <row r="11" spans="2:27" x14ac:dyDescent="0.2">
      <c r="B11" s="4">
        <v>8</v>
      </c>
      <c r="C11" s="4">
        <v>239</v>
      </c>
      <c r="D11" s="23">
        <v>1756970.0756223621</v>
      </c>
      <c r="E11" s="33">
        <v>101.4319239459488</v>
      </c>
      <c r="F11" s="5">
        <v>11</v>
      </c>
      <c r="G11" s="23">
        <v>76</v>
      </c>
      <c r="H11" s="33">
        <v>1556.643103983874</v>
      </c>
      <c r="I11" s="23">
        <v>39.059966865190454</v>
      </c>
      <c r="J11" s="5">
        <v>6611.938834349955</v>
      </c>
      <c r="K11" s="31"/>
      <c r="L11" s="23">
        <v>1984070.4909811879</v>
      </c>
      <c r="M11" s="33">
        <v>327.36898762162161</v>
      </c>
      <c r="N11" s="5">
        <v>15</v>
      </c>
      <c r="O11" s="5">
        <v>62.666666666666657</v>
      </c>
      <c r="P11" s="33">
        <v>1255.6710158223841</v>
      </c>
      <c r="Q11" s="5">
        <v>22.700317859783603</v>
      </c>
      <c r="R11" s="5">
        <v>5739.1834773360615</v>
      </c>
      <c r="S11" s="35"/>
      <c r="T11" s="23">
        <v>2090764.6082708091</v>
      </c>
      <c r="U11" s="33">
        <v>227.73209056756747</v>
      </c>
      <c r="V11" s="5">
        <v>10</v>
      </c>
      <c r="W11" s="5">
        <v>56.666666666666657</v>
      </c>
      <c r="X11" s="33">
        <v>1516.0976611260419</v>
      </c>
      <c r="Y11" s="5">
        <v>48.347365981977099</v>
      </c>
      <c r="Z11" s="5">
        <v>6802.6865270182734</v>
      </c>
      <c r="AA11" s="35"/>
    </row>
    <row r="12" spans="2:27" x14ac:dyDescent="0.2">
      <c r="B12" s="4">
        <v>9</v>
      </c>
      <c r="C12" s="4">
        <v>991</v>
      </c>
      <c r="D12" s="23">
        <v>1701037.042517286</v>
      </c>
      <c r="E12" s="33">
        <v>274.05535640540324</v>
      </c>
      <c r="F12" s="5">
        <v>11</v>
      </c>
      <c r="G12" s="23">
        <v>80</v>
      </c>
      <c r="H12" s="33">
        <v>1640.2719952781652</v>
      </c>
      <c r="I12" s="23">
        <v>42.110829896968433</v>
      </c>
      <c r="J12" s="5">
        <v>6738.0420188516409</v>
      </c>
      <c r="K12" s="31"/>
      <c r="L12" s="23">
        <v>1980801.4295789141</v>
      </c>
      <c r="M12" s="33">
        <v>181.23199191891879</v>
      </c>
      <c r="N12" s="5">
        <v>16</v>
      </c>
      <c r="O12" s="5">
        <v>64.666666666666671</v>
      </c>
      <c r="P12" s="33">
        <v>1243.8955414041302</v>
      </c>
      <c r="Q12" s="5">
        <v>21.93084786544631</v>
      </c>
      <c r="R12" s="5">
        <v>5876.5972117123038</v>
      </c>
      <c r="S12" s="35"/>
      <c r="T12" s="23">
        <v>2069667.895473666</v>
      </c>
      <c r="U12" s="33">
        <v>244.49582813513533</v>
      </c>
      <c r="V12" s="5">
        <v>10</v>
      </c>
      <c r="W12" s="5">
        <v>58.666666666666657</v>
      </c>
      <c r="X12" s="33">
        <v>1691.4015433489171</v>
      </c>
      <c r="Y12" s="5">
        <v>52.026559698699714</v>
      </c>
      <c r="Z12" s="5">
        <v>7009.7222496583217</v>
      </c>
      <c r="AA12" s="35"/>
    </row>
    <row r="13" spans="2:27" x14ac:dyDescent="0.2">
      <c r="B13" s="4">
        <v>10</v>
      </c>
      <c r="C13" s="4">
        <v>135</v>
      </c>
      <c r="D13" s="23">
        <v>1729846.315085073</v>
      </c>
      <c r="E13" s="33">
        <v>98.138911405403618</v>
      </c>
      <c r="F13" s="5">
        <v>11</v>
      </c>
      <c r="G13" s="23">
        <v>77.333333333333329</v>
      </c>
      <c r="H13" s="33">
        <v>1475.5597836558745</v>
      </c>
      <c r="I13" s="23">
        <v>39.817716131820617</v>
      </c>
      <c r="J13" s="5">
        <v>6683.8760191210195</v>
      </c>
      <c r="K13" s="31"/>
      <c r="L13" s="23">
        <v>2037833.9153348659</v>
      </c>
      <c r="M13" s="33">
        <v>286.99323245945999</v>
      </c>
      <c r="N13" s="5">
        <v>13</v>
      </c>
      <c r="O13" s="5">
        <v>56.666666666666657</v>
      </c>
      <c r="P13" s="33">
        <v>999.14836146205528</v>
      </c>
      <c r="Q13" s="5">
        <v>23.073815504555508</v>
      </c>
      <c r="R13" s="5">
        <v>5566.5747956983259</v>
      </c>
      <c r="S13" s="35"/>
      <c r="T13" s="23">
        <v>2074109.4228704411</v>
      </c>
      <c r="U13" s="33">
        <v>95.385439972973032</v>
      </c>
      <c r="V13" s="5">
        <v>11</v>
      </c>
      <c r="W13" s="5">
        <v>58.666666666666657</v>
      </c>
      <c r="X13" s="33">
        <v>1647.4655929326595</v>
      </c>
      <c r="Y13" s="5">
        <v>47.29983628864732</v>
      </c>
      <c r="Z13" s="5">
        <v>6831.7429313680241</v>
      </c>
      <c r="AA13" s="35"/>
    </row>
    <row r="14" spans="2:27" x14ac:dyDescent="0.2">
      <c r="B14" s="47" t="s">
        <v>3</v>
      </c>
      <c r="C14" s="48"/>
      <c r="D14" s="9">
        <f>MIN(D4:D13)</f>
        <v>1694998.099506784</v>
      </c>
      <c r="E14" s="22">
        <f>INDEX(E4:E13, MATCH($D$14, D4:D13, 0))</f>
        <v>180.87206618919356</v>
      </c>
      <c r="F14" s="9">
        <f>INDEX(F4:F13, MATCH($D$14, D4:D13, 0))</f>
        <v>11</v>
      </c>
      <c r="G14" s="9">
        <f>INDEX(G4:G13, MATCH($D$14, D4:D13, 0))</f>
        <v>80</v>
      </c>
      <c r="H14" s="22">
        <f>INDEX(H4:H13, MATCH($D$14, D4:D13, 0))</f>
        <v>1631.8096576415016</v>
      </c>
      <c r="I14" s="22">
        <f>INDEX(I4:I13, MATCH($D$14, D4:D13, 0))</f>
        <v>42.581692147222739</v>
      </c>
      <c r="J14" s="22">
        <f>INDEX(J4:J13, MATCH($D$14, D4:D13, 0))</f>
        <v>6712.1316861484602</v>
      </c>
      <c r="K14" s="32" t="e">
        <f>(D14-$D$15)/$D$15</f>
        <v>#DIV/0!</v>
      </c>
      <c r="L14" s="16">
        <f>MIN(L4:L13)</f>
        <v>1980453.674220429</v>
      </c>
      <c r="M14" s="21">
        <f>INDEX(M4:M13, MATCH($L$14, L4:L13, 0))</f>
        <v>149.35932959459416</v>
      </c>
      <c r="N14" s="16">
        <f>INDEX(N4:N13, MATCH($L$14, L4:L13, 0))</f>
        <v>17</v>
      </c>
      <c r="O14" s="16">
        <f>INDEX(O4:O13, MATCH($L$14, L4:L13, 0))</f>
        <v>65.333333333333329</v>
      </c>
      <c r="P14" s="21">
        <f>INDEX(P4:P13, MATCH($L$14, L4:L13, 0))</f>
        <v>1230.2382310770492</v>
      </c>
      <c r="Q14" s="21">
        <f>INDEX(Q4:Q13, MATCH($L$14, L4:L13, 0))</f>
        <v>21.297331420316411</v>
      </c>
      <c r="R14" s="21">
        <f>INDEX(R4:R13, MATCH($L$14, L4:L13, 0))</f>
        <v>5839.7523414868856</v>
      </c>
      <c r="S14" s="36" t="e">
        <f>(L14-$D$15)/$D$15</f>
        <v>#DIV/0!</v>
      </c>
      <c r="T14" s="38">
        <f>MIN(T4:T13)</f>
        <v>2061427.2486684299</v>
      </c>
      <c r="U14" s="39">
        <f>INDEX(U4:U13, MATCH($T$14, T4:T13, 0))</f>
        <v>168.42815116216227</v>
      </c>
      <c r="V14" s="38">
        <f>INDEX(V4:V13, MATCH($T$14, T4:T13, 0))</f>
        <v>11</v>
      </c>
      <c r="W14" s="38">
        <f>INDEX(W4:W13, MATCH($T$14, T4:T13, 0))</f>
        <v>59.333333333333343</v>
      </c>
      <c r="X14" s="39">
        <f>INDEX(X4:X13, MATCH($T$14, T4:T13, 0))</f>
        <v>1694.6520186287476</v>
      </c>
      <c r="Y14" s="39">
        <f>INDEX(Y4:Y13, MATCH($T$14, T4:T13, 0))</f>
        <v>51.461145089389042</v>
      </c>
      <c r="Z14" s="39">
        <f>INDEX(Z4:Z13, MATCH($T$14, T4:T13, 0))</f>
        <v>6946.9021462408136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0.16841055739042293</v>
      </c>
      <c r="M15" s="41">
        <f t="shared" ref="M15:R15" si="0">(M14-E14)/E14</f>
        <v>-0.17422666340106294</v>
      </c>
      <c r="N15" s="41">
        <f t="shared" si="0"/>
        <v>0.54545454545454541</v>
      </c>
      <c r="O15" s="41">
        <f t="shared" si="0"/>
        <v>-0.1833333333333334</v>
      </c>
      <c r="P15" s="41">
        <f t="shared" si="0"/>
        <v>-0.24608962490444772</v>
      </c>
      <c r="Q15" s="41">
        <f t="shared" si="0"/>
        <v>-0.49984769636014892</v>
      </c>
      <c r="R15" s="41">
        <f t="shared" si="0"/>
        <v>-0.12997053476496395</v>
      </c>
      <c r="T15" s="41">
        <f>(T14-D14)/D14</f>
        <v>0.21618263127744547</v>
      </c>
      <c r="U15" s="41">
        <f t="shared" ref="U15:Z15" si="1">(U14-E14)/E14</f>
        <v>-6.8799540411148205E-2</v>
      </c>
      <c r="V15" s="41">
        <f t="shared" si="1"/>
        <v>0</v>
      </c>
      <c r="W15" s="41">
        <f t="shared" si="1"/>
        <v>-0.25833333333333319</v>
      </c>
      <c r="X15" s="41">
        <f t="shared" si="1"/>
        <v>3.8510840215318781E-2</v>
      </c>
      <c r="Y15" s="41">
        <f t="shared" si="1"/>
        <v>0.20852747963764137</v>
      </c>
      <c r="Z15" s="41">
        <f t="shared" si="1"/>
        <v>3.4977034282095393E-2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29 C40:C1048576">
    <cfRule type="duplicateValues" dxfId="97" priority="7"/>
    <cfRule type="duplicateValues" dxfId="96" priority="8"/>
  </conditionalFormatting>
  <conditionalFormatting sqref="C14">
    <cfRule type="duplicateValues" dxfId="95" priority="5"/>
    <cfRule type="duplicateValues" dxfId="94" priority="6"/>
  </conditionalFormatting>
  <conditionalFormatting sqref="C15">
    <cfRule type="duplicateValues" dxfId="93" priority="3"/>
    <cfRule type="duplicateValues" dxfId="92" priority="4"/>
  </conditionalFormatting>
  <conditionalFormatting sqref="C30:C39">
    <cfRule type="duplicateValues" dxfId="91" priority="1"/>
    <cfRule type="duplicateValues" dxfId="9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94F9-38F6-4646-A4FF-6E92933DE4CE}">
  <dimension ref="B1:AA17"/>
  <sheetViews>
    <sheetView zoomScale="80" zoomScaleNormal="80" workbookViewId="0">
      <selection activeCell="A20" sqref="A20:XFD32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-0.98699136807412136</v>
      </c>
      <c r="J2" s="28" t="e">
        <f>(S14-J14)/J14</f>
        <v>#DIV/0!</v>
      </c>
      <c r="K2" s="28"/>
      <c r="L2" s="1" t="s">
        <v>19</v>
      </c>
      <c r="P2" s="1">
        <f>(P14-H14)/H14</f>
        <v>-0.10687109135172213</v>
      </c>
      <c r="R2" s="1">
        <f>(R14-J14)/J14</f>
        <v>-0.1648032864022011</v>
      </c>
      <c r="T2" s="1" t="s">
        <v>20</v>
      </c>
      <c r="X2" s="1">
        <f>(X14-P14)/P14</f>
        <v>0.28655284101165773</v>
      </c>
      <c r="Z2" s="1">
        <f>(Z14-R14)/R14</f>
        <v>0.26226647270043973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209</v>
      </c>
      <c r="D4" s="23">
        <v>1798095.692959378</v>
      </c>
      <c r="E4" s="33">
        <v>154.48644789189061</v>
      </c>
      <c r="F4" s="5">
        <v>11</v>
      </c>
      <c r="G4" s="23">
        <v>77.333333333333329</v>
      </c>
      <c r="H4" s="33">
        <v>1554.4629288738531</v>
      </c>
      <c r="I4" s="23">
        <v>36.674384225092666</v>
      </c>
      <c r="J4" s="5">
        <v>7139.2767570543883</v>
      </c>
      <c r="K4" s="31"/>
      <c r="L4" s="23">
        <v>2057328.9303887361</v>
      </c>
      <c r="M4" s="33">
        <v>129.05989718918823</v>
      </c>
      <c r="N4" s="5">
        <v>15</v>
      </c>
      <c r="O4" s="5">
        <v>60</v>
      </c>
      <c r="P4" s="33">
        <v>1160.4907616696451</v>
      </c>
      <c r="Q4" s="5">
        <v>18.953603867281757</v>
      </c>
      <c r="R4" s="5">
        <v>5965.380211870438</v>
      </c>
      <c r="S4" s="35"/>
      <c r="T4" s="23">
        <v>2171125.9471885851</v>
      </c>
      <c r="U4" s="33">
        <v>93.988346972972877</v>
      </c>
      <c r="V4" s="5">
        <v>8</v>
      </c>
      <c r="W4" s="5">
        <v>50</v>
      </c>
      <c r="X4" s="33">
        <v>1180.6229170253011</v>
      </c>
      <c r="Y4" s="5">
        <v>48.56716651088594</v>
      </c>
      <c r="Z4" s="5">
        <v>6913.0091421281923</v>
      </c>
      <c r="AA4" s="35"/>
    </row>
    <row r="5" spans="2:27" x14ac:dyDescent="0.2">
      <c r="B5" s="4">
        <v>2</v>
      </c>
      <c r="C5" s="4">
        <v>785</v>
      </c>
      <c r="D5" s="23">
        <v>1791658.321190842</v>
      </c>
      <c r="E5" s="33">
        <v>129.07904129729422</v>
      </c>
      <c r="F5" s="5">
        <v>11</v>
      </c>
      <c r="G5" s="23">
        <v>77.333333333333329</v>
      </c>
      <c r="H5" s="33">
        <v>1516.6628872171534</v>
      </c>
      <c r="I5" s="23">
        <v>36.659807471611799</v>
      </c>
      <c r="J5" s="5">
        <v>7138.3991291907923</v>
      </c>
      <c r="K5" s="31"/>
      <c r="L5" s="23">
        <v>2086068.1941410489</v>
      </c>
      <c r="M5" s="33">
        <v>111.91481045945989</v>
      </c>
      <c r="N5" s="5">
        <v>12</v>
      </c>
      <c r="O5" s="5">
        <v>56</v>
      </c>
      <c r="P5" s="33">
        <v>1174.4275531360363</v>
      </c>
      <c r="Q5" s="5">
        <v>20.559765508006041</v>
      </c>
      <c r="R5" s="5">
        <v>5815.6509831907479</v>
      </c>
      <c r="S5" s="35"/>
      <c r="T5" s="23">
        <v>2179633.911880251</v>
      </c>
      <c r="U5" s="33">
        <v>100.78380905405392</v>
      </c>
      <c r="V5" s="5">
        <v>10</v>
      </c>
      <c r="W5" s="5">
        <v>53.333333333333343</v>
      </c>
      <c r="X5" s="33">
        <v>1452.9073175773069</v>
      </c>
      <c r="Y5" s="5">
        <v>38.437632227397408</v>
      </c>
      <c r="Z5" s="5">
        <v>7037.5480447478867</v>
      </c>
      <c r="AA5" s="35"/>
    </row>
    <row r="6" spans="2:27" x14ac:dyDescent="0.2">
      <c r="B6" s="4">
        <v>3</v>
      </c>
      <c r="C6" s="4">
        <v>749</v>
      </c>
      <c r="D6" s="23">
        <v>1780966.768487537</v>
      </c>
      <c r="E6" s="33">
        <v>122.46576054053968</v>
      </c>
      <c r="F6" s="5">
        <v>11</v>
      </c>
      <c r="G6" s="23">
        <v>76.666666666666671</v>
      </c>
      <c r="H6" s="33">
        <v>1405.5465636459433</v>
      </c>
      <c r="I6" s="23">
        <v>35.987785689663298</v>
      </c>
      <c r="J6" s="5">
        <v>7024.9326859845705</v>
      </c>
      <c r="K6" s="31"/>
      <c r="L6" s="23">
        <v>2032028.107165575</v>
      </c>
      <c r="M6" s="33">
        <v>178.1468838108137</v>
      </c>
      <c r="N6" s="5">
        <v>16</v>
      </c>
      <c r="O6" s="5">
        <v>62.666666666666657</v>
      </c>
      <c r="P6" s="33">
        <v>1255.3342684434385</v>
      </c>
      <c r="Q6" s="5">
        <v>18.284237901153574</v>
      </c>
      <c r="R6" s="5">
        <v>5867.2006925800715</v>
      </c>
      <c r="S6" s="35"/>
      <c r="T6" s="23">
        <v>2239446.4482069272</v>
      </c>
      <c r="U6" s="33">
        <v>99.932843027026806</v>
      </c>
      <c r="V6" s="5">
        <v>9</v>
      </c>
      <c r="W6" s="5">
        <v>49.333333333333343</v>
      </c>
      <c r="X6" s="33">
        <v>1442.5672837030083</v>
      </c>
      <c r="Y6" s="5">
        <v>39.841862766424072</v>
      </c>
      <c r="Z6" s="5">
        <v>7256.5748856620176</v>
      </c>
      <c r="AA6" s="35"/>
    </row>
    <row r="7" spans="2:27" x14ac:dyDescent="0.2">
      <c r="B7" s="4">
        <v>4</v>
      </c>
      <c r="C7" s="4">
        <v>744</v>
      </c>
      <c r="D7" s="23">
        <v>1830640.4208564039</v>
      </c>
      <c r="E7" s="33">
        <v>126.67697386486562</v>
      </c>
      <c r="F7" s="5">
        <v>10</v>
      </c>
      <c r="G7" s="23">
        <v>73.333333333333329</v>
      </c>
      <c r="H7" s="33">
        <v>1468.4031716734869</v>
      </c>
      <c r="I7" s="23">
        <v>36.349552235831325</v>
      </c>
      <c r="J7" s="5">
        <v>7018.0051339640868</v>
      </c>
      <c r="K7" s="31"/>
      <c r="L7" s="23">
        <v>2048969.4014305221</v>
      </c>
      <c r="M7" s="33">
        <v>354.43858262162109</v>
      </c>
      <c r="N7" s="5">
        <v>15</v>
      </c>
      <c r="O7" s="5">
        <v>61.333333333333343</v>
      </c>
      <c r="P7" s="33">
        <v>1278.0084444048473</v>
      </c>
      <c r="Q7" s="5">
        <v>19.227064023265871</v>
      </c>
      <c r="R7" s="5">
        <v>5994.1252608238174</v>
      </c>
      <c r="S7" s="35"/>
      <c r="T7" s="23">
        <v>2281110.7469213088</v>
      </c>
      <c r="U7" s="33">
        <v>121.07852889189193</v>
      </c>
      <c r="V7" s="5">
        <v>8</v>
      </c>
      <c r="W7" s="5">
        <v>45.333333333333343</v>
      </c>
      <c r="X7" s="33">
        <v>1298.5556841947007</v>
      </c>
      <c r="Y7" s="5">
        <v>41.033727482264716</v>
      </c>
      <c r="Z7" s="5">
        <v>6866.81585990842</v>
      </c>
      <c r="AA7" s="35"/>
    </row>
    <row r="8" spans="2:27" x14ac:dyDescent="0.2">
      <c r="B8" s="4">
        <v>5</v>
      </c>
      <c r="C8" s="4">
        <v>727</v>
      </c>
      <c r="D8" s="23">
        <v>1781166.173062861</v>
      </c>
      <c r="E8" s="33">
        <v>151.24232810811057</v>
      </c>
      <c r="F8" s="5">
        <v>11</v>
      </c>
      <c r="G8" s="23">
        <v>77.333333333333329</v>
      </c>
      <c r="H8" s="33">
        <v>1463.7215532710284</v>
      </c>
      <c r="I8" s="23">
        <v>36.264931694309489</v>
      </c>
      <c r="J8" s="5">
        <v>7075.8026228308754</v>
      </c>
      <c r="K8" s="31"/>
      <c r="L8" s="23">
        <v>2128106.2330095489</v>
      </c>
      <c r="M8" s="33">
        <v>156.99344513513859</v>
      </c>
      <c r="N8" s="5">
        <v>13</v>
      </c>
      <c r="O8" s="5">
        <v>53.333333333333343</v>
      </c>
      <c r="P8" s="33">
        <v>1010.391311953739</v>
      </c>
      <c r="Q8" s="5">
        <v>18.326403585067474</v>
      </c>
      <c r="R8" s="5">
        <v>5717.6476279975632</v>
      </c>
      <c r="S8" s="35"/>
      <c r="T8" s="23">
        <v>2232941.75635421</v>
      </c>
      <c r="U8" s="33">
        <v>179.57683164864869</v>
      </c>
      <c r="V8" s="5">
        <v>10</v>
      </c>
      <c r="W8" s="5">
        <v>52</v>
      </c>
      <c r="X8" s="33">
        <v>1620.5066653094875</v>
      </c>
      <c r="Y8" s="5">
        <v>38.531913473972956</v>
      </c>
      <c r="Z8" s="5">
        <v>7406.307308125366</v>
      </c>
      <c r="AA8" s="35"/>
    </row>
    <row r="9" spans="2:27" x14ac:dyDescent="0.2">
      <c r="B9" s="4">
        <v>6</v>
      </c>
      <c r="C9" s="4">
        <v>92</v>
      </c>
      <c r="D9" s="23">
        <v>1810240.1311389031</v>
      </c>
      <c r="E9" s="33">
        <v>126.5966055405364</v>
      </c>
      <c r="F9" s="5">
        <v>11</v>
      </c>
      <c r="G9" s="23">
        <v>74</v>
      </c>
      <c r="H9" s="33">
        <v>1301.3748243668419</v>
      </c>
      <c r="I9" s="23">
        <v>34.143331022810507</v>
      </c>
      <c r="J9" s="5">
        <v>6849.2392587257309</v>
      </c>
      <c r="K9" s="31"/>
      <c r="L9" s="23">
        <v>2134355.13547308</v>
      </c>
      <c r="M9" s="33">
        <v>146.89921297297366</v>
      </c>
      <c r="N9" s="5">
        <v>14</v>
      </c>
      <c r="O9" s="5">
        <v>58</v>
      </c>
      <c r="P9" s="33">
        <v>1456.7529317337628</v>
      </c>
      <c r="Q9" s="5">
        <v>19.166380238683555</v>
      </c>
      <c r="R9" s="5">
        <v>6340.9627961352007</v>
      </c>
      <c r="S9" s="35"/>
      <c r="T9" s="23">
        <v>2155437.2913191379</v>
      </c>
      <c r="U9" s="33">
        <v>105.68407881081079</v>
      </c>
      <c r="V9" s="5">
        <v>11</v>
      </c>
      <c r="W9" s="5">
        <v>57.333333333333343</v>
      </c>
      <c r="X9" s="33">
        <v>1615.0538694851969</v>
      </c>
      <c r="Y9" s="5">
        <v>39.804195835961387</v>
      </c>
      <c r="Z9" s="5">
        <v>7405.9707228486241</v>
      </c>
      <c r="AA9" s="35"/>
    </row>
    <row r="10" spans="2:27" x14ac:dyDescent="0.2">
      <c r="B10" s="4">
        <v>7</v>
      </c>
      <c r="C10" s="4">
        <v>448</v>
      </c>
      <c r="D10" s="23">
        <v>1781139.6171563719</v>
      </c>
      <c r="E10" s="33">
        <v>295.27019183783835</v>
      </c>
      <c r="F10" s="5">
        <v>11</v>
      </c>
      <c r="G10" s="23">
        <v>77.333333333333329</v>
      </c>
      <c r="H10" s="33">
        <v>1453.4230217820007</v>
      </c>
      <c r="I10" s="23">
        <v>36.159686868275891</v>
      </c>
      <c r="J10" s="5">
        <v>7079.7454706521903</v>
      </c>
      <c r="K10" s="31"/>
      <c r="L10" s="23">
        <v>2165548.828190105</v>
      </c>
      <c r="M10" s="33">
        <v>150.77244613513528</v>
      </c>
      <c r="N10" s="5">
        <v>12</v>
      </c>
      <c r="O10" s="5">
        <v>51.333333333333343</v>
      </c>
      <c r="P10" s="33">
        <v>1170.8434594555174</v>
      </c>
      <c r="Q10" s="5">
        <v>18.432507038218059</v>
      </c>
      <c r="R10" s="5">
        <v>5645.9751299189184</v>
      </c>
      <c r="S10" s="35"/>
      <c r="T10" s="23">
        <v>2218221.3802291909</v>
      </c>
      <c r="U10" s="33">
        <v>190.41159437837842</v>
      </c>
      <c r="V10" s="5">
        <v>9</v>
      </c>
      <c r="W10" s="5">
        <v>49.333333333333343</v>
      </c>
      <c r="X10" s="33">
        <v>1272.5525475953509</v>
      </c>
      <c r="Y10" s="5">
        <v>40.087191684444626</v>
      </c>
      <c r="Z10" s="5">
        <v>6906.764914991255</v>
      </c>
      <c r="AA10" s="35"/>
    </row>
    <row r="11" spans="2:27" x14ac:dyDescent="0.2">
      <c r="B11" s="4">
        <v>8</v>
      </c>
      <c r="C11" s="4">
        <v>292</v>
      </c>
      <c r="D11" s="23">
        <v>1901762.417492707</v>
      </c>
      <c r="E11" s="33">
        <v>83.401908972969181</v>
      </c>
      <c r="F11" s="5">
        <v>10</v>
      </c>
      <c r="G11" s="23">
        <v>70</v>
      </c>
      <c r="H11" s="33">
        <v>1504.2247772696342</v>
      </c>
      <c r="I11" s="23">
        <v>36.165493003325807</v>
      </c>
      <c r="J11" s="5">
        <v>7173.9557859524821</v>
      </c>
      <c r="K11" s="31"/>
      <c r="L11" s="23">
        <v>2092303.3900522031</v>
      </c>
      <c r="M11" s="33">
        <v>150.46538913513163</v>
      </c>
      <c r="N11" s="5">
        <v>13</v>
      </c>
      <c r="O11" s="5">
        <v>55.333333333333343</v>
      </c>
      <c r="P11" s="33">
        <v>1044.4487223345257</v>
      </c>
      <c r="Q11" s="5">
        <v>18.746098188142916</v>
      </c>
      <c r="R11" s="5">
        <v>5767.5356278244108</v>
      </c>
      <c r="S11" s="35"/>
      <c r="T11" s="23">
        <v>2167629.5054611489</v>
      </c>
      <c r="U11" s="33">
        <v>211.72232118918907</v>
      </c>
      <c r="V11" s="5">
        <v>9</v>
      </c>
      <c r="W11" s="5">
        <v>52</v>
      </c>
      <c r="X11" s="33">
        <v>1258.3855390269657</v>
      </c>
      <c r="Y11" s="5">
        <v>43.210566224970826</v>
      </c>
      <c r="Z11" s="5">
        <v>6904.2356856520682</v>
      </c>
      <c r="AA11" s="35"/>
    </row>
    <row r="12" spans="2:27" x14ac:dyDescent="0.2">
      <c r="B12" s="4">
        <v>9</v>
      </c>
      <c r="C12" s="4">
        <v>43</v>
      </c>
      <c r="D12" s="23">
        <v>1838803.4214004329</v>
      </c>
      <c r="E12" s="33">
        <v>190.46510535135008</v>
      </c>
      <c r="F12" s="5">
        <v>9</v>
      </c>
      <c r="G12" s="23">
        <v>70.666666666666671</v>
      </c>
      <c r="H12" s="33">
        <v>1317.4337743803965</v>
      </c>
      <c r="I12" s="23">
        <v>40.045648793124606</v>
      </c>
      <c r="J12" s="5">
        <v>6842.4829805310201</v>
      </c>
      <c r="K12" s="31"/>
      <c r="L12" s="23">
        <v>2154620.545386408</v>
      </c>
      <c r="M12" s="33">
        <v>125.22530451351288</v>
      </c>
      <c r="N12" s="5">
        <v>15</v>
      </c>
      <c r="O12" s="5">
        <v>56.666666666666657</v>
      </c>
      <c r="P12" s="33">
        <v>1283.5593537244017</v>
      </c>
      <c r="Q12" s="5">
        <v>18.072316821609718</v>
      </c>
      <c r="R12" s="5">
        <v>6155.2918031705785</v>
      </c>
      <c r="S12" s="35"/>
      <c r="T12" s="23">
        <v>2257949.0545531749</v>
      </c>
      <c r="U12" s="33">
        <v>316.012115702703</v>
      </c>
      <c r="V12" s="5">
        <v>9</v>
      </c>
      <c r="W12" s="5">
        <v>48.666666666666657</v>
      </c>
      <c r="X12" s="33">
        <v>1425.329841447076</v>
      </c>
      <c r="Y12" s="5">
        <v>36.716944375929081</v>
      </c>
      <c r="Z12" s="5">
        <v>7223.2104385892208</v>
      </c>
      <c r="AA12" s="35"/>
    </row>
    <row r="13" spans="2:27" x14ac:dyDescent="0.2">
      <c r="B13" s="4">
        <v>10</v>
      </c>
      <c r="C13" s="4">
        <v>731</v>
      </c>
      <c r="D13" s="23">
        <v>1901234.4711346959</v>
      </c>
      <c r="E13" s="33">
        <v>135.64383591891806</v>
      </c>
      <c r="F13" s="5">
        <v>10</v>
      </c>
      <c r="G13" s="23">
        <v>71.333333333333329</v>
      </c>
      <c r="H13" s="33">
        <v>1582.7485407510458</v>
      </c>
      <c r="I13" s="23">
        <v>36.376773627106573</v>
      </c>
      <c r="J13" s="5">
        <v>7271.4900581705033</v>
      </c>
      <c r="K13" s="31"/>
      <c r="L13" s="23">
        <v>2109980.6553245219</v>
      </c>
      <c r="M13" s="33">
        <v>141.07821067567832</v>
      </c>
      <c r="N13" s="5">
        <v>12</v>
      </c>
      <c r="O13" s="5">
        <v>54</v>
      </c>
      <c r="P13" s="33">
        <v>1067.233434423666</v>
      </c>
      <c r="Q13" s="5">
        <v>19.509759543030576</v>
      </c>
      <c r="R13" s="5">
        <v>5805.0607443744957</v>
      </c>
      <c r="S13" s="35"/>
      <c r="T13" s="23">
        <v>2181894.5923681278</v>
      </c>
      <c r="U13" s="33">
        <v>55.848997378378378</v>
      </c>
      <c r="V13" s="5">
        <v>10</v>
      </c>
      <c r="W13" s="5">
        <v>52.666666666666657</v>
      </c>
      <c r="X13" s="33">
        <v>1362.8709983515726</v>
      </c>
      <c r="Y13" s="5">
        <v>38.582893417421175</v>
      </c>
      <c r="Z13" s="5">
        <v>7043.5636889204598</v>
      </c>
      <c r="AA13" s="35"/>
    </row>
    <row r="14" spans="2:27" x14ac:dyDescent="0.2">
      <c r="B14" s="47" t="s">
        <v>3</v>
      </c>
      <c r="C14" s="48"/>
      <c r="D14" s="9">
        <f>MIN(D4:D13)</f>
        <v>1780966.768487537</v>
      </c>
      <c r="E14" s="22">
        <f>INDEX(E4:E13, MATCH($D$14, D4:D13, 0))</f>
        <v>122.46576054053968</v>
      </c>
      <c r="F14" s="9">
        <f>INDEX(F4:F13, MATCH($D$14, D4:D13, 0))</f>
        <v>11</v>
      </c>
      <c r="G14" s="9">
        <f>INDEX(G4:G13, MATCH($D$14, D4:D13, 0))</f>
        <v>76.666666666666671</v>
      </c>
      <c r="H14" s="22">
        <f>INDEX(H4:H13, MATCH($D$14, D4:D13, 0))</f>
        <v>1405.5465636459433</v>
      </c>
      <c r="I14" s="22">
        <f>INDEX(I4:I13, MATCH($D$14, D4:D13, 0))</f>
        <v>35.987785689663298</v>
      </c>
      <c r="J14" s="22">
        <f>INDEX(J4:J13, MATCH($D$14, D4:D13, 0))</f>
        <v>7024.9326859845705</v>
      </c>
      <c r="K14" s="32" t="e">
        <f>(D14-$D$15)/$D$15</f>
        <v>#DIV/0!</v>
      </c>
      <c r="L14" s="16">
        <f>MIN(L4:L13)</f>
        <v>2032028.107165575</v>
      </c>
      <c r="M14" s="21">
        <f>INDEX(M4:M13, MATCH($L$14, L4:L13, 0))</f>
        <v>178.1468838108137</v>
      </c>
      <c r="N14" s="16">
        <f>INDEX(N4:N13, MATCH($L$14, L4:L13, 0))</f>
        <v>16</v>
      </c>
      <c r="O14" s="16">
        <f>INDEX(O4:O13, MATCH($L$14, L4:L13, 0))</f>
        <v>62.666666666666657</v>
      </c>
      <c r="P14" s="21">
        <f>INDEX(P4:P13, MATCH($L$14, L4:L13, 0))</f>
        <v>1255.3342684434385</v>
      </c>
      <c r="Q14" s="21">
        <f>INDEX(Q4:Q13, MATCH($L$14, L4:L13, 0))</f>
        <v>18.284237901153574</v>
      </c>
      <c r="R14" s="21">
        <f>INDEX(R4:R13, MATCH($L$14, L4:L13, 0))</f>
        <v>5867.2006925800715</v>
      </c>
      <c r="S14" s="36" t="e">
        <f>(L14-$D$15)/$D$15</f>
        <v>#DIV/0!</v>
      </c>
      <c r="T14" s="38">
        <f>MIN(T4:T13)</f>
        <v>2155437.2913191379</v>
      </c>
      <c r="U14" s="39">
        <f>INDEX(U4:U13, MATCH($T$14, T4:T13, 0))</f>
        <v>105.68407881081079</v>
      </c>
      <c r="V14" s="38">
        <f>INDEX(V4:V13, MATCH($T$14, T4:T13, 0))</f>
        <v>11</v>
      </c>
      <c r="W14" s="38">
        <f>INDEX(W4:W13, MATCH($T$14, T4:T13, 0))</f>
        <v>57.333333333333343</v>
      </c>
      <c r="X14" s="39">
        <f>INDEX(X4:X13, MATCH($T$14, T4:T13, 0))</f>
        <v>1615.0538694851969</v>
      </c>
      <c r="Y14" s="39">
        <f>INDEX(Y4:Y13, MATCH($T$14, T4:T13, 0))</f>
        <v>39.804195835961387</v>
      </c>
      <c r="Z14" s="39">
        <f>INDEX(Z4:Z13, MATCH($T$14, T4:T13, 0))</f>
        <v>7405.9707228486241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0.14096913155277377</v>
      </c>
      <c r="M15" s="41">
        <f t="shared" ref="M15:R15" si="0">(M14-E14)/E14</f>
        <v>0.45466686381980193</v>
      </c>
      <c r="N15" s="41">
        <f t="shared" si="0"/>
        <v>0.45454545454545453</v>
      </c>
      <c r="O15" s="41">
        <f t="shared" si="0"/>
        <v>-0.18260869565217408</v>
      </c>
      <c r="P15" s="41">
        <f t="shared" si="0"/>
        <v>-0.10687109135172213</v>
      </c>
      <c r="Q15" s="41">
        <f t="shared" si="0"/>
        <v>-0.4919321222254216</v>
      </c>
      <c r="R15" s="41">
        <f t="shared" si="0"/>
        <v>-0.1648032864022011</v>
      </c>
      <c r="T15" s="41">
        <f>(T14-D14)/D14</f>
        <v>0.21026249869311997</v>
      </c>
      <c r="U15" s="41">
        <f t="shared" ref="U15:Z15" si="1">(U14-E14)/E14</f>
        <v>-0.13703162137447936</v>
      </c>
      <c r="V15" s="41">
        <f t="shared" si="1"/>
        <v>0</v>
      </c>
      <c r="W15" s="41">
        <f t="shared" si="1"/>
        <v>-0.25217391304347819</v>
      </c>
      <c r="X15" s="41">
        <f t="shared" si="1"/>
        <v>0.14905753481108325</v>
      </c>
      <c r="Y15" s="41">
        <f t="shared" si="1"/>
        <v>0.1060473733840832</v>
      </c>
      <c r="Z15" s="41">
        <f t="shared" si="1"/>
        <v>5.4240809684093026E-2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40:C1048576">
    <cfRule type="duplicateValues" dxfId="89" priority="9"/>
    <cfRule type="duplicateValues" dxfId="88" priority="10"/>
  </conditionalFormatting>
  <conditionalFormatting sqref="C14">
    <cfRule type="duplicateValues" dxfId="87" priority="7"/>
    <cfRule type="duplicateValues" dxfId="86" priority="8"/>
  </conditionalFormatting>
  <conditionalFormatting sqref="C15">
    <cfRule type="duplicateValues" dxfId="85" priority="5"/>
    <cfRule type="duplicateValues" dxfId="84" priority="6"/>
  </conditionalFormatting>
  <conditionalFormatting sqref="C33:C39">
    <cfRule type="duplicateValues" dxfId="83" priority="3"/>
    <cfRule type="duplicateValues" dxfId="82" priority="4"/>
  </conditionalFormatting>
  <conditionalFormatting sqref="C20:C32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3B5C-7B90-47B6-AE1D-41919121080A}">
  <dimension ref="B1:AA17"/>
  <sheetViews>
    <sheetView zoomScale="80" zoomScaleNormal="80" workbookViewId="0">
      <selection activeCell="U29" sqref="U29:U4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-0.98785147610952084</v>
      </c>
      <c r="J2" s="28" t="e">
        <f>(S14-J14)/J14</f>
        <v>#DIV/0!</v>
      </c>
      <c r="K2" s="28"/>
      <c r="L2" s="1" t="s">
        <v>19</v>
      </c>
      <c r="P2" s="1">
        <f>(P14-H14)/H14</f>
        <v>-0.13037766578671361</v>
      </c>
      <c r="R2" s="1">
        <f>(R14-J14)/J14</f>
        <v>-9.2504761512130801E-2</v>
      </c>
      <c r="T2" s="1" t="s">
        <v>20</v>
      </c>
      <c r="X2" s="1">
        <f>(X14-P14)/P14</f>
        <v>0.16376134943639864</v>
      </c>
      <c r="Z2" s="1">
        <f>(Z14-R14)/R14</f>
        <v>0.13147185603134889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301</v>
      </c>
      <c r="D4" s="23">
        <v>1728163.3282543379</v>
      </c>
      <c r="E4" s="33">
        <v>166.03647805405842</v>
      </c>
      <c r="F4" s="5">
        <v>10</v>
      </c>
      <c r="G4" s="23">
        <v>79.333333333333329</v>
      </c>
      <c r="H4" s="33">
        <v>1603.8463197406077</v>
      </c>
      <c r="I4" s="23">
        <v>38.589065495023078</v>
      </c>
      <c r="J4" s="5">
        <v>6881.6287060792047</v>
      </c>
      <c r="K4" s="31"/>
      <c r="L4" s="23">
        <v>1989330.457525359</v>
      </c>
      <c r="M4" s="33">
        <v>104.72886724324387</v>
      </c>
      <c r="N4" s="5">
        <v>17</v>
      </c>
      <c r="O4" s="5">
        <v>67.333333333333329</v>
      </c>
      <c r="P4" s="33">
        <v>1261.1669918603613</v>
      </c>
      <c r="Q4" s="5">
        <v>17.407869504849458</v>
      </c>
      <c r="R4" s="5">
        <v>6103.0751388356348</v>
      </c>
      <c r="S4" s="35"/>
      <c r="T4" s="23">
        <v>2150457.2371268091</v>
      </c>
      <c r="U4" s="33">
        <v>79.988312351351112</v>
      </c>
      <c r="V4" s="5">
        <v>10</v>
      </c>
      <c r="W4" s="5">
        <v>56</v>
      </c>
      <c r="X4" s="33">
        <v>1592.5945232399702</v>
      </c>
      <c r="Y4" s="5">
        <v>39.015264537584898</v>
      </c>
      <c r="Z4" s="5">
        <v>7109.3840111659974</v>
      </c>
      <c r="AA4" s="35"/>
    </row>
    <row r="5" spans="2:27" x14ac:dyDescent="0.2">
      <c r="B5" s="4">
        <v>2</v>
      </c>
      <c r="C5" s="4">
        <v>236</v>
      </c>
      <c r="D5" s="23">
        <v>1726749.8804300069</v>
      </c>
      <c r="E5" s="33">
        <v>181.91287391892212</v>
      </c>
      <c r="F5" s="5">
        <v>10</v>
      </c>
      <c r="G5" s="23">
        <v>78.666666666666671</v>
      </c>
      <c r="H5" s="33">
        <v>1565.8259607228113</v>
      </c>
      <c r="I5" s="23">
        <v>37.844158183866128</v>
      </c>
      <c r="J5" s="5">
        <v>6787.8572982971364</v>
      </c>
      <c r="K5" s="31"/>
      <c r="L5" s="23">
        <v>2014723.851981862</v>
      </c>
      <c r="M5" s="33">
        <v>141.58474216216425</v>
      </c>
      <c r="N5" s="5">
        <v>13</v>
      </c>
      <c r="O5" s="5">
        <v>62</v>
      </c>
      <c r="P5" s="33">
        <v>1222.1366687645989</v>
      </c>
      <c r="Q5" s="5">
        <v>19.817946669481255</v>
      </c>
      <c r="R5" s="5">
        <v>5977.7235805713772</v>
      </c>
      <c r="S5" s="35"/>
      <c r="T5" s="23">
        <v>2206725.9391142698</v>
      </c>
      <c r="U5" s="33">
        <v>131.17197424324331</v>
      </c>
      <c r="V5" s="5">
        <v>8</v>
      </c>
      <c r="W5" s="5">
        <v>48.666666666666657</v>
      </c>
      <c r="X5" s="33">
        <v>1292.741121304384</v>
      </c>
      <c r="Y5" s="5">
        <v>44.123026090647336</v>
      </c>
      <c r="Z5" s="5">
        <v>6822.8497354902393</v>
      </c>
      <c r="AA5" s="35"/>
    </row>
    <row r="6" spans="2:27" x14ac:dyDescent="0.2">
      <c r="B6" s="4">
        <v>3</v>
      </c>
      <c r="C6" s="4">
        <v>454</v>
      </c>
      <c r="D6" s="23">
        <v>1727444.2442031519</v>
      </c>
      <c r="E6" s="33">
        <v>145.15641789188817</v>
      </c>
      <c r="F6" s="5">
        <v>10</v>
      </c>
      <c r="G6" s="23">
        <v>78</v>
      </c>
      <c r="H6" s="33">
        <v>1519.1339674725607</v>
      </c>
      <c r="I6" s="23">
        <v>37.641104252742018</v>
      </c>
      <c r="J6" s="5">
        <v>6747.4476241714556</v>
      </c>
      <c r="K6" s="31"/>
      <c r="L6" s="23">
        <v>1980179.2358422531</v>
      </c>
      <c r="M6" s="33">
        <v>197.5043055675672</v>
      </c>
      <c r="N6" s="5">
        <v>17</v>
      </c>
      <c r="O6" s="5">
        <v>68.666666666666671</v>
      </c>
      <c r="P6" s="33">
        <v>1371.0549890150605</v>
      </c>
      <c r="Q6" s="5">
        <v>17.929876616904355</v>
      </c>
      <c r="R6" s="5">
        <v>6190.1681532210796</v>
      </c>
      <c r="S6" s="35"/>
      <c r="T6" s="23">
        <v>2111307.1615890032</v>
      </c>
      <c r="U6" s="33">
        <v>181.6728834054054</v>
      </c>
      <c r="V6" s="5">
        <v>10</v>
      </c>
      <c r="W6" s="5">
        <v>56.666666666666657</v>
      </c>
      <c r="X6" s="33">
        <v>1444.3763477026621</v>
      </c>
      <c r="Y6" s="5">
        <v>37.997552218532761</v>
      </c>
      <c r="Z6" s="5">
        <v>6838.8566171102211</v>
      </c>
      <c r="AA6" s="35"/>
    </row>
    <row r="7" spans="2:27" x14ac:dyDescent="0.2">
      <c r="B7" s="4">
        <v>4</v>
      </c>
      <c r="C7" s="4">
        <v>40</v>
      </c>
      <c r="D7" s="23">
        <v>1727643.217325808</v>
      </c>
      <c r="E7" s="33">
        <v>156.10678032432318</v>
      </c>
      <c r="F7" s="5">
        <v>10</v>
      </c>
      <c r="G7" s="23">
        <v>78.666666666666671</v>
      </c>
      <c r="H7" s="33">
        <v>1552.7229202746112</v>
      </c>
      <c r="I7" s="23">
        <v>38.23041555743832</v>
      </c>
      <c r="J7" s="5">
        <v>6798.574783262874</v>
      </c>
      <c r="K7" s="31"/>
      <c r="L7" s="23">
        <v>1989358.1095509741</v>
      </c>
      <c r="M7" s="33">
        <v>279.95087216215728</v>
      </c>
      <c r="N7" s="5">
        <v>18</v>
      </c>
      <c r="O7" s="5">
        <v>70</v>
      </c>
      <c r="P7" s="33">
        <v>1470.90404824546</v>
      </c>
      <c r="Q7" s="5">
        <v>16.980866946974334</v>
      </c>
      <c r="R7" s="5">
        <v>6259.7664846959169</v>
      </c>
      <c r="S7" s="35"/>
      <c r="T7" s="23">
        <v>2121125.7078264002</v>
      </c>
      <c r="U7" s="33">
        <v>78.701264999999708</v>
      </c>
      <c r="V7" s="5">
        <v>10</v>
      </c>
      <c r="W7" s="5">
        <v>56.666666666666657</v>
      </c>
      <c r="X7" s="33">
        <v>1528.4022759842171</v>
      </c>
      <c r="Y7" s="5">
        <v>40.520885609183942</v>
      </c>
      <c r="Z7" s="5">
        <v>7007.6910531333115</v>
      </c>
      <c r="AA7" s="35"/>
    </row>
    <row r="8" spans="2:27" x14ac:dyDescent="0.2">
      <c r="B8" s="4">
        <v>5</v>
      </c>
      <c r="C8" s="4">
        <v>672</v>
      </c>
      <c r="D8" s="23">
        <v>1727120.1676015351</v>
      </c>
      <c r="E8" s="33">
        <v>280.86783956756784</v>
      </c>
      <c r="F8" s="5">
        <v>10</v>
      </c>
      <c r="G8" s="23">
        <v>79.333333333333329</v>
      </c>
      <c r="H8" s="33">
        <v>1613.651120217979</v>
      </c>
      <c r="I8" s="23">
        <v>38.70270467886079</v>
      </c>
      <c r="J8" s="5">
        <v>6865.3830863885078</v>
      </c>
      <c r="K8" s="31"/>
      <c r="L8" s="23">
        <v>2017024.7125224529</v>
      </c>
      <c r="M8" s="33">
        <v>284.98686267568002</v>
      </c>
      <c r="N8" s="5">
        <v>13</v>
      </c>
      <c r="O8" s="5">
        <v>60.666666666666657</v>
      </c>
      <c r="P8" s="33">
        <v>1060.9651567704111</v>
      </c>
      <c r="Q8" s="5">
        <v>19.587522881590512</v>
      </c>
      <c r="R8" s="5">
        <v>5847.3084572146026</v>
      </c>
      <c r="S8" s="35"/>
      <c r="T8" s="23">
        <v>2097508.6374532748</v>
      </c>
      <c r="U8" s="33">
        <v>213.39009627026996</v>
      </c>
      <c r="V8" s="5">
        <v>10</v>
      </c>
      <c r="W8" s="5">
        <v>58.666666666666657</v>
      </c>
      <c r="X8" s="33">
        <v>1620.4549242923006</v>
      </c>
      <c r="Y8" s="5">
        <v>39.97542829714741</v>
      </c>
      <c r="Z8" s="5">
        <v>7046.6325668399231</v>
      </c>
      <c r="AA8" s="35"/>
    </row>
    <row r="9" spans="2:27" x14ac:dyDescent="0.2">
      <c r="B9" s="4">
        <v>6</v>
      </c>
      <c r="C9" s="4">
        <v>563</v>
      </c>
      <c r="D9" s="23">
        <v>1728806.121571939</v>
      </c>
      <c r="E9" s="33">
        <v>117.71637313513911</v>
      </c>
      <c r="F9" s="5">
        <v>10</v>
      </c>
      <c r="G9" s="23">
        <v>78.666666666666671</v>
      </c>
      <c r="H9" s="33">
        <v>1575.3192837292506</v>
      </c>
      <c r="I9" s="23">
        <v>38.325583318383011</v>
      </c>
      <c r="J9" s="5">
        <v>6785.3781488102322</v>
      </c>
      <c r="K9" s="31"/>
      <c r="L9" s="23">
        <v>2013313.4819832491</v>
      </c>
      <c r="M9" s="33">
        <v>126.35262527027186</v>
      </c>
      <c r="N9" s="5">
        <v>14</v>
      </c>
      <c r="O9" s="5">
        <v>62.666666666666657</v>
      </c>
      <c r="P9" s="33">
        <v>1281.5881832416749</v>
      </c>
      <c r="Q9" s="5">
        <v>19.363911858370191</v>
      </c>
      <c r="R9" s="5">
        <v>5988.6213629953163</v>
      </c>
      <c r="S9" s="35"/>
      <c r="T9" s="23">
        <v>2097651.7811044408</v>
      </c>
      <c r="U9" s="33">
        <v>136.54087327027025</v>
      </c>
      <c r="V9" s="5">
        <v>10</v>
      </c>
      <c r="W9" s="5">
        <v>58</v>
      </c>
      <c r="X9" s="33">
        <v>1578.6194860701457</v>
      </c>
      <c r="Y9" s="5">
        <v>39.868779420787121</v>
      </c>
      <c r="Z9" s="5">
        <v>7024.5343095072849</v>
      </c>
      <c r="AA9" s="35"/>
    </row>
    <row r="10" spans="2:27" x14ac:dyDescent="0.2">
      <c r="B10" s="4">
        <v>7</v>
      </c>
      <c r="C10" s="4">
        <v>342</v>
      </c>
      <c r="D10" s="23">
        <v>1727896.50845494</v>
      </c>
      <c r="E10" s="33">
        <v>137.70952816216456</v>
      </c>
      <c r="F10" s="5">
        <v>10</v>
      </c>
      <c r="G10" s="23">
        <v>79.333333333333329</v>
      </c>
      <c r="H10" s="33">
        <v>1612.9166401175253</v>
      </c>
      <c r="I10" s="23">
        <v>38.191257885182431</v>
      </c>
      <c r="J10" s="5">
        <v>6865.1678723465966</v>
      </c>
      <c r="K10" s="31"/>
      <c r="L10" s="23">
        <v>2008849.2660853041</v>
      </c>
      <c r="M10" s="33">
        <v>228.49008237837648</v>
      </c>
      <c r="N10" s="5">
        <v>14</v>
      </c>
      <c r="O10" s="5">
        <v>62.666666666666657</v>
      </c>
      <c r="P10" s="33">
        <v>1182.0460398810853</v>
      </c>
      <c r="Q10" s="5">
        <v>19.465796959312865</v>
      </c>
      <c r="R10" s="5">
        <v>5916.3478569939798</v>
      </c>
      <c r="S10" s="35"/>
      <c r="T10" s="23">
        <v>2151777.9657577812</v>
      </c>
      <c r="U10" s="33">
        <v>318.51526267567567</v>
      </c>
      <c r="V10" s="5">
        <v>9</v>
      </c>
      <c r="W10" s="5">
        <v>54</v>
      </c>
      <c r="X10" s="33">
        <v>1462.565957960966</v>
      </c>
      <c r="Y10" s="5">
        <v>39.264358417956288</v>
      </c>
      <c r="Z10" s="5">
        <v>6927.9685696170282</v>
      </c>
      <c r="AA10" s="35"/>
    </row>
    <row r="11" spans="2:27" x14ac:dyDescent="0.2">
      <c r="B11" s="4">
        <v>8</v>
      </c>
      <c r="C11" s="4">
        <v>621</v>
      </c>
      <c r="D11" s="23">
        <v>1727630.936702213</v>
      </c>
      <c r="E11" s="33">
        <v>190.30640648648841</v>
      </c>
      <c r="F11" s="5">
        <v>10</v>
      </c>
      <c r="G11" s="23">
        <v>78</v>
      </c>
      <c r="H11" s="33">
        <v>1517.4954950633157</v>
      </c>
      <c r="I11" s="23">
        <v>37.437156674202335</v>
      </c>
      <c r="J11" s="5">
        <v>6725.7578697109238</v>
      </c>
      <c r="K11" s="31"/>
      <c r="L11" s="23">
        <v>2014106.8708578381</v>
      </c>
      <c r="M11" s="33">
        <v>340.09768040540837</v>
      </c>
      <c r="N11" s="5">
        <v>17</v>
      </c>
      <c r="O11" s="5">
        <v>68</v>
      </c>
      <c r="P11" s="33">
        <v>1416.428366046297</v>
      </c>
      <c r="Q11" s="5">
        <v>17.617542037812559</v>
      </c>
      <c r="R11" s="5">
        <v>6257.1978191265925</v>
      </c>
      <c r="S11" s="35"/>
      <c r="T11" s="23">
        <v>2112489.7221763679</v>
      </c>
      <c r="U11" s="33">
        <v>189.68666294594604</v>
      </c>
      <c r="V11" s="5">
        <v>10</v>
      </c>
      <c r="W11" s="5">
        <v>58</v>
      </c>
      <c r="X11" s="33">
        <v>1611.7938100819799</v>
      </c>
      <c r="Y11" s="5">
        <v>39.007776128519467</v>
      </c>
      <c r="Z11" s="5">
        <v>6980.9623668422646</v>
      </c>
      <c r="AA11" s="35"/>
    </row>
    <row r="12" spans="2:27" x14ac:dyDescent="0.2">
      <c r="B12" s="4">
        <v>9</v>
      </c>
      <c r="C12" s="4">
        <v>418</v>
      </c>
      <c r="D12" s="23">
        <v>1727990.2350465669</v>
      </c>
      <c r="E12" s="33">
        <v>138.81798827026441</v>
      </c>
      <c r="F12" s="5">
        <v>10</v>
      </c>
      <c r="G12" s="23">
        <v>78.666666666666671</v>
      </c>
      <c r="H12" s="33">
        <v>1555.4821188140197</v>
      </c>
      <c r="I12" s="23">
        <v>38.386653003251944</v>
      </c>
      <c r="J12" s="5">
        <v>6810.7121601788076</v>
      </c>
      <c r="K12" s="31"/>
      <c r="L12" s="23">
        <v>1972574.3100132011</v>
      </c>
      <c r="M12" s="33">
        <v>139.79303302702721</v>
      </c>
      <c r="N12" s="5">
        <v>15</v>
      </c>
      <c r="O12" s="5">
        <v>67.333333333333329</v>
      </c>
      <c r="P12" s="33">
        <v>1392.4288902334447</v>
      </c>
      <c r="Q12" s="5">
        <v>19.452071288046636</v>
      </c>
      <c r="R12" s="5">
        <v>6227.8460832035817</v>
      </c>
      <c r="S12" s="35"/>
      <c r="T12" s="23">
        <v>2112164.669531337</v>
      </c>
      <c r="U12" s="33">
        <v>237.36155040540521</v>
      </c>
      <c r="V12" s="5">
        <v>10</v>
      </c>
      <c r="W12" s="5">
        <v>57.333333333333343</v>
      </c>
      <c r="X12" s="33">
        <v>1558.1981565106453</v>
      </c>
      <c r="Y12" s="5">
        <v>39.26147558335181</v>
      </c>
      <c r="Z12" s="5">
        <v>6949.566347651863</v>
      </c>
      <c r="AA12" s="35"/>
    </row>
    <row r="13" spans="2:27" x14ac:dyDescent="0.2">
      <c r="B13" s="4">
        <v>10</v>
      </c>
      <c r="C13" s="4">
        <v>141</v>
      </c>
      <c r="D13" s="23">
        <v>1726657.840571566</v>
      </c>
      <c r="E13" s="33">
        <v>153.89877735135283</v>
      </c>
      <c r="F13" s="5">
        <v>10</v>
      </c>
      <c r="G13" s="23">
        <v>79.333333333333329</v>
      </c>
      <c r="H13" s="33">
        <v>1601.1880507796768</v>
      </c>
      <c r="I13" s="23">
        <v>38.676782900419411</v>
      </c>
      <c r="J13" s="5">
        <v>6862.6763194712139</v>
      </c>
      <c r="K13" s="31"/>
      <c r="L13" s="23">
        <v>1993267.797205118</v>
      </c>
      <c r="M13" s="33">
        <v>215.45367062161833</v>
      </c>
      <c r="N13" s="5">
        <v>15</v>
      </c>
      <c r="O13" s="5">
        <v>66.666666666666671</v>
      </c>
      <c r="P13" s="33">
        <v>1415.3488145727335</v>
      </c>
      <c r="Q13" s="5">
        <v>19.216447170781198</v>
      </c>
      <c r="R13" s="5">
        <v>6224.8452296426512</v>
      </c>
      <c r="S13" s="35"/>
      <c r="T13" s="23">
        <v>2152725.9769910248</v>
      </c>
      <c r="U13" s="33">
        <v>175.7159800270268</v>
      </c>
      <c r="V13" s="5">
        <v>9</v>
      </c>
      <c r="W13" s="5">
        <v>54</v>
      </c>
      <c r="X13" s="33">
        <v>1466.7102868171371</v>
      </c>
      <c r="Y13" s="5">
        <v>39.169874554580346</v>
      </c>
      <c r="Z13" s="5">
        <v>6937.3086954985984</v>
      </c>
      <c r="AA13" s="35"/>
    </row>
    <row r="14" spans="2:27" x14ac:dyDescent="0.2">
      <c r="B14" s="47" t="s">
        <v>3</v>
      </c>
      <c r="C14" s="48"/>
      <c r="D14" s="9">
        <f>MIN(D4:D13)</f>
        <v>1726657.840571566</v>
      </c>
      <c r="E14" s="22">
        <f>INDEX(E4:E13, MATCH($D$14, D4:D13, 0))</f>
        <v>153.89877735135283</v>
      </c>
      <c r="F14" s="9">
        <f>INDEX(F4:F13, MATCH($D$14, D4:D13, 0))</f>
        <v>10</v>
      </c>
      <c r="G14" s="9">
        <f>INDEX(G4:G13, MATCH($D$14, D4:D13, 0))</f>
        <v>79.333333333333329</v>
      </c>
      <c r="H14" s="22">
        <f>INDEX(H4:H13, MATCH($D$14, D4:D13, 0))</f>
        <v>1601.1880507796768</v>
      </c>
      <c r="I14" s="22">
        <f>INDEX(I4:I13, MATCH($D$14, D4:D13, 0))</f>
        <v>38.676782900419411</v>
      </c>
      <c r="J14" s="22">
        <f>INDEX(J4:J13, MATCH($D$14, D4:D13, 0))</f>
        <v>6862.6763194712139</v>
      </c>
      <c r="K14" s="32" t="e">
        <f>(D14-$D$15)/$D$15</f>
        <v>#DIV/0!</v>
      </c>
      <c r="L14" s="16">
        <f>MIN(L4:L13)</f>
        <v>1972574.3100132011</v>
      </c>
      <c r="M14" s="21">
        <f>INDEX(M4:M13, MATCH($L$14, L4:L13, 0))</f>
        <v>139.79303302702721</v>
      </c>
      <c r="N14" s="16">
        <f>INDEX(N4:N13, MATCH($L$14, L4:L13, 0))</f>
        <v>15</v>
      </c>
      <c r="O14" s="16">
        <f>INDEX(O4:O13, MATCH($L$14, L4:L13, 0))</f>
        <v>67.333333333333329</v>
      </c>
      <c r="P14" s="21">
        <f>INDEX(P4:P13, MATCH($L$14, L4:L13, 0))</f>
        <v>1392.4288902334447</v>
      </c>
      <c r="Q14" s="21">
        <f>INDEX(Q4:Q13, MATCH($L$14, L4:L13, 0))</f>
        <v>19.452071288046636</v>
      </c>
      <c r="R14" s="21">
        <f>INDEX(R4:R13, MATCH($L$14, L4:L13, 0))</f>
        <v>6227.8460832035817</v>
      </c>
      <c r="S14" s="36" t="e">
        <f>(L14-$D$15)/$D$15</f>
        <v>#DIV/0!</v>
      </c>
      <c r="T14" s="38">
        <f>MIN(T4:T13)</f>
        <v>2097508.6374532748</v>
      </c>
      <c r="U14" s="39">
        <f>INDEX(U4:U13, MATCH($T$14, T4:T13, 0))</f>
        <v>213.39009627026996</v>
      </c>
      <c r="V14" s="38">
        <f>INDEX(V4:V13, MATCH($T$14, T4:T13, 0))</f>
        <v>10</v>
      </c>
      <c r="W14" s="38">
        <f>INDEX(W4:W13, MATCH($T$14, T4:T13, 0))</f>
        <v>58.666666666666657</v>
      </c>
      <c r="X14" s="39">
        <f>INDEX(X4:X13, MATCH($T$14, T4:T13, 0))</f>
        <v>1620.4549242923006</v>
      </c>
      <c r="Y14" s="39">
        <f>INDEX(Y4:Y13, MATCH($T$14, T4:T13, 0))</f>
        <v>39.97542829714741</v>
      </c>
      <c r="Z14" s="39">
        <f>INDEX(Z4:Z13, MATCH($T$14, T4:T13, 0))</f>
        <v>7046.6325668399231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0.14242339371663276</v>
      </c>
      <c r="M15" s="41">
        <f t="shared" ref="M15:R15" si="0">(M14-E14)/E14</f>
        <v>-9.1655986922638349E-2</v>
      </c>
      <c r="N15" s="41">
        <f t="shared" si="0"/>
        <v>0.5</v>
      </c>
      <c r="O15" s="41">
        <f t="shared" si="0"/>
        <v>-0.15126050420168069</v>
      </c>
      <c r="P15" s="41">
        <f t="shared" si="0"/>
        <v>-0.13037766578671361</v>
      </c>
      <c r="Q15" s="41">
        <f t="shared" si="0"/>
        <v>-0.49706077317419034</v>
      </c>
      <c r="R15" s="41">
        <f t="shared" si="0"/>
        <v>-9.2504761512130801E-2</v>
      </c>
      <c r="T15" s="41">
        <f>(T14-D14)/D14</f>
        <v>0.21477955166783252</v>
      </c>
      <c r="U15" s="41">
        <f t="shared" ref="U15:Z15" si="1">(U14-E14)/E14</f>
        <v>0.38656134858757002</v>
      </c>
      <c r="V15" s="41">
        <f t="shared" si="1"/>
        <v>0</v>
      </c>
      <c r="W15" s="41">
        <f t="shared" si="1"/>
        <v>-0.26050420168067234</v>
      </c>
      <c r="X15" s="41">
        <f t="shared" si="1"/>
        <v>1.2032861164085017E-2</v>
      </c>
      <c r="Y15" s="41">
        <f t="shared" si="1"/>
        <v>3.3576872204485138E-2</v>
      </c>
      <c r="Z15" s="41">
        <f t="shared" si="1"/>
        <v>2.6805321831480974E-2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29 C40:C1048576">
    <cfRule type="duplicateValues" dxfId="81" priority="7"/>
    <cfRule type="duplicateValues" dxfId="80" priority="8"/>
  </conditionalFormatting>
  <conditionalFormatting sqref="C14">
    <cfRule type="duplicateValues" dxfId="79" priority="5"/>
    <cfRule type="duplicateValues" dxfId="78" priority="6"/>
  </conditionalFormatting>
  <conditionalFormatting sqref="C15">
    <cfRule type="duplicateValues" dxfId="77" priority="3"/>
    <cfRule type="duplicateValues" dxfId="76" priority="4"/>
  </conditionalFormatting>
  <conditionalFormatting sqref="C30:C39">
    <cfRule type="duplicateValues" dxfId="75" priority="1"/>
    <cfRule type="duplicateValues" dxfId="74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283F-AE31-4812-941B-3FB10BC2111E}">
  <dimension ref="B1:AA17"/>
  <sheetViews>
    <sheetView zoomScale="80" zoomScaleNormal="80" workbookViewId="0">
      <selection activeCell="U28" sqref="U28:U4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-0.98284761521866415</v>
      </c>
      <c r="J2" s="28" t="e">
        <f>(S14-J14)/J14</f>
        <v>#DIV/0!</v>
      </c>
      <c r="K2" s="28"/>
      <c r="L2" s="1" t="s">
        <v>19</v>
      </c>
      <c r="P2" s="1">
        <f>(P14-H14)/H14</f>
        <v>-0.20509855579076963</v>
      </c>
      <c r="R2" s="1">
        <f>(R14-J14)/J14</f>
        <v>-0.12432782700227876</v>
      </c>
      <c r="T2" s="1" t="s">
        <v>20</v>
      </c>
      <c r="X2" s="1">
        <f>(X14-P14)/P14</f>
        <v>0.50521397281620195</v>
      </c>
      <c r="Z2" s="1">
        <f>(Z14-R14)/R14</f>
        <v>0.25642509369117467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670</v>
      </c>
      <c r="D4" s="23">
        <v>1802440.607248253</v>
      </c>
      <c r="E4" s="33">
        <v>166.85079364865118</v>
      </c>
      <c r="F4" s="5">
        <v>10</v>
      </c>
      <c r="G4" s="23">
        <v>72</v>
      </c>
      <c r="H4" s="33">
        <v>1384.1625680186214</v>
      </c>
      <c r="I4" s="23">
        <v>42.173102263451426</v>
      </c>
      <c r="J4" s="5">
        <v>6487.7581407414382</v>
      </c>
      <c r="K4" s="31"/>
      <c r="L4" s="23">
        <v>2069138.6110236531</v>
      </c>
      <c r="M4" s="33">
        <v>291.3964274594627</v>
      </c>
      <c r="N4" s="5">
        <v>13</v>
      </c>
      <c r="O4" s="5">
        <v>56.666666666666657</v>
      </c>
      <c r="P4" s="33">
        <v>1100.2728243383592</v>
      </c>
      <c r="Q4" s="5">
        <v>23.741688966577389</v>
      </c>
      <c r="R4" s="5">
        <v>5681.1492689867109</v>
      </c>
      <c r="S4" s="35"/>
      <c r="T4" s="23">
        <v>2168609.3555161711</v>
      </c>
      <c r="U4" s="33">
        <v>62.323378783783831</v>
      </c>
      <c r="V4" s="5">
        <v>9</v>
      </c>
      <c r="W4" s="5">
        <v>52</v>
      </c>
      <c r="X4" s="33">
        <v>1488.6961940014742</v>
      </c>
      <c r="Y4" s="5">
        <v>50.59567737932656</v>
      </c>
      <c r="Z4" s="5">
        <v>7036.4986317755775</v>
      </c>
      <c r="AA4" s="35"/>
    </row>
    <row r="5" spans="2:27" x14ac:dyDescent="0.2">
      <c r="B5" s="4">
        <v>2</v>
      </c>
      <c r="C5" s="4">
        <v>759</v>
      </c>
      <c r="D5" s="23">
        <v>1836472.2861945881</v>
      </c>
      <c r="E5" s="33">
        <v>190.26799986486611</v>
      </c>
      <c r="F5" s="5">
        <v>10</v>
      </c>
      <c r="G5" s="23">
        <v>69.333333333333329</v>
      </c>
      <c r="H5" s="33">
        <v>1324.7485132571533</v>
      </c>
      <c r="I5" s="23">
        <v>41.476608940354197</v>
      </c>
      <c r="J5" s="5">
        <v>6467.24256696063</v>
      </c>
      <c r="K5" s="31"/>
      <c r="L5" s="23">
        <v>2102762.0995267532</v>
      </c>
      <c r="M5" s="33">
        <v>158.42359678378497</v>
      </c>
      <c r="N5" s="5">
        <v>13</v>
      </c>
      <c r="O5" s="5">
        <v>54</v>
      </c>
      <c r="P5" s="33">
        <v>967.90623821000668</v>
      </c>
      <c r="Q5" s="5">
        <v>22.462610103996894</v>
      </c>
      <c r="R5" s="5">
        <v>5566.5192535965043</v>
      </c>
      <c r="S5" s="35"/>
      <c r="T5" s="23">
        <v>2250200.5860486398</v>
      </c>
      <c r="U5" s="33">
        <v>81.990038513513596</v>
      </c>
      <c r="V5" s="5">
        <v>8</v>
      </c>
      <c r="W5" s="5">
        <v>47.333333333333343</v>
      </c>
      <c r="X5" s="33">
        <v>1546.4650723688133</v>
      </c>
      <c r="Y5" s="5">
        <v>50.804575692511335</v>
      </c>
      <c r="Z5" s="5">
        <v>7064.8539545725898</v>
      </c>
      <c r="AA5" s="35"/>
    </row>
    <row r="6" spans="2:27" x14ac:dyDescent="0.2">
      <c r="B6" s="4">
        <v>3</v>
      </c>
      <c r="C6" s="4">
        <v>113</v>
      </c>
      <c r="D6" s="23">
        <v>1852204.342680787</v>
      </c>
      <c r="E6" s="33">
        <v>111.08545745945554</v>
      </c>
      <c r="F6" s="5">
        <v>10</v>
      </c>
      <c r="G6" s="23">
        <v>68</v>
      </c>
      <c r="H6" s="33">
        <v>1273.8823079525332</v>
      </c>
      <c r="I6" s="23">
        <v>39.070406314811613</v>
      </c>
      <c r="J6" s="5">
        <v>6346.4980783420242</v>
      </c>
      <c r="K6" s="31"/>
      <c r="L6" s="23">
        <v>2142555.6033974132</v>
      </c>
      <c r="M6" s="33">
        <v>133.69740821621727</v>
      </c>
      <c r="N6" s="5">
        <v>11</v>
      </c>
      <c r="O6" s="5">
        <v>52</v>
      </c>
      <c r="P6" s="33">
        <v>1171.0687852960712</v>
      </c>
      <c r="Q6" s="5">
        <v>24.711219086387722</v>
      </c>
      <c r="R6" s="5">
        <v>5803.2154742909406</v>
      </c>
      <c r="S6" s="35"/>
      <c r="T6" s="23">
        <v>2190834.6908190241</v>
      </c>
      <c r="U6" s="33">
        <v>80.4486638108107</v>
      </c>
      <c r="V6" s="5">
        <v>9</v>
      </c>
      <c r="W6" s="5">
        <v>52.666666666666657</v>
      </c>
      <c r="X6" s="33">
        <v>1737.8789969305294</v>
      </c>
      <c r="Y6" s="5">
        <v>50.92057573649258</v>
      </c>
      <c r="Z6" s="5">
        <v>7308.792233707215</v>
      </c>
      <c r="AA6" s="35"/>
    </row>
    <row r="7" spans="2:27" x14ac:dyDescent="0.2">
      <c r="B7" s="4">
        <v>4</v>
      </c>
      <c r="C7" s="4">
        <v>438</v>
      </c>
      <c r="D7" s="23">
        <v>1802677.3274984581</v>
      </c>
      <c r="E7" s="33">
        <v>323.63362729729539</v>
      </c>
      <c r="F7" s="5">
        <v>10</v>
      </c>
      <c r="G7" s="23">
        <v>72.666666666666671</v>
      </c>
      <c r="H7" s="33">
        <v>1455.985831211502</v>
      </c>
      <c r="I7" s="23">
        <v>42.750607390626918</v>
      </c>
      <c r="J7" s="5">
        <v>6570.8144720744785</v>
      </c>
      <c r="K7" s="31"/>
      <c r="L7" s="23">
        <v>2137099.0767998812</v>
      </c>
      <c r="M7" s="33">
        <v>71.864875459459881</v>
      </c>
      <c r="N7" s="5">
        <v>10</v>
      </c>
      <c r="O7" s="5">
        <v>50.666666666666657</v>
      </c>
      <c r="P7" s="33">
        <v>1007.2352766353833</v>
      </c>
      <c r="Q7" s="5">
        <v>26.441653761925171</v>
      </c>
      <c r="R7" s="5">
        <v>5726.0922767591719</v>
      </c>
      <c r="S7" s="35"/>
      <c r="T7" s="23">
        <v>2155207.079671347</v>
      </c>
      <c r="U7" s="33">
        <v>116.51664148648656</v>
      </c>
      <c r="V7" s="5">
        <v>8</v>
      </c>
      <c r="W7" s="5">
        <v>51.333333333333343</v>
      </c>
      <c r="X7" s="33">
        <v>1427.1511317908066</v>
      </c>
      <c r="Y7" s="5">
        <v>58.04831239785242</v>
      </c>
      <c r="Z7" s="5">
        <v>6954.657985806477</v>
      </c>
      <c r="AA7" s="35"/>
    </row>
    <row r="8" spans="2:27" x14ac:dyDescent="0.2">
      <c r="B8" s="4">
        <v>5</v>
      </c>
      <c r="C8" s="4">
        <v>424</v>
      </c>
      <c r="D8" s="23">
        <v>1853581.2996793259</v>
      </c>
      <c r="E8" s="33">
        <v>94.370372432435076</v>
      </c>
      <c r="F8" s="5">
        <v>10</v>
      </c>
      <c r="G8" s="23">
        <v>70.666666666666671</v>
      </c>
      <c r="H8" s="33">
        <v>1418.6407727800129</v>
      </c>
      <c r="I8" s="23">
        <v>41.250134560520038</v>
      </c>
      <c r="J8" s="5">
        <v>6684.6686433412187</v>
      </c>
      <c r="K8" s="31"/>
      <c r="L8" s="23">
        <v>2141061.6375410892</v>
      </c>
      <c r="M8" s="33">
        <v>96.746310000001088</v>
      </c>
      <c r="N8" s="5">
        <v>11</v>
      </c>
      <c r="O8" s="5">
        <v>52</v>
      </c>
      <c r="P8" s="33">
        <v>1136.7782533420145</v>
      </c>
      <c r="Q8" s="5">
        <v>25.327457155533104</v>
      </c>
      <c r="R8" s="5">
        <v>5809.4001604200139</v>
      </c>
      <c r="S8" s="35"/>
      <c r="T8" s="23">
        <v>2154900.8305479959</v>
      </c>
      <c r="U8" s="33">
        <v>136.71989070270266</v>
      </c>
      <c r="V8" s="5">
        <v>10</v>
      </c>
      <c r="W8" s="5">
        <v>54.666666666666657</v>
      </c>
      <c r="X8" s="33">
        <v>1540.206759901735</v>
      </c>
      <c r="Y8" s="5">
        <v>46.724811098820346</v>
      </c>
      <c r="Z8" s="5">
        <v>7018.7187515202431</v>
      </c>
      <c r="AA8" s="35"/>
    </row>
    <row r="9" spans="2:27" x14ac:dyDescent="0.2">
      <c r="B9" s="4">
        <v>6</v>
      </c>
      <c r="C9" s="4">
        <v>909</v>
      </c>
      <c r="D9" s="23">
        <v>1818944.185861405</v>
      </c>
      <c r="E9" s="33">
        <v>384.05670583783808</v>
      </c>
      <c r="F9" s="5">
        <v>11</v>
      </c>
      <c r="G9" s="23">
        <v>71.333333333333329</v>
      </c>
      <c r="H9" s="33">
        <v>1339.6157397912425</v>
      </c>
      <c r="I9" s="23">
        <v>38.196005860309192</v>
      </c>
      <c r="J9" s="5">
        <v>6402.9636207493249</v>
      </c>
      <c r="K9" s="31"/>
      <c r="L9" s="23">
        <v>2096823.499615672</v>
      </c>
      <c r="M9" s="33">
        <v>95.400496459459077</v>
      </c>
      <c r="N9" s="5">
        <v>12</v>
      </c>
      <c r="O9" s="5">
        <v>55.333333333333343</v>
      </c>
      <c r="P9" s="33">
        <v>1172.0793780357255</v>
      </c>
      <c r="Q9" s="5">
        <v>24.522100953633924</v>
      </c>
      <c r="R9" s="5">
        <v>5851.9561152338547</v>
      </c>
      <c r="S9" s="35"/>
      <c r="T9" s="23">
        <v>2149015.5074579092</v>
      </c>
      <c r="U9" s="33">
        <v>83.306790243243242</v>
      </c>
      <c r="V9" s="5">
        <v>9</v>
      </c>
      <c r="W9" s="5">
        <v>53.333333333333343</v>
      </c>
      <c r="X9" s="33">
        <v>1500.4404710116214</v>
      </c>
      <c r="Y9" s="5">
        <v>51.95854345128469</v>
      </c>
      <c r="Z9" s="5">
        <v>7065.2951728507951</v>
      </c>
      <c r="AA9" s="35"/>
    </row>
    <row r="10" spans="2:27" x14ac:dyDescent="0.2">
      <c r="B10" s="4">
        <v>7</v>
      </c>
      <c r="C10" s="4">
        <v>737</v>
      </c>
      <c r="D10" s="23">
        <v>1803787.2157458309</v>
      </c>
      <c r="E10" s="33">
        <v>157.44627154053887</v>
      </c>
      <c r="F10" s="5">
        <v>10</v>
      </c>
      <c r="G10" s="23">
        <v>72.666666666666671</v>
      </c>
      <c r="H10" s="33">
        <v>1446.1602652446327</v>
      </c>
      <c r="I10" s="23">
        <v>42.995293950539477</v>
      </c>
      <c r="J10" s="5">
        <v>6564.2457868415549</v>
      </c>
      <c r="K10" s="31"/>
      <c r="L10" s="23">
        <v>2091246.8979213929</v>
      </c>
      <c r="M10" s="33">
        <v>135.64582462162187</v>
      </c>
      <c r="N10" s="5">
        <v>15</v>
      </c>
      <c r="O10" s="5">
        <v>61.333333333333343</v>
      </c>
      <c r="P10" s="33">
        <v>1499.9594803448545</v>
      </c>
      <c r="Q10" s="5">
        <v>23.290229429974282</v>
      </c>
      <c r="R10" s="5">
        <v>6304.1054596885315</v>
      </c>
      <c r="S10" s="35"/>
      <c r="T10" s="23">
        <v>2144556.0438279519</v>
      </c>
      <c r="U10" s="33">
        <v>129.29786372972976</v>
      </c>
      <c r="V10" s="5">
        <v>9</v>
      </c>
      <c r="W10" s="5">
        <v>54.666666666666657</v>
      </c>
      <c r="X10" s="33">
        <v>1656.1460291040448</v>
      </c>
      <c r="Y10" s="5">
        <v>51.825430657844066</v>
      </c>
      <c r="Z10" s="5">
        <v>7137.9385025601769</v>
      </c>
      <c r="AA10" s="35"/>
    </row>
    <row r="11" spans="2:27" x14ac:dyDescent="0.2">
      <c r="B11" s="4">
        <v>8</v>
      </c>
      <c r="C11" s="4">
        <v>754</v>
      </c>
      <c r="D11" s="23">
        <v>1804473.030898557</v>
      </c>
      <c r="E11" s="33">
        <v>105.96901729729694</v>
      </c>
      <c r="F11" s="5">
        <v>10</v>
      </c>
      <c r="G11" s="23">
        <v>71.333333333333329</v>
      </c>
      <c r="H11" s="33">
        <v>1354.24138892883</v>
      </c>
      <c r="I11" s="23">
        <v>41.870605199015145</v>
      </c>
      <c r="J11" s="5">
        <v>6465.646266069617</v>
      </c>
      <c r="K11" s="31"/>
      <c r="L11" s="23">
        <v>2116079.0245533418</v>
      </c>
      <c r="M11" s="33">
        <v>184.30815062162347</v>
      </c>
      <c r="N11" s="5">
        <v>12</v>
      </c>
      <c r="O11" s="5">
        <v>53.333333333333343</v>
      </c>
      <c r="P11" s="33">
        <v>1102.4188440176031</v>
      </c>
      <c r="Q11" s="5">
        <v>24.336404462906472</v>
      </c>
      <c r="R11" s="5">
        <v>5677.5096192397605</v>
      </c>
      <c r="S11" s="35"/>
      <c r="T11" s="23">
        <v>2179818.2040453609</v>
      </c>
      <c r="U11" s="33">
        <v>126.60729362162166</v>
      </c>
      <c r="V11" s="5">
        <v>9</v>
      </c>
      <c r="W11" s="5">
        <v>52.666666666666657</v>
      </c>
      <c r="X11" s="33">
        <v>1605.3555515638952</v>
      </c>
      <c r="Y11" s="5">
        <v>51.678574837151629</v>
      </c>
      <c r="Z11" s="5">
        <v>7234.1948899262943</v>
      </c>
      <c r="AA11" s="35"/>
    </row>
    <row r="12" spans="2:27" x14ac:dyDescent="0.2">
      <c r="B12" s="4">
        <v>9</v>
      </c>
      <c r="C12" s="4">
        <v>363</v>
      </c>
      <c r="D12" s="23">
        <v>1854670.2016782919</v>
      </c>
      <c r="E12" s="33">
        <v>143.47217548648808</v>
      </c>
      <c r="F12" s="5">
        <v>10</v>
      </c>
      <c r="G12" s="23">
        <v>71.333333333333329</v>
      </c>
      <c r="H12" s="33">
        <v>1474.1833569352411</v>
      </c>
      <c r="I12" s="23">
        <v>41.995547826260939</v>
      </c>
      <c r="J12" s="5">
        <v>6740.7623688930717</v>
      </c>
      <c r="K12" s="31"/>
      <c r="L12" s="23">
        <v>2079345.658765323</v>
      </c>
      <c r="M12" s="33">
        <v>149.68683548649219</v>
      </c>
      <c r="N12" s="5">
        <v>12</v>
      </c>
      <c r="O12" s="5">
        <v>55.333333333333343</v>
      </c>
      <c r="P12" s="33">
        <v>1136.9739413613056</v>
      </c>
      <c r="Q12" s="5">
        <v>24.357399390738049</v>
      </c>
      <c r="R12" s="5">
        <v>5670.7830109034994</v>
      </c>
      <c r="S12" s="35"/>
      <c r="T12" s="23">
        <v>2179809.2154140389</v>
      </c>
      <c r="U12" s="33">
        <v>86.876222243243674</v>
      </c>
      <c r="V12" s="5">
        <v>9</v>
      </c>
      <c r="W12" s="5">
        <v>52</v>
      </c>
      <c r="X12" s="33">
        <v>1480.9919963798995</v>
      </c>
      <c r="Y12" s="5">
        <v>51.131604886888674</v>
      </c>
      <c r="Z12" s="5">
        <v>7149.2360716260719</v>
      </c>
      <c r="AA12" s="35"/>
    </row>
    <row r="13" spans="2:27" x14ac:dyDescent="0.2">
      <c r="B13" s="4">
        <v>10</v>
      </c>
      <c r="C13" s="4">
        <v>299</v>
      </c>
      <c r="D13" s="23">
        <v>1810847.9972513041</v>
      </c>
      <c r="E13" s="33">
        <v>152.41354564864761</v>
      </c>
      <c r="F13" s="5">
        <v>11</v>
      </c>
      <c r="G13" s="23">
        <v>73.333333333333329</v>
      </c>
      <c r="H13" s="33">
        <v>1495.8636140887809</v>
      </c>
      <c r="I13" s="23">
        <v>39.731783195377595</v>
      </c>
      <c r="J13" s="5">
        <v>6582.822109817148</v>
      </c>
      <c r="K13" s="31"/>
      <c r="L13" s="23">
        <v>2120258.2726122988</v>
      </c>
      <c r="M13" s="33">
        <v>175.81829929729841</v>
      </c>
      <c r="N13" s="5">
        <v>12</v>
      </c>
      <c r="O13" s="5">
        <v>54</v>
      </c>
      <c r="P13" s="33">
        <v>1119.0477003929195</v>
      </c>
      <c r="Q13" s="5">
        <v>24.063301115270349</v>
      </c>
      <c r="R13" s="5">
        <v>5799.2981559819464</v>
      </c>
      <c r="S13" s="35"/>
      <c r="T13" s="23">
        <v>2174536.4295712351</v>
      </c>
      <c r="U13" s="33">
        <v>177.24560459459443</v>
      </c>
      <c r="V13" s="5">
        <v>9</v>
      </c>
      <c r="W13" s="5">
        <v>52.666666666666657</v>
      </c>
      <c r="X13" s="33">
        <v>1581.3709156043926</v>
      </c>
      <c r="Y13" s="5">
        <v>49.553080738010586</v>
      </c>
      <c r="Z13" s="5">
        <v>7092.7414033216455</v>
      </c>
      <c r="AA13" s="35"/>
    </row>
    <row r="14" spans="2:27" x14ac:dyDescent="0.2">
      <c r="B14" s="47" t="s">
        <v>3</v>
      </c>
      <c r="C14" s="48"/>
      <c r="D14" s="9">
        <f>MIN(D4:D13)</f>
        <v>1802440.607248253</v>
      </c>
      <c r="E14" s="22">
        <f>INDEX(E4:E13, MATCH($D$14, D4:D13, 0))</f>
        <v>166.85079364865118</v>
      </c>
      <c r="F14" s="9">
        <f>INDEX(F4:F13, MATCH($D$14, D4:D13, 0))</f>
        <v>10</v>
      </c>
      <c r="G14" s="9">
        <f>INDEX(G4:G13, MATCH($D$14, D4:D13, 0))</f>
        <v>72</v>
      </c>
      <c r="H14" s="22">
        <f>INDEX(H4:H13, MATCH($D$14, D4:D13, 0))</f>
        <v>1384.1625680186214</v>
      </c>
      <c r="I14" s="22">
        <f>INDEX(I4:I13, MATCH($D$14, D4:D13, 0))</f>
        <v>42.173102263451426</v>
      </c>
      <c r="J14" s="22">
        <f>INDEX(J4:J13, MATCH($D$14, D4:D13, 0))</f>
        <v>6487.7581407414382</v>
      </c>
      <c r="K14" s="32" t="e">
        <f>(D14-$D$15)/$D$15</f>
        <v>#DIV/0!</v>
      </c>
      <c r="L14" s="16">
        <f>MIN(L4:L13)</f>
        <v>2069138.6110236531</v>
      </c>
      <c r="M14" s="21">
        <f>INDEX(M4:M13, MATCH($L$14, L4:L13, 0))</f>
        <v>291.3964274594627</v>
      </c>
      <c r="N14" s="16">
        <f>INDEX(N4:N13, MATCH($L$14, L4:L13, 0))</f>
        <v>13</v>
      </c>
      <c r="O14" s="16">
        <f>INDEX(O4:O13, MATCH($L$14, L4:L13, 0))</f>
        <v>56.666666666666657</v>
      </c>
      <c r="P14" s="21">
        <f>INDEX(P4:P13, MATCH($L$14, L4:L13, 0))</f>
        <v>1100.2728243383592</v>
      </c>
      <c r="Q14" s="21">
        <f>INDEX(Q4:Q13, MATCH($L$14, L4:L13, 0))</f>
        <v>23.741688966577389</v>
      </c>
      <c r="R14" s="21">
        <f>INDEX(R4:R13, MATCH($L$14, L4:L13, 0))</f>
        <v>5681.1492689867109</v>
      </c>
      <c r="S14" s="36" t="e">
        <f>(L14-$D$15)/$D$15</f>
        <v>#DIV/0!</v>
      </c>
      <c r="T14" s="38">
        <f>MIN(T4:T13)</f>
        <v>2144556.0438279519</v>
      </c>
      <c r="U14" s="39">
        <f>INDEX(U4:U13, MATCH($T$14, T4:T13, 0))</f>
        <v>129.29786372972976</v>
      </c>
      <c r="V14" s="38">
        <f>INDEX(V4:V13, MATCH($T$14, T4:T13, 0))</f>
        <v>9</v>
      </c>
      <c r="W14" s="38">
        <f>INDEX(W4:W13, MATCH($T$14, T4:T13, 0))</f>
        <v>54.666666666666657</v>
      </c>
      <c r="X14" s="39">
        <f>INDEX(X4:X13, MATCH($T$14, T4:T13, 0))</f>
        <v>1656.1460291040448</v>
      </c>
      <c r="Y14" s="39">
        <f>INDEX(Y4:Y13, MATCH($T$14, T4:T13, 0))</f>
        <v>51.825430657844066</v>
      </c>
      <c r="Z14" s="39">
        <f>INDEX(Z4:Z13, MATCH($T$14, T4:T13, 0))</f>
        <v>7137.9385025601769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0.14796493304850813</v>
      </c>
      <c r="M15" s="41">
        <f t="shared" ref="M15:R15" si="0">(M14-E14)/E14</f>
        <v>0.74644915428496883</v>
      </c>
      <c r="N15" s="41">
        <f t="shared" si="0"/>
        <v>0.3</v>
      </c>
      <c r="O15" s="41">
        <f t="shared" si="0"/>
        <v>-0.2129629629629631</v>
      </c>
      <c r="P15" s="41">
        <f t="shared" si="0"/>
        <v>-0.20509855579076963</v>
      </c>
      <c r="Q15" s="41">
        <f t="shared" si="0"/>
        <v>-0.4370419131543779</v>
      </c>
      <c r="R15" s="41">
        <f t="shared" si="0"/>
        <v>-0.12432782700227876</v>
      </c>
      <c r="T15" s="41">
        <f>(T14-D14)/D14</f>
        <v>0.18980677377325578</v>
      </c>
      <c r="U15" s="41">
        <f t="shared" ref="U15:Z15" si="1">(U14-E14)/E14</f>
        <v>-0.22506893193447511</v>
      </c>
      <c r="V15" s="41">
        <f t="shared" si="1"/>
        <v>-0.1</v>
      </c>
      <c r="W15" s="41">
        <f t="shared" si="1"/>
        <v>-0.24074074074074087</v>
      </c>
      <c r="X15" s="41">
        <f t="shared" si="1"/>
        <v>0.19649676083551218</v>
      </c>
      <c r="Y15" s="41">
        <f t="shared" si="1"/>
        <v>0.2288740423717337</v>
      </c>
      <c r="Z15" s="41">
        <f t="shared" si="1"/>
        <v>0.10021649200141643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29 C40:C1048576">
    <cfRule type="duplicateValues" dxfId="73" priority="7"/>
    <cfRule type="duplicateValues" dxfId="72" priority="8"/>
  </conditionalFormatting>
  <conditionalFormatting sqref="C14">
    <cfRule type="duplicateValues" dxfId="71" priority="5"/>
    <cfRule type="duplicateValues" dxfId="70" priority="6"/>
  </conditionalFormatting>
  <conditionalFormatting sqref="C15">
    <cfRule type="duplicateValues" dxfId="69" priority="3"/>
    <cfRule type="duplicateValues" dxfId="68" priority="4"/>
  </conditionalFormatting>
  <conditionalFormatting sqref="C30:C39">
    <cfRule type="duplicateValues" dxfId="67" priority="1"/>
    <cfRule type="duplicateValues" dxfId="66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4B62-AE4B-4650-BE47-678BEAAAF21E}">
  <dimension ref="B1:AA17"/>
  <sheetViews>
    <sheetView zoomScale="90" zoomScaleNormal="90" workbookViewId="0">
      <selection activeCell="U28" sqref="U28:U4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-0.98680852225298576</v>
      </c>
      <c r="J2" s="28" t="e">
        <f>(S14-J14)/J14</f>
        <v>#DIV/0!</v>
      </c>
      <c r="K2" s="28"/>
      <c r="L2" s="1" t="s">
        <v>19</v>
      </c>
      <c r="P2" s="1">
        <f>(P14-H14)/H14</f>
        <v>-0.24559490695934832</v>
      </c>
      <c r="R2" s="1">
        <f>(R14-J14)/J14</f>
        <v>-0.10140673712341959</v>
      </c>
      <c r="T2" s="1" t="s">
        <v>20</v>
      </c>
      <c r="X2" s="1">
        <f>(X14-P14)/P14</f>
        <v>0.3373349187838719</v>
      </c>
      <c r="Z2" s="1">
        <f>(Z14-R14)/R14</f>
        <v>0.14671537325328357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482</v>
      </c>
      <c r="D4" s="23">
        <v>1868796.5267605539</v>
      </c>
      <c r="E4" s="33">
        <v>246.97314000000225</v>
      </c>
      <c r="F4" s="5">
        <v>9</v>
      </c>
      <c r="G4" s="23">
        <v>71.333333333333329</v>
      </c>
      <c r="H4" s="33">
        <v>1675.875375755669</v>
      </c>
      <c r="I4" s="23">
        <v>32.299250362897567</v>
      </c>
      <c r="J4" s="5">
        <v>6837.8535532325386</v>
      </c>
      <c r="K4" s="31"/>
      <c r="L4" s="23">
        <v>2040390.4111502271</v>
      </c>
      <c r="M4" s="33">
        <v>203.13964851351605</v>
      </c>
      <c r="N4" s="5">
        <v>12</v>
      </c>
      <c r="O4" s="5">
        <v>59.333333333333343</v>
      </c>
      <c r="P4" s="33">
        <v>1142.7217822986488</v>
      </c>
      <c r="Q4" s="5">
        <v>20.793958737510412</v>
      </c>
      <c r="R4" s="5">
        <v>6068.403684259888</v>
      </c>
      <c r="S4" s="35"/>
      <c r="T4" s="23">
        <v>2109832.8366519981</v>
      </c>
      <c r="U4" s="33">
        <v>89.605714405406616</v>
      </c>
      <c r="V4" s="5">
        <v>11</v>
      </c>
      <c r="W4" s="5">
        <v>58.666666666666657</v>
      </c>
      <c r="X4" s="33">
        <v>1592.709455944015</v>
      </c>
      <c r="Y4" s="5">
        <v>32.896112744975291</v>
      </c>
      <c r="Z4" s="5">
        <v>6885.7251005879334</v>
      </c>
      <c r="AA4" s="35"/>
    </row>
    <row r="5" spans="2:27" x14ac:dyDescent="0.2">
      <c r="B5" s="4">
        <v>2</v>
      </c>
      <c r="C5" s="4">
        <v>999</v>
      </c>
      <c r="D5" s="23">
        <v>1818961.1523740031</v>
      </c>
      <c r="E5" s="33">
        <v>69.096679513514161</v>
      </c>
      <c r="F5" s="5">
        <v>10</v>
      </c>
      <c r="G5" s="23">
        <v>74.666666666666671</v>
      </c>
      <c r="H5" s="33">
        <v>1654.0400490277032</v>
      </c>
      <c r="I5" s="23">
        <v>33.768471735081754</v>
      </c>
      <c r="J5" s="5">
        <v>6877.8023855659621</v>
      </c>
      <c r="K5" s="31"/>
      <c r="L5" s="23">
        <v>2043013.25620658</v>
      </c>
      <c r="M5" s="33">
        <v>161.52006802702874</v>
      </c>
      <c r="N5" s="5">
        <v>11</v>
      </c>
      <c r="O5" s="5">
        <v>59.333333333333343</v>
      </c>
      <c r="P5" s="33">
        <v>1222.5376074883816</v>
      </c>
      <c r="Q5" s="5">
        <v>22.82927388564352</v>
      </c>
      <c r="R5" s="5">
        <v>6179.4300689278616</v>
      </c>
      <c r="S5" s="35"/>
      <c r="T5" s="23">
        <v>2293634.239349592</v>
      </c>
      <c r="U5" s="33">
        <v>91.666667648648911</v>
      </c>
      <c r="V5" s="5">
        <v>8</v>
      </c>
      <c r="W5" s="5">
        <v>46.666666666666657</v>
      </c>
      <c r="X5" s="33">
        <v>1599.3065023266922</v>
      </c>
      <c r="Y5" s="5">
        <v>31.763840284362978</v>
      </c>
      <c r="Z5" s="5">
        <v>7085.0785031709829</v>
      </c>
      <c r="AA5" s="35"/>
    </row>
    <row r="6" spans="2:27" x14ac:dyDescent="0.2">
      <c r="B6" s="4">
        <v>3</v>
      </c>
      <c r="C6" s="4">
        <v>803</v>
      </c>
      <c r="D6" s="23">
        <v>1818059.9804577939</v>
      </c>
      <c r="E6" s="33">
        <v>84.192727945943204</v>
      </c>
      <c r="F6" s="5">
        <v>10</v>
      </c>
      <c r="G6" s="23">
        <v>74.666666666666671</v>
      </c>
      <c r="H6" s="33">
        <v>1674.5390394498968</v>
      </c>
      <c r="I6" s="23">
        <v>33.733226453222542</v>
      </c>
      <c r="J6" s="5">
        <v>6860.3982119729017</v>
      </c>
      <c r="K6" s="31"/>
      <c r="L6" s="23">
        <v>2074155.116818585</v>
      </c>
      <c r="M6" s="33">
        <v>147.08002843243162</v>
      </c>
      <c r="N6" s="5">
        <v>9</v>
      </c>
      <c r="O6" s="5">
        <v>53.333333333333343</v>
      </c>
      <c r="P6" s="33">
        <v>944.27480620390816</v>
      </c>
      <c r="Q6" s="5">
        <v>22.735432201867212</v>
      </c>
      <c r="R6" s="5">
        <v>5768.3957738820654</v>
      </c>
      <c r="S6" s="35"/>
      <c r="T6" s="23">
        <v>2104862.349860515</v>
      </c>
      <c r="U6" s="33">
        <v>95.885473108107888</v>
      </c>
      <c r="V6" s="5">
        <v>10</v>
      </c>
      <c r="W6" s="5">
        <v>58</v>
      </c>
      <c r="X6" s="33">
        <v>1551.279091261935</v>
      </c>
      <c r="Y6" s="5">
        <v>36.311987675994956</v>
      </c>
      <c r="Z6" s="5">
        <v>6944.9149350213693</v>
      </c>
      <c r="AA6" s="35"/>
    </row>
    <row r="7" spans="2:27" x14ac:dyDescent="0.2">
      <c r="B7" s="4">
        <v>4</v>
      </c>
      <c r="C7" s="4">
        <v>524</v>
      </c>
      <c r="D7" s="23">
        <v>1814268.4683841539</v>
      </c>
      <c r="E7" s="33">
        <v>168.07899462162183</v>
      </c>
      <c r="F7" s="5">
        <v>10</v>
      </c>
      <c r="G7" s="23">
        <v>75.333333333333329</v>
      </c>
      <c r="H7" s="33">
        <v>1678.1825804793366</v>
      </c>
      <c r="I7" s="23">
        <v>34.252062217919551</v>
      </c>
      <c r="J7" s="5">
        <v>6896.9191054578887</v>
      </c>
      <c r="K7" s="31"/>
      <c r="L7" s="23">
        <v>2041889.1416852041</v>
      </c>
      <c r="M7" s="33">
        <v>126.71154091891758</v>
      </c>
      <c r="N7" s="5">
        <v>12</v>
      </c>
      <c r="O7" s="5">
        <v>59.333333333333343</v>
      </c>
      <c r="P7" s="33">
        <v>1177.6855181321628</v>
      </c>
      <c r="Q7" s="5">
        <v>20.088418607403671</v>
      </c>
      <c r="R7" s="5">
        <v>6117.9485901783619</v>
      </c>
      <c r="S7" s="35"/>
      <c r="T7" s="23">
        <v>2104670.4507145849</v>
      </c>
      <c r="U7" s="33">
        <v>113.32374927026966</v>
      </c>
      <c r="V7" s="5">
        <v>10</v>
      </c>
      <c r="W7" s="5">
        <v>58.666666666666657</v>
      </c>
      <c r="X7" s="33">
        <v>1614.0233996955549</v>
      </c>
      <c r="Y7" s="5">
        <v>36.700282965382371</v>
      </c>
      <c r="Z7" s="5">
        <v>7006.3111088668138</v>
      </c>
      <c r="AA7" s="35"/>
    </row>
    <row r="8" spans="2:27" x14ac:dyDescent="0.2">
      <c r="B8" s="4">
        <v>5</v>
      </c>
      <c r="C8" s="4">
        <v>519</v>
      </c>
      <c r="D8" s="23">
        <v>1814971.800997579</v>
      </c>
      <c r="E8" s="33">
        <v>222.47211991891899</v>
      </c>
      <c r="F8" s="5">
        <v>10</v>
      </c>
      <c r="G8" s="23">
        <v>75.333333333333329</v>
      </c>
      <c r="H8" s="33">
        <v>1673.9355361900462</v>
      </c>
      <c r="I8" s="23">
        <v>34.244800460998292</v>
      </c>
      <c r="J8" s="5">
        <v>6900.6208370874683</v>
      </c>
      <c r="K8" s="31"/>
      <c r="L8" s="23">
        <v>2031139.3906292529</v>
      </c>
      <c r="M8" s="33">
        <v>222.14880197297552</v>
      </c>
      <c r="N8" s="5">
        <v>13</v>
      </c>
      <c r="O8" s="5">
        <v>62</v>
      </c>
      <c r="P8" s="33">
        <v>1283.1096193535891</v>
      </c>
      <c r="Q8" s="5">
        <v>19.904450072464062</v>
      </c>
      <c r="R8" s="5">
        <v>6252.1522527870784</v>
      </c>
      <c r="S8" s="35"/>
      <c r="T8" s="23">
        <v>2176927.0876464038</v>
      </c>
      <c r="U8" s="33">
        <v>155.80199359459337</v>
      </c>
      <c r="V8" s="5">
        <v>10</v>
      </c>
      <c r="W8" s="5">
        <v>55.333333333333343</v>
      </c>
      <c r="X8" s="33">
        <v>1699.3398407241621</v>
      </c>
      <c r="Y8" s="5">
        <v>32.869804845223435</v>
      </c>
      <c r="Z8" s="5">
        <v>7082.9253802902331</v>
      </c>
      <c r="AA8" s="35"/>
    </row>
    <row r="9" spans="2:27" x14ac:dyDescent="0.2">
      <c r="B9" s="4">
        <v>6</v>
      </c>
      <c r="C9" s="4">
        <v>31</v>
      </c>
      <c r="D9" s="23">
        <v>1814675.312372505</v>
      </c>
      <c r="E9" s="33">
        <v>122.16212194594648</v>
      </c>
      <c r="F9" s="5">
        <v>10</v>
      </c>
      <c r="G9" s="23">
        <v>74.666666666666671</v>
      </c>
      <c r="H9" s="33">
        <v>1605.1303584458371</v>
      </c>
      <c r="I9" s="23">
        <v>33.47632641314739</v>
      </c>
      <c r="J9" s="5">
        <v>6821.7100209273722</v>
      </c>
      <c r="K9" s="31"/>
      <c r="L9" s="23">
        <v>2084175.633433575</v>
      </c>
      <c r="M9" s="33">
        <v>148.35873486486742</v>
      </c>
      <c r="N9" s="5">
        <v>10</v>
      </c>
      <c r="O9" s="5">
        <v>54</v>
      </c>
      <c r="P9" s="33">
        <v>981.78524555134788</v>
      </c>
      <c r="Q9" s="5">
        <v>23.337375131230239</v>
      </c>
      <c r="R9" s="5">
        <v>5832.7162909788112</v>
      </c>
      <c r="S9" s="35"/>
      <c r="T9" s="23">
        <v>2105823.0226366082</v>
      </c>
      <c r="U9" s="33">
        <v>72.418547270269315</v>
      </c>
      <c r="V9" s="5">
        <v>10</v>
      </c>
      <c r="W9" s="5">
        <v>58</v>
      </c>
      <c r="X9" s="33">
        <v>1541.0483614340619</v>
      </c>
      <c r="Y9" s="5">
        <v>36.224571746917533</v>
      </c>
      <c r="Z9" s="5">
        <v>6935.5692626647588</v>
      </c>
      <c r="AA9" s="35"/>
    </row>
    <row r="10" spans="2:27" x14ac:dyDescent="0.2">
      <c r="B10" s="4">
        <v>7</v>
      </c>
      <c r="C10" s="4">
        <v>832</v>
      </c>
      <c r="D10" s="23">
        <v>1811346.410727045</v>
      </c>
      <c r="E10" s="33">
        <v>140.33616002702556</v>
      </c>
      <c r="F10" s="5">
        <v>11</v>
      </c>
      <c r="G10" s="23">
        <v>75.333333333333329</v>
      </c>
      <c r="H10" s="33">
        <v>1599.7975617016828</v>
      </c>
      <c r="I10" s="23">
        <v>30.789007524787099</v>
      </c>
      <c r="J10" s="5">
        <v>6799.400531004917</v>
      </c>
      <c r="K10" s="31"/>
      <c r="L10" s="23">
        <v>2028891.6809014031</v>
      </c>
      <c r="M10" s="33">
        <v>186.56569783783885</v>
      </c>
      <c r="N10" s="5">
        <v>11</v>
      </c>
      <c r="O10" s="5">
        <v>59.333333333333343</v>
      </c>
      <c r="P10" s="33">
        <v>1206.8954283817657</v>
      </c>
      <c r="Q10" s="5">
        <v>21.103693934915377</v>
      </c>
      <c r="R10" s="5">
        <v>6109.8955087604618</v>
      </c>
      <c r="S10" s="35"/>
      <c r="T10" s="23">
        <v>2110029.2671574592</v>
      </c>
      <c r="U10" s="33">
        <v>100.26378186486467</v>
      </c>
      <c r="V10" s="5">
        <v>11</v>
      </c>
      <c r="W10" s="5">
        <v>59.333333333333343</v>
      </c>
      <c r="X10" s="33">
        <v>1667.2506237124892</v>
      </c>
      <c r="Y10" s="5">
        <v>33.537584083581265</v>
      </c>
      <c r="Z10" s="5">
        <v>6977.4908116750148</v>
      </c>
      <c r="AA10" s="35"/>
    </row>
    <row r="11" spans="2:27" x14ac:dyDescent="0.2">
      <c r="B11" s="4">
        <v>8</v>
      </c>
      <c r="C11" s="4">
        <v>336</v>
      </c>
      <c r="D11" s="23">
        <v>1818139.71672846</v>
      </c>
      <c r="E11" s="33">
        <v>214.93691143243908</v>
      </c>
      <c r="F11" s="5">
        <v>10</v>
      </c>
      <c r="G11" s="23">
        <v>73.333333333333329</v>
      </c>
      <c r="H11" s="33">
        <v>1517.4680828387925</v>
      </c>
      <c r="I11" s="23">
        <v>32.309808610892858</v>
      </c>
      <c r="J11" s="5">
        <v>6693.3660055935761</v>
      </c>
      <c r="K11" s="31"/>
      <c r="L11" s="23">
        <v>2099198.0252558282</v>
      </c>
      <c r="M11" s="33">
        <v>199.20200510810653</v>
      </c>
      <c r="N11" s="5">
        <v>10</v>
      </c>
      <c r="O11" s="5">
        <v>52.666666666666657</v>
      </c>
      <c r="P11" s="33">
        <v>965.02906221579644</v>
      </c>
      <c r="Q11" s="5">
        <v>23.292220988176403</v>
      </c>
      <c r="R11" s="5">
        <v>5765.2269834365488</v>
      </c>
      <c r="S11" s="35"/>
      <c r="T11" s="23">
        <v>2117680.6764678522</v>
      </c>
      <c r="U11" s="33">
        <v>140.42672770270312</v>
      </c>
      <c r="V11" s="5">
        <v>9</v>
      </c>
      <c r="W11" s="5">
        <v>56</v>
      </c>
      <c r="X11" s="33">
        <v>1493.3368925346058</v>
      </c>
      <c r="Y11" s="5">
        <v>36.002639437348797</v>
      </c>
      <c r="Z11" s="5">
        <v>6792.8511773455939</v>
      </c>
      <c r="AA11" s="35"/>
    </row>
    <row r="12" spans="2:27" x14ac:dyDescent="0.2">
      <c r="B12" s="4">
        <v>9</v>
      </c>
      <c r="C12" s="4">
        <v>757</v>
      </c>
      <c r="D12" s="23">
        <v>1815408.4931589731</v>
      </c>
      <c r="E12" s="33">
        <v>112.56738527026656</v>
      </c>
      <c r="F12" s="5">
        <v>10</v>
      </c>
      <c r="G12" s="23">
        <v>74.666666666666671</v>
      </c>
      <c r="H12" s="33">
        <v>1626.4805888424441</v>
      </c>
      <c r="I12" s="23">
        <v>33.516022107830175</v>
      </c>
      <c r="J12" s="5">
        <v>6839.935795823325</v>
      </c>
      <c r="K12" s="31"/>
      <c r="L12" s="23">
        <v>2049618.5308730251</v>
      </c>
      <c r="M12" s="33">
        <v>131.82600651351683</v>
      </c>
      <c r="N12" s="5">
        <v>13</v>
      </c>
      <c r="O12" s="5">
        <v>60.666666666666657</v>
      </c>
      <c r="P12" s="33">
        <v>1241.3072680246598</v>
      </c>
      <c r="Q12" s="5">
        <v>19.669208202361315</v>
      </c>
      <c r="R12" s="5">
        <v>6201.5754465137707</v>
      </c>
      <c r="S12" s="35"/>
      <c r="T12" s="23">
        <v>2281085.1217955421</v>
      </c>
      <c r="U12" s="33">
        <v>198.11781427026978</v>
      </c>
      <c r="V12" s="5">
        <v>9</v>
      </c>
      <c r="W12" s="5">
        <v>48</v>
      </c>
      <c r="X12" s="33">
        <v>1567.6236038312118</v>
      </c>
      <c r="Y12" s="5">
        <v>33.096838855696852</v>
      </c>
      <c r="Z12" s="5">
        <v>7028.212349614344</v>
      </c>
      <c r="AA12" s="35"/>
    </row>
    <row r="13" spans="2:27" x14ac:dyDescent="0.2">
      <c r="B13" s="4">
        <v>10</v>
      </c>
      <c r="C13" s="4">
        <v>551</v>
      </c>
      <c r="D13" s="23">
        <v>1815410.795923033</v>
      </c>
      <c r="E13" s="33">
        <v>165.26864302702518</v>
      </c>
      <c r="F13" s="5">
        <v>10</v>
      </c>
      <c r="G13" s="23">
        <v>74.666666666666671</v>
      </c>
      <c r="H13" s="33">
        <v>1634.2368404182582</v>
      </c>
      <c r="I13" s="23">
        <v>33.614542411734227</v>
      </c>
      <c r="J13" s="5">
        <v>6846.2737500322255</v>
      </c>
      <c r="K13" s="31"/>
      <c r="L13" s="23">
        <v>2050701.51508094</v>
      </c>
      <c r="M13" s="33">
        <v>127.87872467567588</v>
      </c>
      <c r="N13" s="5">
        <v>11</v>
      </c>
      <c r="O13" s="5">
        <v>57.333333333333343</v>
      </c>
      <c r="P13" s="33">
        <v>1119.3957203658251</v>
      </c>
      <c r="Q13" s="5">
        <v>22.364600107982184</v>
      </c>
      <c r="R13" s="5">
        <v>6020.6219732600057</v>
      </c>
      <c r="S13" s="35"/>
      <c r="T13" s="23">
        <v>2104868.9593764832</v>
      </c>
      <c r="U13" s="33">
        <v>168.44302972972966</v>
      </c>
      <c r="V13" s="5">
        <v>10</v>
      </c>
      <c r="W13" s="5">
        <v>58</v>
      </c>
      <c r="X13" s="33">
        <v>1574.5422191277407</v>
      </c>
      <c r="Y13" s="5">
        <v>35.757126576317738</v>
      </c>
      <c r="Z13" s="5">
        <v>6919.0042872211061</v>
      </c>
      <c r="AA13" s="35"/>
    </row>
    <row r="14" spans="2:27" x14ac:dyDescent="0.2">
      <c r="B14" s="47" t="s">
        <v>3</v>
      </c>
      <c r="C14" s="48"/>
      <c r="D14" s="9">
        <f>MIN(D4:D13)</f>
        <v>1811346.410727045</v>
      </c>
      <c r="E14" s="22">
        <f>INDEX(E4:E13, MATCH($D$14, D4:D13, 0))</f>
        <v>140.33616002702556</v>
      </c>
      <c r="F14" s="9">
        <f>INDEX(F4:F13, MATCH($D$14, D4:D13, 0))</f>
        <v>11</v>
      </c>
      <c r="G14" s="9">
        <f>INDEX(G4:G13, MATCH($D$14, D4:D13, 0))</f>
        <v>75.333333333333329</v>
      </c>
      <c r="H14" s="22">
        <f>INDEX(H4:H13, MATCH($D$14, D4:D13, 0))</f>
        <v>1599.7975617016828</v>
      </c>
      <c r="I14" s="22">
        <f>INDEX(I4:I13, MATCH($D$14, D4:D13, 0))</f>
        <v>30.789007524787099</v>
      </c>
      <c r="J14" s="22">
        <f>INDEX(J4:J13, MATCH($D$14, D4:D13, 0))</f>
        <v>6799.400531004917</v>
      </c>
      <c r="K14" s="32" t="e">
        <f>(D14-$D$15)/$D$15</f>
        <v>#DIV/0!</v>
      </c>
      <c r="L14" s="16">
        <f>MIN(L4:L13)</f>
        <v>2028891.6809014031</v>
      </c>
      <c r="M14" s="21">
        <f>INDEX(M4:M13, MATCH($L$14, L4:L13, 0))</f>
        <v>186.56569783783885</v>
      </c>
      <c r="N14" s="16">
        <f>INDEX(N4:N13, MATCH($L$14, L4:L13, 0))</f>
        <v>11</v>
      </c>
      <c r="O14" s="16">
        <f>INDEX(O4:O13, MATCH($L$14, L4:L13, 0))</f>
        <v>59.333333333333343</v>
      </c>
      <c r="P14" s="21">
        <f>INDEX(P4:P13, MATCH($L$14, L4:L13, 0))</f>
        <v>1206.8954283817657</v>
      </c>
      <c r="Q14" s="21">
        <f>INDEX(Q4:Q13, MATCH($L$14, L4:L13, 0))</f>
        <v>21.103693934915377</v>
      </c>
      <c r="R14" s="21">
        <f>INDEX(R4:R13, MATCH($L$14, L4:L13, 0))</f>
        <v>6109.8955087604618</v>
      </c>
      <c r="S14" s="36" t="e">
        <f>(L14-$D$15)/$D$15</f>
        <v>#DIV/0!</v>
      </c>
      <c r="T14" s="38">
        <f>MIN(T4:T13)</f>
        <v>2104670.4507145849</v>
      </c>
      <c r="U14" s="39">
        <f>INDEX(U4:U13, MATCH($T$14, T4:T13, 0))</f>
        <v>113.32374927026966</v>
      </c>
      <c r="V14" s="38">
        <f>INDEX(V4:V13, MATCH($T$14, T4:T13, 0))</f>
        <v>10</v>
      </c>
      <c r="W14" s="38">
        <f>INDEX(W4:W13, MATCH($T$14, T4:T13, 0))</f>
        <v>58.666666666666657</v>
      </c>
      <c r="X14" s="39">
        <f>INDEX(X4:X13, MATCH($T$14, T4:T13, 0))</f>
        <v>1614.0233996955549</v>
      </c>
      <c r="Y14" s="39">
        <f>INDEX(Y4:Y13, MATCH($T$14, T4:T13, 0))</f>
        <v>36.700282965382371</v>
      </c>
      <c r="Z14" s="39">
        <f>INDEX(Z4:Z13, MATCH($T$14, T4:T13, 0))</f>
        <v>7006.3111088668138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0.12010141676160051</v>
      </c>
      <c r="M15" s="41">
        <f t="shared" ref="M15:R15" si="0">(M14-E14)/E14</f>
        <v>0.3294199998197937</v>
      </c>
      <c r="N15" s="41">
        <f t="shared" si="0"/>
        <v>0</v>
      </c>
      <c r="O15" s="41">
        <f t="shared" si="0"/>
        <v>-0.21238938053097328</v>
      </c>
      <c r="P15" s="41">
        <f t="shared" si="0"/>
        <v>-0.24559490695934832</v>
      </c>
      <c r="Q15" s="41">
        <f t="shared" si="0"/>
        <v>-0.31457050319255764</v>
      </c>
      <c r="R15" s="41">
        <f t="shared" si="0"/>
        <v>-0.10140673712341959</v>
      </c>
      <c r="T15" s="41">
        <f>(T14-D14)/D14</f>
        <v>0.16193702002578533</v>
      </c>
      <c r="U15" s="41">
        <f t="shared" ref="U15:Z15" si="1">(U14-E14)/E14</f>
        <v>-0.19248361043621204</v>
      </c>
      <c r="V15" s="41">
        <f t="shared" si="1"/>
        <v>-9.0909090909090912E-2</v>
      </c>
      <c r="W15" s="41">
        <f t="shared" si="1"/>
        <v>-0.22123893805309741</v>
      </c>
      <c r="X15" s="41">
        <f t="shared" si="1"/>
        <v>8.892273831659232E-3</v>
      </c>
      <c r="Y15" s="41">
        <f t="shared" si="1"/>
        <v>0.19199304933217876</v>
      </c>
      <c r="Z15" s="41">
        <f t="shared" si="1"/>
        <v>3.0430708842403863E-2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29 C40:C1048576">
    <cfRule type="duplicateValues" dxfId="65" priority="7"/>
    <cfRule type="duplicateValues" dxfId="64" priority="8"/>
  </conditionalFormatting>
  <conditionalFormatting sqref="C14">
    <cfRule type="duplicateValues" dxfId="63" priority="5"/>
    <cfRule type="duplicateValues" dxfId="62" priority="6"/>
  </conditionalFormatting>
  <conditionalFormatting sqref="C15">
    <cfRule type="duplicateValues" dxfId="61" priority="3"/>
    <cfRule type="duplicateValues" dxfId="60" priority="4"/>
  </conditionalFormatting>
  <conditionalFormatting sqref="C30:C39">
    <cfRule type="duplicateValues" dxfId="59" priority="1"/>
    <cfRule type="duplicateValues" dxfId="58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2593-A678-481E-BA8E-722563ADAF51}">
  <dimension ref="B1:AA17"/>
  <sheetViews>
    <sheetView zoomScale="90" zoomScaleNormal="90" workbookViewId="0">
      <selection activeCell="U28" sqref="U28:U4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-0.98780478328873711</v>
      </c>
      <c r="J2" s="28" t="e">
        <f>(S14-J14)/J14</f>
        <v>#DIV/0!</v>
      </c>
      <c r="K2" s="28"/>
      <c r="L2" s="1" t="s">
        <v>19</v>
      </c>
      <c r="P2" s="1">
        <f>(P14-H14)/H14</f>
        <v>-0.16298396467420398</v>
      </c>
      <c r="R2" s="1">
        <f>(R14-J14)/J14</f>
        <v>-0.13005207516875333</v>
      </c>
      <c r="T2" s="1" t="s">
        <v>20</v>
      </c>
      <c r="X2" s="1">
        <f>(X14-P14)/P14</f>
        <v>0.41472875609032639</v>
      </c>
      <c r="Z2" s="1">
        <f>(Z14-R14)/R14</f>
        <v>0.19456451035174097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</v>
      </c>
      <c r="D4" s="23">
        <v>1696933.7398085601</v>
      </c>
      <c r="E4" s="33">
        <v>160.54586997297372</v>
      </c>
      <c r="F4" s="5">
        <v>10</v>
      </c>
      <c r="G4" s="23">
        <v>81.333333333333329</v>
      </c>
      <c r="H4" s="33">
        <v>1553.3966885727646</v>
      </c>
      <c r="I4" s="23">
        <v>39.926007094490039</v>
      </c>
      <c r="J4" s="5">
        <v>6996.0940244675039</v>
      </c>
      <c r="K4" s="31"/>
      <c r="L4" s="23">
        <v>2009880.2285627739</v>
      </c>
      <c r="M4" s="33">
        <v>218.47026535135228</v>
      </c>
      <c r="N4" s="5">
        <v>13</v>
      </c>
      <c r="O4" s="5">
        <v>60</v>
      </c>
      <c r="P4" s="33">
        <v>1057.8182117983931</v>
      </c>
      <c r="Q4" s="5">
        <v>20.969022753620838</v>
      </c>
      <c r="R4" s="5">
        <v>5695.2304644804362</v>
      </c>
      <c r="S4" s="35"/>
      <c r="T4" s="23">
        <v>2043275.593002276</v>
      </c>
      <c r="U4" s="33">
        <v>149.23951448648899</v>
      </c>
      <c r="V4" s="5">
        <v>10</v>
      </c>
      <c r="W4" s="5">
        <v>62.666666666666657</v>
      </c>
      <c r="X4" s="33">
        <v>1816.6836964744693</v>
      </c>
      <c r="Y4" s="5">
        <v>44.559409560054078</v>
      </c>
      <c r="Z4" s="5">
        <v>7203.4901629953711</v>
      </c>
      <c r="AA4" s="35"/>
    </row>
    <row r="5" spans="2:27" x14ac:dyDescent="0.2">
      <c r="B5" s="4">
        <v>2</v>
      </c>
      <c r="C5" s="4">
        <v>38</v>
      </c>
      <c r="D5" s="23">
        <v>1703981.700591455</v>
      </c>
      <c r="E5" s="33">
        <v>118.46393132432068</v>
      </c>
      <c r="F5" s="5">
        <v>10</v>
      </c>
      <c r="G5" s="23">
        <v>79.333333333333329</v>
      </c>
      <c r="H5" s="33">
        <v>1514.2124911192359</v>
      </c>
      <c r="I5" s="23">
        <v>39.958781636928435</v>
      </c>
      <c r="J5" s="5">
        <v>6771.6037093679415</v>
      </c>
      <c r="K5" s="31"/>
      <c r="L5" s="23">
        <v>2022570.581198287</v>
      </c>
      <c r="M5" s="33">
        <v>233.96474172972768</v>
      </c>
      <c r="N5" s="5">
        <v>14</v>
      </c>
      <c r="O5" s="5">
        <v>60</v>
      </c>
      <c r="P5" s="33">
        <v>1040.1346430639153</v>
      </c>
      <c r="Q5" s="5">
        <v>20.405813565180967</v>
      </c>
      <c r="R5" s="5">
        <v>5766.5722684899438</v>
      </c>
      <c r="S5" s="35"/>
      <c r="T5" s="23">
        <v>2040762.495630397</v>
      </c>
      <c r="U5" s="33">
        <v>260.85383754054072</v>
      </c>
      <c r="V5" s="5">
        <v>10</v>
      </c>
      <c r="W5" s="5">
        <v>64</v>
      </c>
      <c r="X5" s="33">
        <v>1950.9981377895783</v>
      </c>
      <c r="Y5" s="5">
        <v>46.509734923275033</v>
      </c>
      <c r="Z5" s="5">
        <v>7313.3034226840828</v>
      </c>
      <c r="AA5" s="35"/>
    </row>
    <row r="6" spans="2:27" x14ac:dyDescent="0.2">
      <c r="B6" s="4">
        <v>3</v>
      </c>
      <c r="C6" s="4">
        <v>365</v>
      </c>
      <c r="D6" s="23">
        <v>1707718.236892191</v>
      </c>
      <c r="E6" s="33">
        <v>96.147946594597613</v>
      </c>
      <c r="F6" s="5">
        <v>11</v>
      </c>
      <c r="G6" s="23">
        <v>81.333333333333329</v>
      </c>
      <c r="H6" s="33">
        <v>1556.7518321430582</v>
      </c>
      <c r="I6" s="23">
        <v>36.924228921781292</v>
      </c>
      <c r="J6" s="5">
        <v>6938.5084831701279</v>
      </c>
      <c r="K6" s="31"/>
      <c r="L6" s="23">
        <v>2015299.273015575</v>
      </c>
      <c r="M6" s="33">
        <v>445.55543762162108</v>
      </c>
      <c r="N6" s="5">
        <v>13</v>
      </c>
      <c r="O6" s="5">
        <v>59.333333333333343</v>
      </c>
      <c r="P6" s="33">
        <v>1060.5831887734994</v>
      </c>
      <c r="Q6" s="5">
        <v>22.032482234944389</v>
      </c>
      <c r="R6" s="5">
        <v>5767.4981123438492</v>
      </c>
      <c r="S6" s="35"/>
      <c r="T6" s="23">
        <v>2117330.9103486589</v>
      </c>
      <c r="U6" s="33">
        <v>124.13224310810816</v>
      </c>
      <c r="V6" s="5">
        <v>8</v>
      </c>
      <c r="W6" s="5">
        <v>54</v>
      </c>
      <c r="X6" s="33">
        <v>1385.307594043556</v>
      </c>
      <c r="Y6" s="5">
        <v>47.82472636566316</v>
      </c>
      <c r="Z6" s="5">
        <v>6763.4973606848862</v>
      </c>
      <c r="AA6" s="35"/>
    </row>
    <row r="7" spans="2:27" x14ac:dyDescent="0.2">
      <c r="B7" s="4">
        <v>4</v>
      </c>
      <c r="C7" s="4">
        <v>397</v>
      </c>
      <c r="D7" s="23">
        <v>1704094.770496656</v>
      </c>
      <c r="E7" s="33">
        <v>213.84829656756639</v>
      </c>
      <c r="F7" s="5">
        <v>10</v>
      </c>
      <c r="G7" s="23">
        <v>80.666666666666671</v>
      </c>
      <c r="H7" s="33">
        <v>1602.3938793766849</v>
      </c>
      <c r="I7" s="23">
        <v>40.746535176184381</v>
      </c>
      <c r="J7" s="5">
        <v>6883.4636846540488</v>
      </c>
      <c r="K7" s="31"/>
      <c r="L7" s="23">
        <v>1993155.449039029</v>
      </c>
      <c r="M7" s="33">
        <v>308.86235897297132</v>
      </c>
      <c r="N7" s="5">
        <v>16</v>
      </c>
      <c r="O7" s="5">
        <v>66</v>
      </c>
      <c r="P7" s="33">
        <v>1379.0616253402943</v>
      </c>
      <c r="Q7" s="5">
        <v>20.092751714924155</v>
      </c>
      <c r="R7" s="5">
        <v>6122.1502558540533</v>
      </c>
      <c r="S7" s="35"/>
      <c r="T7" s="23">
        <v>2041433.374246771</v>
      </c>
      <c r="U7" s="33">
        <v>263.37255743243321</v>
      </c>
      <c r="V7" s="5">
        <v>10</v>
      </c>
      <c r="W7" s="5">
        <v>65.333333333333329</v>
      </c>
      <c r="X7" s="33">
        <v>2070.7812998684567</v>
      </c>
      <c r="Y7" s="5">
        <v>47.159488794811296</v>
      </c>
      <c r="Z7" s="5">
        <v>7473.6466861231984</v>
      </c>
      <c r="AA7" s="35"/>
    </row>
    <row r="8" spans="2:27" x14ac:dyDescent="0.2">
      <c r="B8" s="4">
        <v>5</v>
      </c>
      <c r="C8" s="4">
        <v>403</v>
      </c>
      <c r="D8" s="23">
        <v>1698401.186622001</v>
      </c>
      <c r="E8" s="33">
        <v>121.19438602703126</v>
      </c>
      <c r="F8" s="5">
        <v>10</v>
      </c>
      <c r="G8" s="23">
        <v>82.666666666666671</v>
      </c>
      <c r="H8" s="33">
        <v>1651.7867617477882</v>
      </c>
      <c r="I8" s="23">
        <v>40.930356009617455</v>
      </c>
      <c r="J8" s="5">
        <v>7076.1192396393217</v>
      </c>
      <c r="K8" s="31"/>
      <c r="L8" s="23">
        <v>2049628.9119311641</v>
      </c>
      <c r="M8" s="33">
        <v>316.24231662162322</v>
      </c>
      <c r="N8" s="5">
        <v>12</v>
      </c>
      <c r="O8" s="5">
        <v>56</v>
      </c>
      <c r="P8" s="33">
        <v>906.91526829241832</v>
      </c>
      <c r="Q8" s="5">
        <v>20.840463522221278</v>
      </c>
      <c r="R8" s="5">
        <v>5568.0691764463818</v>
      </c>
      <c r="S8" s="35"/>
      <c r="T8" s="23">
        <v>2041578.1949376939</v>
      </c>
      <c r="U8" s="33">
        <v>137.85029943243086</v>
      </c>
      <c r="V8" s="5">
        <v>10</v>
      </c>
      <c r="W8" s="5">
        <v>64</v>
      </c>
      <c r="X8" s="33">
        <v>1968.2810946296179</v>
      </c>
      <c r="Y8" s="5">
        <v>46.825697341162567</v>
      </c>
      <c r="Z8" s="5">
        <v>7317.0030461907891</v>
      </c>
      <c r="AA8" s="35"/>
    </row>
    <row r="9" spans="2:27" x14ac:dyDescent="0.2">
      <c r="B9" s="4">
        <v>6</v>
      </c>
      <c r="C9" s="4">
        <v>498</v>
      </c>
      <c r="D9" s="23">
        <v>1697324.7885807289</v>
      </c>
      <c r="E9" s="33">
        <v>206.69003945946019</v>
      </c>
      <c r="F9" s="5">
        <v>10</v>
      </c>
      <c r="G9" s="23">
        <v>81.333333333333329</v>
      </c>
      <c r="H9" s="33">
        <v>1618.9703009668253</v>
      </c>
      <c r="I9" s="23">
        <v>39.961882507462192</v>
      </c>
      <c r="J9" s="5">
        <v>6964.0102361529052</v>
      </c>
      <c r="K9" s="31"/>
      <c r="L9" s="23">
        <v>2061835.580824103</v>
      </c>
      <c r="M9" s="33">
        <v>178.03589954053922</v>
      </c>
      <c r="N9" s="5">
        <v>14</v>
      </c>
      <c r="O9" s="5">
        <v>58</v>
      </c>
      <c r="P9" s="33">
        <v>1001.2009428875461</v>
      </c>
      <c r="Q9" s="5">
        <v>19.26869782671471</v>
      </c>
      <c r="R9" s="5">
        <v>5582.1262497670223</v>
      </c>
      <c r="S9" s="35"/>
      <c r="T9" s="23">
        <v>2086378.925037432</v>
      </c>
      <c r="U9" s="33">
        <v>102.7756149459487</v>
      </c>
      <c r="V9" s="5">
        <v>9</v>
      </c>
      <c r="W9" s="5">
        <v>58.666666666666657</v>
      </c>
      <c r="X9" s="33">
        <v>1746.7195437247244</v>
      </c>
      <c r="Y9" s="5">
        <v>48.320086456081206</v>
      </c>
      <c r="Z9" s="5">
        <v>7068.2256072333103</v>
      </c>
      <c r="AA9" s="35"/>
    </row>
    <row r="10" spans="2:27" x14ac:dyDescent="0.2">
      <c r="B10" s="4">
        <v>7</v>
      </c>
      <c r="C10" s="4">
        <v>564</v>
      </c>
      <c r="D10" s="23">
        <v>1736945.538456019</v>
      </c>
      <c r="E10" s="33">
        <v>267.34107337837781</v>
      </c>
      <c r="F10" s="5">
        <v>11</v>
      </c>
      <c r="G10" s="23">
        <v>78.666666666666671</v>
      </c>
      <c r="H10" s="33">
        <v>1392.0820381425754</v>
      </c>
      <c r="I10" s="23">
        <v>35.12792702883997</v>
      </c>
      <c r="J10" s="5">
        <v>6762.1056016853154</v>
      </c>
      <c r="K10" s="31"/>
      <c r="L10" s="23">
        <v>2034753.498873105</v>
      </c>
      <c r="M10" s="33">
        <v>111.44107370270018</v>
      </c>
      <c r="N10" s="5">
        <v>12</v>
      </c>
      <c r="O10" s="5">
        <v>54.666666666666657</v>
      </c>
      <c r="P10" s="33">
        <v>669.61081733347908</v>
      </c>
      <c r="Q10" s="5">
        <v>20.449241628307977</v>
      </c>
      <c r="R10" s="5">
        <v>5228.5350047968623</v>
      </c>
      <c r="S10" s="35"/>
      <c r="T10" s="23">
        <v>2041652.201458415</v>
      </c>
      <c r="U10" s="33">
        <v>265.33593202702781</v>
      </c>
      <c r="V10" s="5">
        <v>10</v>
      </c>
      <c r="W10" s="5">
        <v>64</v>
      </c>
      <c r="X10" s="33">
        <v>1949.3507317252279</v>
      </c>
      <c r="Y10" s="5">
        <v>45.715096860361655</v>
      </c>
      <c r="Z10" s="5">
        <v>7272.3435166197314</v>
      </c>
      <c r="AA10" s="35"/>
    </row>
    <row r="11" spans="2:27" x14ac:dyDescent="0.2">
      <c r="B11" s="4">
        <v>8</v>
      </c>
      <c r="C11" s="4">
        <v>703</v>
      </c>
      <c r="D11" s="23">
        <v>1700107.4536734121</v>
      </c>
      <c r="E11" s="33">
        <v>298.43550394595189</v>
      </c>
      <c r="F11" s="5">
        <v>11</v>
      </c>
      <c r="G11" s="23">
        <v>83.333333333333329</v>
      </c>
      <c r="H11" s="33">
        <v>1701.3423154185832</v>
      </c>
      <c r="I11" s="23">
        <v>38.65134361903047</v>
      </c>
      <c r="J11" s="5">
        <v>7061.1268422105941</v>
      </c>
      <c r="K11" s="31"/>
      <c r="L11" s="23">
        <v>2018835.70998377</v>
      </c>
      <c r="M11" s="33">
        <v>234.48412881080986</v>
      </c>
      <c r="N11" s="5">
        <v>12</v>
      </c>
      <c r="O11" s="5">
        <v>58.666666666666657</v>
      </c>
      <c r="P11" s="33">
        <v>1023.0304161592308</v>
      </c>
      <c r="Q11" s="5">
        <v>22.58955274172499</v>
      </c>
      <c r="R11" s="5">
        <v>5731.6612890186725</v>
      </c>
      <c r="S11" s="35"/>
      <c r="T11" s="23">
        <v>2041701.1777727869</v>
      </c>
      <c r="U11" s="33">
        <v>247.02560527027171</v>
      </c>
      <c r="V11" s="5">
        <v>10</v>
      </c>
      <c r="W11" s="5">
        <v>63.333333333333343</v>
      </c>
      <c r="X11" s="33">
        <v>1896.0016270585172</v>
      </c>
      <c r="Y11" s="5">
        <v>45.421983780260703</v>
      </c>
      <c r="Z11" s="5">
        <v>7290.1680255107776</v>
      </c>
      <c r="AA11" s="35"/>
    </row>
    <row r="12" spans="2:27" x14ac:dyDescent="0.2">
      <c r="B12" s="4">
        <v>9</v>
      </c>
      <c r="C12" s="4">
        <v>942</v>
      </c>
      <c r="D12" s="23">
        <v>1696751.6127685329</v>
      </c>
      <c r="E12" s="33">
        <v>284.11265840540756</v>
      </c>
      <c r="F12" s="5">
        <v>10</v>
      </c>
      <c r="G12" s="23">
        <v>82</v>
      </c>
      <c r="H12" s="33">
        <v>1647.5928382943287</v>
      </c>
      <c r="I12" s="23">
        <v>40.631640169438739</v>
      </c>
      <c r="J12" s="5">
        <v>7037.3755498544742</v>
      </c>
      <c r="K12" s="31"/>
      <c r="L12" s="23">
        <v>2034089.1316616179</v>
      </c>
      <c r="M12" s="33">
        <v>215.54729748648634</v>
      </c>
      <c r="N12" s="5">
        <v>12</v>
      </c>
      <c r="O12" s="5">
        <v>57.333333333333343</v>
      </c>
      <c r="P12" s="33">
        <v>954.13394560234576</v>
      </c>
      <c r="Q12" s="5">
        <v>22.830455973069622</v>
      </c>
      <c r="R12" s="5">
        <v>5721.753576702572</v>
      </c>
      <c r="S12" s="35"/>
      <c r="T12" s="23">
        <v>2041049.1902821111</v>
      </c>
      <c r="U12" s="33">
        <v>169.24405972972806</v>
      </c>
      <c r="V12" s="5">
        <v>10</v>
      </c>
      <c r="W12" s="5">
        <v>64</v>
      </c>
      <c r="X12" s="33">
        <v>1969.0901516784672</v>
      </c>
      <c r="Y12" s="5">
        <v>46.607299847967617</v>
      </c>
      <c r="Z12" s="5">
        <v>7322.6350199063081</v>
      </c>
      <c r="AA12" s="35"/>
    </row>
    <row r="13" spans="2:27" x14ac:dyDescent="0.2">
      <c r="B13" s="4">
        <v>10</v>
      </c>
      <c r="C13" s="4">
        <v>993</v>
      </c>
      <c r="D13" s="23">
        <v>1700056.813397022</v>
      </c>
      <c r="E13" s="33">
        <v>188.08356313513926</v>
      </c>
      <c r="F13" s="5">
        <v>11</v>
      </c>
      <c r="G13" s="23">
        <v>83.333333333333329</v>
      </c>
      <c r="H13" s="33">
        <v>1698.7623154185831</v>
      </c>
      <c r="I13" s="23">
        <v>38.620403368070882</v>
      </c>
      <c r="J13" s="5">
        <v>7054.6268422105941</v>
      </c>
      <c r="K13" s="31"/>
      <c r="L13" s="23">
        <v>2009574.6487716511</v>
      </c>
      <c r="M13" s="33">
        <v>147.80816705405437</v>
      </c>
      <c r="N13" s="5">
        <v>13</v>
      </c>
      <c r="O13" s="5">
        <v>60</v>
      </c>
      <c r="P13" s="33">
        <v>1038.1873580619035</v>
      </c>
      <c r="Q13" s="5">
        <v>20.862981632929369</v>
      </c>
      <c r="R13" s="5">
        <v>5715.4743193446902</v>
      </c>
      <c r="S13" s="35"/>
      <c r="T13" s="23">
        <v>2041994.324981831</v>
      </c>
      <c r="U13" s="33">
        <v>170.28292048648566</v>
      </c>
      <c r="V13" s="5">
        <v>10</v>
      </c>
      <c r="W13" s="5">
        <v>62.666666666666657</v>
      </c>
      <c r="X13" s="33">
        <v>1836.556360085387</v>
      </c>
      <c r="Y13" s="5">
        <v>45.469325056837924</v>
      </c>
      <c r="Z13" s="5">
        <v>7168.8393418210535</v>
      </c>
      <c r="AA13" s="35"/>
    </row>
    <row r="14" spans="2:27" x14ac:dyDescent="0.2">
      <c r="B14" s="47" t="s">
        <v>3</v>
      </c>
      <c r="C14" s="48"/>
      <c r="D14" s="9">
        <f>MIN(D4:D13)</f>
        <v>1696751.6127685329</v>
      </c>
      <c r="E14" s="22">
        <f>INDEX(E4:E13, MATCH($D$14, D4:D13, 0))</f>
        <v>284.11265840540756</v>
      </c>
      <c r="F14" s="9">
        <f>INDEX(F4:F13, MATCH($D$14, D4:D13, 0))</f>
        <v>10</v>
      </c>
      <c r="G14" s="9">
        <f>INDEX(G4:G13, MATCH($D$14, D4:D13, 0))</f>
        <v>82</v>
      </c>
      <c r="H14" s="22">
        <f>INDEX(H4:H13, MATCH($D$14, D4:D13, 0))</f>
        <v>1647.5928382943287</v>
      </c>
      <c r="I14" s="22">
        <f>INDEX(I4:I13, MATCH($D$14, D4:D13, 0))</f>
        <v>40.631640169438739</v>
      </c>
      <c r="J14" s="22">
        <f>INDEX(J4:J13, MATCH($D$14, D4:D13, 0))</f>
        <v>7037.3755498544742</v>
      </c>
      <c r="K14" s="32" t="e">
        <f>(D14-$D$15)/$D$15</f>
        <v>#DIV/0!</v>
      </c>
      <c r="L14" s="16">
        <f>MIN(L4:L13)</f>
        <v>1993155.449039029</v>
      </c>
      <c r="M14" s="21">
        <f>INDEX(M4:M13, MATCH($L$14, L4:L13, 0))</f>
        <v>308.86235897297132</v>
      </c>
      <c r="N14" s="16">
        <f>INDEX(N4:N13, MATCH($L$14, L4:L13, 0))</f>
        <v>16</v>
      </c>
      <c r="O14" s="16">
        <f>INDEX(O4:O13, MATCH($L$14, L4:L13, 0))</f>
        <v>66</v>
      </c>
      <c r="P14" s="21">
        <f>INDEX(P4:P13, MATCH($L$14, L4:L13, 0))</f>
        <v>1379.0616253402943</v>
      </c>
      <c r="Q14" s="21">
        <f>INDEX(Q4:Q13, MATCH($L$14, L4:L13, 0))</f>
        <v>20.092751714924155</v>
      </c>
      <c r="R14" s="21">
        <f>INDEX(R4:R13, MATCH($L$14, L4:L13, 0))</f>
        <v>6122.1502558540533</v>
      </c>
      <c r="S14" s="36" t="e">
        <f>(L14-$D$15)/$D$15</f>
        <v>#DIV/0!</v>
      </c>
      <c r="T14" s="38">
        <f>MIN(T4:T13)</f>
        <v>2040762.495630397</v>
      </c>
      <c r="U14" s="39">
        <f>INDEX(U4:U13, MATCH($T$14, T4:T13, 0))</f>
        <v>260.85383754054072</v>
      </c>
      <c r="V14" s="38">
        <f>INDEX(V4:V13, MATCH($T$14, T4:T13, 0))</f>
        <v>10</v>
      </c>
      <c r="W14" s="38">
        <f>INDEX(W4:W13, MATCH($T$14, T4:T13, 0))</f>
        <v>64</v>
      </c>
      <c r="X14" s="39">
        <f>INDEX(X4:X13, MATCH($T$14, T4:T13, 0))</f>
        <v>1950.9981377895783</v>
      </c>
      <c r="Y14" s="39">
        <f>INDEX(Y4:Y13, MATCH($T$14, T4:T13, 0))</f>
        <v>46.509734923275033</v>
      </c>
      <c r="Z14" s="39">
        <f>INDEX(Z4:Z13, MATCH($T$14, T4:T13, 0))</f>
        <v>7313.3034226840828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0.17468899633863544</v>
      </c>
      <c r="M15" s="41">
        <f t="shared" ref="M15:R15" si="0">(M14-E14)/E14</f>
        <v>8.7112276892104504E-2</v>
      </c>
      <c r="N15" s="41">
        <f t="shared" si="0"/>
        <v>0.6</v>
      </c>
      <c r="O15" s="41">
        <f t="shared" si="0"/>
        <v>-0.1951219512195122</v>
      </c>
      <c r="P15" s="41">
        <f t="shared" si="0"/>
        <v>-0.16298396467420398</v>
      </c>
      <c r="Q15" s="41">
        <f t="shared" si="0"/>
        <v>-0.50549001637307756</v>
      </c>
      <c r="R15" s="41">
        <f t="shared" si="0"/>
        <v>-0.13005207516875333</v>
      </c>
      <c r="T15" s="41">
        <f>(T14-D14)/D14</f>
        <v>0.20274675460632272</v>
      </c>
      <c r="U15" s="41">
        <f t="shared" ref="U15:Z15" si="1">(U14-E14)/E14</f>
        <v>-8.1864782074152542E-2</v>
      </c>
      <c r="V15" s="41">
        <f t="shared" si="1"/>
        <v>0</v>
      </c>
      <c r="W15" s="41">
        <f t="shared" si="1"/>
        <v>-0.21951219512195122</v>
      </c>
      <c r="X15" s="41">
        <f t="shared" si="1"/>
        <v>0.1841506544841201</v>
      </c>
      <c r="Y15" s="41">
        <f t="shared" si="1"/>
        <v>0.14466791715333036</v>
      </c>
      <c r="Z15" s="41">
        <f t="shared" si="1"/>
        <v>3.9208916857551311E-2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29 C40:C1048576">
    <cfRule type="duplicateValues" dxfId="57" priority="7"/>
    <cfRule type="duplicateValues" dxfId="56" priority="8"/>
  </conditionalFormatting>
  <conditionalFormatting sqref="C14">
    <cfRule type="duplicateValues" dxfId="55" priority="5"/>
    <cfRule type="duplicateValues" dxfId="54" priority="6"/>
  </conditionalFormatting>
  <conditionalFormatting sqref="C15">
    <cfRule type="duplicateValues" dxfId="53" priority="3"/>
    <cfRule type="duplicateValues" dxfId="52" priority="4"/>
  </conditionalFormatting>
  <conditionalFormatting sqref="C30:C39">
    <cfRule type="duplicateValues" dxfId="51" priority="1"/>
    <cfRule type="duplicateValues" dxfId="50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80A1-AC6C-47D5-B5F2-C1C07EA38E67}">
  <dimension ref="B1:AA17"/>
  <sheetViews>
    <sheetView zoomScale="90" zoomScaleNormal="90" workbookViewId="0">
      <selection activeCell="U28" sqref="U28:U42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-0.98977229052883964</v>
      </c>
      <c r="J2" s="28" t="e">
        <f>(S14-J14)/J14</f>
        <v>#DIV/0!</v>
      </c>
      <c r="K2" s="28"/>
      <c r="L2" s="1" t="s">
        <v>19</v>
      </c>
      <c r="P2" s="1">
        <f>(P14-H14)/H14</f>
        <v>-9.026808299981777E-2</v>
      </c>
      <c r="R2" s="1">
        <f>(R14-J14)/J14</f>
        <v>-0.11946049641029793</v>
      </c>
      <c r="T2" s="1" t="s">
        <v>20</v>
      </c>
      <c r="X2" s="1">
        <f>(X14-P14)/P14</f>
        <v>0.24941794980097531</v>
      </c>
      <c r="Z2" s="1">
        <f>(Z14-R14)/R14</f>
        <v>0.19193128685382288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50</v>
      </c>
      <c r="D4" s="23">
        <v>1925033.644079074</v>
      </c>
      <c r="E4" s="33">
        <v>141.12930110810683</v>
      </c>
      <c r="F4" s="5">
        <v>10</v>
      </c>
      <c r="G4" s="23">
        <v>70</v>
      </c>
      <c r="H4" s="33">
        <v>1761.0181618679148</v>
      </c>
      <c r="I4" s="23">
        <v>32.413582253047245</v>
      </c>
      <c r="J4" s="5">
        <v>7210.8708325938542</v>
      </c>
      <c r="K4" s="31" t="e">
        <f>(D4-$D$15)/$D$15</f>
        <v>#DIV/0!</v>
      </c>
      <c r="L4" s="23">
        <v>2139388.06506366</v>
      </c>
      <c r="M4" s="33">
        <v>144.62777459459076</v>
      </c>
      <c r="N4" s="5">
        <v>14</v>
      </c>
      <c r="O4" s="5">
        <v>59.333333333333343</v>
      </c>
      <c r="P4" s="33">
        <v>1729.4591482748719</v>
      </c>
      <c r="Q4" s="5">
        <v>18.731305671959465</v>
      </c>
      <c r="R4" s="5">
        <v>6525.3258103096186</v>
      </c>
      <c r="S4" s="35"/>
      <c r="T4" s="23">
        <v>2244713.6030823458</v>
      </c>
      <c r="U4" s="33">
        <v>113.9061371081098</v>
      </c>
      <c r="V4" s="5">
        <v>10</v>
      </c>
      <c r="W4" s="5">
        <v>50.666666666666657</v>
      </c>
      <c r="X4" s="33">
        <v>1641.1424862089259</v>
      </c>
      <c r="Y4" s="5">
        <v>34.827657726391038</v>
      </c>
      <c r="Z4" s="5">
        <v>7217.7001270492547</v>
      </c>
      <c r="AA4" s="35"/>
    </row>
    <row r="5" spans="2:27" x14ac:dyDescent="0.2">
      <c r="B5" s="4">
        <v>2</v>
      </c>
      <c r="C5" s="4">
        <v>317</v>
      </c>
      <c r="D5" s="23">
        <v>1996318.489039168</v>
      </c>
      <c r="E5" s="33">
        <v>52.720630459457539</v>
      </c>
      <c r="F5" s="5">
        <v>10</v>
      </c>
      <c r="G5" s="23">
        <v>64.666666666666671</v>
      </c>
      <c r="H5" s="33">
        <v>1617.0830279465797</v>
      </c>
      <c r="I5" s="23">
        <v>28.772004053861515</v>
      </c>
      <c r="J5" s="5">
        <v>6964.0326562972441</v>
      </c>
      <c r="K5" s="31" t="e">
        <f>(D5-$D$15)/$D$15</f>
        <v>#DIV/0!</v>
      </c>
      <c r="L5" s="23">
        <v>2123001.8900593342</v>
      </c>
      <c r="M5" s="33">
        <v>214.614739405405</v>
      </c>
      <c r="N5" s="5">
        <v>15</v>
      </c>
      <c r="O5" s="5">
        <v>58.666666666666657</v>
      </c>
      <c r="P5" s="33">
        <v>1462.1711585859459</v>
      </c>
      <c r="Q5" s="5">
        <v>16.438537032359587</v>
      </c>
      <c r="R5" s="5">
        <v>6207.7566674090813</v>
      </c>
      <c r="S5" s="35"/>
      <c r="T5" s="23">
        <v>2349551.251647749</v>
      </c>
      <c r="U5" s="33">
        <v>148.51158386486506</v>
      </c>
      <c r="V5" s="5">
        <v>9</v>
      </c>
      <c r="W5" s="5">
        <v>44</v>
      </c>
      <c r="X5" s="33">
        <v>1746.5269257996983</v>
      </c>
      <c r="Y5" s="5">
        <v>35.529332110207761</v>
      </c>
      <c r="Z5" s="5">
        <v>7315.8603893327518</v>
      </c>
      <c r="AA5" s="35"/>
    </row>
    <row r="6" spans="2:27" x14ac:dyDescent="0.2">
      <c r="B6" s="4">
        <v>3</v>
      </c>
      <c r="C6" s="4">
        <v>82</v>
      </c>
      <c r="D6" s="23">
        <v>1973222.2618777051</v>
      </c>
      <c r="E6" s="33">
        <v>125.96883905405727</v>
      </c>
      <c r="F6" s="5">
        <v>10</v>
      </c>
      <c r="G6" s="23">
        <v>66</v>
      </c>
      <c r="H6" s="33">
        <v>1591.7125860554472</v>
      </c>
      <c r="I6" s="23">
        <v>31.386977834481751</v>
      </c>
      <c r="J6" s="5">
        <v>6981.4886166623437</v>
      </c>
      <c r="K6" s="31" t="e">
        <f t="shared" ref="K6:K13" si="0">(D6-$D$15)/$D$15</f>
        <v>#DIV/0!</v>
      </c>
      <c r="L6" s="23">
        <v>2145507.6054871501</v>
      </c>
      <c r="M6" s="33">
        <v>275.15160202702378</v>
      </c>
      <c r="N6" s="5">
        <v>15</v>
      </c>
      <c r="O6" s="5">
        <v>57.333333333333343</v>
      </c>
      <c r="P6" s="33">
        <v>1426.0794600460767</v>
      </c>
      <c r="Q6" s="5">
        <v>16.893852035634165</v>
      </c>
      <c r="R6" s="5">
        <v>6265.2294705181703</v>
      </c>
      <c r="S6" s="35"/>
      <c r="T6" s="23">
        <v>2301133.7123115561</v>
      </c>
      <c r="U6" s="33">
        <v>157.18834927027126</v>
      </c>
      <c r="V6" s="5">
        <v>8</v>
      </c>
      <c r="W6" s="5">
        <v>45.333333333333343</v>
      </c>
      <c r="X6" s="33">
        <v>1604.3128693401843</v>
      </c>
      <c r="Y6" s="5">
        <v>38.979072929561191</v>
      </c>
      <c r="Z6" s="5">
        <v>7278.7817832090313</v>
      </c>
      <c r="AA6" s="35"/>
    </row>
    <row r="7" spans="2:27" x14ac:dyDescent="0.2">
      <c r="B7" s="4">
        <v>4</v>
      </c>
      <c r="C7" s="4">
        <v>40</v>
      </c>
      <c r="D7" s="23">
        <v>1931328.6069663479</v>
      </c>
      <c r="E7" s="33">
        <v>97.472153432435988</v>
      </c>
      <c r="F7" s="5">
        <v>10</v>
      </c>
      <c r="G7" s="23">
        <v>68</v>
      </c>
      <c r="H7" s="33">
        <v>1656.3380769514347</v>
      </c>
      <c r="I7" s="23">
        <v>30.874228104564896</v>
      </c>
      <c r="J7" s="5">
        <v>6916.7688361978599</v>
      </c>
      <c r="K7" s="31" t="e">
        <f t="shared" si="0"/>
        <v>#DIV/0!</v>
      </c>
      <c r="L7" s="23">
        <v>2142889.24746361</v>
      </c>
      <c r="M7" s="33">
        <v>171.3051354054069</v>
      </c>
      <c r="N7" s="5">
        <v>13</v>
      </c>
      <c r="O7" s="5">
        <v>57.333333333333343</v>
      </c>
      <c r="P7" s="33">
        <v>1603.4320507424072</v>
      </c>
      <c r="Q7" s="5">
        <v>19.088117273682272</v>
      </c>
      <c r="R7" s="5">
        <v>6503.8303209335954</v>
      </c>
      <c r="S7" s="35"/>
      <c r="T7" s="23">
        <v>2295191.811356321</v>
      </c>
      <c r="U7" s="33">
        <v>117.19436700000016</v>
      </c>
      <c r="V7" s="5">
        <v>9</v>
      </c>
      <c r="W7" s="5">
        <v>46.666666666666657</v>
      </c>
      <c r="X7" s="33">
        <v>1553.3277110650515</v>
      </c>
      <c r="Y7" s="5">
        <v>35.391183084531626</v>
      </c>
      <c r="Z7" s="5">
        <v>7141.3256915163993</v>
      </c>
      <c r="AA7" s="35"/>
    </row>
    <row r="8" spans="2:27" x14ac:dyDescent="0.2">
      <c r="B8" s="4">
        <v>5</v>
      </c>
      <c r="C8" s="4">
        <v>105</v>
      </c>
      <c r="D8" s="23">
        <v>1935148.0358370789</v>
      </c>
      <c r="E8" s="33">
        <v>141.64332372973345</v>
      </c>
      <c r="F8" s="5">
        <v>11</v>
      </c>
      <c r="G8" s="23">
        <v>69.333333333333329</v>
      </c>
      <c r="H8" s="33">
        <v>1643.1889517428986</v>
      </c>
      <c r="I8" s="23">
        <v>29.255022397366016</v>
      </c>
      <c r="J8" s="5">
        <v>7052.9323239662754</v>
      </c>
      <c r="K8" s="31" t="e">
        <f t="shared" si="0"/>
        <v>#DIV/0!</v>
      </c>
      <c r="L8" s="23">
        <v>2123764.2941490551</v>
      </c>
      <c r="M8" s="33">
        <v>322.0668843243273</v>
      </c>
      <c r="N8" s="5">
        <v>15</v>
      </c>
      <c r="O8" s="5">
        <v>59.333333333333343</v>
      </c>
      <c r="P8" s="33">
        <v>1590.2611607301471</v>
      </c>
      <c r="Q8" s="5">
        <v>16.916002486805848</v>
      </c>
      <c r="R8" s="5">
        <v>6372.9256462000158</v>
      </c>
      <c r="S8" s="35"/>
      <c r="T8" s="23">
        <v>2247807.199295905</v>
      </c>
      <c r="U8" s="33">
        <v>240.39630200000042</v>
      </c>
      <c r="V8" s="5">
        <v>11</v>
      </c>
      <c r="W8" s="5">
        <v>52</v>
      </c>
      <c r="X8" s="33">
        <v>1726.2702135879085</v>
      </c>
      <c r="Y8" s="5">
        <v>32.337832659077947</v>
      </c>
      <c r="Z8" s="5">
        <v>7288.0241513270794</v>
      </c>
      <c r="AA8" s="35"/>
    </row>
    <row r="9" spans="2:27" x14ac:dyDescent="0.2">
      <c r="B9" s="4">
        <v>6</v>
      </c>
      <c r="C9" s="4">
        <v>394</v>
      </c>
      <c r="D9" s="23">
        <v>1965994.4808996301</v>
      </c>
      <c r="E9" s="33">
        <v>149.29265672972619</v>
      </c>
      <c r="F9" s="5">
        <v>10</v>
      </c>
      <c r="G9" s="23">
        <v>68.666666666666671</v>
      </c>
      <c r="H9" s="33">
        <v>1870.0458407722747</v>
      </c>
      <c r="I9" s="23">
        <v>32.320948752596941</v>
      </c>
      <c r="J9" s="5">
        <v>7311.6871589076163</v>
      </c>
      <c r="K9" s="31" t="e">
        <f t="shared" si="0"/>
        <v>#DIV/0!</v>
      </c>
      <c r="L9" s="23">
        <v>2166020.3513710052</v>
      </c>
      <c r="M9" s="33">
        <v>253.01384851351423</v>
      </c>
      <c r="N9" s="5">
        <v>14</v>
      </c>
      <c r="O9" s="5">
        <v>55.333333333333343</v>
      </c>
      <c r="P9" s="33">
        <v>1398.6286215442947</v>
      </c>
      <c r="Q9" s="5">
        <v>18.144025610158039</v>
      </c>
      <c r="R9" s="5">
        <v>6228.3544292810893</v>
      </c>
      <c r="S9" s="35"/>
      <c r="T9" s="23">
        <v>2261573.33389444</v>
      </c>
      <c r="U9" s="33">
        <v>154.41043735134912</v>
      </c>
      <c r="V9" s="5">
        <v>9</v>
      </c>
      <c r="W9" s="5">
        <v>50</v>
      </c>
      <c r="X9" s="33">
        <v>1852.7077351786181</v>
      </c>
      <c r="Y9" s="5">
        <v>38.883913803717547</v>
      </c>
      <c r="Z9" s="5">
        <v>7499.2986154361724</v>
      </c>
      <c r="AA9" s="35"/>
    </row>
    <row r="10" spans="2:27" x14ac:dyDescent="0.2">
      <c r="B10" s="4">
        <v>7</v>
      </c>
      <c r="C10" s="4">
        <v>699</v>
      </c>
      <c r="D10" s="23">
        <v>1931208.0103523021</v>
      </c>
      <c r="E10" s="33">
        <v>254.30152405405769</v>
      </c>
      <c r="F10" s="5">
        <v>11</v>
      </c>
      <c r="G10" s="23">
        <v>70.666666666666671</v>
      </c>
      <c r="H10" s="33">
        <v>1766.1735423632415</v>
      </c>
      <c r="I10" s="23">
        <v>29.901488742043398</v>
      </c>
      <c r="J10" s="5">
        <v>7206.1445692954485</v>
      </c>
      <c r="K10" s="31" t="e">
        <f t="shared" si="0"/>
        <v>#DIV/0!</v>
      </c>
      <c r="L10" s="23">
        <v>2144258.7693532058</v>
      </c>
      <c r="M10" s="33">
        <v>164.9945814864839</v>
      </c>
      <c r="N10" s="5">
        <v>12</v>
      </c>
      <c r="O10" s="5">
        <v>53.333333333333343</v>
      </c>
      <c r="P10" s="33">
        <v>1223.8461384290872</v>
      </c>
      <c r="Q10" s="5">
        <v>18.526149233634786</v>
      </c>
      <c r="R10" s="5">
        <v>5972.0540866384563</v>
      </c>
      <c r="S10" s="35"/>
      <c r="T10" s="23">
        <v>2240232.7686519958</v>
      </c>
      <c r="U10" s="33">
        <v>355.42541081081077</v>
      </c>
      <c r="V10" s="5">
        <v>10</v>
      </c>
      <c r="W10" s="5">
        <v>52</v>
      </c>
      <c r="X10" s="33">
        <v>1826.8628912185693</v>
      </c>
      <c r="Y10" s="5">
        <v>35.260831866515751</v>
      </c>
      <c r="Z10" s="5">
        <v>7399.2193930603053</v>
      </c>
      <c r="AA10" s="35"/>
    </row>
    <row r="11" spans="2:27" x14ac:dyDescent="0.2">
      <c r="B11" s="4">
        <v>8</v>
      </c>
      <c r="C11" s="4">
        <v>502</v>
      </c>
      <c r="D11" s="23">
        <v>1919962.71010217</v>
      </c>
      <c r="E11" s="33">
        <v>221.32729735134981</v>
      </c>
      <c r="F11" s="5">
        <v>11</v>
      </c>
      <c r="G11" s="23">
        <v>70</v>
      </c>
      <c r="H11" s="33">
        <v>1607.2549849711968</v>
      </c>
      <c r="I11" s="23">
        <v>29.228592360049809</v>
      </c>
      <c r="J11" s="5">
        <v>7049.9468134045919</v>
      </c>
      <c r="K11" s="31" t="e">
        <f t="shared" si="0"/>
        <v>#DIV/0!</v>
      </c>
      <c r="L11" s="23">
        <v>2133779.2558063189</v>
      </c>
      <c r="M11" s="33">
        <v>138.63920727026542</v>
      </c>
      <c r="N11" s="5">
        <v>14</v>
      </c>
      <c r="O11" s="5">
        <v>58</v>
      </c>
      <c r="P11" s="33">
        <v>1568.0636870601102</v>
      </c>
      <c r="Q11" s="5">
        <v>18.058111492715224</v>
      </c>
      <c r="R11" s="5">
        <v>6326.9880762774374</v>
      </c>
      <c r="S11" s="35"/>
      <c r="T11" s="23">
        <v>2241539.058197388</v>
      </c>
      <c r="U11" s="33">
        <v>227.96557845946202</v>
      </c>
      <c r="V11" s="5">
        <v>10</v>
      </c>
      <c r="W11" s="5">
        <v>50.666666666666657</v>
      </c>
      <c r="X11" s="33">
        <v>1656.9045092566623</v>
      </c>
      <c r="Y11" s="5">
        <v>34.693501880707828</v>
      </c>
      <c r="Z11" s="5">
        <v>7185.4422492936092</v>
      </c>
      <c r="AA11" s="35"/>
    </row>
    <row r="12" spans="2:27" x14ac:dyDescent="0.2">
      <c r="B12" s="4">
        <v>9</v>
      </c>
      <c r="C12" s="4">
        <v>837</v>
      </c>
      <c r="D12" s="23">
        <v>1936927.6780031971</v>
      </c>
      <c r="E12" s="33">
        <v>184.13428129729769</v>
      </c>
      <c r="F12" s="5">
        <v>10</v>
      </c>
      <c r="G12" s="23">
        <v>66</v>
      </c>
      <c r="H12" s="33">
        <v>1377.571820519473</v>
      </c>
      <c r="I12" s="23">
        <v>31.248040012255881</v>
      </c>
      <c r="J12" s="5">
        <v>6787.1826489085624</v>
      </c>
      <c r="K12" s="31" t="e">
        <f t="shared" si="0"/>
        <v>#DIV/0!</v>
      </c>
      <c r="L12" s="23">
        <v>2127787.0846244819</v>
      </c>
      <c r="M12" s="33">
        <v>82.921224891890873</v>
      </c>
      <c r="N12" s="5">
        <v>15</v>
      </c>
      <c r="O12" s="5">
        <v>57.333333333333343</v>
      </c>
      <c r="P12" s="33">
        <v>1298.1073095568086</v>
      </c>
      <c r="Q12" s="5">
        <v>16.283151863423491</v>
      </c>
      <c r="R12" s="5">
        <v>6026.161091538158</v>
      </c>
      <c r="S12" s="35"/>
      <c r="T12" s="23">
        <v>2243224.4685108871</v>
      </c>
      <c r="U12" s="33">
        <v>166.70720235135082</v>
      </c>
      <c r="V12" s="5">
        <v>10</v>
      </c>
      <c r="W12" s="5">
        <v>51.333333333333343</v>
      </c>
      <c r="X12" s="33">
        <v>1766.2846150427811</v>
      </c>
      <c r="Y12" s="5">
        <v>34.80849483197926</v>
      </c>
      <c r="Z12" s="5">
        <v>7312.6362866975396</v>
      </c>
      <c r="AA12" s="35"/>
    </row>
    <row r="13" spans="2:27" x14ac:dyDescent="0.2">
      <c r="B13" s="4">
        <v>10</v>
      </c>
      <c r="C13" s="4">
        <v>577</v>
      </c>
      <c r="D13" s="23">
        <v>1924125.415005014</v>
      </c>
      <c r="E13" s="33">
        <v>88.19465962161523</v>
      </c>
      <c r="F13" s="5">
        <v>10</v>
      </c>
      <c r="G13" s="23">
        <v>68.666666666666671</v>
      </c>
      <c r="H13" s="33">
        <v>1609.7682868180552</v>
      </c>
      <c r="I13" s="23">
        <v>31.748508485232424</v>
      </c>
      <c r="J13" s="5">
        <v>6999.3789331824782</v>
      </c>
      <c r="K13" s="31" t="e">
        <f t="shared" si="0"/>
        <v>#DIV/0!</v>
      </c>
      <c r="L13" s="23">
        <v>2132115.3623980512</v>
      </c>
      <c r="M13" s="33">
        <v>120.80409456757086</v>
      </c>
      <c r="N13" s="5">
        <v>16</v>
      </c>
      <c r="O13" s="5">
        <v>59.333333333333343</v>
      </c>
      <c r="P13" s="33">
        <v>1465.8579539095515</v>
      </c>
      <c r="Q13" s="5">
        <v>16.514583668740688</v>
      </c>
      <c r="R13" s="5">
        <v>6256.1424643894043</v>
      </c>
      <c r="S13" s="35"/>
      <c r="T13" s="23">
        <v>2296363.983167402</v>
      </c>
      <c r="U13" s="33">
        <v>85.742771243239972</v>
      </c>
      <c r="V13" s="5">
        <v>9</v>
      </c>
      <c r="W13" s="5">
        <v>48.666666666666657</v>
      </c>
      <c r="X13" s="33">
        <v>1920.2538559995041</v>
      </c>
      <c r="Y13" s="5">
        <v>38.086933617022424</v>
      </c>
      <c r="Z13" s="5">
        <v>7577.7108343948757</v>
      </c>
      <c r="AA13" s="35"/>
    </row>
    <row r="14" spans="2:27" x14ac:dyDescent="0.2">
      <c r="B14" s="47" t="s">
        <v>3</v>
      </c>
      <c r="C14" s="48"/>
      <c r="D14" s="9">
        <f>MIN(D4:D13)</f>
        <v>1919962.71010217</v>
      </c>
      <c r="E14" s="22">
        <f>INDEX(E4:E13, MATCH($D$14, D4:D13, 0))</f>
        <v>221.32729735134981</v>
      </c>
      <c r="F14" s="9">
        <f>INDEX(F4:F13, MATCH($D$14, D4:D13, 0))</f>
        <v>11</v>
      </c>
      <c r="G14" s="9">
        <f>INDEX(G4:G13, MATCH($D$14, D4:D13, 0))</f>
        <v>70</v>
      </c>
      <c r="H14" s="22">
        <f>INDEX(H4:H13, MATCH($D$14, D4:D13, 0))</f>
        <v>1607.2549849711968</v>
      </c>
      <c r="I14" s="22">
        <f>INDEX(I4:I13, MATCH($D$14, D4:D13, 0))</f>
        <v>29.228592360049809</v>
      </c>
      <c r="J14" s="22">
        <f>INDEX(J4:J13, MATCH($D$14, D4:D13, 0))</f>
        <v>7049.9468134045919</v>
      </c>
      <c r="K14" s="32" t="e">
        <f>(D14-$D$15)/$D$15</f>
        <v>#DIV/0!</v>
      </c>
      <c r="L14" s="16">
        <f>MIN(L4:L13)</f>
        <v>2123001.8900593342</v>
      </c>
      <c r="M14" s="21">
        <f>INDEX(M4:M13, MATCH($L$14, L4:L13, 0))</f>
        <v>214.614739405405</v>
      </c>
      <c r="N14" s="16">
        <f>INDEX(N4:N13, MATCH($L$14, L4:L13, 0))</f>
        <v>15</v>
      </c>
      <c r="O14" s="16">
        <f>INDEX(O4:O13, MATCH($L$14, L4:L13, 0))</f>
        <v>58.666666666666657</v>
      </c>
      <c r="P14" s="21">
        <f>INDEX(P4:P13, MATCH($L$14, L4:L13, 0))</f>
        <v>1462.1711585859459</v>
      </c>
      <c r="Q14" s="21">
        <f>INDEX(Q4:Q13, MATCH($L$14, L4:L13, 0))</f>
        <v>16.438537032359587</v>
      </c>
      <c r="R14" s="21">
        <f>INDEX(R4:R13, MATCH($L$14, L4:L13, 0))</f>
        <v>6207.7566674090813</v>
      </c>
      <c r="S14" s="36" t="e">
        <f>(L14-$D$15)/$D$15</f>
        <v>#DIV/0!</v>
      </c>
      <c r="T14" s="38">
        <f>MIN(T4:T13)</f>
        <v>2240232.7686519958</v>
      </c>
      <c r="U14" s="39">
        <f>INDEX(U4:U13, MATCH($T$14, T4:T13, 0))</f>
        <v>355.42541081081077</v>
      </c>
      <c r="V14" s="38">
        <f>INDEX(V4:V13, MATCH($T$14, T4:T13, 0))</f>
        <v>10</v>
      </c>
      <c r="W14" s="38">
        <f>INDEX(W4:W13, MATCH($T$14, T4:T13, 0))</f>
        <v>52</v>
      </c>
      <c r="X14" s="39">
        <f>INDEX(X4:X13, MATCH($T$14, T4:T13, 0))</f>
        <v>1826.8628912185693</v>
      </c>
      <c r="Y14" s="39">
        <f>INDEX(Y4:Y13, MATCH($T$14, T4:T13, 0))</f>
        <v>35.260831866515751</v>
      </c>
      <c r="Z14" s="39">
        <f>INDEX(Z4:Z13, MATCH($T$14, T4:T13, 0))</f>
        <v>7399.2193930603053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0.10575162678360538</v>
      </c>
      <c r="M15" s="41">
        <f t="shared" ref="M15:R15" si="1">(M14-E14)/E14</f>
        <v>-3.0328649137611092E-2</v>
      </c>
      <c r="N15" s="41">
        <f t="shared" si="1"/>
        <v>0.36363636363636365</v>
      </c>
      <c r="O15" s="41">
        <f t="shared" si="1"/>
        <v>-0.16190476190476205</v>
      </c>
      <c r="P15" s="41">
        <f t="shared" si="1"/>
        <v>-9.026808299981777E-2</v>
      </c>
      <c r="Q15" s="41">
        <f t="shared" si="1"/>
        <v>-0.43758711230897013</v>
      </c>
      <c r="R15" s="41">
        <f t="shared" si="1"/>
        <v>-0.11946049641029793</v>
      </c>
      <c r="T15" s="41">
        <f>(T14-D14)/D14</f>
        <v>0.16681056192637345</v>
      </c>
      <c r="U15" s="41">
        <f t="shared" ref="U15:Z15" si="2">(U14-E14)/E14</f>
        <v>0.60588149344535935</v>
      </c>
      <c r="V15" s="41">
        <f t="shared" si="2"/>
        <v>-9.0909090909090912E-2</v>
      </c>
      <c r="W15" s="41">
        <f t="shared" si="2"/>
        <v>-0.25714285714285712</v>
      </c>
      <c r="X15" s="41">
        <f t="shared" si="2"/>
        <v>0.13663538660687871</v>
      </c>
      <c r="Y15" s="41">
        <f t="shared" si="2"/>
        <v>0.20638145799696192</v>
      </c>
      <c r="Z15" s="41">
        <f t="shared" si="2"/>
        <v>4.9542583639299975E-2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29 C40:C1048576">
    <cfRule type="duplicateValues" dxfId="49" priority="7"/>
    <cfRule type="duplicateValues" dxfId="48" priority="8"/>
  </conditionalFormatting>
  <conditionalFormatting sqref="C14">
    <cfRule type="duplicateValues" dxfId="47" priority="5"/>
    <cfRule type="duplicateValues" dxfId="46" priority="6"/>
  </conditionalFormatting>
  <conditionalFormatting sqref="C15">
    <cfRule type="duplicateValues" dxfId="45" priority="3"/>
    <cfRule type="duplicateValues" dxfId="44" priority="4"/>
  </conditionalFormatting>
  <conditionalFormatting sqref="C30:C39">
    <cfRule type="duplicateValues" dxfId="43" priority="1"/>
    <cfRule type="duplicateValues" dxfId="4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BCDE-3816-4180-814E-801A2D873088}">
  <dimension ref="B1:AA17"/>
  <sheetViews>
    <sheetView tabSelected="1" zoomScale="80" zoomScaleNormal="80" workbookViewId="0">
      <selection activeCell="U29" sqref="U29:U44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-0.98384005560178522</v>
      </c>
      <c r="J2" s="28" t="e">
        <f>(S14-J14)/J14</f>
        <v>#DIV/0!</v>
      </c>
      <c r="K2" s="28"/>
      <c r="L2" s="1" t="s">
        <v>19</v>
      </c>
      <c r="P2" s="1">
        <f>(P14-H14)/H14</f>
        <v>-0.38347149999971986</v>
      </c>
      <c r="R2" s="1">
        <f>(R14-J14)/J14</f>
        <v>-0.11415538017044324</v>
      </c>
      <c r="T2" s="1" t="s">
        <v>20</v>
      </c>
      <c r="X2" s="1">
        <f>(X14-P14)/P14</f>
        <v>0.83532924089291249</v>
      </c>
      <c r="Z2" s="1">
        <f>(Z14-R14)/R14</f>
        <v>0.21644588208035445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712</v>
      </c>
      <c r="D4" s="23">
        <v>1741218.4934387549</v>
      </c>
      <c r="E4" s="33">
        <v>251.67230040540545</v>
      </c>
      <c r="F4" s="5">
        <v>10</v>
      </c>
      <c r="G4" s="23">
        <v>75.333333333333329</v>
      </c>
      <c r="H4" s="33">
        <v>1338.4227076995494</v>
      </c>
      <c r="I4" s="23">
        <v>38.91823285064693</v>
      </c>
      <c r="J4" s="5">
        <v>6374.5157210549596</v>
      </c>
      <c r="K4" s="31"/>
      <c r="L4" s="23">
        <v>2008796.1456154389</v>
      </c>
      <c r="M4" s="33">
        <v>218.09203610811349</v>
      </c>
      <c r="N4" s="5">
        <v>14</v>
      </c>
      <c r="O4" s="5">
        <v>62.666666666666657</v>
      </c>
      <c r="P4" s="33">
        <v>1042.9628426785143</v>
      </c>
      <c r="Q4" s="5">
        <v>21.882176943302586</v>
      </c>
      <c r="R4" s="5">
        <v>5957.171596441347</v>
      </c>
      <c r="S4" s="35"/>
      <c r="T4" s="23">
        <v>2128453.4954789341</v>
      </c>
      <c r="U4" s="33">
        <v>63.122622405404591</v>
      </c>
      <c r="V4" s="5">
        <v>10</v>
      </c>
      <c r="W4" s="5">
        <v>58</v>
      </c>
      <c r="X4" s="33">
        <v>1519.0382740467753</v>
      </c>
      <c r="Y4" s="5">
        <v>40.477427536578276</v>
      </c>
      <c r="Z4" s="5">
        <v>7023.8474297707016</v>
      </c>
      <c r="AA4" s="35"/>
    </row>
    <row r="5" spans="2:27" x14ac:dyDescent="0.2">
      <c r="B5" s="4">
        <v>2</v>
      </c>
      <c r="C5" s="4">
        <v>586</v>
      </c>
      <c r="D5" s="23">
        <v>1736040.410439004</v>
      </c>
      <c r="E5" s="33">
        <v>102.80827064864727</v>
      </c>
      <c r="F5" s="5">
        <v>10</v>
      </c>
      <c r="G5" s="23">
        <v>76.666666666666671</v>
      </c>
      <c r="H5" s="33">
        <v>1412.947660075205</v>
      </c>
      <c r="I5" s="23">
        <v>39.210008164391297</v>
      </c>
      <c r="J5" s="5">
        <v>6526.083747397608</v>
      </c>
      <c r="K5" s="31"/>
      <c r="L5" s="23">
        <v>1990201.0819664069</v>
      </c>
      <c r="M5" s="33">
        <v>214.5253189459421</v>
      </c>
      <c r="N5" s="5">
        <v>15</v>
      </c>
      <c r="O5" s="5">
        <v>64</v>
      </c>
      <c r="P5" s="33">
        <v>1023.0122266428325</v>
      </c>
      <c r="Q5" s="5">
        <v>21.399342387583474</v>
      </c>
      <c r="R5" s="5">
        <v>5867.4828678088061</v>
      </c>
      <c r="S5" s="35"/>
      <c r="T5" s="23">
        <v>2085149.793668997</v>
      </c>
      <c r="U5" s="33">
        <v>84.952893540541623</v>
      </c>
      <c r="V5" s="5">
        <v>10</v>
      </c>
      <c r="W5" s="5">
        <v>60</v>
      </c>
      <c r="X5" s="33">
        <v>1572.1144099409892</v>
      </c>
      <c r="Y5" s="5">
        <v>44.067570598598145</v>
      </c>
      <c r="Z5" s="5">
        <v>6990.7150484987169</v>
      </c>
      <c r="AA5" s="35"/>
    </row>
    <row r="6" spans="2:27" x14ac:dyDescent="0.2">
      <c r="B6" s="4">
        <v>3</v>
      </c>
      <c r="C6" s="4">
        <v>267</v>
      </c>
      <c r="D6" s="23">
        <v>1781119.11673544</v>
      </c>
      <c r="E6" s="33">
        <v>154.68354583783955</v>
      </c>
      <c r="F6" s="5">
        <v>10</v>
      </c>
      <c r="G6" s="23">
        <v>76</v>
      </c>
      <c r="H6" s="33">
        <v>1557.7339100954139</v>
      </c>
      <c r="I6" s="23">
        <v>39.112715140830069</v>
      </c>
      <c r="J6" s="5">
        <v>6646.1808231537661</v>
      </c>
      <c r="K6" s="31"/>
      <c r="L6" s="23">
        <v>2003311.852263446</v>
      </c>
      <c r="M6" s="33">
        <v>195.16723791891675</v>
      </c>
      <c r="N6" s="5">
        <v>13</v>
      </c>
      <c r="O6" s="5">
        <v>60</v>
      </c>
      <c r="P6" s="33">
        <v>735.84823223483352</v>
      </c>
      <c r="Q6" s="5">
        <v>21.915051044366255</v>
      </c>
      <c r="R6" s="5">
        <v>5665.3620608892179</v>
      </c>
      <c r="S6" s="35"/>
      <c r="T6" s="23">
        <v>2084791.1177094609</v>
      </c>
      <c r="U6" s="33">
        <v>106.35500532432187</v>
      </c>
      <c r="V6" s="5">
        <v>10</v>
      </c>
      <c r="W6" s="5">
        <v>60</v>
      </c>
      <c r="X6" s="33">
        <v>1561.195095782979</v>
      </c>
      <c r="Y6" s="5">
        <v>43.526762398667799</v>
      </c>
      <c r="Z6" s="5">
        <v>6974.4223790378092</v>
      </c>
      <c r="AA6" s="35"/>
    </row>
    <row r="7" spans="2:27" x14ac:dyDescent="0.2">
      <c r="B7" s="4">
        <v>4</v>
      </c>
      <c r="C7" s="4">
        <v>3</v>
      </c>
      <c r="D7" s="23">
        <v>1808281.8316084601</v>
      </c>
      <c r="E7" s="33">
        <v>300.76010502702593</v>
      </c>
      <c r="F7" s="5">
        <v>11</v>
      </c>
      <c r="G7" s="23">
        <v>76.666666666666671</v>
      </c>
      <c r="H7" s="33">
        <v>1607.4146155704534</v>
      </c>
      <c r="I7" s="23">
        <v>36.824561053248246</v>
      </c>
      <c r="J7" s="5">
        <v>6802.9954050550086</v>
      </c>
      <c r="K7" s="31"/>
      <c r="L7" s="23">
        <v>2054442.4075988361</v>
      </c>
      <c r="M7" s="33">
        <v>133.90096078379034</v>
      </c>
      <c r="N7" s="5">
        <v>13</v>
      </c>
      <c r="O7" s="5">
        <v>58</v>
      </c>
      <c r="P7" s="33">
        <v>891.07706432062037</v>
      </c>
      <c r="Q7" s="5">
        <v>22.069506430240438</v>
      </c>
      <c r="R7" s="5">
        <v>5840.5572577574594</v>
      </c>
      <c r="S7" s="35"/>
      <c r="T7" s="23">
        <v>2123975.2095004772</v>
      </c>
      <c r="U7" s="33">
        <v>145.600962189189</v>
      </c>
      <c r="V7" s="5">
        <v>10</v>
      </c>
      <c r="W7" s="5">
        <v>56.666666666666657</v>
      </c>
      <c r="X7" s="33">
        <v>1415.9551956117957</v>
      </c>
      <c r="Y7" s="5">
        <v>44.78754866343241</v>
      </c>
      <c r="Z7" s="5">
        <v>6814.2735187905673</v>
      </c>
      <c r="AA7" s="35"/>
    </row>
    <row r="8" spans="2:27" x14ac:dyDescent="0.2">
      <c r="B8" s="4">
        <v>5</v>
      </c>
      <c r="C8" s="4">
        <v>890</v>
      </c>
      <c r="D8" s="23">
        <v>1770807.69424385</v>
      </c>
      <c r="E8" s="33">
        <v>234.76168667568001</v>
      </c>
      <c r="F8" s="5">
        <v>11</v>
      </c>
      <c r="G8" s="23">
        <v>78</v>
      </c>
      <c r="H8" s="33">
        <v>1665.1756746333965</v>
      </c>
      <c r="I8" s="23">
        <v>38.01070991932351</v>
      </c>
      <c r="J8" s="5">
        <v>6789.7478805193132</v>
      </c>
      <c r="K8" s="31"/>
      <c r="L8" s="23">
        <v>2012836.650502593</v>
      </c>
      <c r="M8" s="33">
        <v>128.02405151351343</v>
      </c>
      <c r="N8" s="5">
        <v>12</v>
      </c>
      <c r="O8" s="5">
        <v>59.333333333333343</v>
      </c>
      <c r="P8" s="33">
        <v>814.56585005328964</v>
      </c>
      <c r="Q8" s="5">
        <v>23.982862463071754</v>
      </c>
      <c r="R8" s="5">
        <v>5818.0140238752047</v>
      </c>
      <c r="S8" s="35"/>
      <c r="T8" s="23">
        <v>2106074.6680021458</v>
      </c>
      <c r="U8" s="33">
        <v>123.71401059459359</v>
      </c>
      <c r="V8" s="5">
        <v>10</v>
      </c>
      <c r="W8" s="5">
        <v>58.666666666666657</v>
      </c>
      <c r="X8" s="33">
        <v>1592.0736974932331</v>
      </c>
      <c r="Y8" s="5">
        <v>41.670323750477451</v>
      </c>
      <c r="Z8" s="5">
        <v>6915.8154075490538</v>
      </c>
      <c r="AA8" s="35"/>
    </row>
    <row r="9" spans="2:27" x14ac:dyDescent="0.2">
      <c r="B9" s="4">
        <v>6</v>
      </c>
      <c r="C9" s="4">
        <v>202</v>
      </c>
      <c r="D9" s="23">
        <v>1779499.555410082</v>
      </c>
      <c r="E9" s="33">
        <v>209.93829618919187</v>
      </c>
      <c r="F9" s="5">
        <v>10</v>
      </c>
      <c r="G9" s="23">
        <v>74</v>
      </c>
      <c r="H9" s="33">
        <v>1408.5383445407765</v>
      </c>
      <c r="I9" s="23">
        <v>38.367170675869069</v>
      </c>
      <c r="J9" s="5">
        <v>6500.356722743878</v>
      </c>
      <c r="K9" s="31"/>
      <c r="L9" s="23">
        <v>1996506.365404468</v>
      </c>
      <c r="M9" s="33">
        <v>361.67540800000211</v>
      </c>
      <c r="N9" s="5">
        <v>13</v>
      </c>
      <c r="O9" s="5">
        <v>62</v>
      </c>
      <c r="P9" s="33">
        <v>894.08036660581877</v>
      </c>
      <c r="Q9" s="5">
        <v>23.192240740752677</v>
      </c>
      <c r="R9" s="5">
        <v>5929.3674784866434</v>
      </c>
      <c r="S9" s="35"/>
      <c r="T9" s="23">
        <v>2106606.5482200091</v>
      </c>
      <c r="U9" s="33">
        <v>157.06149286486291</v>
      </c>
      <c r="V9" s="5">
        <v>10</v>
      </c>
      <c r="W9" s="5">
        <v>60</v>
      </c>
      <c r="X9" s="33">
        <v>1744.5643379547896</v>
      </c>
      <c r="Y9" s="5">
        <v>43.894282870997024</v>
      </c>
      <c r="Z9" s="5">
        <v>7120.3076176340928</v>
      </c>
      <c r="AA9" s="35"/>
    </row>
    <row r="10" spans="2:27" x14ac:dyDescent="0.2">
      <c r="B10" s="4">
        <v>7</v>
      </c>
      <c r="C10" s="4">
        <v>366</v>
      </c>
      <c r="D10" s="23">
        <v>1757586.456617259</v>
      </c>
      <c r="E10" s="33">
        <v>321.13681318918782</v>
      </c>
      <c r="F10" s="5">
        <v>11</v>
      </c>
      <c r="G10" s="23">
        <v>77.333333333333329</v>
      </c>
      <c r="H10" s="33">
        <v>1470.3855310093675</v>
      </c>
      <c r="I10" s="23">
        <v>36.06461067196188</v>
      </c>
      <c r="J10" s="5">
        <v>6622.9659518884237</v>
      </c>
      <c r="K10" s="31"/>
      <c r="L10" s="23">
        <v>1987678.0751236789</v>
      </c>
      <c r="M10" s="33">
        <v>189.80152110811449</v>
      </c>
      <c r="N10" s="5">
        <v>13</v>
      </c>
      <c r="O10" s="5">
        <v>61.333333333333343</v>
      </c>
      <c r="P10" s="33">
        <v>871.12250144507186</v>
      </c>
      <c r="Q10" s="5">
        <v>22.833155624402934</v>
      </c>
      <c r="R10" s="5">
        <v>5781.0961761892831</v>
      </c>
      <c r="S10" s="35"/>
      <c r="T10" s="23">
        <v>2083519.824317117</v>
      </c>
      <c r="U10" s="33">
        <v>227.55188802702781</v>
      </c>
      <c r="V10" s="5">
        <v>10</v>
      </c>
      <c r="W10" s="5">
        <v>60.666666666666657</v>
      </c>
      <c r="X10" s="33">
        <v>1628.7128213246779</v>
      </c>
      <c r="Y10" s="5">
        <v>44.420135111164136</v>
      </c>
      <c r="Z10" s="5">
        <v>7052.9662001180341</v>
      </c>
      <c r="AA10" s="35"/>
    </row>
    <row r="11" spans="2:27" x14ac:dyDescent="0.2">
      <c r="B11" s="4">
        <v>8</v>
      </c>
      <c r="C11" s="4">
        <v>353</v>
      </c>
      <c r="D11" s="23">
        <v>1742647.0480762499</v>
      </c>
      <c r="E11" s="33">
        <v>134.94177708108091</v>
      </c>
      <c r="F11" s="5">
        <v>10</v>
      </c>
      <c r="G11" s="23">
        <v>76</v>
      </c>
      <c r="H11" s="33">
        <v>1426.2085478850952</v>
      </c>
      <c r="I11" s="23">
        <v>39.559614996506966</v>
      </c>
      <c r="J11" s="5">
        <v>6458.192250412365</v>
      </c>
      <c r="K11" s="31"/>
      <c r="L11" s="23">
        <v>2002205.924396547</v>
      </c>
      <c r="M11" s="33">
        <v>126.73536859459016</v>
      </c>
      <c r="N11" s="5">
        <v>14</v>
      </c>
      <c r="O11" s="5">
        <v>63.333333333333343</v>
      </c>
      <c r="P11" s="33">
        <v>1068.4506060303358</v>
      </c>
      <c r="Q11" s="5">
        <v>23.916167728170059</v>
      </c>
      <c r="R11" s="5">
        <v>6102.0150861875072</v>
      </c>
      <c r="S11" s="35"/>
      <c r="T11" s="23">
        <v>2107228.009288325</v>
      </c>
      <c r="U11" s="33">
        <v>140.08063821621533</v>
      </c>
      <c r="V11" s="5">
        <v>10</v>
      </c>
      <c r="W11" s="5">
        <v>59.333333333333343</v>
      </c>
      <c r="X11" s="33">
        <v>1729.9106183094843</v>
      </c>
      <c r="Y11" s="5">
        <v>42.871399753994481</v>
      </c>
      <c r="Z11" s="5">
        <v>7068.1189511615794</v>
      </c>
      <c r="AA11" s="35"/>
    </row>
    <row r="12" spans="2:27" x14ac:dyDescent="0.2">
      <c r="B12" s="4">
        <v>9</v>
      </c>
      <c r="C12" s="4">
        <v>476</v>
      </c>
      <c r="D12" s="23">
        <v>1750032.6034405159</v>
      </c>
      <c r="E12" s="33">
        <v>95.837998297293581</v>
      </c>
      <c r="F12" s="5">
        <v>10</v>
      </c>
      <c r="G12" s="23">
        <v>76.666666666666671</v>
      </c>
      <c r="H12" s="33">
        <v>1482.0054571336841</v>
      </c>
      <c r="I12" s="23">
        <v>40.396102180726089</v>
      </c>
      <c r="J12" s="5">
        <v>6642.3660291207325</v>
      </c>
      <c r="K12" s="31"/>
      <c r="L12" s="23">
        <v>2063709.6015940181</v>
      </c>
      <c r="M12" s="33">
        <v>105.95713959460154</v>
      </c>
      <c r="N12" s="5">
        <v>14</v>
      </c>
      <c r="O12" s="5">
        <v>59.333333333333343</v>
      </c>
      <c r="P12" s="33">
        <v>970.27014909638604</v>
      </c>
      <c r="Q12" s="5">
        <v>21.947657572456599</v>
      </c>
      <c r="R12" s="5">
        <v>5906.9649883324682</v>
      </c>
      <c r="S12" s="35"/>
      <c r="T12" s="23">
        <v>2147921.3767622728</v>
      </c>
      <c r="U12" s="33">
        <v>131.12169581080781</v>
      </c>
      <c r="V12" s="5">
        <v>9</v>
      </c>
      <c r="W12" s="5">
        <v>55.333333333333343</v>
      </c>
      <c r="X12" s="33">
        <v>1510.5192938167681</v>
      </c>
      <c r="Y12" s="5">
        <v>45.635517297761766</v>
      </c>
      <c r="Z12" s="5">
        <v>6914.7849673698893</v>
      </c>
      <c r="AA12" s="35"/>
    </row>
    <row r="13" spans="2:27" x14ac:dyDescent="0.2">
      <c r="B13" s="4">
        <v>10</v>
      </c>
      <c r="C13" s="4">
        <v>516</v>
      </c>
      <c r="D13" s="23">
        <v>1767748.034933514</v>
      </c>
      <c r="E13" s="33">
        <v>98.763685999996639</v>
      </c>
      <c r="F13" s="5">
        <v>10</v>
      </c>
      <c r="G13" s="23">
        <v>75.333333333333329</v>
      </c>
      <c r="H13" s="33">
        <v>1436.9973058736225</v>
      </c>
      <c r="I13" s="23">
        <v>39.278361370580726</v>
      </c>
      <c r="J13" s="5">
        <v>6533.4456331139381</v>
      </c>
      <c r="K13" s="31"/>
      <c r="L13" s="23">
        <v>1988011.5856743981</v>
      </c>
      <c r="M13" s="33">
        <v>187.85440478377936</v>
      </c>
      <c r="N13" s="5">
        <v>16</v>
      </c>
      <c r="O13" s="5">
        <v>68</v>
      </c>
      <c r="P13" s="33">
        <v>1382.0765510857732</v>
      </c>
      <c r="Q13" s="5">
        <v>22.403462480638815</v>
      </c>
      <c r="R13" s="5">
        <v>6328.1621295058449</v>
      </c>
      <c r="S13" s="35"/>
      <c r="T13" s="23">
        <v>2083329.5458378531</v>
      </c>
      <c r="U13" s="33">
        <v>270.67580848648703</v>
      </c>
      <c r="V13" s="5">
        <v>10</v>
      </c>
      <c r="W13" s="5">
        <v>60.666666666666657</v>
      </c>
      <c r="X13" s="33">
        <v>1598.7965993019188</v>
      </c>
      <c r="Y13" s="5">
        <v>44.318582462847793</v>
      </c>
      <c r="Z13" s="5">
        <v>7032.3906374359367</v>
      </c>
      <c r="AA13" s="35"/>
    </row>
    <row r="14" spans="2:27" x14ac:dyDescent="0.2">
      <c r="B14" s="47" t="s">
        <v>3</v>
      </c>
      <c r="C14" s="48"/>
      <c r="D14" s="9">
        <f>MIN(D4:D13)</f>
        <v>1736040.410439004</v>
      </c>
      <c r="E14" s="22">
        <f>INDEX(E4:E13, MATCH($D$14, D4:D13, 0))</f>
        <v>102.80827064864727</v>
      </c>
      <c r="F14" s="9">
        <f>INDEX(F4:F13, MATCH($D$14, D4:D13, 0))</f>
        <v>10</v>
      </c>
      <c r="G14" s="9">
        <f>INDEX(G4:G13, MATCH($D$14, D4:D13, 0))</f>
        <v>76.666666666666671</v>
      </c>
      <c r="H14" s="22">
        <f>INDEX(H4:H13, MATCH($D$14, D4:D13, 0))</f>
        <v>1412.947660075205</v>
      </c>
      <c r="I14" s="22">
        <f>INDEX(I4:I13, MATCH($D$14, D4:D13, 0))</f>
        <v>39.210008164391297</v>
      </c>
      <c r="J14" s="22">
        <f>INDEX(J4:J13, MATCH($D$14, D4:D13, 0))</f>
        <v>6526.083747397608</v>
      </c>
      <c r="K14" s="32" t="e">
        <f>(D14-$D$15)/$D$15</f>
        <v>#DIV/0!</v>
      </c>
      <c r="L14" s="16">
        <f>MIN(L4:L13)</f>
        <v>1987678.0751236789</v>
      </c>
      <c r="M14" s="21">
        <f>INDEX(M4:M13, MATCH($L$14, L4:L13, 0))</f>
        <v>189.80152110811449</v>
      </c>
      <c r="N14" s="16">
        <f>INDEX(N4:N13, MATCH($L$14, L4:L13, 0))</f>
        <v>13</v>
      </c>
      <c r="O14" s="16">
        <f>INDEX(O4:O13, MATCH($L$14, L4:L13, 0))</f>
        <v>61.333333333333343</v>
      </c>
      <c r="P14" s="21">
        <f>INDEX(P4:P13, MATCH($L$14, L4:L13, 0))</f>
        <v>871.12250144507186</v>
      </c>
      <c r="Q14" s="21">
        <f>INDEX(Q4:Q13, MATCH($L$14, L4:L13, 0))</f>
        <v>22.833155624402934</v>
      </c>
      <c r="R14" s="21">
        <f>INDEX(R4:R13, MATCH($L$14, L4:L13, 0))</f>
        <v>5781.0961761892831</v>
      </c>
      <c r="S14" s="36" t="e">
        <f>(L14-$D$15)/$D$15</f>
        <v>#DIV/0!</v>
      </c>
      <c r="T14" s="38">
        <f>MIN(T4:T13)</f>
        <v>2083329.5458378531</v>
      </c>
      <c r="U14" s="39">
        <f>INDEX(U4:U13, MATCH($T$14, T4:T13, 0))</f>
        <v>270.67580848648703</v>
      </c>
      <c r="V14" s="38">
        <f>INDEX(V4:V13, MATCH($T$14, T4:T13, 0))</f>
        <v>10</v>
      </c>
      <c r="W14" s="38">
        <f>INDEX(W4:W13, MATCH($T$14, T4:T13, 0))</f>
        <v>60.666666666666657</v>
      </c>
      <c r="X14" s="39">
        <f>INDEX(X4:X13, MATCH($T$14, T4:T13, 0))</f>
        <v>1598.7965993019188</v>
      </c>
      <c r="Y14" s="39">
        <f>INDEX(Y4:Y13, MATCH($T$14, T4:T13, 0))</f>
        <v>44.318582462847793</v>
      </c>
      <c r="Z14" s="39">
        <f>INDEX(Z4:Z13, MATCH($T$14, T4:T13, 0))</f>
        <v>7032.3906374359367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0.14494919770965564</v>
      </c>
      <c r="M15" s="41">
        <f t="shared" ref="M15:R15" si="0">(M14-E14)/E14</f>
        <v>0.84616976737962335</v>
      </c>
      <c r="N15" s="41">
        <f t="shared" si="0"/>
        <v>0.3</v>
      </c>
      <c r="O15" s="41">
        <f t="shared" si="0"/>
        <v>-0.19999999999999993</v>
      </c>
      <c r="P15" s="41">
        <f t="shared" si="0"/>
        <v>-0.38347149999971986</v>
      </c>
      <c r="Q15" s="41">
        <f t="shared" si="0"/>
        <v>-0.41767021499528934</v>
      </c>
      <c r="R15" s="41">
        <f t="shared" si="0"/>
        <v>-0.11415538017044324</v>
      </c>
      <c r="T15" s="41">
        <f>(T14-D14)/D14</f>
        <v>0.20004668860849148</v>
      </c>
      <c r="U15" s="41">
        <f t="shared" ref="U15:Z15" si="1">(U14-E14)/E14</f>
        <v>1.6328213360531665</v>
      </c>
      <c r="V15" s="41">
        <f t="shared" si="1"/>
        <v>0</v>
      </c>
      <c r="W15" s="41">
        <f t="shared" si="1"/>
        <v>-0.20869565217391323</v>
      </c>
      <c r="X15" s="41">
        <f t="shared" si="1"/>
        <v>0.13153278389436016</v>
      </c>
      <c r="Y15" s="41">
        <f t="shared" si="1"/>
        <v>0.13028750917465673</v>
      </c>
      <c r="Z15" s="41">
        <f t="shared" si="1"/>
        <v>7.7582039954701407E-2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29 C40:C1048576">
    <cfRule type="duplicateValues" dxfId="41" priority="7"/>
    <cfRule type="duplicateValues" dxfId="40" priority="8"/>
  </conditionalFormatting>
  <conditionalFormatting sqref="C14">
    <cfRule type="duplicateValues" dxfId="39" priority="5"/>
    <cfRule type="duplicateValues" dxfId="38" priority="6"/>
  </conditionalFormatting>
  <conditionalFormatting sqref="C15">
    <cfRule type="duplicateValues" dxfId="37" priority="3"/>
    <cfRule type="duplicateValues" dxfId="36" priority="4"/>
  </conditionalFormatting>
  <conditionalFormatting sqref="C30:C39">
    <cfRule type="duplicateValues" dxfId="35" priority="1"/>
    <cfRule type="duplicateValues" dxfId="34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.5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7" t="s">
        <v>3</v>
      </c>
      <c r="C14" s="48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66406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66406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33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32" priority="1"/>
  </conditionalFormatting>
  <conditionalFormatting sqref="L14">
    <cfRule type="duplicateValues" dxfId="31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7" t="s">
        <v>3</v>
      </c>
      <c r="C14" s="48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30" priority="1"/>
  </conditionalFormatting>
  <conditionalFormatting sqref="L14">
    <cfRule type="duplicateValues" dxfId="29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8" priority="1"/>
  </conditionalFormatting>
  <conditionalFormatting sqref="L14">
    <cfRule type="duplicateValues" dxfId="27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6" priority="1"/>
  </conditionalFormatting>
  <conditionalFormatting sqref="L14">
    <cfRule type="duplicateValues" dxfId="25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7" t="s">
        <v>3</v>
      </c>
      <c r="C14" s="48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4" priority="1"/>
  </conditionalFormatting>
  <conditionalFormatting sqref="L14">
    <cfRule type="duplicateValues" dxfId="23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2" priority="1"/>
    <cfRule type="duplicateValues" dxfId="21" priority="2"/>
  </conditionalFormatting>
  <conditionalFormatting sqref="L14">
    <cfRule type="duplicateValues" dxfId="20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7" priority="1"/>
  </conditionalFormatting>
  <conditionalFormatting sqref="L14">
    <cfRule type="duplicateValues" dxfId="16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5" priority="1"/>
  </conditionalFormatting>
  <conditionalFormatting sqref="L14">
    <cfRule type="duplicateValues" dxfId="14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13" priority="1"/>
  </conditionalFormatting>
  <conditionalFormatting sqref="L14">
    <cfRule type="duplicateValues" dxfId="12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1" priority="1"/>
  </conditionalFormatting>
  <conditionalFormatting sqref="L14">
    <cfRule type="duplicateValues" dxfId="10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9" priority="1"/>
  </conditionalFormatting>
  <conditionalFormatting sqref="L14">
    <cfRule type="duplicateValues" dxfId="8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7" priority="1"/>
  </conditionalFormatting>
  <conditionalFormatting sqref="L14">
    <cfRule type="duplicateValues" dxfId="6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5" priority="1"/>
  </conditionalFormatting>
  <conditionalFormatting sqref="L14">
    <cfRule type="duplicateValues" dxfId="4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" priority="1"/>
  </conditionalFormatting>
  <conditionalFormatting sqref="L14"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results70</vt:lpstr>
      <vt:lpstr>results203</vt:lpstr>
      <vt:lpstr>results299</vt:lpstr>
      <vt:lpstr>results327</vt:lpstr>
      <vt:lpstr>results459</vt:lpstr>
      <vt:lpstr>results539</vt:lpstr>
      <vt:lpstr>results662</vt:lpstr>
      <vt:lpstr>results713</vt:lpstr>
      <vt:lpstr>results740</vt:lpstr>
      <vt:lpstr>results752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2026-10-16T20:43:02Z</dcterms:modified>
</cp:coreProperties>
</file>