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Small/SA-AOS/30-2-3/"/>
    </mc:Choice>
  </mc:AlternateContent>
  <xr:revisionPtr revIDLastSave="0" documentId="13_ncr:1_{0845379E-A1BA-6B4C-959E-0ADD8FE61A05}" xr6:coauthVersionLast="47" xr6:coauthVersionMax="47" xr10:uidLastSave="{00000000-0000-0000-0000-000000000000}"/>
  <bookViews>
    <workbookView xWindow="0" yWindow="760" windowWidth="34560" windowHeight="20500" tabRatio="724" activeTab="10" xr2:uid="{41E620E7-D6DF-9342-B452-EA60AB3B07C5}"/>
  </bookViews>
  <sheets>
    <sheet name="Summary" sheetId="67" r:id="rId1"/>
    <sheet name="results43" sheetId="57" r:id="rId2"/>
    <sheet name="results324" sheetId="58" r:id="rId3"/>
    <sheet name="results396" sheetId="59" r:id="rId4"/>
    <sheet name="results457" sheetId="60" r:id="rId5"/>
    <sheet name="results526" sheetId="61" r:id="rId6"/>
    <sheet name="results539" sheetId="63" r:id="rId7"/>
    <sheet name="results581" sheetId="62" r:id="rId8"/>
    <sheet name="results680" sheetId="64" r:id="rId9"/>
    <sheet name="results698" sheetId="65" r:id="rId10"/>
    <sheet name="results917" sheetId="66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C9" i="67" a="1"/>
  <c r="C7" i="67" a="1"/>
  <c r="D11" i="67" a="1"/>
  <c r="F9" i="67" a="1"/>
  <c r="D8" i="67" a="1"/>
  <c r="I7" i="67" a="1"/>
  <c r="E6" i="67" a="1"/>
  <c r="E7" i="67" a="1"/>
  <c r="I12" i="67" a="1"/>
  <c r="E5" i="67" a="1"/>
  <c r="D9" i="67" a="1"/>
  <c r="D3" i="67" a="1"/>
  <c r="G10" i="67" a="1"/>
  <c r="F11" i="67" a="1"/>
  <c r="H12" i="67" a="1"/>
  <c r="G12" i="67" a="1"/>
  <c r="I11" i="67" a="1"/>
  <c r="G6" i="67" a="1"/>
  <c r="I3" i="67" a="1"/>
  <c r="H7" i="67" a="1"/>
  <c r="F10" i="67" a="1"/>
  <c r="D7" i="67" a="1"/>
  <c r="F3" i="67" a="1"/>
  <c r="G8" i="67" a="1"/>
  <c r="H11" i="67" a="1"/>
  <c r="D10" i="67" a="1"/>
  <c r="G11" i="67" a="1"/>
  <c r="H3" i="67" a="1"/>
  <c r="E3" i="67" a="1"/>
  <c r="E11" i="67" a="1"/>
  <c r="H10" i="67" a="1"/>
  <c r="G9" i="67" a="1"/>
  <c r="I9" i="67" a="1"/>
  <c r="E8" i="67" a="1"/>
  <c r="F6" i="67" a="1"/>
  <c r="H6" i="67" a="1"/>
  <c r="C6" i="67" a="1"/>
  <c r="C10" i="67" a="1"/>
  <c r="I10" i="67" a="1"/>
  <c r="E4" i="67" a="1"/>
  <c r="E9" i="67" a="1"/>
  <c r="D6" i="67" a="1"/>
  <c r="D5" i="67" a="1"/>
  <c r="F4" i="67" a="1"/>
  <c r="F7" i="67" a="1"/>
  <c r="D12" i="67" a="1"/>
  <c r="G4" i="67" a="1"/>
  <c r="H5" i="67" a="1"/>
  <c r="I6" i="67" a="1"/>
  <c r="E12" i="67" a="1"/>
  <c r="C4" i="67" a="1"/>
  <c r="C12" i="67" a="1"/>
  <c r="C11" i="67" a="1"/>
  <c r="I8" i="67" a="1"/>
  <c r="C8" i="67" a="1"/>
  <c r="C3" i="67" a="1"/>
  <c r="I5" i="67" a="1"/>
  <c r="F5" i="67" a="1"/>
  <c r="G7" i="67" a="1"/>
  <c r="F12" i="67" a="1"/>
  <c r="I4" i="67" a="1"/>
  <c r="G3" i="67" a="1"/>
  <c r="H9" i="67" a="1"/>
  <c r="H8" i="67" a="1"/>
  <c r="C5" i="67" a="1"/>
  <c r="G5" i="67" a="1"/>
  <c r="H4" i="67" a="1"/>
  <c r="D4" i="67" a="1"/>
  <c r="F8" i="67" a="1"/>
  <c r="E10" i="67" a="1"/>
  <c r="T14" i="66" l="1"/>
  <c r="W14" i="66" s="1"/>
  <c r="T14" i="65"/>
  <c r="T14" i="64"/>
  <c r="AA14" i="64" s="1"/>
  <c r="T14" i="62"/>
  <c r="Y14" i="62" s="1"/>
  <c r="T14" i="63"/>
  <c r="T14" i="61"/>
  <c r="T14" i="60"/>
  <c r="T14" i="59"/>
  <c r="T14" i="58"/>
  <c r="T14" i="57"/>
  <c r="U14" i="57" s="1"/>
  <c r="L14" i="66"/>
  <c r="Q14" i="66" s="1"/>
  <c r="L14" i="65"/>
  <c r="S14" i="65" s="1"/>
  <c r="L14" i="64"/>
  <c r="Q14" i="64" s="1"/>
  <c r="L14" i="62"/>
  <c r="L14" i="63"/>
  <c r="N14" i="63" s="1"/>
  <c r="L14" i="61"/>
  <c r="L14" i="60"/>
  <c r="Q14" i="60" s="1"/>
  <c r="L14" i="59"/>
  <c r="L14" i="58"/>
  <c r="L14" i="57"/>
  <c r="N14" i="57" s="1"/>
  <c r="AA14" i="66"/>
  <c r="Z14" i="66"/>
  <c r="Y14" i="66"/>
  <c r="X14" i="66"/>
  <c r="P14" i="66"/>
  <c r="N14" i="66"/>
  <c r="O14" i="66"/>
  <c r="M14" i="66"/>
  <c r="R14" i="66"/>
  <c r="S14" i="66"/>
  <c r="AA14" i="65"/>
  <c r="Z14" i="65"/>
  <c r="Y14" i="65"/>
  <c r="X14" i="65"/>
  <c r="W14" i="65"/>
  <c r="V14" i="65"/>
  <c r="U14" i="65"/>
  <c r="P14" i="64"/>
  <c r="O14" i="64"/>
  <c r="N14" i="64"/>
  <c r="M14" i="64"/>
  <c r="S14" i="64"/>
  <c r="R14" i="64"/>
  <c r="U14" i="64"/>
  <c r="X14" i="62"/>
  <c r="W14" i="62"/>
  <c r="V14" i="62"/>
  <c r="U14" i="62"/>
  <c r="Q14" i="62"/>
  <c r="P14" i="62"/>
  <c r="O14" i="62"/>
  <c r="N14" i="62"/>
  <c r="M14" i="62"/>
  <c r="R14" i="62"/>
  <c r="S14" i="62"/>
  <c r="Q14" i="63"/>
  <c r="P14" i="63"/>
  <c r="O14" i="63"/>
  <c r="R14" i="63"/>
  <c r="Q14" i="61"/>
  <c r="O14" i="61"/>
  <c r="P14" i="61"/>
  <c r="N14" i="61"/>
  <c r="M14" i="61"/>
  <c r="S14" i="61"/>
  <c r="R14" i="61"/>
  <c r="AA14" i="61"/>
  <c r="Z14" i="61"/>
  <c r="Y14" i="61"/>
  <c r="X14" i="61"/>
  <c r="W14" i="61"/>
  <c r="V14" i="61"/>
  <c r="U14" i="61"/>
  <c r="AA14" i="60"/>
  <c r="Z14" i="60"/>
  <c r="Y14" i="60"/>
  <c r="X14" i="60"/>
  <c r="W14" i="60"/>
  <c r="V14" i="60"/>
  <c r="U14" i="60"/>
  <c r="O14" i="60"/>
  <c r="N14" i="60"/>
  <c r="M14" i="60"/>
  <c r="R14" i="60"/>
  <c r="AA14" i="59"/>
  <c r="Z14" i="59"/>
  <c r="Y14" i="59"/>
  <c r="X14" i="59"/>
  <c r="W14" i="59"/>
  <c r="V14" i="59"/>
  <c r="U14" i="59"/>
  <c r="Q14" i="59"/>
  <c r="N14" i="59"/>
  <c r="P14" i="59"/>
  <c r="O14" i="59"/>
  <c r="M14" i="59"/>
  <c r="S14" i="59"/>
  <c r="R14" i="59"/>
  <c r="Q14" i="58"/>
  <c r="P14" i="58"/>
  <c r="O14" i="58"/>
  <c r="N14" i="58"/>
  <c r="S14" i="58"/>
  <c r="M14" i="58"/>
  <c r="R14" i="58"/>
  <c r="W14" i="58"/>
  <c r="AA14" i="58"/>
  <c r="Z14" i="58"/>
  <c r="Y14" i="58"/>
  <c r="X14" i="58"/>
  <c r="V14" i="58"/>
  <c r="U14" i="58"/>
  <c r="AA14" i="57"/>
  <c r="Z14" i="57"/>
  <c r="Y14" i="57"/>
  <c r="X14" i="57"/>
  <c r="W14" i="57"/>
  <c r="S14" i="57"/>
  <c r="R14" i="57"/>
  <c r="D7" i="67"/>
  <c r="D9" i="67"/>
  <c r="D11" i="67"/>
  <c r="E3" i="67"/>
  <c r="E5" i="67"/>
  <c r="H10" i="67"/>
  <c r="F3" i="67"/>
  <c r="C4" i="67"/>
  <c r="I6" i="67"/>
  <c r="C8" i="67"/>
  <c r="F9" i="67"/>
  <c r="C10" i="67"/>
  <c r="I10" i="67"/>
  <c r="F11" i="67"/>
  <c r="C12" i="67"/>
  <c r="I12" i="67"/>
  <c r="D3" i="67"/>
  <c r="G6" i="67"/>
  <c r="G8" i="67"/>
  <c r="H6" i="67"/>
  <c r="H8" i="67"/>
  <c r="I4" i="67"/>
  <c r="F5" i="67"/>
  <c r="C6" i="67"/>
  <c r="I8" i="67"/>
  <c r="G3" i="67"/>
  <c r="D6" i="67"/>
  <c r="G7" i="67"/>
  <c r="D8" i="67"/>
  <c r="G9" i="67"/>
  <c r="D10" i="67"/>
  <c r="G11" i="67"/>
  <c r="D12" i="67"/>
  <c r="G10" i="67"/>
  <c r="G12" i="67"/>
  <c r="E9" i="67"/>
  <c r="F7" i="67"/>
  <c r="D4" i="67"/>
  <c r="G5" i="67"/>
  <c r="G4" i="67"/>
  <c r="H3" i="67"/>
  <c r="E4" i="67"/>
  <c r="E12" i="67"/>
  <c r="D5" i="67"/>
  <c r="H4" i="67"/>
  <c r="E11" i="67"/>
  <c r="H12" i="67"/>
  <c r="H5" i="67"/>
  <c r="E6" i="67"/>
  <c r="H7" i="67"/>
  <c r="E10" i="67"/>
  <c r="H11" i="67"/>
  <c r="I3" i="67"/>
  <c r="F4" i="67"/>
  <c r="I5" i="67"/>
  <c r="C7" i="67"/>
  <c r="I7" i="67"/>
  <c r="C9" i="67"/>
  <c r="I9" i="67"/>
  <c r="F10" i="67"/>
  <c r="C11" i="67"/>
  <c r="I11" i="67"/>
  <c r="F12" i="67"/>
  <c r="E7" i="67"/>
  <c r="E8" i="67"/>
  <c r="H9" i="67"/>
  <c r="C3" i="67"/>
  <c r="C5" i="67"/>
  <c r="F6" i="67"/>
  <c r="F8" i="67"/>
  <c r="K9" i="66"/>
  <c r="K8" i="66"/>
  <c r="K11" i="66"/>
  <c r="K5" i="66"/>
  <c r="K6" i="66"/>
  <c r="K10" i="66"/>
  <c r="K12" i="66"/>
  <c r="K13" i="66"/>
  <c r="K7" i="66"/>
  <c r="K9" i="57"/>
  <c r="K8" i="65"/>
  <c r="K9" i="65"/>
  <c r="K10" i="65"/>
  <c r="K11" i="65"/>
  <c r="K5" i="65"/>
  <c r="K12" i="65"/>
  <c r="K6" i="65"/>
  <c r="K13" i="65"/>
  <c r="K7" i="65"/>
  <c r="K8" i="64"/>
  <c r="K13" i="64"/>
  <c r="K9" i="64"/>
  <c r="K10" i="64"/>
  <c r="K12" i="64"/>
  <c r="K6" i="64"/>
  <c r="K11" i="64"/>
  <c r="K5" i="64"/>
  <c r="K7" i="64"/>
  <c r="K9" i="63"/>
  <c r="K10" i="63"/>
  <c r="K13" i="63"/>
  <c r="K5" i="63"/>
  <c r="K8" i="63"/>
  <c r="K11" i="63"/>
  <c r="K12" i="63"/>
  <c r="K6" i="63"/>
  <c r="K7" i="63"/>
  <c r="K8" i="62"/>
  <c r="K9" i="62"/>
  <c r="K10" i="62"/>
  <c r="K11" i="62"/>
  <c r="K12" i="62"/>
  <c r="K13" i="62"/>
  <c r="K5" i="62"/>
  <c r="K6" i="62"/>
  <c r="K7" i="62"/>
  <c r="K9" i="61"/>
  <c r="K12" i="61"/>
  <c r="K8" i="61"/>
  <c r="K10" i="61"/>
  <c r="K11" i="61"/>
  <c r="K5" i="61"/>
  <c r="K6" i="61"/>
  <c r="K13" i="61"/>
  <c r="K7" i="61"/>
  <c r="K8" i="60"/>
  <c r="K13" i="60"/>
  <c r="K12" i="60"/>
  <c r="K11" i="60"/>
  <c r="K9" i="60"/>
  <c r="K6" i="60"/>
  <c r="K10" i="60"/>
  <c r="K5" i="60"/>
  <c r="K7" i="60"/>
  <c r="K10" i="59"/>
  <c r="K8" i="59"/>
  <c r="K12" i="59"/>
  <c r="K13" i="59"/>
  <c r="K11" i="59"/>
  <c r="K5" i="59"/>
  <c r="K6" i="59"/>
  <c r="K9" i="59"/>
  <c r="K7" i="59"/>
  <c r="K8" i="58"/>
  <c r="K9" i="58"/>
  <c r="K13" i="58"/>
  <c r="K11" i="58"/>
  <c r="K5" i="58"/>
  <c r="K10" i="58"/>
  <c r="K6" i="58"/>
  <c r="K12" i="58"/>
  <c r="K7" i="58"/>
  <c r="K8" i="57"/>
  <c r="K12" i="57"/>
  <c r="K13" i="57"/>
  <c r="K5" i="57"/>
  <c r="K11" i="57"/>
  <c r="K6" i="57"/>
  <c r="K10" i="57"/>
  <c r="K7" i="57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L8" i="67" a="1"/>
  <c r="X8" i="67" a="1"/>
  <c r="X11" i="67" a="1"/>
  <c r="O8" i="67" a="1"/>
  <c r="O3" i="67" a="1"/>
  <c r="P4" i="67" a="1"/>
  <c r="Q7" i="67" a="1"/>
  <c r="Q5" i="67" a="1"/>
  <c r="S10" i="67" a="1"/>
  <c r="W12" i="67" a="1"/>
  <c r="T5" i="67" a="1"/>
  <c r="S9" i="67" a="1"/>
  <c r="K8" i="67" a="1"/>
  <c r="L5" i="67" a="1"/>
  <c r="Y3" i="67" a="1"/>
  <c r="V4" i="67" a="1"/>
  <c r="K4" i="67" a="1"/>
  <c r="K6" i="67" a="1"/>
  <c r="K10" i="67" a="1"/>
  <c r="X10" i="67" a="1"/>
  <c r="V5" i="67" a="1"/>
  <c r="M12" i="67" a="1"/>
  <c r="Y5" i="67" a="1"/>
  <c r="U5" i="67" a="1"/>
  <c r="K5" i="67" a="1"/>
  <c r="Q6" i="67" a="1"/>
  <c r="W6" i="67" a="1"/>
  <c r="S11" i="67" a="1"/>
  <c r="K7" i="67" a="1"/>
  <c r="V8" i="67" a="1"/>
  <c r="Q12" i="67" a="1"/>
  <c r="Q11" i="67" a="1"/>
  <c r="V11" i="67" a="1"/>
  <c r="Y11" i="67" a="1"/>
  <c r="W8" i="67" a="1"/>
  <c r="P12" i="67" a="1"/>
  <c r="N12" i="67" a="1"/>
  <c r="U8" i="67" a="1"/>
  <c r="U6" i="67" a="1"/>
  <c r="M6" i="67" a="1"/>
  <c r="V12" i="67" a="1"/>
  <c r="Q4" i="67" a="1"/>
  <c r="S4" i="67" a="1"/>
  <c r="P7" i="67" a="1"/>
  <c r="X12" i="67" a="1"/>
  <c r="W5" i="67" a="1"/>
  <c r="Q3" i="67" a="1"/>
  <c r="T9" i="67" a="1"/>
  <c r="N7" i="67" a="1"/>
  <c r="Y10" i="67" a="1"/>
  <c r="L4" i="67" a="1"/>
  <c r="V6" i="67" a="1"/>
  <c r="T6" i="67" a="1"/>
  <c r="Y12" i="67" a="1"/>
  <c r="V10" i="67" a="1"/>
  <c r="P9" i="67" a="1"/>
  <c r="M4" i="67" a="1"/>
  <c r="X4" i="67" a="1"/>
  <c r="K12" i="67" a="1"/>
  <c r="S12" i="67" a="1"/>
  <c r="P5" i="67" a="1"/>
  <c r="O4" i="67" a="1"/>
  <c r="K9" i="67" a="1"/>
  <c r="L3" i="67" a="1"/>
  <c r="M3" i="67" a="1"/>
  <c r="X5" i="67" a="1"/>
  <c r="O6" i="67" a="1"/>
  <c r="N4" i="67" a="1"/>
  <c r="P3" i="67" a="1"/>
  <c r="Q9" i="67" a="1"/>
  <c r="Y6" i="67" a="1"/>
  <c r="W3" i="67" a="1"/>
  <c r="S8" i="67" a="1"/>
  <c r="M11" i="67" a="1"/>
  <c r="X6" i="67" a="1"/>
  <c r="K3" i="67" a="1"/>
  <c r="P8" i="67" a="1"/>
  <c r="P6" i="67" a="1"/>
  <c r="T8" i="67" a="1"/>
  <c r="N5" i="67" a="1"/>
  <c r="W11" i="67" a="1"/>
  <c r="M7" i="67" a="1"/>
  <c r="W4" i="67" a="1"/>
  <c r="T3" i="67" a="1"/>
  <c r="W10" i="67" a="1"/>
  <c r="U3" i="67" a="1"/>
  <c r="K11" i="67" a="1"/>
  <c r="N3" i="67" a="1"/>
  <c r="L6" i="67" a="1"/>
  <c r="S7" i="67" a="1"/>
  <c r="M9" i="67" a="1"/>
  <c r="U4" i="67" a="1"/>
  <c r="O12" i="67" a="1"/>
  <c r="N9" i="67" a="1"/>
  <c r="V3" i="67" a="1"/>
  <c r="T10" i="67" a="1"/>
  <c r="Q8" i="67" a="1"/>
  <c r="U10" i="67" a="1"/>
  <c r="Y4" i="67" a="1"/>
  <c r="T4" i="67" a="1"/>
  <c r="M5" i="67" a="1"/>
  <c r="X3" i="67" a="1"/>
  <c r="L12" i="67" a="1"/>
  <c r="O7" i="67" a="1"/>
  <c r="O9" i="67" a="1"/>
  <c r="S3" i="67" a="1"/>
  <c r="N8" i="67" a="1"/>
  <c r="M8" i="67" a="1"/>
  <c r="N6" i="67" a="1"/>
  <c r="S6" i="67" a="1"/>
  <c r="T11" i="67" a="1"/>
  <c r="S5" i="67" a="1"/>
  <c r="L9" i="67" a="1"/>
  <c r="C16" i="67" l="1"/>
  <c r="V14" i="66"/>
  <c r="S12" i="67"/>
  <c r="U14" i="66"/>
  <c r="S10" i="67"/>
  <c r="W14" i="64"/>
  <c r="V14" i="64"/>
  <c r="X14" i="64"/>
  <c r="Y14" i="64"/>
  <c r="Z14" i="64"/>
  <c r="S9" i="67"/>
  <c r="AA14" i="62"/>
  <c r="Z14" i="62"/>
  <c r="S8" i="67"/>
  <c r="U14" i="63"/>
  <c r="W14" i="63"/>
  <c r="X14" i="63"/>
  <c r="Y14" i="63"/>
  <c r="Z14" i="63"/>
  <c r="Z2" i="63" s="1"/>
  <c r="AA14" i="63"/>
  <c r="V14" i="63"/>
  <c r="S7" i="67"/>
  <c r="S6" i="67"/>
  <c r="S5" i="67"/>
  <c r="S4" i="67"/>
  <c r="S3" i="67"/>
  <c r="V14" i="57"/>
  <c r="S11" i="67"/>
  <c r="R14" i="65"/>
  <c r="M14" i="65"/>
  <c r="N14" i="65"/>
  <c r="Q14" i="65"/>
  <c r="O14" i="65"/>
  <c r="P14" i="65"/>
  <c r="P2" i="65" s="1"/>
  <c r="S14" i="63"/>
  <c r="M14" i="63"/>
  <c r="P14" i="60"/>
  <c r="S14" i="60"/>
  <c r="Q14" i="57"/>
  <c r="P14" i="57"/>
  <c r="O14" i="57"/>
  <c r="M14" i="57"/>
  <c r="V12" i="67"/>
  <c r="W12" i="67"/>
  <c r="X12" i="67"/>
  <c r="Y12" i="67"/>
  <c r="R2" i="66"/>
  <c r="P2" i="66"/>
  <c r="X2" i="66"/>
  <c r="Z2" i="66"/>
  <c r="V10" i="67"/>
  <c r="W10" i="67"/>
  <c r="X10" i="67"/>
  <c r="U10" i="67"/>
  <c r="Y10" i="67"/>
  <c r="T10" i="67"/>
  <c r="X2" i="65"/>
  <c r="T9" i="67"/>
  <c r="P2" i="64"/>
  <c r="Z2" i="64"/>
  <c r="R2" i="64"/>
  <c r="T8" i="67"/>
  <c r="U8" i="67"/>
  <c r="V8" i="67"/>
  <c r="W8" i="67"/>
  <c r="X8" i="67"/>
  <c r="R2" i="62"/>
  <c r="P2" i="62"/>
  <c r="X2" i="62"/>
  <c r="Z2" i="62"/>
  <c r="R2" i="63"/>
  <c r="P2" i="63"/>
  <c r="X2" i="63"/>
  <c r="W6" i="67"/>
  <c r="X6" i="67"/>
  <c r="T6" i="67"/>
  <c r="V6" i="67"/>
  <c r="U6" i="67"/>
  <c r="Y6" i="67"/>
  <c r="X2" i="61"/>
  <c r="P2" i="61"/>
  <c r="R2" i="61"/>
  <c r="Z2" i="61"/>
  <c r="V5" i="67"/>
  <c r="W5" i="67"/>
  <c r="X5" i="67"/>
  <c r="Y5" i="67"/>
  <c r="T5" i="67"/>
  <c r="U5" i="67"/>
  <c r="R2" i="60"/>
  <c r="Z2" i="60"/>
  <c r="T4" i="67"/>
  <c r="X4" i="67"/>
  <c r="Y4" i="67"/>
  <c r="U4" i="67"/>
  <c r="W4" i="67"/>
  <c r="V4" i="67"/>
  <c r="R2" i="59"/>
  <c r="P2" i="59"/>
  <c r="Z2" i="59"/>
  <c r="X2" i="59"/>
  <c r="U3" i="67"/>
  <c r="W3" i="67"/>
  <c r="X3" i="67"/>
  <c r="Y3" i="67"/>
  <c r="T3" i="67"/>
  <c r="V3" i="67"/>
  <c r="X2" i="58"/>
  <c r="Z2" i="58"/>
  <c r="R2" i="58"/>
  <c r="P2" i="58"/>
  <c r="V11" i="67"/>
  <c r="W11" i="67"/>
  <c r="X11" i="67"/>
  <c r="Y11" i="67"/>
  <c r="T11" i="67"/>
  <c r="P2" i="57"/>
  <c r="X2" i="57"/>
  <c r="R2" i="57"/>
  <c r="Z2" i="57"/>
  <c r="F13" i="67"/>
  <c r="P12" i="67"/>
  <c r="M3" i="67"/>
  <c r="P4" i="67"/>
  <c r="K6" i="67"/>
  <c r="O12" i="67"/>
  <c r="N7" i="67"/>
  <c r="K11" i="67"/>
  <c r="L3" i="67"/>
  <c r="K12" i="67"/>
  <c r="N6" i="67"/>
  <c r="N9" i="67"/>
  <c r="N12" i="67"/>
  <c r="Q5" i="67"/>
  <c r="L6" i="67"/>
  <c r="Q9" i="67"/>
  <c r="M4" i="67"/>
  <c r="K5" i="67"/>
  <c r="Q11" i="67"/>
  <c r="K3" i="67"/>
  <c r="L4" i="67"/>
  <c r="N4" i="67"/>
  <c r="Q8" i="67"/>
  <c r="Q6" i="67"/>
  <c r="P8" i="67"/>
  <c r="N8" i="67"/>
  <c r="L9" i="67"/>
  <c r="M9" i="67"/>
  <c r="M11" i="67"/>
  <c r="O4" i="67"/>
  <c r="O6" i="67"/>
  <c r="O8" i="67"/>
  <c r="K7" i="67"/>
  <c r="K10" i="67"/>
  <c r="M12" i="67"/>
  <c r="N5" i="67"/>
  <c r="M8" i="67"/>
  <c r="O9" i="67"/>
  <c r="Q4" i="67"/>
  <c r="P6" i="67"/>
  <c r="Q7" i="67"/>
  <c r="Q3" i="67"/>
  <c r="K4" i="67"/>
  <c r="P3" i="67"/>
  <c r="L12" i="67"/>
  <c r="O7" i="67"/>
  <c r="N3" i="67"/>
  <c r="L5" i="67"/>
  <c r="M5" i="67"/>
  <c r="M6" i="67"/>
  <c r="L8" i="67"/>
  <c r="P7" i="67"/>
  <c r="K9" i="67"/>
  <c r="K8" i="67"/>
  <c r="O3" i="67"/>
  <c r="P5" i="67"/>
  <c r="M7" i="67"/>
  <c r="P9" i="67"/>
  <c r="Q12" i="67"/>
  <c r="H13" i="67"/>
  <c r="C13" i="67"/>
  <c r="J13" i="67" s="1"/>
  <c r="D13" i="67"/>
  <c r="I13" i="67"/>
  <c r="E13" i="67"/>
  <c r="G13" i="67"/>
  <c r="K4" i="66"/>
  <c r="D14" i="66"/>
  <c r="D14" i="65"/>
  <c r="K4" i="65"/>
  <c r="K4" i="64"/>
  <c r="D14" i="64"/>
  <c r="K4" i="63"/>
  <c r="D14" i="63"/>
  <c r="K4" i="62"/>
  <c r="D14" i="62"/>
  <c r="K4" i="61"/>
  <c r="D14" i="61"/>
  <c r="K4" i="60"/>
  <c r="D14" i="60"/>
  <c r="D14" i="59"/>
  <c r="K4" i="59"/>
  <c r="K4" i="58"/>
  <c r="D14" i="58"/>
  <c r="K4" i="57"/>
  <c r="D14" i="57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V9" i="67" a="1"/>
  <c r="U9" i="67" a="1"/>
  <c r="T12" i="67" a="1"/>
  <c r="U12" i="67" a="1"/>
  <c r="X7" i="67" a="1"/>
  <c r="T7" i="67" a="1"/>
  <c r="W7" i="67" a="1"/>
  <c r="M10" i="67" a="1"/>
  <c r="Y7" i="67" a="1"/>
  <c r="P10" i="67" a="1"/>
  <c r="V7" i="67" a="1"/>
  <c r="P11" i="67" a="1"/>
  <c r="U7" i="67" a="1"/>
  <c r="O5" i="67" a="1"/>
  <c r="U11" i="67" a="1"/>
  <c r="O10" i="67" a="1"/>
  <c r="L7" i="67" a="1"/>
  <c r="Q10" i="67" a="1"/>
  <c r="N10" i="67" a="1"/>
  <c r="L11" i="67" a="1"/>
  <c r="L10" i="67" a="1"/>
  <c r="O11" i="67" a="1"/>
  <c r="X9" i="67" a="1"/>
  <c r="N11" i="67" a="1"/>
  <c r="W9" i="67" a="1"/>
  <c r="Y8" i="67" a="1"/>
  <c r="Y9" i="67" a="1"/>
  <c r="K16" i="67" l="1"/>
  <c r="S16" i="67"/>
  <c r="U12" i="67"/>
  <c r="T12" i="67"/>
  <c r="X2" i="64"/>
  <c r="V9" i="67"/>
  <c r="W9" i="67"/>
  <c r="U9" i="67"/>
  <c r="X9" i="67"/>
  <c r="X13" i="67" s="1"/>
  <c r="Y9" i="67"/>
  <c r="Y8" i="67"/>
  <c r="U7" i="67"/>
  <c r="Y7" i="67"/>
  <c r="X7" i="67"/>
  <c r="W7" i="67"/>
  <c r="V7" i="67"/>
  <c r="T7" i="67"/>
  <c r="S13" i="67"/>
  <c r="Z13" i="67" s="1"/>
  <c r="U11" i="67"/>
  <c r="Q10" i="67"/>
  <c r="Q13" i="67" s="1"/>
  <c r="P10" i="67"/>
  <c r="M10" i="67"/>
  <c r="M13" i="67" s="1"/>
  <c r="L10" i="67"/>
  <c r="Z2" i="65"/>
  <c r="R2" i="65"/>
  <c r="N10" i="67"/>
  <c r="O10" i="67"/>
  <c r="L7" i="67"/>
  <c r="O5" i="67"/>
  <c r="X2" i="60"/>
  <c r="P2" i="60"/>
  <c r="K13" i="67"/>
  <c r="R13" i="67" s="1"/>
  <c r="L11" i="67"/>
  <c r="N11" i="67"/>
  <c r="O11" i="67"/>
  <c r="P11" i="67"/>
  <c r="I14" i="66"/>
  <c r="E14" i="66"/>
  <c r="K14" i="66"/>
  <c r="H14" i="66"/>
  <c r="G14" i="66"/>
  <c r="F14" i="66"/>
  <c r="J14" i="66"/>
  <c r="I14" i="65"/>
  <c r="H14" i="65"/>
  <c r="G14" i="65"/>
  <c r="F14" i="65"/>
  <c r="E14" i="65"/>
  <c r="K14" i="65"/>
  <c r="J14" i="65"/>
  <c r="I14" i="64"/>
  <c r="G14" i="64"/>
  <c r="K14" i="64"/>
  <c r="H14" i="64"/>
  <c r="F14" i="64"/>
  <c r="E14" i="64"/>
  <c r="J14" i="64"/>
  <c r="I14" i="63"/>
  <c r="H14" i="63"/>
  <c r="G14" i="63"/>
  <c r="J14" i="63"/>
  <c r="F14" i="63"/>
  <c r="E14" i="63"/>
  <c r="K14" i="63"/>
  <c r="I14" i="62"/>
  <c r="E14" i="62"/>
  <c r="H14" i="62"/>
  <c r="G14" i="62"/>
  <c r="F14" i="62"/>
  <c r="K14" i="62"/>
  <c r="J14" i="62"/>
  <c r="I14" i="61"/>
  <c r="H14" i="61"/>
  <c r="G14" i="61"/>
  <c r="F14" i="61"/>
  <c r="E14" i="61"/>
  <c r="K14" i="61"/>
  <c r="J14" i="61"/>
  <c r="I14" i="60"/>
  <c r="H14" i="60"/>
  <c r="K14" i="60"/>
  <c r="G14" i="60"/>
  <c r="F14" i="60"/>
  <c r="E14" i="60"/>
  <c r="J14" i="60"/>
  <c r="I14" i="59"/>
  <c r="H14" i="59"/>
  <c r="K14" i="59"/>
  <c r="G14" i="59"/>
  <c r="F14" i="59"/>
  <c r="E14" i="59"/>
  <c r="J14" i="59"/>
  <c r="I14" i="58"/>
  <c r="H14" i="58"/>
  <c r="G14" i="58"/>
  <c r="K14" i="58"/>
  <c r="F14" i="58"/>
  <c r="E14" i="58"/>
  <c r="J14" i="58"/>
  <c r="I14" i="57"/>
  <c r="H14" i="57"/>
  <c r="G14" i="57"/>
  <c r="F14" i="57"/>
  <c r="K14" i="57"/>
  <c r="E14" i="57"/>
  <c r="J14" i="57"/>
  <c r="G14" i="26"/>
  <c r="E14" i="26"/>
  <c r="D14" i="26"/>
  <c r="K14" i="26"/>
  <c r="P14" i="25"/>
  <c r="N14" i="25"/>
  <c r="M14" i="25"/>
  <c r="T14" i="25"/>
  <c r="D14" i="25"/>
  <c r="H4" i="23" a="1"/>
  <c r="I4" i="23" a="1"/>
  <c r="T13" i="67" l="1"/>
  <c r="V13" i="67"/>
  <c r="W13" i="67"/>
  <c r="U13" i="67"/>
  <c r="Y13" i="67"/>
  <c r="P13" i="67"/>
  <c r="L13" i="67"/>
  <c r="N13" i="67"/>
  <c r="O13" i="67"/>
  <c r="J2" i="66"/>
  <c r="H2" i="66"/>
  <c r="J2" i="65"/>
  <c r="H2" i="65"/>
  <c r="J2" i="64"/>
  <c r="H2" i="64"/>
  <c r="J2" i="63"/>
  <c r="H2" i="63"/>
  <c r="H2" i="62"/>
  <c r="J2" i="62"/>
  <c r="J2" i="61"/>
  <c r="H2" i="61"/>
  <c r="J2" i="60"/>
  <c r="H2" i="60"/>
  <c r="H2" i="59"/>
  <c r="J2" i="59"/>
  <c r="H2" i="58"/>
  <c r="J2" i="58"/>
  <c r="J2" i="57"/>
  <c r="H2" i="57"/>
  <c r="H4" i="23"/>
  <c r="I4" i="23"/>
  <c r="D8" i="23" a="1"/>
  <c r="E6" i="23" a="1"/>
  <c r="F13" i="23" a="1"/>
  <c r="E12" i="23" a="1"/>
  <c r="G5" i="23" a="1"/>
  <c r="F11" i="23" a="1"/>
  <c r="D6" i="23" a="1"/>
  <c r="F10" i="23" a="1"/>
  <c r="F8" i="23" a="1"/>
  <c r="G8" i="23" a="1"/>
  <c r="G13" i="23" a="1"/>
  <c r="F7" i="23" a="1"/>
  <c r="G9" i="23" a="1"/>
  <c r="D12" i="23" a="1"/>
  <c r="E5" i="23" a="1"/>
  <c r="E13" i="23" a="1"/>
  <c r="D5" i="23" a="1"/>
  <c r="G7" i="23" a="1"/>
  <c r="E10" i="23" a="1"/>
  <c r="E9" i="23" a="1"/>
  <c r="F9" i="23" a="1"/>
  <c r="F6" i="23" a="1"/>
  <c r="E11" i="23" a="1"/>
  <c r="E8" i="23" a="1"/>
  <c r="D4" i="23" a="1"/>
  <c r="G11" i="23" a="1"/>
  <c r="D9" i="23" a="1"/>
  <c r="D13" i="23" a="1"/>
  <c r="E7" i="23" a="1"/>
  <c r="G12" i="23" a="1"/>
  <c r="E4" i="23" a="1"/>
  <c r="G10" i="23" a="1"/>
  <c r="F12" i="23" a="1"/>
  <c r="F4" i="23" a="1"/>
  <c r="G6" i="23" a="1"/>
  <c r="D10" i="23" a="1"/>
  <c r="F5" i="23" a="1"/>
  <c r="G4" i="23" a="1"/>
  <c r="D7" i="23" a="1"/>
  <c r="D11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<sst xmlns="http://schemas.openxmlformats.org/spreadsheetml/2006/main" count="667" uniqueCount="21">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</sst>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C7EA-682F-5846-A748-60AA1F203C66}">
  <dimension ref="B2:Z16"/>
  <sheetViews>
    <sheetView zoomScale="85" zoomScaleNormal="85" workbookViewId="0">
      <selection activeCell="A14" sqref="A14:XFD14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5" t="s">
        <v>0</v>
      </c>
      <c r="T2" s="35" t="s">
        <v>5</v>
      </c>
      <c r="U2" s="35" t="s">
        <v>12</v>
      </c>
      <c r="V2" s="35" t="s">
        <v>15</v>
      </c>
      <c r="W2" s="35" t="s">
        <v>11</v>
      </c>
      <c r="X2" s="35" t="s">
        <v>16</v>
      </c>
      <c r="Y2" s="35" t="s">
        <v>10</v>
      </c>
      <c r="Z2" s="35" t="s">
        <v>1</v>
      </c>
    </row>
    <row r="3" spans="2:26" x14ac:dyDescent="0.2">
      <c r="B3" s="4">
        <v>324</v>
      </c>
      <c r="C3" s="5" cm="1">
        <f t="array" aca="1" ref="C3" ca="1">INDIRECT("'results" &amp; $B3 &amp; "'!D$14")</f>
        <v>113813.7616361594</v>
      </c>
      <c r="D3" s="33" cm="1">
        <f t="array" aca="1" ref="D3" ca="1">INDIRECT("'results" &amp; $B3 &amp; "'!E$14")</f>
        <v>6.558971250000468</v>
      </c>
      <c r="E3" s="5" cm="1">
        <f t="array" aca="1" ref="E3" ca="1">INDIRECT("'results" &amp; $B3 &amp; "'!F$14")</f>
        <v>2</v>
      </c>
      <c r="F3" s="5" cm="1">
        <f t="array" aca="1" ref="F3" ca="1">INDIRECT("'results" &amp; $B3 &amp; "'!G$14")</f>
        <v>63.333333333333343</v>
      </c>
      <c r="G3" s="5" cm="1">
        <f t="array" aca="1" ref="G3" ca="1">INDIRECT("'results" &amp; $B3 &amp; "'!H$14")</f>
        <v>100.17435425558706</v>
      </c>
      <c r="H3" s="33" cm="1">
        <f t="array" aca="1" ref="H3" ca="1">INDIRECT("'results" &amp; $B3 &amp; "'!I$14")</f>
        <v>21.113778986905956</v>
      </c>
      <c r="I3" s="5" cm="1">
        <f t="array" aca="1" ref="I3" ca="1">INDIRECT("'results" &amp; $B3 &amp; "'!J$14")</f>
        <v>2074.3433503800443</v>
      </c>
      <c r="J3" s="5"/>
      <c r="K3" s="5" cm="1">
        <f t="array" aca="1" ref="K3" ca="1">INDIRECT("'results" &amp; $B3 &amp; "'!L$14")</f>
        <v>117174.6334947812</v>
      </c>
      <c r="L3" s="5" cm="1">
        <f t="array" aca="1" ref="L3" ca="1">INDIRECT("'results" &amp; $B3 &amp; "'!M$14")</f>
        <v>6.8532137500005774</v>
      </c>
      <c r="M3" s="5" cm="1">
        <f t="array" aca="1" ref="M3" ca="1">INDIRECT("'results" &amp; $B3 &amp; "'!N$14")</f>
        <v>2</v>
      </c>
      <c r="N3" s="5" cm="1">
        <f t="array" aca="1" ref="N3" ca="1">INDIRECT("'results" &amp; $B3 &amp; "'!O$14")</f>
        <v>53.333333333333343</v>
      </c>
      <c r="O3" s="5" cm="1">
        <f t="array" aca="1" ref="O3" ca="1">INDIRECT("'results" &amp; $B3 &amp; "'!P$14")</f>
        <v>10.961374374378225</v>
      </c>
      <c r="P3" s="5" cm="1">
        <f t="array" aca="1" ref="P3" ca="1">INDIRECT("'results" &amp; $B3 &amp; "'!Q$14")</f>
        <v>16.795497770943275</v>
      </c>
      <c r="Q3" s="5" cm="1">
        <f t="array" aca="1" ref="Q3" ca="1">INDIRECT("'results" &amp; $B3 &amp; "'!R$14")</f>
        <v>1712.6203230118015</v>
      </c>
      <c r="R3" s="5"/>
      <c r="S3" s="5" cm="1">
        <f t="array" aca="1" ref="S3" ca="1">INDIRECT("'results" &amp; $B3 &amp; "'!T$14")</f>
        <v>126325.4478474366</v>
      </c>
      <c r="T3" s="5" cm="1">
        <f t="array" aca="1" ref="T3" ca="1">INDIRECT("'results" &amp; $B3 &amp; "'!U$14")</f>
        <v>5.7774638750015583</v>
      </c>
      <c r="U3" s="5" cm="1">
        <f t="array" aca="1" ref="U3" ca="1">INDIRECT("'results" &amp; $B3 &amp; "'!V$14")</f>
        <v>2</v>
      </c>
      <c r="V3" s="5" cm="1">
        <f t="array" aca="1" ref="V3" ca="1">INDIRECT("'results" &amp; $B3 &amp; "'!W$14")</f>
        <v>46.666666666666657</v>
      </c>
      <c r="W3" s="5" cm="1">
        <f t="array" aca="1" ref="W3" ca="1">INDIRECT("'results" &amp; $B3 &amp; "'!X$14")</f>
        <v>10.869926096896572</v>
      </c>
      <c r="X3" s="5" cm="1">
        <f t="array" aca="1" ref="X3" ca="1">INDIRECT("'results" &amp; $B3 &amp; "'!Y$14")</f>
        <v>20.533987974684706</v>
      </c>
      <c r="Y3" s="5" cm="1">
        <f t="array" aca="1" ref="Y3" ca="1">INDIRECT("'results" &amp; $B3 &amp; "'!Z$14")</f>
        <v>2001.7524865988928</v>
      </c>
      <c r="Z3" s="5"/>
    </row>
    <row r="4" spans="2:26" x14ac:dyDescent="0.2">
      <c r="B4" s="4">
        <v>396</v>
      </c>
      <c r="C4" s="5" cm="1">
        <f t="array" aca="1" ref="C4" ca="1">INDIRECT("'results" &amp; $B4 &amp; "'!D$14")</f>
        <v>103752.5282899922</v>
      </c>
      <c r="D4" s="33" cm="1">
        <f t="array" aca="1" ref="D4" ca="1">INDIRECT("'results" &amp; $B4 &amp; "'!E$14")</f>
        <v>7.6396106669999426</v>
      </c>
      <c r="E4" s="5" cm="1">
        <f t="array" aca="1" ref="E4" ca="1">INDIRECT("'results" &amp; $B4 &amp; "'!F$14")</f>
        <v>2</v>
      </c>
      <c r="F4" s="5" cm="1">
        <f t="array" aca="1" ref="F4" ca="1">INDIRECT("'results" &amp; $B4 &amp; "'!G$14")</f>
        <v>70</v>
      </c>
      <c r="G4" s="5" cm="1">
        <f t="array" aca="1" ref="G4" ca="1">INDIRECT("'results" &amp; $B4 &amp; "'!H$14")</f>
        <v>27.631118471939857</v>
      </c>
      <c r="H4" s="33" cm="1">
        <f t="array" aca="1" ref="H4" ca="1">INDIRECT("'results" &amp; $B4 &amp; "'!I$14")</f>
        <v>28.009285707232923</v>
      </c>
      <c r="I4" s="5" cm="1">
        <f t="array" aca="1" ref="I4" ca="1">INDIRECT("'results" &amp; $B4 &amp; "'!J$14")</f>
        <v>1928.9574404534544</v>
      </c>
      <c r="J4" s="5"/>
      <c r="K4" s="5" cm="1">
        <f t="array" aca="1" ref="K4" ca="1">INDIRECT("'results" &amp; $B4 &amp; "'!L$14")</f>
        <v>109164.14988951611</v>
      </c>
      <c r="L4" s="5" cm="1">
        <f t="array" aca="1" ref="L4" ca="1">INDIRECT("'results" &amp; $B4 &amp; "'!M$14")</f>
        <v>13.6586562909979</v>
      </c>
      <c r="M4" s="5" cm="1">
        <f t="array" aca="1" ref="M4" ca="1">INDIRECT("'results" &amp; $B4 &amp; "'!N$14")</f>
        <v>2</v>
      </c>
      <c r="N4" s="5" cm="1">
        <f t="array" aca="1" ref="N4" ca="1">INDIRECT("'results" &amp; $B4 &amp; "'!O$14")</f>
        <v>53.333333333333343</v>
      </c>
      <c r="O4" s="5" cm="1">
        <f t="array" aca="1" ref="O4" ca="1">INDIRECT("'results" &amp; $B4 &amp; "'!P$14")</f>
        <v>0</v>
      </c>
      <c r="P4" s="5" cm="1">
        <f t="array" aca="1" ref="P4" ca="1">INDIRECT("'results" &amp; $B4 &amp; "'!Q$14")</f>
        <v>18.313690984312153</v>
      </c>
      <c r="Q4" s="5" cm="1">
        <f t="array" aca="1" ref="Q4" ca="1">INDIRECT("'results" &amp; $B4 &amp; "'!R$14")</f>
        <v>1296.3328614005791</v>
      </c>
      <c r="R4" s="5"/>
      <c r="S4" s="5" cm="1">
        <f t="array" aca="1" ref="S4" ca="1">INDIRECT("'results" &amp; $B4 &amp; "'!T$14")</f>
        <v>115233.51058649149</v>
      </c>
      <c r="T4" s="5" cm="1">
        <f t="array" aca="1" ref="T4" ca="1">INDIRECT("'results" &amp; $B4 &amp; "'!U$14")</f>
        <v>6.8038574170022912</v>
      </c>
      <c r="U4" s="5" cm="1">
        <f t="array" aca="1" ref="U4" ca="1">INDIRECT("'results" &amp; $B4 &amp; "'!V$14")</f>
        <v>2</v>
      </c>
      <c r="V4" s="5" cm="1">
        <f t="array" aca="1" ref="V4" ca="1">INDIRECT("'results" &amp; $B4 &amp; "'!W$14")</f>
        <v>56.666666666666657</v>
      </c>
      <c r="W4" s="5" cm="1">
        <f t="array" aca="1" ref="W4" ca="1">INDIRECT("'results" &amp; $B4 &amp; "'!X$14")</f>
        <v>19.684592059607908</v>
      </c>
      <c r="X4" s="5" cm="1">
        <f t="array" aca="1" ref="X4" ca="1">INDIRECT("'results" &amp; $B4 &amp; "'!Y$14")</f>
        <v>35.028409661464899</v>
      </c>
      <c r="Y4" s="5" cm="1">
        <f t="array" aca="1" ref="Y4" ca="1">INDIRECT("'results" &amp; $B4 &amp; "'!Z$14")</f>
        <v>1975.154508816119</v>
      </c>
      <c r="Z4" s="5"/>
    </row>
    <row r="5" spans="2:26" x14ac:dyDescent="0.2">
      <c r="B5" s="4">
        <v>457</v>
      </c>
      <c r="C5" s="5" cm="1">
        <f t="array" aca="1" ref="C5" ca="1">INDIRECT("'results" &amp; $B5 &amp; "'!D$14")</f>
        <v>96622.86191609918</v>
      </c>
      <c r="D5" s="33" cm="1">
        <f t="array" aca="1" ref="D5" ca="1">INDIRECT("'results" &amp; $B5 &amp; "'!E$14")</f>
        <v>9.620711042000039</v>
      </c>
      <c r="E5" s="5" cm="1">
        <f t="array" aca="1" ref="E5" ca="1">INDIRECT("'results" &amp; $B5 &amp; "'!F$14")</f>
        <v>3</v>
      </c>
      <c r="F5" s="5" cm="1">
        <f t="array" aca="1" ref="F5" ca="1">INDIRECT("'results" &amp; $B5 &amp; "'!G$14")</f>
        <v>90</v>
      </c>
      <c r="G5" s="5" cm="1">
        <f t="array" aca="1" ref="G5" ca="1">INDIRECT("'results" &amp; $B5 &amp; "'!H$14")</f>
        <v>45.802469965880981</v>
      </c>
      <c r="H5" s="33" cm="1">
        <f t="array" aca="1" ref="H5" ca="1">INDIRECT("'results" &amp; $B5 &amp; "'!I$14")</f>
        <v>27.408422846018102</v>
      </c>
      <c r="I5" s="5" cm="1">
        <f t="array" aca="1" ref="I5" ca="1">INDIRECT("'results" &amp; $B5 &amp; "'!J$14")</f>
        <v>2026.3803331049116</v>
      </c>
      <c r="J5" s="5"/>
      <c r="K5" s="5" cm="1">
        <f t="array" aca="1" ref="K5" ca="1">INDIRECT("'results" &amp; $B5 &amp; "'!L$14")</f>
        <v>103404.773203194</v>
      </c>
      <c r="L5" s="5" cm="1">
        <f t="array" aca="1" ref="L5" ca="1">INDIRECT("'results" &amp; $B5 &amp; "'!M$14")</f>
        <v>8.6464607919988339</v>
      </c>
      <c r="M5" s="5" cm="1">
        <f t="array" aca="1" ref="M5" ca="1">INDIRECT("'results" &amp; $B5 &amp; "'!N$14")</f>
        <v>3</v>
      </c>
      <c r="N5" s="5" cm="1">
        <f t="array" aca="1" ref="N5" ca="1">INDIRECT("'results" &amp; $B5 &amp; "'!O$14")</f>
        <v>76.666666666666671</v>
      </c>
      <c r="O5" s="5" cm="1">
        <f t="array" aca="1" ref="O5" ca="1">INDIRECT("'results" &amp; $B5 &amp; "'!P$14")</f>
        <v>42.978610484906824</v>
      </c>
      <c r="P5" s="5" cm="1">
        <f t="array" aca="1" ref="P5" ca="1">INDIRECT("'results" &amp; $B5 &amp; "'!Q$14")</f>
        <v>22.458978382972322</v>
      </c>
      <c r="Q5" s="5" cm="1">
        <f t="array" aca="1" ref="Q5" ca="1">INDIRECT("'results" &amp; $B5 &amp; "'!R$14")</f>
        <v>1794.3227405791204</v>
      </c>
      <c r="R5" s="5"/>
      <c r="S5" s="5" cm="1">
        <f t="array" aca="1" ref="S5" ca="1">INDIRECT("'results" &amp; $B5 &amp; "'!T$14")</f>
        <v>119042.02341859241</v>
      </c>
      <c r="T5" s="5" cm="1">
        <f t="array" aca="1" ref="T5" ca="1">INDIRECT("'results" &amp; $B5 &amp; "'!U$14")</f>
        <v>8.0326879999993253</v>
      </c>
      <c r="U5" s="5" cm="1">
        <f t="array" aca="1" ref="U5" ca="1">INDIRECT("'results" &amp; $B5 &amp; "'!V$14")</f>
        <v>3</v>
      </c>
      <c r="V5" s="5" cm="1">
        <f t="array" aca="1" ref="V5" ca="1">INDIRECT("'results" &amp; $B5 &amp; "'!W$14")</f>
        <v>70</v>
      </c>
      <c r="W5" s="5" cm="1">
        <f t="array" aca="1" ref="W5" ca="1">INDIRECT("'results" &amp; $B5 &amp; "'!X$14")</f>
        <v>29.048192289430258</v>
      </c>
      <c r="X5" s="5" cm="1">
        <f t="array" aca="1" ref="X5" ca="1">INDIRECT("'results" &amp; $B5 &amp; "'!Y$14")</f>
        <v>37.097635565935263</v>
      </c>
      <c r="Y5" s="5" cm="1">
        <f t="array" aca="1" ref="Y5" ca="1">INDIRECT("'results" &amp; $B5 &amp; "'!Z$14")</f>
        <v>2492.8079436752546</v>
      </c>
      <c r="Z5" s="5"/>
    </row>
    <row r="6" spans="2:26" x14ac:dyDescent="0.2">
      <c r="B6" s="4">
        <v>526</v>
      </c>
      <c r="C6" s="5" cm="1">
        <f t="array" aca="1" ref="C6" ca="1">INDIRECT("'results" &amp; $B6 &amp; "'!D$14")</f>
        <v>102284.7199590652</v>
      </c>
      <c r="D6" s="33" cm="1">
        <f t="array" aca="1" ref="D6" ca="1">INDIRECT("'results" &amp; $B6 &amp; "'!E$14")</f>
        <v>6.855171999995946</v>
      </c>
      <c r="E6" s="5" cm="1">
        <f t="array" aca="1" ref="E6" ca="1">INDIRECT("'results" &amp; $B6 &amp; "'!F$14")</f>
        <v>2</v>
      </c>
      <c r="F6" s="5" cm="1">
        <f t="array" aca="1" ref="F6" ca="1">INDIRECT("'results" &amp; $B6 &amp; "'!G$14")</f>
        <v>60</v>
      </c>
      <c r="G6" s="5" cm="1">
        <f t="array" aca="1" ref="G6" ca="1">INDIRECT("'results" &amp; $B6 &amp; "'!H$14")</f>
        <v>0</v>
      </c>
      <c r="H6" s="33" cm="1">
        <f t="array" aca="1" ref="H6" ca="1">INDIRECT("'results" &amp; $B6 &amp; "'!I$14")</f>
        <v>17.607149559592845</v>
      </c>
      <c r="I6" s="5" cm="1">
        <f t="array" aca="1" ref="I6" ca="1">INDIRECT("'results" &amp; $B6 &amp; "'!J$14")</f>
        <v>1404.2334981735246</v>
      </c>
      <c r="J6" s="5"/>
      <c r="K6" s="5" cm="1">
        <f t="array" aca="1" ref="K6" ca="1">INDIRECT("'results" &amp; $B6 &amp; "'!L$14")</f>
        <v>107251.5714436827</v>
      </c>
      <c r="L6" s="5" cm="1">
        <f t="array" aca="1" ref="L6" ca="1">INDIRECT("'results" &amp; $B6 &amp; "'!M$14")</f>
        <v>6.5933144589980657</v>
      </c>
      <c r="M6" s="5" cm="1">
        <f t="array" aca="1" ref="M6" ca="1">INDIRECT("'results" &amp; $B6 &amp; "'!N$14")</f>
        <v>2</v>
      </c>
      <c r="N6" s="5" cm="1">
        <f t="array" aca="1" ref="N6" ca="1">INDIRECT("'results" &amp; $B6 &amp; "'!O$14")</f>
        <v>53.333333333333343</v>
      </c>
      <c r="O6" s="5" cm="1">
        <f t="array" aca="1" ref="O6" ca="1">INDIRECT("'results" &amp; $B6 &amp; "'!P$14")</f>
        <v>0</v>
      </c>
      <c r="P6" s="5" cm="1">
        <f t="array" aca="1" ref="P6" ca="1">INDIRECT("'results" &amp; $B6 &amp; "'!Q$14")</f>
        <v>13.52144495851169</v>
      </c>
      <c r="Q6" s="5" cm="1">
        <f t="array" aca="1" ref="Q6" ca="1">INDIRECT("'results" &amp; $B6 &amp; "'!R$14")</f>
        <v>1211.1496486093888</v>
      </c>
      <c r="R6" s="5"/>
      <c r="S6" s="5" cm="1">
        <f t="array" aca="1" ref="S6" ca="1">INDIRECT("'results" &amp; $B6 &amp; "'!T$14")</f>
        <v>109923.2444361841</v>
      </c>
      <c r="T6" s="5" cm="1">
        <f t="array" aca="1" ref="T6" ca="1">INDIRECT("'results" &amp; $B6 &amp; "'!U$14")</f>
        <v>6.5599890830017102</v>
      </c>
      <c r="U6" s="5" cm="1">
        <f t="array" aca="1" ref="U6" ca="1">INDIRECT("'results" &amp; $B6 &amp; "'!V$14")</f>
        <v>2</v>
      </c>
      <c r="V6" s="5" cm="1">
        <f t="array" aca="1" ref="V6" ca="1">INDIRECT("'results" &amp; $B6 &amp; "'!W$14")</f>
        <v>53.333333333333343</v>
      </c>
      <c r="W6" s="5" cm="1">
        <f t="array" aca="1" ref="W6" ca="1">INDIRECT("'results" &amp; $B6 &amp; "'!X$14")</f>
        <v>1.0776251098042169</v>
      </c>
      <c r="X6" s="5" cm="1">
        <f t="array" aca="1" ref="X6" ca="1">INDIRECT("'results" &amp; $B6 &amp; "'!Y$14")</f>
        <v>17.90984201280401</v>
      </c>
      <c r="Y6" s="5" cm="1">
        <f t="array" aca="1" ref="Y6" ca="1">INDIRECT("'results" &amp; $B6 &amp; "'!Z$14")</f>
        <v>1431.33761312559</v>
      </c>
      <c r="Z6" s="5"/>
    </row>
    <row r="7" spans="2:26" x14ac:dyDescent="0.2">
      <c r="B7" s="4">
        <v>539</v>
      </c>
      <c r="C7" s="5" cm="1">
        <f t="array" aca="1" ref="C7" ca="1">INDIRECT("'results" &amp; $B7 &amp; "'!D$14")</f>
        <v>101302.12895374501</v>
      </c>
      <c r="D7" s="33" cm="1">
        <f t="array" aca="1" ref="D7" ca="1">INDIRECT("'results" &amp; $B7 &amp; "'!E$14")</f>
        <v>8.3839024580011028</v>
      </c>
      <c r="E7" s="5" cm="1">
        <f t="array" aca="1" ref="E7" ca="1">INDIRECT("'results" &amp; $B7 &amp; "'!F$14")</f>
        <v>2</v>
      </c>
      <c r="F7" s="5" cm="1">
        <f t="array" aca="1" ref="F7" ca="1">INDIRECT("'results" &amp; $B7 &amp; "'!G$14")</f>
        <v>73.333333333333329</v>
      </c>
      <c r="G7" s="5" cm="1">
        <f t="array" aca="1" ref="G7" ca="1">INDIRECT("'results" &amp; $B7 &amp; "'!H$14")</f>
        <v>71.52273677907742</v>
      </c>
      <c r="H7" s="33" cm="1">
        <f t="array" aca="1" ref="H7" ca="1">INDIRECT("'results" &amp; $B7 &amp; "'!I$14")</f>
        <v>30.854586120285227</v>
      </c>
      <c r="I7" s="5" cm="1">
        <f t="array" aca="1" ref="I7" ca="1">INDIRECT("'results" &amp; $B7 &amp; "'!J$14")</f>
        <v>1962.3526604204483</v>
      </c>
      <c r="J7" s="5"/>
      <c r="K7" s="5" cm="1">
        <f t="array" aca="1" ref="K7" ca="1">INDIRECT("'results" &amp; $B7 &amp; "'!L$14")</f>
        <v>108203.9017239746</v>
      </c>
      <c r="L7" s="5" cm="1">
        <f t="array" aca="1" ref="L7" ca="1">INDIRECT("'results" &amp; $B7 &amp; "'!M$14")</f>
        <v>7.5772971669975959</v>
      </c>
      <c r="M7" s="5" cm="1">
        <f t="array" aca="1" ref="M7" ca="1">INDIRECT("'results" &amp; $B7 &amp; "'!N$14")</f>
        <v>2</v>
      </c>
      <c r="N7" s="5" cm="1">
        <f t="array" aca="1" ref="N7" ca="1">INDIRECT("'results" &amp; $B7 &amp; "'!O$14")</f>
        <v>56.666666666666657</v>
      </c>
      <c r="O7" s="5" cm="1">
        <f t="array" aca="1" ref="O7" ca="1">INDIRECT("'results" &amp; $B7 &amp; "'!P$14")</f>
        <v>6.6656860595875624</v>
      </c>
      <c r="P7" s="5" cm="1">
        <f t="array" aca="1" ref="P7" ca="1">INDIRECT("'results" &amp; $B7 &amp; "'!Q$14")</f>
        <v>22.075930646847034</v>
      </c>
      <c r="Q7" s="5" cm="1">
        <f t="array" aca="1" ref="Q7" ca="1">INDIRECT("'results" &amp; $B7 &amp; "'!R$14")</f>
        <v>1507.0448597777508</v>
      </c>
      <c r="R7" s="5"/>
      <c r="S7" s="5" cm="1">
        <f t="array" aca="1" ref="S7" ca="1">INDIRECT("'results" &amp; $B7 &amp; "'!T$14")</f>
        <v>113515.85391922</v>
      </c>
      <c r="T7" s="5" cm="1">
        <f t="array" aca="1" ref="T7" ca="1">INDIRECT("'results" &amp; $B7 &amp; "'!U$14")</f>
        <v>7.3433270419991459</v>
      </c>
      <c r="U7" s="5" cm="1">
        <f t="array" aca="1" ref="U7" ca="1">INDIRECT("'results" &amp; $B7 &amp; "'!V$14")</f>
        <v>2</v>
      </c>
      <c r="V7" s="5" cm="1">
        <f t="array" aca="1" ref="V7" ca="1">INDIRECT("'results" &amp; $B7 &amp; "'!W$14")</f>
        <v>60</v>
      </c>
      <c r="W7" s="5" cm="1">
        <f t="array" aca="1" ref="W7" ca="1">INDIRECT("'results" &amp; $B7 &amp; "'!X$14")</f>
        <v>50.72404058102893</v>
      </c>
      <c r="X7" s="5" cm="1">
        <f t="array" aca="1" ref="X7" ca="1">INDIRECT("'results" &amp; $B7 &amp; "'!Y$14")</f>
        <v>34.89807734273198</v>
      </c>
      <c r="Y7" s="5" cm="1">
        <f t="array" aca="1" ref="Y7" ca="1">INDIRECT("'results" &amp; $B7 &amp; "'!Z$14")</f>
        <v>2070.1106114602612</v>
      </c>
      <c r="Z7" s="5"/>
    </row>
    <row r="8" spans="2:26" x14ac:dyDescent="0.2">
      <c r="B8" s="4">
        <v>581</v>
      </c>
      <c r="C8" s="5" cm="1">
        <f t="array" aca="1" ref="C8" ca="1">INDIRECT("'results" &amp; $B8 &amp; "'!D$14")</f>
        <v>81369.106334446071</v>
      </c>
      <c r="D8" s="33" cm="1">
        <f t="array" aca="1" ref="D8" ca="1">INDIRECT("'results" &amp; $B8 &amp; "'!E$14")</f>
        <v>9.8927620419999585</v>
      </c>
      <c r="E8" s="5" cm="1">
        <f t="array" aca="1" ref="E8" ca="1">INDIRECT("'results" &amp; $B8 &amp; "'!F$14")</f>
        <v>3</v>
      </c>
      <c r="F8" s="5" cm="1">
        <f t="array" aca="1" ref="F8" ca="1">INDIRECT("'results" &amp; $B8 &amp; "'!G$14")</f>
        <v>90</v>
      </c>
      <c r="G8" s="5" cm="1">
        <f t="array" aca="1" ref="G8" ca="1">INDIRECT("'results" &amp; $B8 &amp; "'!H$14")</f>
        <v>18.897801737529569</v>
      </c>
      <c r="H8" s="33" cm="1">
        <f t="array" aca="1" ref="H8" ca="1">INDIRECT("'results" &amp; $B8 &amp; "'!I$14")</f>
        <v>31.182005082789683</v>
      </c>
      <c r="I8" s="5" cm="1">
        <f t="array" aca="1" ref="I8" ca="1">INDIRECT("'results" &amp; $B8 &amp; "'!J$14")</f>
        <v>1641.7539563306652</v>
      </c>
      <c r="J8" s="5"/>
      <c r="K8" s="5" cm="1">
        <f t="array" aca="1" ref="K8" ca="1">INDIRECT("'results" &amp; $B8 &amp; "'!L$14")</f>
        <v>97973.843848520206</v>
      </c>
      <c r="L8" s="5" cm="1">
        <f t="array" aca="1" ref="L8" ca="1">INDIRECT("'results" &amp; $B8 &amp; "'!M$14")</f>
        <v>9.0067008749974775</v>
      </c>
      <c r="M8" s="5" cm="1">
        <f t="array" aca="1" ref="M8" ca="1">INDIRECT("'results" &amp; $B8 &amp; "'!N$14")</f>
        <v>3</v>
      </c>
      <c r="N8" s="5" cm="1">
        <f t="array" aca="1" ref="N8" ca="1">INDIRECT("'results" &amp; $B8 &amp; "'!O$14")</f>
        <v>70</v>
      </c>
      <c r="O8" s="5" cm="1">
        <f t="array" aca="1" ref="O8" ca="1">INDIRECT("'results" &amp; $B8 &amp; "'!P$14")</f>
        <v>0</v>
      </c>
      <c r="P8" s="5" cm="1">
        <f t="array" aca="1" ref="P8" ca="1">INDIRECT("'results" &amp; $B8 &amp; "'!Q$14")</f>
        <v>20.71710356625665</v>
      </c>
      <c r="Q8" s="5" cm="1">
        <f t="array" aca="1" ref="Q8" ca="1">INDIRECT("'results" &amp; $B8 &amp; "'!R$14")</f>
        <v>1336.049274361201</v>
      </c>
      <c r="R8" s="5"/>
      <c r="S8" s="5" cm="1">
        <f t="array" aca="1" ref="S8" ca="1">INDIRECT("'results" &amp; $B8 &amp; "'!T$14")</f>
        <v>95327.047961876407</v>
      </c>
      <c r="T8" s="5" cm="1">
        <f t="array" aca="1" ref="T8" ca="1">INDIRECT("'results" &amp; $B8 &amp; "'!U$14")</f>
        <v>9.2206060839998827</v>
      </c>
      <c r="U8" s="5" cm="1">
        <f t="array" aca="1" ref="U8" ca="1">INDIRECT("'results" &amp; $B8 &amp; "'!V$14")</f>
        <v>3</v>
      </c>
      <c r="V8" s="5" cm="1">
        <f t="array" aca="1" ref="V8" ca="1">INDIRECT("'results" &amp; $B8 &amp; "'!W$14")</f>
        <v>80</v>
      </c>
      <c r="W8" s="5" cm="1">
        <f t="array" aca="1" ref="W8" ca="1">INDIRECT("'results" &amp; $B8 &amp; "'!X$14")</f>
        <v>4.0782041584270701</v>
      </c>
      <c r="X8" s="5" cm="1">
        <f t="array" aca="1" ref="X8" ca="1">INDIRECT("'results" &amp; $B8 &amp; "'!Y$14")</f>
        <v>41.635310017318083</v>
      </c>
      <c r="Y8" s="5" cm="1">
        <f t="array" aca="1" ref="Y8" ca="1">INDIRECT("'results" &amp; $B8 &amp; "'!Z$14")</f>
        <v>1925.9318441325233</v>
      </c>
      <c r="Z8" s="5"/>
    </row>
    <row r="9" spans="2:26" x14ac:dyDescent="0.2">
      <c r="B9" s="4">
        <v>680</v>
      </c>
      <c r="C9" s="5" cm="1">
        <f t="array" aca="1" ref="C9" ca="1">INDIRECT("'results" &amp; $B9 &amp; "'!D$14")</f>
        <v>84423.484950275539</v>
      </c>
      <c r="D9" s="33" cm="1">
        <f t="array" aca="1" ref="D9" ca="1">INDIRECT("'results" &amp; $B9 &amp; "'!E$14")</f>
        <v>4.3936168750005891</v>
      </c>
      <c r="E9" s="5" cm="1">
        <f t="array" aca="1" ref="E9" ca="1">INDIRECT("'results" &amp; $B9 &amp; "'!F$14")</f>
        <v>2</v>
      </c>
      <c r="F9" s="5" cm="1">
        <f t="array" aca="1" ref="F9" ca="1">INDIRECT("'results" &amp; $B9 &amp; "'!G$14")</f>
        <v>80</v>
      </c>
      <c r="G9" s="5" cm="1">
        <f t="array" aca="1" ref="G9" ca="1">INDIRECT("'results" &amp; $B9 &amp; "'!H$14")</f>
        <v>0</v>
      </c>
      <c r="H9" s="33" cm="1">
        <f t="array" aca="1" ref="H9" ca="1">INDIRECT("'results" &amp; $B9 &amp; "'!I$14")</f>
        <v>34.069893863062859</v>
      </c>
      <c r="I9" s="5" cm="1">
        <f t="array" aca="1" ref="I9" ca="1">INDIRECT("'results" &amp; $B9 &amp; "'!J$14")</f>
        <v>1654.8432038480362</v>
      </c>
      <c r="J9" s="5"/>
      <c r="K9" s="5" cm="1">
        <f t="array" aca="1" ref="K9" ca="1">INDIRECT("'results" &amp; $B9 &amp; "'!L$14")</f>
        <v>104350.9411852425</v>
      </c>
      <c r="L9" s="5" cm="1">
        <f t="array" aca="1" ref="L9" ca="1">INDIRECT("'results" &amp; $B9 &amp; "'!M$14")</f>
        <v>5.8654139169993869</v>
      </c>
      <c r="M9" s="5" cm="1">
        <f t="array" aca="1" ref="M9" ca="1">INDIRECT("'results" &amp; $B9 &amp; "'!N$14")</f>
        <v>2</v>
      </c>
      <c r="N9" s="5" cm="1">
        <f t="array" aca="1" ref="N9" ca="1">INDIRECT("'results" &amp; $B9 &amp; "'!O$14")</f>
        <v>56.666666666666657</v>
      </c>
      <c r="O9" s="5" cm="1">
        <f t="array" aca="1" ref="O9" ca="1">INDIRECT("'results" &amp; $B9 &amp; "'!P$14")</f>
        <v>0</v>
      </c>
      <c r="P9" s="5" cm="1">
        <f t="array" aca="1" ref="P9" ca="1">INDIRECT("'results" &amp; $B9 &amp; "'!Q$14")</f>
        <v>22.517693292819267</v>
      </c>
      <c r="Q9" s="5" cm="1">
        <f t="array" aca="1" ref="Q9" ca="1">INDIRECT("'results" &amp; $B9 &amp; "'!R$14")</f>
        <v>1379.6502762717448</v>
      </c>
      <c r="R9" s="5"/>
      <c r="S9" s="5" cm="1">
        <f t="array" aca="1" ref="S9" ca="1">INDIRECT("'results" &amp; $B9 &amp; "'!T$14")</f>
        <v>97660.089936309203</v>
      </c>
      <c r="T9" s="5" cm="1">
        <f t="array" aca="1" ref="T9" ca="1">INDIRECT("'results" &amp; $B9 &amp; "'!U$14")</f>
        <v>4.4969418749969918</v>
      </c>
      <c r="U9" s="5" cm="1">
        <f t="array" aca="1" ref="U9" ca="1">INDIRECT("'results" &amp; $B9 &amp; "'!V$14")</f>
        <v>2</v>
      </c>
      <c r="V9" s="5" cm="1">
        <f t="array" aca="1" ref="V9" ca="1">INDIRECT("'results" &amp; $B9 &amp; "'!W$14")</f>
        <v>73.333333333333329</v>
      </c>
      <c r="W9" s="5" cm="1">
        <f t="array" aca="1" ref="W9" ca="1">INDIRECT("'results" &amp; $B9 &amp; "'!X$14")</f>
        <v>3.2864655086492887</v>
      </c>
      <c r="X9" s="5" cm="1">
        <f t="array" aca="1" ref="X9" ca="1">INDIRECT("'results" &amp; $B9 &amp; "'!Y$14")</f>
        <v>46.703365719035986</v>
      </c>
      <c r="Y9" s="5" cm="1">
        <f t="array" aca="1" ref="Y9" ca="1">INDIRECT("'results" &amp; $B9 &amp; "'!Z$14")</f>
        <v>2063.1528683266883</v>
      </c>
      <c r="Z9" s="5"/>
    </row>
    <row r="10" spans="2:26" x14ac:dyDescent="0.2">
      <c r="B10" s="4">
        <v>698</v>
      </c>
      <c r="C10" s="5" cm="1">
        <f t="array" aca="1" ref="C10" ca="1">INDIRECT("'results" &amp; $B10 &amp; "'!D$14")</f>
        <v>93343.617864498519</v>
      </c>
      <c r="D10" s="33" cm="1">
        <f t="array" aca="1" ref="D10" ca="1">INDIRECT("'results" &amp; $B10 &amp; "'!E$14")</f>
        <v>4.7639457500044946</v>
      </c>
      <c r="E10" s="5" cm="1">
        <f t="array" aca="1" ref="E10" ca="1">INDIRECT("'results" &amp; $B10 &amp; "'!F$14")</f>
        <v>3</v>
      </c>
      <c r="F10" s="5" cm="1">
        <f t="array" aca="1" ref="F10" ca="1">INDIRECT("'results" &amp; $B10 &amp; "'!G$14")</f>
        <v>86.666666666666671</v>
      </c>
      <c r="G10" s="5" cm="1">
        <f t="array" aca="1" ref="G10" ca="1">INDIRECT("'results" &amp; $B10 &amp; "'!H$14")</f>
        <v>58.283586538750811</v>
      </c>
      <c r="H10" s="33" cm="1">
        <f t="array" aca="1" ref="H10" ca="1">INDIRECT("'results" &amp; $B10 &amp; "'!I$14")</f>
        <v>39.983935010455525</v>
      </c>
      <c r="I10" s="5" cm="1">
        <f t="array" aca="1" ref="I10" ca="1">INDIRECT("'results" &amp; $B10 &amp; "'!J$14")</f>
        <v>1949.2490720880817</v>
      </c>
      <c r="J10" s="5"/>
      <c r="K10" s="5" cm="1">
        <f t="array" aca="1" ref="K10" ca="1">INDIRECT("'results" &amp; $B10 &amp; "'!L$14")</f>
        <v>110068.79261024149</v>
      </c>
      <c r="L10" s="5" cm="1">
        <f t="array" aca="1" ref="L10" ca="1">INDIRECT("'results" &amp; $B10 &amp; "'!M$14")</f>
        <v>5.8794081250016461</v>
      </c>
      <c r="M10" s="5" cm="1">
        <f t="array" aca="1" ref="M10" ca="1">INDIRECT("'results" &amp; $B10 &amp; "'!N$14")</f>
        <v>3</v>
      </c>
      <c r="N10" s="5" cm="1">
        <f t="array" aca="1" ref="N10" ca="1">INDIRECT("'results" &amp; $B10 &amp; "'!O$14")</f>
        <v>60</v>
      </c>
      <c r="O10" s="5" cm="1">
        <f t="array" aca="1" ref="O10" ca="1">INDIRECT("'results" &amp; $B10 &amp; "'!P$14")</f>
        <v>0</v>
      </c>
      <c r="P10" s="5" cm="1">
        <f t="array" aca="1" ref="P10" ca="1">INDIRECT("'results" &amp; $B10 &amp; "'!Q$14")</f>
        <v>22.822088789203359</v>
      </c>
      <c r="Q10" s="5" cm="1">
        <f t="array" aca="1" ref="Q10" ca="1">INDIRECT("'results" &amp; $B10 &amp; "'!R$14")</f>
        <v>1406.8965367088333</v>
      </c>
      <c r="R10" s="5"/>
      <c r="S10" s="5" cm="1">
        <f t="array" aca="1" ref="S10" ca="1">INDIRECT("'results" &amp; $B10 &amp; "'!T$14")</f>
        <v>108796.2317529451</v>
      </c>
      <c r="T10" s="5" cm="1">
        <f t="array" aca="1" ref="T10" ca="1">INDIRECT("'results" &amp; $B10 &amp; "'!U$14")</f>
        <v>5.7751889160026622</v>
      </c>
      <c r="U10" s="5" cm="1">
        <f t="array" aca="1" ref="U10" ca="1">INDIRECT("'results" &amp; $B10 &amp; "'!V$14")</f>
        <v>3</v>
      </c>
      <c r="V10" s="5" cm="1">
        <f t="array" aca="1" ref="V10" ca="1">INDIRECT("'results" &amp; $B10 &amp; "'!W$14")</f>
        <v>70</v>
      </c>
      <c r="W10" s="5" cm="1">
        <f t="array" aca="1" ref="W10" ca="1">INDIRECT("'results" &amp; $B10 &amp; "'!X$14")</f>
        <v>93.943303171774829</v>
      </c>
      <c r="X10" s="5" cm="1">
        <f t="array" aca="1" ref="X10" ca="1">INDIRECT("'results" &amp; $B10 &amp; "'!Y$14")</f>
        <v>48.871874624108507</v>
      </c>
      <c r="Y10" s="5" cm="1">
        <f t="array" aca="1" ref="Y10" ca="1">INDIRECT("'results" &amp; $B10 &amp; "'!Z$14")</f>
        <v>2104.9791973535312</v>
      </c>
      <c r="Z10" s="5"/>
    </row>
    <row r="11" spans="2:26" x14ac:dyDescent="0.2">
      <c r="B11" s="4">
        <v>43</v>
      </c>
      <c r="C11" s="5" cm="1">
        <f t="array" aca="1" ref="C11" ca="1">INDIRECT("'results" &amp; $B11 &amp; "'!D$14")</f>
        <v>94466.946562924946</v>
      </c>
      <c r="D11" s="33" cm="1">
        <f t="array" aca="1" ref="D11" ca="1">INDIRECT("'results" &amp; $B11 &amp; "'!E$14")</f>
        <v>7.0995155420023366</v>
      </c>
      <c r="E11" s="5" cm="1">
        <f t="array" aca="1" ref="E11" ca="1">INDIRECT("'results" &amp; $B11 &amp; "'!F$14")</f>
        <v>2</v>
      </c>
      <c r="F11" s="5" cm="1">
        <f t="array" aca="1" ref="F11" ca="1">INDIRECT("'results" &amp; $B11 &amp; "'!G$14")</f>
        <v>66.666666666666671</v>
      </c>
      <c r="G11" s="5" cm="1">
        <f t="array" aca="1" ref="G11" ca="1">INDIRECT("'results" &amp; $B11 &amp; "'!H$14")</f>
        <v>37.804713404316068</v>
      </c>
      <c r="H11" s="33" cm="1">
        <f t="array" aca="1" ref="H11" ca="1">INDIRECT("'results" &amp; $B11 &amp; "'!I$14")</f>
        <v>19.182853166793656</v>
      </c>
      <c r="I11" s="5" cm="1">
        <f t="array" aca="1" ref="I11" ca="1">INDIRECT("'results" &amp; $B11 &amp; "'!J$14")</f>
        <v>1400.7222097303879</v>
      </c>
      <c r="J11" s="5"/>
      <c r="K11" s="5" cm="1">
        <f t="array" aca="1" ref="K11" ca="1">INDIRECT("'results" &amp; $B11 &amp; "'!L$14")</f>
        <v>103420.0098761047</v>
      </c>
      <c r="L11" s="5" cm="1">
        <f t="array" aca="1" ref="L11" ca="1">INDIRECT("'results" &amp; $B11 &amp; "'!M$14")</f>
        <v>5.6265085830018506</v>
      </c>
      <c r="M11" s="5" cm="1">
        <f t="array" aca="1" ref="M11" ca="1">INDIRECT("'results" &amp; $B11 &amp; "'!N$14")</f>
        <v>2</v>
      </c>
      <c r="N11" s="5" cm="1">
        <f t="array" aca="1" ref="N11" ca="1">INDIRECT("'results" &amp; $B11 &amp; "'!O$14")</f>
        <v>53.333333333333343</v>
      </c>
      <c r="O11" s="5" cm="1">
        <f t="array" aca="1" ref="O11" ca="1">INDIRECT("'results" &amp; $B11 &amp; "'!P$14")</f>
        <v>0</v>
      </c>
      <c r="P11" s="5" cm="1">
        <f t="array" aca="1" ref="P11" ca="1">INDIRECT("'results" &amp; $B11 &amp; "'!Q$14")</f>
        <v>20.17836303327126</v>
      </c>
      <c r="Q11" s="5" cm="1">
        <f t="array" aca="1" ref="Q11" ca="1">INDIRECT("'results" &amp; $B11 &amp; "'!R$14")</f>
        <v>1125.1374891683536</v>
      </c>
      <c r="R11" s="5"/>
      <c r="S11" s="5" cm="1">
        <f t="array" aca="1" ref="S11" ca="1">INDIRECT("'results" &amp; $B11 &amp; "'!T$14")</f>
        <v>100169.1266505723</v>
      </c>
      <c r="T11" s="5" cm="1">
        <f t="array" aca="1" ref="T11" ca="1">INDIRECT("'results" &amp; $B11 &amp; "'!U$14")</f>
        <v>6.8546986250003101</v>
      </c>
      <c r="U11" s="5" cm="1">
        <f t="array" aca="1" ref="U11" ca="1">INDIRECT("'results" &amp; $B11 &amp; "'!V$14")</f>
        <v>2</v>
      </c>
      <c r="V11" s="5" cm="1">
        <f t="array" aca="1" ref="V11" ca="1">INDIRECT("'results" &amp; $B11 &amp; "'!W$14")</f>
        <v>60</v>
      </c>
      <c r="W11" s="5" cm="1">
        <f t="array" aca="1" ref="W11" ca="1">INDIRECT("'results" &amp; $B11 &amp; "'!X$14")</f>
        <v>1.1870311559770998</v>
      </c>
      <c r="X11" s="5" cm="1">
        <f t="array" aca="1" ref="X11" ca="1">INDIRECT("'results" &amp; $B11 &amp; "'!Y$14")</f>
        <v>44.239537186813706</v>
      </c>
      <c r="Y11" s="5" cm="1">
        <f t="array" aca="1" ref="Y11" ca="1">INDIRECT("'results" &amp; $B11 &amp; "'!Z$14")</f>
        <v>1672.5851592136626</v>
      </c>
      <c r="Z11" s="5"/>
    </row>
    <row r="12" spans="2:26" x14ac:dyDescent="0.2">
      <c r="B12" s="4">
        <v>917</v>
      </c>
      <c r="C12" s="5" cm="1">
        <f t="array" aca="1" ref="C12" ca="1">INDIRECT("'results" &amp; $B12 &amp; "'!D$14")</f>
        <v>108220.18863169249</v>
      </c>
      <c r="D12" s="33" cm="1">
        <f t="array" aca="1" ref="D12" ca="1">INDIRECT("'results" &amp; $B12 &amp; "'!E$14")</f>
        <v>6.7491161249999996</v>
      </c>
      <c r="E12" s="5" cm="1">
        <f t="array" aca="1" ref="E12" ca="1">INDIRECT("'results" &amp; $B12 &amp; "'!F$14")</f>
        <v>2</v>
      </c>
      <c r="F12" s="5" cm="1">
        <f t="array" aca="1" ref="F12" ca="1">INDIRECT("'results" &amp; $B12 &amp; "'!G$14")</f>
        <v>60</v>
      </c>
      <c r="G12" s="5" cm="1">
        <f t="array" aca="1" ref="G12" ca="1">INDIRECT("'results" &amp; $B12 &amp; "'!H$14")</f>
        <v>4.5831826464888836</v>
      </c>
      <c r="H12" s="33" cm="1">
        <f t="array" aca="1" ref="H12" ca="1">INDIRECT("'results" &amp; $B12 &amp; "'!I$14")</f>
        <v>18.219362325660988</v>
      </c>
      <c r="I12" s="5" cm="1">
        <f t="array" aca="1" ref="I12" ca="1">INDIRECT("'results" &amp; $B12 &amp; "'!J$14")</f>
        <v>1724.1066069257417</v>
      </c>
      <c r="J12" s="5"/>
      <c r="K12" s="5" cm="1">
        <f t="array" aca="1" ref="K12" ca="1">INDIRECT("'results" &amp; $B12 &amp; "'!L$14")</f>
        <v>109797.19632161219</v>
      </c>
      <c r="L12" s="5" cm="1">
        <f t="array" aca="1" ref="L12" ca="1">INDIRECT("'results" &amp; $B12 &amp; "'!M$14")</f>
        <v>6.9288659999983793</v>
      </c>
      <c r="M12" s="5" cm="1">
        <f t="array" aca="1" ref="M12" ca="1">INDIRECT("'results" &amp; $B12 &amp; "'!N$14")</f>
        <v>2</v>
      </c>
      <c r="N12" s="5" cm="1">
        <f t="array" aca="1" ref="N12" ca="1">INDIRECT("'results" &amp; $B12 &amp; "'!O$14")</f>
        <v>56.666666666666657</v>
      </c>
      <c r="O12" s="5" cm="1">
        <f t="array" aca="1" ref="O12" ca="1">INDIRECT("'results" &amp; $B12 &amp; "'!P$14")</f>
        <v>0</v>
      </c>
      <c r="P12" s="5" cm="1">
        <f t="array" aca="1" ref="P12" ca="1">INDIRECT("'results" &amp; $B12 &amp; "'!Q$14")</f>
        <v>16.47314977230161</v>
      </c>
      <c r="Q12" s="5" cm="1">
        <f t="array" aca="1" ref="Q12" ca="1">INDIRECT("'results" &amp; $B12 &amp; "'!R$14")</f>
        <v>1607.7079141324919</v>
      </c>
      <c r="R12" s="5"/>
      <c r="S12" s="5" cm="1">
        <f t="array" aca="1" ref="S12" ca="1">INDIRECT("'results" &amp; $B12 &amp; "'!T$14")</f>
        <v>120234.42073424259</v>
      </c>
      <c r="T12" s="5" cm="1">
        <f t="array" aca="1" ref="T12" ca="1">INDIRECT("'results" &amp; $B12 &amp; "'!U$14")</f>
        <v>6.5391290000006848</v>
      </c>
      <c r="U12" s="5" cm="1">
        <f t="array" aca="1" ref="U12" ca="1">INDIRECT("'results" &amp; $B12 &amp; "'!V$14")</f>
        <v>2</v>
      </c>
      <c r="V12" s="5" cm="1">
        <f t="array" aca="1" ref="V12" ca="1">INDIRECT("'results" &amp; $B12 &amp; "'!W$14")</f>
        <v>53.333333333333343</v>
      </c>
      <c r="W12" s="5" cm="1">
        <f t="array" aca="1" ref="W12" ca="1">INDIRECT("'results" &amp; $B12 &amp; "'!X$14")</f>
        <v>24.438722860354574</v>
      </c>
      <c r="X12" s="5" cm="1">
        <f t="array" aca="1" ref="X12" ca="1">INDIRECT("'results" &amp; $B12 &amp; "'!Y$14")</f>
        <v>23.315569115314791</v>
      </c>
      <c r="Y12" s="5" cm="1">
        <f t="array" aca="1" ref="Y12" ca="1">INDIRECT("'results" &amp; $B12 &amp; "'!Z$14")</f>
        <v>2089.1464510695787</v>
      </c>
      <c r="Z12" s="5"/>
    </row>
    <row r="13" spans="2:26" x14ac:dyDescent="0.2">
      <c r="B13" s="8" t="s">
        <v>3</v>
      </c>
      <c r="C13" s="9">
        <f ca="1">AVERAGE(C3:C12)</f>
        <v>97959.934509889848</v>
      </c>
      <c r="D13" s="10">
        <f t="shared" ref="D13:I13" ca="1" si="0">AVERAGE(D3:D12)</f>
        <v>7.195732375100488</v>
      </c>
      <c r="E13" s="9">
        <f t="shared" ca="1" si="0"/>
        <v>2.2999999999999998</v>
      </c>
      <c r="F13" s="9">
        <f t="shared" ca="1" si="0"/>
        <v>74</v>
      </c>
      <c r="G13" s="9">
        <f t="shared" ca="1" si="0"/>
        <v>36.469996379957067</v>
      </c>
      <c r="H13" s="10">
        <f t="shared" ca="1" si="0"/>
        <v>26.763127266879774</v>
      </c>
      <c r="I13" s="9">
        <f t="shared" ca="1" si="0"/>
        <v>1776.6942331455296</v>
      </c>
      <c r="J13" s="32" t="e">
        <f ca="1">(C13-$D$15)/$D$15</f>
        <v>#DIV/0!</v>
      </c>
      <c r="K13" s="16">
        <f ca="1">AVERAGE(K3:K12)</f>
        <v>107080.98135968696</v>
      </c>
      <c r="L13" s="36">
        <f t="shared" ref="L13:Q13" ca="1" si="1">AVERAGE(L3:L12)</f>
        <v>7.6635839958991712</v>
      </c>
      <c r="M13" s="16">
        <f t="shared" ca="1" si="1"/>
        <v>2.2999999999999998</v>
      </c>
      <c r="N13" s="16">
        <f ca="1">AVERAGE(N3:N12)</f>
        <v>59</v>
      </c>
      <c r="O13" s="16">
        <f t="shared" ca="1" si="1"/>
        <v>6.0605670918872612</v>
      </c>
      <c r="P13" s="36">
        <f t="shared" ca="1" si="1"/>
        <v>19.587394119743863</v>
      </c>
      <c r="Q13" s="16">
        <f t="shared" ca="1" si="1"/>
        <v>1437.6911924021265</v>
      </c>
      <c r="R13" s="37" t="e">
        <f ca="1">(K13-$D$15)/$D$15</f>
        <v>#DIV/0!</v>
      </c>
      <c r="S13" s="38">
        <f ca="1">AVERAGE(S3:S12)</f>
        <v>110622.699724387</v>
      </c>
      <c r="T13" s="39">
        <f t="shared" ref="T13:Y13" ca="1" si="2">AVERAGE(T3:T12)</f>
        <v>6.7403889917004562</v>
      </c>
      <c r="U13" s="38">
        <f t="shared" ca="1" si="2"/>
        <v>2.2999999999999998</v>
      </c>
      <c r="V13" s="38">
        <f t="shared" ca="1" si="2"/>
        <v>62.333333333333336</v>
      </c>
      <c r="W13" s="38">
        <f t="shared" ca="1" si="2"/>
        <v>23.833810299195076</v>
      </c>
      <c r="X13" s="39">
        <f t="shared" ca="1" si="2"/>
        <v>35.023360922021197</v>
      </c>
      <c r="Y13" s="38">
        <f t="shared" ca="1" si="2"/>
        <v>1982.69586837721</v>
      </c>
      <c r="Z13" s="40" t="e">
        <f ca="1">(S13-$D$15)/$D$15</f>
        <v>#DIV/0!</v>
      </c>
    </row>
    <row r="14" spans="2:26" x14ac:dyDescent="0.2">
      <c r="K14" s="41"/>
      <c r="L14" s="41"/>
      <c r="M14" s="41"/>
      <c r="N14" s="41"/>
      <c r="O14" s="41"/>
      <c r="P14" s="41"/>
      <c r="Q14" s="41"/>
      <c r="S14" s="41"/>
      <c r="T14" s="41"/>
      <c r="U14" s="41"/>
      <c r="V14" s="41"/>
      <c r="W14" s="41"/>
      <c r="X14" s="41"/>
      <c r="Y14" s="41"/>
    </row>
    <row r="16" spans="2:26" x14ac:dyDescent="0.2">
      <c r="B16" s="1" t="s">
        <v>20</v>
      </c>
      <c r="C16">
        <f ca="1">_xlfn.STDEV.S(C3:C12)</f>
        <v>10076.567858668341</v>
      </c>
      <c r="J16" s="1" t="s">
        <v>20</v>
      </c>
      <c r="K16">
        <f ca="1">_xlfn.STDEV.S(K3:K12)</f>
        <v>5176.0837520318028</v>
      </c>
      <c r="R16" s="1" t="s">
        <v>20</v>
      </c>
      <c r="S16">
        <f ca="1">_xlfn.STDEV.S(S3:S12)</f>
        <v>10298.678648656676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6094-7B55-244B-A159-734E99801F58}">
  <dimension ref="B1:AA33"/>
  <sheetViews>
    <sheetView topLeftCell="I1" zoomScale="118" zoomScaleNormal="120" workbookViewId="0">
      <selection activeCell="I15" sqref="A15:XFD3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-0.46624742747110609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-0.19674473542836099</v>
      </c>
      <c r="T2" s="1" t="s">
        <v>19</v>
      </c>
      <c r="X2" s="1" t="e">
        <f>(X14-P14)/P14</f>
        <v>#DIV/0!</v>
      </c>
      <c r="Z2" s="1">
        <f>(Z14-R14)/R14</f>
        <v>0.48656068730760671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180</v>
      </c>
      <c r="D4" s="23">
        <v>94466.946562924946</v>
      </c>
      <c r="E4" s="33">
        <v>7.0995155420023366</v>
      </c>
      <c r="F4" s="5">
        <v>2</v>
      </c>
      <c r="G4" s="23">
        <v>66.666666666666671</v>
      </c>
      <c r="H4" s="33">
        <v>37.804713404316068</v>
      </c>
      <c r="I4" s="23">
        <v>19.182853166793656</v>
      </c>
      <c r="J4" s="5">
        <v>1400.7222097303879</v>
      </c>
      <c r="K4" s="31" t="e">
        <f>(D4-$D$15)/$D$15</f>
        <v>#DIV/0!</v>
      </c>
      <c r="L4" s="23">
        <v>105241.7737050822</v>
      </c>
      <c r="M4" s="33">
        <v>6.4325858340016566</v>
      </c>
      <c r="N4" s="5">
        <v>2</v>
      </c>
      <c r="O4" s="5">
        <v>53.333333333333343</v>
      </c>
      <c r="P4" s="33">
        <v>0</v>
      </c>
      <c r="Q4" s="5">
        <v>13.136588221752287</v>
      </c>
      <c r="R4" s="5">
        <v>1121.1900198253384</v>
      </c>
      <c r="S4" s="42"/>
      <c r="T4" s="23">
        <v>107370.7134038144</v>
      </c>
      <c r="U4" s="33">
        <v>6.6221727500014822</v>
      </c>
      <c r="V4" s="5">
        <v>2</v>
      </c>
      <c r="W4" s="5">
        <v>60</v>
      </c>
      <c r="X4" s="33">
        <v>126.69197814384648</v>
      </c>
      <c r="Y4" s="5">
        <v>32.591589436219714</v>
      </c>
      <c r="Z4" s="5">
        <v>1803.0908919793744</v>
      </c>
      <c r="AA4" s="42"/>
    </row>
    <row r="5" spans="2:27" x14ac:dyDescent="0.2">
      <c r="B5" s="4">
        <v>2</v>
      </c>
      <c r="C5" s="4">
        <v>323</v>
      </c>
      <c r="D5" s="23">
        <v>95940.323714273647</v>
      </c>
      <c r="E5" s="33">
        <v>7.0935949580016313</v>
      </c>
      <c r="F5" s="5">
        <v>2</v>
      </c>
      <c r="G5" s="23">
        <v>60</v>
      </c>
      <c r="H5" s="33">
        <v>0</v>
      </c>
      <c r="I5" s="23">
        <v>23.320166230691814</v>
      </c>
      <c r="J5" s="5">
        <v>1193.9559736317658</v>
      </c>
      <c r="K5" s="31" t="e">
        <f>(D5-$D$15)/$D$15</f>
        <v>#DIV/0!</v>
      </c>
      <c r="L5" s="23">
        <v>103420.0098761047</v>
      </c>
      <c r="M5" s="33">
        <v>5.6265085830018506</v>
      </c>
      <c r="N5" s="5">
        <v>2</v>
      </c>
      <c r="O5" s="5">
        <v>53.333333333333343</v>
      </c>
      <c r="P5" s="33">
        <v>0</v>
      </c>
      <c r="Q5" s="5">
        <v>20.17836303327126</v>
      </c>
      <c r="R5" s="5">
        <v>1125.1374891683536</v>
      </c>
      <c r="S5" s="42"/>
      <c r="T5" s="23">
        <v>100169.1266505723</v>
      </c>
      <c r="U5" s="33">
        <v>6.8546986250003101</v>
      </c>
      <c r="V5" s="5">
        <v>2</v>
      </c>
      <c r="W5" s="5">
        <v>60</v>
      </c>
      <c r="X5" s="33">
        <v>1.1870311559770998</v>
      </c>
      <c r="Y5" s="5">
        <v>44.239537186813706</v>
      </c>
      <c r="Z5" s="5">
        <v>1672.5851592136626</v>
      </c>
      <c r="AA5" s="42"/>
    </row>
    <row r="6" spans="2:27" x14ac:dyDescent="0.2">
      <c r="B6" s="4">
        <v>3</v>
      </c>
      <c r="C6" s="4">
        <v>417</v>
      </c>
      <c r="D6" s="23">
        <v>94466.946562924946</v>
      </c>
      <c r="E6" s="33">
        <v>7.0046443750034086</v>
      </c>
      <c r="F6" s="5">
        <v>2</v>
      </c>
      <c r="G6" s="23">
        <v>66.666666666666671</v>
      </c>
      <c r="H6" s="33">
        <v>37.804713404316068</v>
      </c>
      <c r="I6" s="23">
        <v>19.182853166793656</v>
      </c>
      <c r="J6" s="5">
        <v>1400.7222097303879</v>
      </c>
      <c r="K6" s="31" t="e">
        <f t="shared" ref="K6:K13" si="0">(D6-$D$15)/$D$15</f>
        <v>#DIV/0!</v>
      </c>
      <c r="L6" s="23">
        <v>105241.7737050822</v>
      </c>
      <c r="M6" s="33">
        <v>6.5639152919975459</v>
      </c>
      <c r="N6" s="5">
        <v>2</v>
      </c>
      <c r="O6" s="5">
        <v>53.333333333333343</v>
      </c>
      <c r="P6" s="33">
        <v>0</v>
      </c>
      <c r="Q6" s="5">
        <v>13.136588221752287</v>
      </c>
      <c r="R6" s="5">
        <v>1121.1900198253384</v>
      </c>
      <c r="S6" s="42"/>
      <c r="T6" s="23">
        <v>107370.7134038144</v>
      </c>
      <c r="U6" s="33">
        <v>6.7541568330016162</v>
      </c>
      <c r="V6" s="5">
        <v>2</v>
      </c>
      <c r="W6" s="5">
        <v>60</v>
      </c>
      <c r="X6" s="33">
        <v>126.69197814384648</v>
      </c>
      <c r="Y6" s="5">
        <v>32.591589436219714</v>
      </c>
      <c r="Z6" s="5">
        <v>1803.0908919793744</v>
      </c>
      <c r="AA6" s="42"/>
    </row>
    <row r="7" spans="2:27" x14ac:dyDescent="0.2">
      <c r="B7" s="4">
        <v>4</v>
      </c>
      <c r="C7" s="4">
        <v>524</v>
      </c>
      <c r="D7" s="23">
        <v>95940.323714273647</v>
      </c>
      <c r="E7" s="33">
        <v>6.9711925840019831</v>
      </c>
      <c r="F7" s="5">
        <v>2</v>
      </c>
      <c r="G7" s="23">
        <v>60</v>
      </c>
      <c r="H7" s="33">
        <v>0</v>
      </c>
      <c r="I7" s="23">
        <v>23.320166230691814</v>
      </c>
      <c r="J7" s="5">
        <v>1193.9559736317658</v>
      </c>
      <c r="K7" s="31" t="e">
        <f t="shared" si="0"/>
        <v>#DIV/0!</v>
      </c>
      <c r="L7" s="23">
        <v>103420.0098761047</v>
      </c>
      <c r="M7" s="33">
        <v>6.186004209001112</v>
      </c>
      <c r="N7" s="5">
        <v>2</v>
      </c>
      <c r="O7" s="5">
        <v>53.333333333333343</v>
      </c>
      <c r="P7" s="33">
        <v>0</v>
      </c>
      <c r="Q7" s="5">
        <v>20.17836303327126</v>
      </c>
      <c r="R7" s="5">
        <v>1125.1374891683536</v>
      </c>
      <c r="S7" s="42"/>
      <c r="T7" s="23">
        <v>100169.1266505723</v>
      </c>
      <c r="U7" s="33">
        <v>7.0086890419988777</v>
      </c>
      <c r="V7" s="5">
        <v>2</v>
      </c>
      <c r="W7" s="5">
        <v>60</v>
      </c>
      <c r="X7" s="33">
        <v>1.1870311559770998</v>
      </c>
      <c r="Y7" s="5">
        <v>44.239537186813706</v>
      </c>
      <c r="Z7" s="5">
        <v>1672.5851592136626</v>
      </c>
      <c r="AA7" s="42"/>
    </row>
    <row r="8" spans="2:27" x14ac:dyDescent="0.2">
      <c r="B8" s="4">
        <v>5</v>
      </c>
      <c r="C8" s="4">
        <v>47</v>
      </c>
      <c r="D8" s="23">
        <v>94466.946562924946</v>
      </c>
      <c r="E8" s="33">
        <v>7.0336662499976228</v>
      </c>
      <c r="F8" s="5">
        <v>2</v>
      </c>
      <c r="G8" s="23">
        <v>66.666666666666671</v>
      </c>
      <c r="H8" s="33">
        <v>37.804713404316068</v>
      </c>
      <c r="I8" s="23">
        <v>19.182853166793656</v>
      </c>
      <c r="J8" s="5">
        <v>1400.7222097303879</v>
      </c>
      <c r="K8" s="31" t="e">
        <f t="shared" si="0"/>
        <v>#DIV/0!</v>
      </c>
      <c r="L8" s="23">
        <v>105241.7737050822</v>
      </c>
      <c r="M8" s="33">
        <v>6.7263812079982017</v>
      </c>
      <c r="N8" s="5">
        <v>2</v>
      </c>
      <c r="O8" s="5">
        <v>53.333333333333343</v>
      </c>
      <c r="P8" s="33">
        <v>0</v>
      </c>
      <c r="Q8" s="5">
        <v>13.136588221752287</v>
      </c>
      <c r="R8" s="5">
        <v>1121.1900198253384</v>
      </c>
      <c r="S8" s="42"/>
      <c r="T8" s="23">
        <v>107370.7134038144</v>
      </c>
      <c r="U8" s="33">
        <v>6.8090680420027638</v>
      </c>
      <c r="V8" s="5">
        <v>2</v>
      </c>
      <c r="W8" s="5">
        <v>60</v>
      </c>
      <c r="X8" s="33">
        <v>126.69197814384648</v>
      </c>
      <c r="Y8" s="5">
        <v>32.591589436219714</v>
      </c>
      <c r="Z8" s="5">
        <v>1803.0908919793744</v>
      </c>
      <c r="AA8" s="42"/>
    </row>
    <row r="9" spans="2:27" x14ac:dyDescent="0.2">
      <c r="B9" s="4">
        <v>6</v>
      </c>
      <c r="C9" s="4">
        <v>872</v>
      </c>
      <c r="D9" s="23">
        <v>94466.946562924946</v>
      </c>
      <c r="E9" s="33">
        <v>6.8210021249979036</v>
      </c>
      <c r="F9" s="5">
        <v>2</v>
      </c>
      <c r="G9" s="23">
        <v>66.666666666666671</v>
      </c>
      <c r="H9" s="33">
        <v>37.804713404316068</v>
      </c>
      <c r="I9" s="23">
        <v>19.182853166793656</v>
      </c>
      <c r="J9" s="5">
        <v>1400.7222097303879</v>
      </c>
      <c r="K9" s="31" t="e">
        <f t="shared" si="0"/>
        <v>#DIV/0!</v>
      </c>
      <c r="L9" s="23">
        <v>105241.7737050822</v>
      </c>
      <c r="M9" s="33">
        <v>6.7511857499994221</v>
      </c>
      <c r="N9" s="5">
        <v>2</v>
      </c>
      <c r="O9" s="5">
        <v>53.333333333333343</v>
      </c>
      <c r="P9" s="33">
        <v>0</v>
      </c>
      <c r="Q9" s="5">
        <v>13.136588221752287</v>
      </c>
      <c r="R9" s="5">
        <v>1121.1900198253384</v>
      </c>
      <c r="S9" s="42"/>
      <c r="T9" s="23">
        <v>107370.7134038144</v>
      </c>
      <c r="U9" s="33">
        <v>6.9696312499982014</v>
      </c>
      <c r="V9" s="5">
        <v>2</v>
      </c>
      <c r="W9" s="5">
        <v>60</v>
      </c>
      <c r="X9" s="33">
        <v>126.69197814384648</v>
      </c>
      <c r="Y9" s="5">
        <v>32.591589436219714</v>
      </c>
      <c r="Z9" s="5">
        <v>1803.0908919793744</v>
      </c>
      <c r="AA9" s="42"/>
    </row>
    <row r="10" spans="2:27" x14ac:dyDescent="0.2">
      <c r="B10" s="4">
        <v>7</v>
      </c>
      <c r="C10" s="4">
        <v>252</v>
      </c>
      <c r="D10" s="23">
        <v>94466.946562924946</v>
      </c>
      <c r="E10" s="33">
        <v>6.9684207500031334</v>
      </c>
      <c r="F10" s="5">
        <v>2</v>
      </c>
      <c r="G10" s="23">
        <v>66.666666666666671</v>
      </c>
      <c r="H10" s="33">
        <v>37.804713404316068</v>
      </c>
      <c r="I10" s="23">
        <v>19.182853166793656</v>
      </c>
      <c r="J10" s="5">
        <v>1400.7222097303879</v>
      </c>
      <c r="K10" s="31" t="e">
        <f t="shared" si="0"/>
        <v>#DIV/0!</v>
      </c>
      <c r="L10" s="23">
        <v>105241.7737050822</v>
      </c>
      <c r="M10" s="33">
        <v>6.749053791998449</v>
      </c>
      <c r="N10" s="5">
        <v>2</v>
      </c>
      <c r="O10" s="5">
        <v>53.333333333333343</v>
      </c>
      <c r="P10" s="33">
        <v>0</v>
      </c>
      <c r="Q10" s="5">
        <v>13.136588221752287</v>
      </c>
      <c r="R10" s="5">
        <v>1121.1900198253384</v>
      </c>
      <c r="S10" s="42"/>
      <c r="T10" s="23">
        <v>107370.7134038144</v>
      </c>
      <c r="U10" s="33">
        <v>6.9455580829999226</v>
      </c>
      <c r="V10" s="5">
        <v>2</v>
      </c>
      <c r="W10" s="5">
        <v>60</v>
      </c>
      <c r="X10" s="33">
        <v>126.69197814384648</v>
      </c>
      <c r="Y10" s="5">
        <v>32.591589436219714</v>
      </c>
      <c r="Z10" s="5">
        <v>1803.0908919793744</v>
      </c>
      <c r="AA10" s="42"/>
    </row>
    <row r="11" spans="2:27" x14ac:dyDescent="0.2">
      <c r="B11" s="4">
        <v>8</v>
      </c>
      <c r="C11" s="4">
        <v>917</v>
      </c>
      <c r="D11" s="23">
        <v>94466.946562924946</v>
      </c>
      <c r="E11" s="33">
        <v>7.098142208000354</v>
      </c>
      <c r="F11" s="5">
        <v>2</v>
      </c>
      <c r="G11" s="23">
        <v>66.666666666666671</v>
      </c>
      <c r="H11" s="33">
        <v>37.804713404316068</v>
      </c>
      <c r="I11" s="23">
        <v>19.182853166793656</v>
      </c>
      <c r="J11" s="5">
        <v>1400.7222097303879</v>
      </c>
      <c r="K11" s="31" t="e">
        <f t="shared" si="0"/>
        <v>#DIV/0!</v>
      </c>
      <c r="L11" s="23">
        <v>105241.7737050822</v>
      </c>
      <c r="M11" s="33">
        <v>7.0106291250012873</v>
      </c>
      <c r="N11" s="5">
        <v>2</v>
      </c>
      <c r="O11" s="5">
        <v>53.333333333333343</v>
      </c>
      <c r="P11" s="33">
        <v>0</v>
      </c>
      <c r="Q11" s="5">
        <v>13.136588221752287</v>
      </c>
      <c r="R11" s="5">
        <v>1121.1900198253384</v>
      </c>
      <c r="S11" s="42"/>
      <c r="T11" s="23">
        <v>107370.7134038144</v>
      </c>
      <c r="U11" s="33">
        <v>6.9700679170018702</v>
      </c>
      <c r="V11" s="5">
        <v>2</v>
      </c>
      <c r="W11" s="5">
        <v>60</v>
      </c>
      <c r="X11" s="33">
        <v>126.69197814384648</v>
      </c>
      <c r="Y11" s="5">
        <v>32.591589436219714</v>
      </c>
      <c r="Z11" s="5">
        <v>1803.0908919793744</v>
      </c>
      <c r="AA11" s="42"/>
    </row>
    <row r="12" spans="2:27" x14ac:dyDescent="0.2">
      <c r="B12" s="4">
        <v>9</v>
      </c>
      <c r="C12" s="4">
        <v>526</v>
      </c>
      <c r="D12" s="23">
        <v>95940.323714273647</v>
      </c>
      <c r="E12" s="33">
        <v>7.03607754100085</v>
      </c>
      <c r="F12" s="5">
        <v>2</v>
      </c>
      <c r="G12" s="23">
        <v>60</v>
      </c>
      <c r="H12" s="33">
        <v>0</v>
      </c>
      <c r="I12" s="23">
        <v>23.320166230691814</v>
      </c>
      <c r="J12" s="5">
        <v>1193.9559736317658</v>
      </c>
      <c r="K12" s="31" t="e">
        <f t="shared" si="0"/>
        <v>#DIV/0!</v>
      </c>
      <c r="L12" s="23">
        <v>103420.0098761047</v>
      </c>
      <c r="M12" s="33">
        <v>6.6169760829980078</v>
      </c>
      <c r="N12" s="5">
        <v>2</v>
      </c>
      <c r="O12" s="5">
        <v>53.333333333333343</v>
      </c>
      <c r="P12" s="33">
        <v>0</v>
      </c>
      <c r="Q12" s="5">
        <v>20.17836303327126</v>
      </c>
      <c r="R12" s="5">
        <v>1125.1374891683536</v>
      </c>
      <c r="S12" s="42"/>
      <c r="T12" s="23">
        <v>100169.1266505723</v>
      </c>
      <c r="U12" s="33">
        <v>7.227945708000334</v>
      </c>
      <c r="V12" s="5">
        <v>2</v>
      </c>
      <c r="W12" s="5">
        <v>60</v>
      </c>
      <c r="X12" s="33">
        <v>1.1870311559770998</v>
      </c>
      <c r="Y12" s="5">
        <v>44.239537186813706</v>
      </c>
      <c r="Z12" s="5">
        <v>1672.5851592136626</v>
      </c>
      <c r="AA12" s="42"/>
    </row>
    <row r="13" spans="2:27" x14ac:dyDescent="0.2">
      <c r="B13" s="4">
        <v>10</v>
      </c>
      <c r="C13" s="4">
        <v>912</v>
      </c>
      <c r="D13" s="23">
        <v>94466.946562924946</v>
      </c>
      <c r="E13" s="33">
        <v>7.0841364159932709</v>
      </c>
      <c r="F13" s="5">
        <v>2</v>
      </c>
      <c r="G13" s="23">
        <v>66.666666666666671</v>
      </c>
      <c r="H13" s="33">
        <v>37.804713404316068</v>
      </c>
      <c r="I13" s="23">
        <v>19.182853166793656</v>
      </c>
      <c r="J13" s="5">
        <v>1400.7222097303879</v>
      </c>
      <c r="K13" s="31" t="e">
        <f t="shared" si="0"/>
        <v>#DIV/0!</v>
      </c>
      <c r="L13" s="23">
        <v>105241.7737050822</v>
      </c>
      <c r="M13" s="33">
        <v>6.7418987079981889</v>
      </c>
      <c r="N13" s="5">
        <v>2</v>
      </c>
      <c r="O13" s="5">
        <v>53.333333333333343</v>
      </c>
      <c r="P13" s="33">
        <v>0</v>
      </c>
      <c r="Q13" s="5">
        <v>13.136588221752287</v>
      </c>
      <c r="R13" s="5">
        <v>1121.1900198253384</v>
      </c>
      <c r="S13" s="42"/>
      <c r="T13" s="23">
        <v>107370.7134038144</v>
      </c>
      <c r="U13" s="33">
        <v>6.9863152090001677</v>
      </c>
      <c r="V13" s="5">
        <v>2</v>
      </c>
      <c r="W13" s="5">
        <v>60</v>
      </c>
      <c r="X13" s="33">
        <v>126.69197814384648</v>
      </c>
      <c r="Y13" s="5">
        <v>32.591589436219714</v>
      </c>
      <c r="Z13" s="5">
        <v>1803.0908919793744</v>
      </c>
      <c r="AA13" s="42"/>
    </row>
    <row r="14" spans="2:27" x14ac:dyDescent="0.2">
      <c r="B14" s="46" t="s">
        <v>3</v>
      </c>
      <c r="C14" s="47"/>
      <c r="D14" s="9">
        <f>MIN(D4:D13)</f>
        <v>94466.946562924946</v>
      </c>
      <c r="E14" s="22">
        <f>INDEX(E4:E13, MATCH($D$14, D4:D13, 0))</f>
        <v>7.0995155420023366</v>
      </c>
      <c r="F14" s="9">
        <f>INDEX(F4:F13, MATCH($D$14, D4:D13, 0))</f>
        <v>2</v>
      </c>
      <c r="G14" s="9">
        <f>INDEX(G4:G13, MATCH($D$14, D4:D13, 0))</f>
        <v>66.666666666666671</v>
      </c>
      <c r="H14" s="22">
        <f>INDEX(H4:H13, MATCH($D$14, D4:D13, 0))</f>
        <v>37.804713404316068</v>
      </c>
      <c r="I14" s="22">
        <f>INDEX(I4:I13, MATCH($D$14, D4:D13, 0))</f>
        <v>19.182853166793656</v>
      </c>
      <c r="J14" s="22">
        <f>INDEX(J4:J13, MATCH($D$14, D4:D13, 0))</f>
        <v>1400.7222097303879</v>
      </c>
      <c r="K14" s="32" t="e">
        <f>(D14-$D$15)/$D$15</f>
        <v>#DIV/0!</v>
      </c>
      <c r="L14" s="16">
        <f>MIN(L4:L13)</f>
        <v>103420.0098761047</v>
      </c>
      <c r="M14" s="21">
        <f>INDEX(M4:M13, MATCH($L$14, L4:L13, 0))</f>
        <v>5.6265085830018506</v>
      </c>
      <c r="N14" s="16">
        <f>INDEX(N4:N13, MATCH($L$14, L4:L13, 0))</f>
        <v>2</v>
      </c>
      <c r="O14" s="16">
        <f>INDEX(O4:O13, MATCH($L$14, L4:L13, 0))</f>
        <v>53.333333333333343</v>
      </c>
      <c r="P14" s="21">
        <f>INDEX(P4:P13, MATCH($L$14, L4:L13, 0))</f>
        <v>0</v>
      </c>
      <c r="Q14" s="21">
        <f>INDEX(Q4:Q13, MATCH($L$14, L4:L13, 0))</f>
        <v>20.17836303327126</v>
      </c>
      <c r="R14" s="21">
        <f>INDEX(R4:R13, MATCH($L$14, L4:L13, 0))</f>
        <v>1125.1374891683536</v>
      </c>
      <c r="S14" s="43" t="e">
        <f>(L14-$D$15)/$D$15</f>
        <v>#DIV/0!</v>
      </c>
      <c r="T14" s="38">
        <f>MIN(T4:T13)</f>
        <v>100169.1266505723</v>
      </c>
      <c r="U14" s="44">
        <f>INDEX(U4:U13, MATCH($T$14, T4:T13, 0))</f>
        <v>6.8546986250003101</v>
      </c>
      <c r="V14" s="38">
        <f>INDEX(V4:V13, MATCH($T$14, T4:T13, 0))</f>
        <v>2</v>
      </c>
      <c r="W14" s="38">
        <f>INDEX(W4:W13, MATCH($T$14, T4:T13, 0))</f>
        <v>60</v>
      </c>
      <c r="X14" s="44">
        <f>INDEX(X4:X13, MATCH($T$14, T4:T13, 0))</f>
        <v>1.1870311559770998</v>
      </c>
      <c r="Y14" s="44">
        <f>INDEX(Y4:Y13, MATCH($T$14, T4:T13, 0))</f>
        <v>44.239537186813706</v>
      </c>
      <c r="Z14" s="44">
        <f>INDEX(Z4:Z13, MATCH($T$14, T4:T13, 0))</f>
        <v>1672.5851592136626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  <row r="33" s="1" customFormat="1" x14ac:dyDescent="0.2"/>
  </sheetData>
  <mergeCells count="1">
    <mergeCell ref="B14:C14"/>
  </mergeCells>
  <conditionalFormatting sqref="C14">
    <cfRule type="duplicateValues" dxfId="89" priority="1"/>
    <cfRule type="duplicateValues" dxfId="88" priority="2"/>
  </conditionalFormatting>
  <conditionalFormatting sqref="C15:C1048576 C1:C13">
    <cfRule type="duplicateValues" dxfId="87" priority="3"/>
    <cfRule type="duplicateValues" dxfId="86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6B70-030A-5749-9695-B4CDB85245BF}">
  <dimension ref="B1:AA33"/>
  <sheetViews>
    <sheetView topLeftCell="L1" zoomScale="118" zoomScaleNormal="120" workbookViewId="0">
      <selection activeCell="L15" sqref="A15:XFD3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-0.83233734925716751</v>
      </c>
      <c r="J2" s="28" t="e">
        <f>(S14-J14)/J14</f>
        <v>#DIV/0!</v>
      </c>
      <c r="K2" s="28"/>
      <c r="L2" s="1" t="s">
        <v>18</v>
      </c>
      <c r="P2" s="1">
        <f>(P14-H14)/H14</f>
        <v>-0.8905770398438394</v>
      </c>
      <c r="R2" s="1">
        <f>(R14-J14)/J14</f>
        <v>-0.17437953427621847</v>
      </c>
      <c r="T2" s="1" t="s">
        <v>19</v>
      </c>
      <c r="X2" s="1">
        <f>(X14-P14)/P14</f>
        <v>-8.3427747614760878E-3</v>
      </c>
      <c r="Z2" s="1">
        <f>(Z14-R14)/R14</f>
        <v>0.16882443802758665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26</v>
      </c>
      <c r="D4" s="23">
        <v>113813.7616361594</v>
      </c>
      <c r="E4" s="33">
        <v>6.558971250000468</v>
      </c>
      <c r="F4" s="5">
        <v>2</v>
      </c>
      <c r="G4" s="23">
        <v>63.333333333333343</v>
      </c>
      <c r="H4" s="33">
        <v>100.17435425558706</v>
      </c>
      <c r="I4" s="23">
        <v>21.113778986905956</v>
      </c>
      <c r="J4" s="5">
        <v>2074.3433503800443</v>
      </c>
      <c r="K4" s="31" t="e">
        <f>(D4-$D$15)/$D$15</f>
        <v>#DIV/0!</v>
      </c>
      <c r="L4" s="23">
        <v>117174.6334947812</v>
      </c>
      <c r="M4" s="33">
        <v>6.8532137500005774</v>
      </c>
      <c r="N4" s="5">
        <v>2</v>
      </c>
      <c r="O4" s="5">
        <v>53.333333333333343</v>
      </c>
      <c r="P4" s="33">
        <v>10.961374374378225</v>
      </c>
      <c r="Q4" s="5">
        <v>16.795497770943275</v>
      </c>
      <c r="R4" s="5">
        <v>1712.6203230118015</v>
      </c>
      <c r="S4" s="42"/>
      <c r="T4" s="23">
        <v>126325.4478474366</v>
      </c>
      <c r="U4" s="33">
        <v>5.7774638750015583</v>
      </c>
      <c r="V4" s="5">
        <v>2</v>
      </c>
      <c r="W4" s="5">
        <v>46.666666666666657</v>
      </c>
      <c r="X4" s="33">
        <v>10.869926096896572</v>
      </c>
      <c r="Y4" s="5">
        <v>20.533987974684706</v>
      </c>
      <c r="Z4" s="5">
        <v>2001.7524865988928</v>
      </c>
      <c r="AA4" s="42"/>
    </row>
    <row r="5" spans="2:27" x14ac:dyDescent="0.2">
      <c r="B5" s="4">
        <v>2</v>
      </c>
      <c r="C5" s="4">
        <v>393</v>
      </c>
      <c r="D5" s="23">
        <v>113813.7616361594</v>
      </c>
      <c r="E5" s="33">
        <v>6.8340037500020117</v>
      </c>
      <c r="F5" s="5">
        <v>2</v>
      </c>
      <c r="G5" s="23">
        <v>63.333333333333343</v>
      </c>
      <c r="H5" s="33">
        <v>100.17435425558706</v>
      </c>
      <c r="I5" s="23">
        <v>21.113778986905956</v>
      </c>
      <c r="J5" s="5">
        <v>2074.3433503800443</v>
      </c>
      <c r="K5" s="31" t="e">
        <f>(D5-$D$15)/$D$15</f>
        <v>#DIV/0!</v>
      </c>
      <c r="L5" s="23">
        <v>117174.6334947812</v>
      </c>
      <c r="M5" s="33">
        <v>6.890254999998433</v>
      </c>
      <c r="N5" s="5">
        <v>2</v>
      </c>
      <c r="O5" s="5">
        <v>53.333333333333343</v>
      </c>
      <c r="P5" s="33">
        <v>10.961374374378225</v>
      </c>
      <c r="Q5" s="5">
        <v>16.795497770943275</v>
      </c>
      <c r="R5" s="5">
        <v>1712.6203230118015</v>
      </c>
      <c r="S5" s="42"/>
      <c r="T5" s="23">
        <v>126325.4478474366</v>
      </c>
      <c r="U5" s="33">
        <v>5.816045416999259</v>
      </c>
      <c r="V5" s="5">
        <v>2</v>
      </c>
      <c r="W5" s="5">
        <v>46.666666666666657</v>
      </c>
      <c r="X5" s="33">
        <v>10.869926096896572</v>
      </c>
      <c r="Y5" s="5">
        <v>20.533987974684706</v>
      </c>
      <c r="Z5" s="5">
        <v>2001.7524865988928</v>
      </c>
      <c r="AA5" s="42"/>
    </row>
    <row r="6" spans="2:27" x14ac:dyDescent="0.2">
      <c r="B6" s="4">
        <v>3</v>
      </c>
      <c r="C6" s="4">
        <v>805</v>
      </c>
      <c r="D6" s="23">
        <v>113813.7616361594</v>
      </c>
      <c r="E6" s="33">
        <v>6.5100812909950037</v>
      </c>
      <c r="F6" s="5">
        <v>2</v>
      </c>
      <c r="G6" s="23">
        <v>63.333333333333343</v>
      </c>
      <c r="H6" s="33">
        <v>100.17435425558706</v>
      </c>
      <c r="I6" s="23">
        <v>21.113778986905956</v>
      </c>
      <c r="J6" s="5">
        <v>2074.3433503800443</v>
      </c>
      <c r="K6" s="31" t="e">
        <f t="shared" ref="K6:K13" si="0">(D6-$D$15)/$D$15</f>
        <v>#DIV/0!</v>
      </c>
      <c r="L6" s="23">
        <v>117174.6334947812</v>
      </c>
      <c r="M6" s="33">
        <v>6.8203279999979713</v>
      </c>
      <c r="N6" s="5">
        <v>2</v>
      </c>
      <c r="O6" s="5">
        <v>53.333333333333343</v>
      </c>
      <c r="P6" s="33">
        <v>10.961374374378225</v>
      </c>
      <c r="Q6" s="5">
        <v>16.795497770943275</v>
      </c>
      <c r="R6" s="5">
        <v>1712.6203230118015</v>
      </c>
      <c r="S6" s="42"/>
      <c r="T6" s="23">
        <v>126325.4478474366</v>
      </c>
      <c r="U6" s="33">
        <v>5.8008801659998426</v>
      </c>
      <c r="V6" s="5">
        <v>2</v>
      </c>
      <c r="W6" s="5">
        <v>46.666666666666657</v>
      </c>
      <c r="X6" s="33">
        <v>10.869926096896572</v>
      </c>
      <c r="Y6" s="5">
        <v>20.533987974684706</v>
      </c>
      <c r="Z6" s="5">
        <v>2001.7524865988928</v>
      </c>
      <c r="AA6" s="42"/>
    </row>
    <row r="7" spans="2:27" x14ac:dyDescent="0.2">
      <c r="B7" s="4">
        <v>4</v>
      </c>
      <c r="C7" s="4">
        <v>535</v>
      </c>
      <c r="D7" s="23">
        <v>113813.7616361594</v>
      </c>
      <c r="E7" s="33">
        <v>6.7630850829955307</v>
      </c>
      <c r="F7" s="5">
        <v>2</v>
      </c>
      <c r="G7" s="23">
        <v>63.333333333333343</v>
      </c>
      <c r="H7" s="33">
        <v>100.17435425558706</v>
      </c>
      <c r="I7" s="23">
        <v>21.113778986905956</v>
      </c>
      <c r="J7" s="5">
        <v>2074.3433503800443</v>
      </c>
      <c r="K7" s="31" t="e">
        <f t="shared" si="0"/>
        <v>#DIV/0!</v>
      </c>
      <c r="L7" s="23">
        <v>117174.6334947812</v>
      </c>
      <c r="M7" s="33">
        <v>7.1059054590004962</v>
      </c>
      <c r="N7" s="5">
        <v>2</v>
      </c>
      <c r="O7" s="5">
        <v>53.333333333333343</v>
      </c>
      <c r="P7" s="33">
        <v>10.961374374378225</v>
      </c>
      <c r="Q7" s="5">
        <v>16.795497770943275</v>
      </c>
      <c r="R7" s="5">
        <v>1712.6203230118015</v>
      </c>
      <c r="S7" s="42"/>
      <c r="T7" s="23">
        <v>126325.4478474366</v>
      </c>
      <c r="U7" s="33">
        <v>5.7871119579976948</v>
      </c>
      <c r="V7" s="5">
        <v>2</v>
      </c>
      <c r="W7" s="5">
        <v>46.666666666666657</v>
      </c>
      <c r="X7" s="33">
        <v>10.869926096896572</v>
      </c>
      <c r="Y7" s="5">
        <v>20.533987974684706</v>
      </c>
      <c r="Z7" s="5">
        <v>2001.7524865988928</v>
      </c>
      <c r="AA7" s="42"/>
    </row>
    <row r="8" spans="2:27" x14ac:dyDescent="0.2">
      <c r="B8" s="4">
        <v>5</v>
      </c>
      <c r="C8" s="4">
        <v>723</v>
      </c>
      <c r="D8" s="23">
        <v>113813.7616361594</v>
      </c>
      <c r="E8" s="33">
        <v>6.6892900840030052</v>
      </c>
      <c r="F8" s="5">
        <v>2</v>
      </c>
      <c r="G8" s="23">
        <v>63.333333333333343</v>
      </c>
      <c r="H8" s="33">
        <v>100.17435425558706</v>
      </c>
      <c r="I8" s="23">
        <v>21.113778986905956</v>
      </c>
      <c r="J8" s="5">
        <v>2074.3433503800443</v>
      </c>
      <c r="K8" s="31" t="e">
        <f t="shared" si="0"/>
        <v>#DIV/0!</v>
      </c>
      <c r="L8" s="23">
        <v>117174.6334947812</v>
      </c>
      <c r="M8" s="33">
        <v>7.1155225410002458</v>
      </c>
      <c r="N8" s="5">
        <v>2</v>
      </c>
      <c r="O8" s="5">
        <v>53.333333333333343</v>
      </c>
      <c r="P8" s="33">
        <v>10.961374374378225</v>
      </c>
      <c r="Q8" s="5">
        <v>16.795497770943275</v>
      </c>
      <c r="R8" s="5">
        <v>1712.6203230118015</v>
      </c>
      <c r="S8" s="42"/>
      <c r="T8" s="23">
        <v>126325.4478474366</v>
      </c>
      <c r="U8" s="33">
        <v>5.931297708000784</v>
      </c>
      <c r="V8" s="5">
        <v>2</v>
      </c>
      <c r="W8" s="5">
        <v>46.666666666666657</v>
      </c>
      <c r="X8" s="33">
        <v>10.869926096896572</v>
      </c>
      <c r="Y8" s="5">
        <v>20.533987974684706</v>
      </c>
      <c r="Z8" s="5">
        <v>2001.7524865988928</v>
      </c>
      <c r="AA8" s="42"/>
    </row>
    <row r="9" spans="2:27" x14ac:dyDescent="0.2">
      <c r="B9" s="4">
        <v>6</v>
      </c>
      <c r="C9" s="4">
        <v>886</v>
      </c>
      <c r="D9" s="23">
        <v>113813.7616361594</v>
      </c>
      <c r="E9" s="33">
        <v>6.703421750004054</v>
      </c>
      <c r="F9" s="5">
        <v>2</v>
      </c>
      <c r="G9" s="23">
        <v>63.333333333333343</v>
      </c>
      <c r="H9" s="33">
        <v>100.17435425558706</v>
      </c>
      <c r="I9" s="23">
        <v>21.113778986905956</v>
      </c>
      <c r="J9" s="5">
        <v>2074.3433503800443</v>
      </c>
      <c r="K9" s="31" t="e">
        <f t="shared" si="0"/>
        <v>#DIV/0!</v>
      </c>
      <c r="L9" s="23">
        <v>117174.6334947812</v>
      </c>
      <c r="M9" s="33">
        <v>6.9135986250003043</v>
      </c>
      <c r="N9" s="5">
        <v>2</v>
      </c>
      <c r="O9" s="5">
        <v>53.333333333333343</v>
      </c>
      <c r="P9" s="33">
        <v>10.961374374378225</v>
      </c>
      <c r="Q9" s="5">
        <v>16.795497770943275</v>
      </c>
      <c r="R9" s="5">
        <v>1712.6203230118015</v>
      </c>
      <c r="S9" s="42"/>
      <c r="T9" s="23">
        <v>126325.4478474366</v>
      </c>
      <c r="U9" s="33">
        <v>5.8944744590007758</v>
      </c>
      <c r="V9" s="5">
        <v>2</v>
      </c>
      <c r="W9" s="5">
        <v>46.666666666666657</v>
      </c>
      <c r="X9" s="33">
        <v>10.869926096896572</v>
      </c>
      <c r="Y9" s="5">
        <v>20.533987974684706</v>
      </c>
      <c r="Z9" s="5">
        <v>2001.7524865988928</v>
      </c>
      <c r="AA9" s="42"/>
    </row>
    <row r="10" spans="2:27" x14ac:dyDescent="0.2">
      <c r="B10" s="4">
        <v>7</v>
      </c>
      <c r="C10" s="4">
        <v>637</v>
      </c>
      <c r="D10" s="23">
        <v>113813.7616361594</v>
      </c>
      <c r="E10" s="33">
        <v>6.6529085000001942</v>
      </c>
      <c r="F10" s="5">
        <v>2</v>
      </c>
      <c r="G10" s="23">
        <v>63.333333333333343</v>
      </c>
      <c r="H10" s="33">
        <v>100.17435425558706</v>
      </c>
      <c r="I10" s="23">
        <v>21.113778986905956</v>
      </c>
      <c r="J10" s="5">
        <v>2074.3433503800443</v>
      </c>
      <c r="K10" s="31" t="e">
        <f t="shared" si="0"/>
        <v>#DIV/0!</v>
      </c>
      <c r="L10" s="23">
        <v>117174.6334947812</v>
      </c>
      <c r="M10" s="33">
        <v>6.8677407920004043</v>
      </c>
      <c r="N10" s="5">
        <v>2</v>
      </c>
      <c r="O10" s="5">
        <v>53.333333333333343</v>
      </c>
      <c r="P10" s="33">
        <v>10.961374374378225</v>
      </c>
      <c r="Q10" s="5">
        <v>16.795497770943275</v>
      </c>
      <c r="R10" s="5">
        <v>1712.6203230118015</v>
      </c>
      <c r="S10" s="42"/>
      <c r="T10" s="23">
        <v>126325.4478474366</v>
      </c>
      <c r="U10" s="33">
        <v>5.9959556659996451</v>
      </c>
      <c r="V10" s="5">
        <v>2</v>
      </c>
      <c r="W10" s="5">
        <v>46.666666666666657</v>
      </c>
      <c r="X10" s="33">
        <v>10.869926096896572</v>
      </c>
      <c r="Y10" s="5">
        <v>20.533987974684706</v>
      </c>
      <c r="Z10" s="5">
        <v>2001.7524865988928</v>
      </c>
      <c r="AA10" s="42"/>
    </row>
    <row r="11" spans="2:27" x14ac:dyDescent="0.2">
      <c r="B11" s="4">
        <v>8</v>
      </c>
      <c r="C11" s="4">
        <v>371</v>
      </c>
      <c r="D11" s="23">
        <v>113813.7616361594</v>
      </c>
      <c r="E11" s="33">
        <v>6.377852666999388</v>
      </c>
      <c r="F11" s="5">
        <v>2</v>
      </c>
      <c r="G11" s="23">
        <v>63.333333333333343</v>
      </c>
      <c r="H11" s="33">
        <v>100.17435425558706</v>
      </c>
      <c r="I11" s="23">
        <v>21.113778986905956</v>
      </c>
      <c r="J11" s="5">
        <v>2074.3433503800443</v>
      </c>
      <c r="K11" s="31" t="e">
        <f t="shared" si="0"/>
        <v>#DIV/0!</v>
      </c>
      <c r="L11" s="23">
        <v>117174.6334947812</v>
      </c>
      <c r="M11" s="33">
        <v>6.9067218339987448</v>
      </c>
      <c r="N11" s="5">
        <v>2</v>
      </c>
      <c r="O11" s="5">
        <v>53.333333333333343</v>
      </c>
      <c r="P11" s="33">
        <v>10.961374374378225</v>
      </c>
      <c r="Q11" s="5">
        <v>16.795497770943275</v>
      </c>
      <c r="R11" s="5">
        <v>1712.6203230118015</v>
      </c>
      <c r="S11" s="42"/>
      <c r="T11" s="23">
        <v>126325.4478474366</v>
      </c>
      <c r="U11" s="33">
        <v>5.9721372079984576</v>
      </c>
      <c r="V11" s="5">
        <v>2</v>
      </c>
      <c r="W11" s="5">
        <v>46.666666666666657</v>
      </c>
      <c r="X11" s="33">
        <v>10.869926096896572</v>
      </c>
      <c r="Y11" s="5">
        <v>20.533987974684706</v>
      </c>
      <c r="Z11" s="5">
        <v>2001.7524865988928</v>
      </c>
      <c r="AA11" s="42"/>
    </row>
    <row r="12" spans="2:27" x14ac:dyDescent="0.2">
      <c r="B12" s="4">
        <v>9</v>
      </c>
      <c r="C12" s="4">
        <v>374</v>
      </c>
      <c r="D12" s="23">
        <v>113813.7616361594</v>
      </c>
      <c r="E12" s="33">
        <v>6.4930856250066427</v>
      </c>
      <c r="F12" s="5">
        <v>2</v>
      </c>
      <c r="G12" s="23">
        <v>63.333333333333343</v>
      </c>
      <c r="H12" s="33">
        <v>100.17435425558706</v>
      </c>
      <c r="I12" s="23">
        <v>21.113778986905956</v>
      </c>
      <c r="J12" s="5">
        <v>2074.3433503800443</v>
      </c>
      <c r="K12" s="31" t="e">
        <f t="shared" si="0"/>
        <v>#DIV/0!</v>
      </c>
      <c r="L12" s="23">
        <v>117174.6334947812</v>
      </c>
      <c r="M12" s="33">
        <v>6.9205809579980269</v>
      </c>
      <c r="N12" s="5">
        <v>2</v>
      </c>
      <c r="O12" s="5">
        <v>53.333333333333343</v>
      </c>
      <c r="P12" s="33">
        <v>10.961374374378225</v>
      </c>
      <c r="Q12" s="5">
        <v>16.795497770943275</v>
      </c>
      <c r="R12" s="5">
        <v>1712.6203230118015</v>
      </c>
      <c r="S12" s="42"/>
      <c r="T12" s="23">
        <v>126325.4478474366</v>
      </c>
      <c r="U12" s="33">
        <v>5.9403961669995624</v>
      </c>
      <c r="V12" s="5">
        <v>2</v>
      </c>
      <c r="W12" s="5">
        <v>46.666666666666657</v>
      </c>
      <c r="X12" s="33">
        <v>10.869926096896572</v>
      </c>
      <c r="Y12" s="5">
        <v>20.533987974684706</v>
      </c>
      <c r="Z12" s="5">
        <v>2001.7524865988928</v>
      </c>
      <c r="AA12" s="42"/>
    </row>
    <row r="13" spans="2:27" x14ac:dyDescent="0.2">
      <c r="B13" s="4">
        <v>10</v>
      </c>
      <c r="C13" s="4">
        <v>21</v>
      </c>
      <c r="D13" s="23">
        <v>113813.7616361594</v>
      </c>
      <c r="E13" s="33">
        <v>6.7536895000012009</v>
      </c>
      <c r="F13" s="5">
        <v>2</v>
      </c>
      <c r="G13" s="23">
        <v>63.333333333333343</v>
      </c>
      <c r="H13" s="33">
        <v>100.17435425558706</v>
      </c>
      <c r="I13" s="23">
        <v>21.113778986905956</v>
      </c>
      <c r="J13" s="5">
        <v>2074.3433503800443</v>
      </c>
      <c r="K13" s="31" t="e">
        <f t="shared" si="0"/>
        <v>#DIV/0!</v>
      </c>
      <c r="L13" s="23">
        <v>117174.6334947812</v>
      </c>
      <c r="M13" s="33">
        <v>6.9302796250012761</v>
      </c>
      <c r="N13" s="5">
        <v>2</v>
      </c>
      <c r="O13" s="5">
        <v>53.333333333333343</v>
      </c>
      <c r="P13" s="33">
        <v>10.961374374378225</v>
      </c>
      <c r="Q13" s="5">
        <v>16.795497770943275</v>
      </c>
      <c r="R13" s="5">
        <v>1712.6203230118015</v>
      </c>
      <c r="S13" s="42"/>
      <c r="T13" s="23">
        <v>126325.4478474366</v>
      </c>
      <c r="U13" s="33">
        <v>5.9268522499987739</v>
      </c>
      <c r="V13" s="5">
        <v>2</v>
      </c>
      <c r="W13" s="5">
        <v>46.666666666666657</v>
      </c>
      <c r="X13" s="33">
        <v>10.869926096896572</v>
      </c>
      <c r="Y13" s="5">
        <v>20.533987974684706</v>
      </c>
      <c r="Z13" s="5">
        <v>2001.7524865988928</v>
      </c>
      <c r="AA13" s="42"/>
    </row>
    <row r="14" spans="2:27" x14ac:dyDescent="0.2">
      <c r="B14" s="46" t="s">
        <v>3</v>
      </c>
      <c r="C14" s="47"/>
      <c r="D14" s="9">
        <f>MIN(D4:D13)</f>
        <v>113813.7616361594</v>
      </c>
      <c r="E14" s="22">
        <f>INDEX(E4:E13, MATCH($D$14, D4:D13, 0))</f>
        <v>6.558971250000468</v>
      </c>
      <c r="F14" s="9">
        <f>INDEX(F4:F13, MATCH($D$14, D4:D13, 0))</f>
        <v>2</v>
      </c>
      <c r="G14" s="9">
        <f>INDEX(G4:G13, MATCH($D$14, D4:D13, 0))</f>
        <v>63.333333333333343</v>
      </c>
      <c r="H14" s="22">
        <f>INDEX(H4:H13, MATCH($D$14, D4:D13, 0))</f>
        <v>100.17435425558706</v>
      </c>
      <c r="I14" s="22">
        <f>INDEX(I4:I13, MATCH($D$14, D4:D13, 0))</f>
        <v>21.113778986905956</v>
      </c>
      <c r="J14" s="22">
        <f>INDEX(J4:J13, MATCH($D$14, D4:D13, 0))</f>
        <v>2074.3433503800443</v>
      </c>
      <c r="K14" s="32" t="e">
        <f>(D14-$D$15)/$D$15</f>
        <v>#DIV/0!</v>
      </c>
      <c r="L14" s="16">
        <f>MIN(L4:L13)</f>
        <v>117174.6334947812</v>
      </c>
      <c r="M14" s="21">
        <f>INDEX(M4:M13, MATCH($L$14, L4:L13, 0))</f>
        <v>6.8532137500005774</v>
      </c>
      <c r="N14" s="16">
        <f>INDEX(N4:N13, MATCH($L$14, L4:L13, 0))</f>
        <v>2</v>
      </c>
      <c r="O14" s="16">
        <f>INDEX(O4:O13, MATCH($L$14, L4:L13, 0))</f>
        <v>53.333333333333343</v>
      </c>
      <c r="P14" s="21">
        <f>INDEX(P4:P13, MATCH($L$14, L4:L13, 0))</f>
        <v>10.961374374378225</v>
      </c>
      <c r="Q14" s="21">
        <f>INDEX(Q4:Q13, MATCH($L$14, L4:L13, 0))</f>
        <v>16.795497770943275</v>
      </c>
      <c r="R14" s="21">
        <f>INDEX(R4:R13, MATCH($L$14, L4:L13, 0))</f>
        <v>1712.6203230118015</v>
      </c>
      <c r="S14" s="43" t="e">
        <f>(L14-$D$15)/$D$15</f>
        <v>#DIV/0!</v>
      </c>
      <c r="T14" s="38">
        <f>MIN(T4:T13)</f>
        <v>126325.4478474366</v>
      </c>
      <c r="U14" s="44">
        <f>INDEX(U4:U13, MATCH($T$14, T4:T13, 0))</f>
        <v>5.7774638750015583</v>
      </c>
      <c r="V14" s="38">
        <f>INDEX(V4:V13, MATCH($T$14, T4:T13, 0))</f>
        <v>2</v>
      </c>
      <c r="W14" s="38">
        <f>INDEX(W4:W13, MATCH($T$14, T4:T13, 0))</f>
        <v>46.666666666666657</v>
      </c>
      <c r="X14" s="44">
        <f>INDEX(X4:X13, MATCH($T$14, T4:T13, 0))</f>
        <v>10.869926096896572</v>
      </c>
      <c r="Y14" s="44">
        <f>INDEX(Y4:Y13, MATCH($T$14, T4:T13, 0))</f>
        <v>20.533987974684706</v>
      </c>
      <c r="Z14" s="44">
        <f>INDEX(Z4:Z13, MATCH($T$14, T4:T13, 0))</f>
        <v>2001.7524865988928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  <row r="33" s="1" customFormat="1" x14ac:dyDescent="0.2"/>
  </sheetData>
  <mergeCells count="1">
    <mergeCell ref="B14:C14"/>
  </mergeCells>
  <conditionalFormatting sqref="C1:C13 C34:C1048576">
    <cfRule type="duplicateValues" dxfId="85" priority="5"/>
    <cfRule type="duplicateValues" dxfId="84" priority="6"/>
  </conditionalFormatting>
  <conditionalFormatting sqref="C14">
    <cfRule type="duplicateValues" dxfId="83" priority="3"/>
    <cfRule type="duplicateValues" dxfId="82" priority="4"/>
  </conditionalFormatting>
  <conditionalFormatting sqref="C15:C33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EE8C-AB99-3647-8944-21C22B127C5B}">
  <dimension ref="B1:AA17"/>
  <sheetViews>
    <sheetView topLeftCell="L1" zoomScale="118" zoomScaleNormal="120" workbookViewId="0">
      <selection activeCell="L15" sqref="A15:XFD3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-0.33720775715575185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-0.32796191651805423</v>
      </c>
      <c r="T2" s="1" t="s">
        <v>19</v>
      </c>
      <c r="X2" s="1" t="e">
        <f>(X14-P14)/P14</f>
        <v>#DIV/0!</v>
      </c>
      <c r="Z2" s="1">
        <f>(Z14-R14)/R14</f>
        <v>0.52364764299975397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421</v>
      </c>
      <c r="D4" s="23">
        <v>103752.5282899922</v>
      </c>
      <c r="E4" s="33">
        <v>7.6396106669999426</v>
      </c>
      <c r="F4" s="5">
        <v>2</v>
      </c>
      <c r="G4" s="23">
        <v>70</v>
      </c>
      <c r="H4" s="33">
        <v>27.631118471939857</v>
      </c>
      <c r="I4" s="23">
        <v>28.009285707232923</v>
      </c>
      <c r="J4" s="5">
        <v>1928.9574404534544</v>
      </c>
      <c r="K4" s="31" t="e">
        <f>(D4-$D$15)/$D$15</f>
        <v>#DIV/0!</v>
      </c>
      <c r="L4" s="23">
        <v>109164.14988951611</v>
      </c>
      <c r="M4" s="33">
        <v>13.6586562909979</v>
      </c>
      <c r="N4" s="5">
        <v>2</v>
      </c>
      <c r="O4" s="5">
        <v>53.333333333333343</v>
      </c>
      <c r="P4" s="33">
        <v>0</v>
      </c>
      <c r="Q4" s="5">
        <v>18.313690984312153</v>
      </c>
      <c r="R4" s="5">
        <v>1296.3328614005791</v>
      </c>
      <c r="S4" s="42"/>
      <c r="T4" s="23">
        <v>115233.51058649149</v>
      </c>
      <c r="U4" s="33">
        <v>6.8038574170022912</v>
      </c>
      <c r="V4" s="5">
        <v>2</v>
      </c>
      <c r="W4" s="5">
        <v>56.666666666666657</v>
      </c>
      <c r="X4" s="33">
        <v>19.684592059607908</v>
      </c>
      <c r="Y4" s="5">
        <v>35.028409661464899</v>
      </c>
      <c r="Z4" s="5">
        <v>1975.154508816119</v>
      </c>
      <c r="AA4" s="42"/>
    </row>
    <row r="5" spans="2:27" x14ac:dyDescent="0.2">
      <c r="B5" s="4">
        <v>2</v>
      </c>
      <c r="C5" s="4">
        <v>81</v>
      </c>
      <c r="D5" s="23">
        <v>103752.5282899922</v>
      </c>
      <c r="E5" s="33">
        <v>7.8164489579939982</v>
      </c>
      <c r="F5" s="5">
        <v>2</v>
      </c>
      <c r="G5" s="23">
        <v>70</v>
      </c>
      <c r="H5" s="33">
        <v>27.631118471939857</v>
      </c>
      <c r="I5" s="23">
        <v>28.009285707232923</v>
      </c>
      <c r="J5" s="5">
        <v>1928.9574404534544</v>
      </c>
      <c r="K5" s="31" t="e">
        <f>(D5-$D$15)/$D$15</f>
        <v>#DIV/0!</v>
      </c>
      <c r="L5" s="23">
        <v>109164.14988951611</v>
      </c>
      <c r="M5" s="33">
        <v>6.9361161250017176</v>
      </c>
      <c r="N5" s="5">
        <v>2</v>
      </c>
      <c r="O5" s="5">
        <v>53.333333333333343</v>
      </c>
      <c r="P5" s="33">
        <v>0</v>
      </c>
      <c r="Q5" s="5">
        <v>18.313690984312153</v>
      </c>
      <c r="R5" s="5">
        <v>1296.3328614005791</v>
      </c>
      <c r="S5" s="42"/>
      <c r="T5" s="23">
        <v>115233.51058649149</v>
      </c>
      <c r="U5" s="33">
        <v>6.8568092500026978</v>
      </c>
      <c r="V5" s="5">
        <v>2</v>
      </c>
      <c r="W5" s="5">
        <v>56.666666666666657</v>
      </c>
      <c r="X5" s="33">
        <v>19.684592059607908</v>
      </c>
      <c r="Y5" s="5">
        <v>35.028409661464899</v>
      </c>
      <c r="Z5" s="5">
        <v>1975.154508816119</v>
      </c>
      <c r="AA5" s="42"/>
    </row>
    <row r="6" spans="2:27" x14ac:dyDescent="0.2">
      <c r="B6" s="4">
        <v>3</v>
      </c>
      <c r="C6" s="4">
        <v>551</v>
      </c>
      <c r="D6" s="23">
        <v>110966.3553235867</v>
      </c>
      <c r="E6" s="33">
        <v>7.1211067080002977</v>
      </c>
      <c r="F6" s="5">
        <v>2</v>
      </c>
      <c r="G6" s="23">
        <v>63.333333333333343</v>
      </c>
      <c r="H6" s="33">
        <v>30.539657258459844</v>
      </c>
      <c r="I6" s="23">
        <v>25.890470105346139</v>
      </c>
      <c r="J6" s="5">
        <v>2053.5580081054272</v>
      </c>
      <c r="K6" s="31" t="e">
        <f t="shared" ref="K6:K13" si="0">(D6-$D$15)/$D$15</f>
        <v>#DIV/0!</v>
      </c>
      <c r="L6" s="23">
        <v>116936.16017662889</v>
      </c>
      <c r="M6" s="33">
        <v>7.3061324590016739</v>
      </c>
      <c r="N6" s="5">
        <v>2</v>
      </c>
      <c r="O6" s="5">
        <v>46.666666666666657</v>
      </c>
      <c r="P6" s="33">
        <v>0</v>
      </c>
      <c r="Q6" s="5">
        <v>16.497754617589329</v>
      </c>
      <c r="R6" s="5">
        <v>1379.6001746728923</v>
      </c>
      <c r="S6" s="42"/>
      <c r="T6" s="23">
        <v>120758.5208489159</v>
      </c>
      <c r="U6" s="33">
        <v>6.372494999999617</v>
      </c>
      <c r="V6" s="5">
        <v>2</v>
      </c>
      <c r="W6" s="5">
        <v>50</v>
      </c>
      <c r="X6" s="33">
        <v>20.234808651157135</v>
      </c>
      <c r="Y6" s="5">
        <v>27.559834358761783</v>
      </c>
      <c r="Z6" s="5">
        <v>1935.561774334466</v>
      </c>
      <c r="AA6" s="42"/>
    </row>
    <row r="7" spans="2:27" x14ac:dyDescent="0.2">
      <c r="B7" s="4">
        <v>4</v>
      </c>
      <c r="C7" s="4">
        <v>604</v>
      </c>
      <c r="D7" s="23">
        <v>103752.5282899922</v>
      </c>
      <c r="E7" s="33">
        <v>7.7869384170044214</v>
      </c>
      <c r="F7" s="5">
        <v>2</v>
      </c>
      <c r="G7" s="23">
        <v>70</v>
      </c>
      <c r="H7" s="33">
        <v>27.631118471939857</v>
      </c>
      <c r="I7" s="23">
        <v>28.009285707232923</v>
      </c>
      <c r="J7" s="5">
        <v>1928.9574404534544</v>
      </c>
      <c r="K7" s="31" t="e">
        <f t="shared" si="0"/>
        <v>#DIV/0!</v>
      </c>
      <c r="L7" s="23">
        <v>109164.14988951611</v>
      </c>
      <c r="M7" s="33">
        <v>6.8823924999996962</v>
      </c>
      <c r="N7" s="5">
        <v>2</v>
      </c>
      <c r="O7" s="5">
        <v>53.333333333333343</v>
      </c>
      <c r="P7" s="33">
        <v>0</v>
      </c>
      <c r="Q7" s="5">
        <v>18.313690984312153</v>
      </c>
      <c r="R7" s="5">
        <v>1296.3328614005791</v>
      </c>
      <c r="S7" s="42"/>
      <c r="T7" s="23">
        <v>115233.51058649149</v>
      </c>
      <c r="U7" s="33">
        <v>6.9378834579983959</v>
      </c>
      <c r="V7" s="5">
        <v>2</v>
      </c>
      <c r="W7" s="5">
        <v>56.666666666666657</v>
      </c>
      <c r="X7" s="33">
        <v>19.684592059607908</v>
      </c>
      <c r="Y7" s="5">
        <v>35.028409661464899</v>
      </c>
      <c r="Z7" s="5">
        <v>1975.154508816119</v>
      </c>
      <c r="AA7" s="42"/>
    </row>
    <row r="8" spans="2:27" x14ac:dyDescent="0.2">
      <c r="B8" s="4">
        <v>5</v>
      </c>
      <c r="C8" s="4">
        <v>709</v>
      </c>
      <c r="D8" s="23">
        <v>103752.5282899922</v>
      </c>
      <c r="E8" s="33">
        <v>7.7412909999984549</v>
      </c>
      <c r="F8" s="5">
        <v>2</v>
      </c>
      <c r="G8" s="23">
        <v>70</v>
      </c>
      <c r="H8" s="33">
        <v>27.631118471939857</v>
      </c>
      <c r="I8" s="23">
        <v>28.009285707232923</v>
      </c>
      <c r="J8" s="5">
        <v>1928.9574404534544</v>
      </c>
      <c r="K8" s="31" t="e">
        <f t="shared" si="0"/>
        <v>#DIV/0!</v>
      </c>
      <c r="L8" s="23">
        <v>109164.14988951611</v>
      </c>
      <c r="M8" s="33">
        <v>6.8614471670007333</v>
      </c>
      <c r="N8" s="5">
        <v>2</v>
      </c>
      <c r="O8" s="5">
        <v>53.333333333333343</v>
      </c>
      <c r="P8" s="33">
        <v>0</v>
      </c>
      <c r="Q8" s="5">
        <v>18.313690984312153</v>
      </c>
      <c r="R8" s="5">
        <v>1296.3328614005791</v>
      </c>
      <c r="S8" s="42"/>
      <c r="T8" s="23">
        <v>115233.51058649149</v>
      </c>
      <c r="U8" s="33">
        <v>6.94201408400113</v>
      </c>
      <c r="V8" s="5">
        <v>2</v>
      </c>
      <c r="W8" s="5">
        <v>56.666666666666657</v>
      </c>
      <c r="X8" s="33">
        <v>19.684592059607908</v>
      </c>
      <c r="Y8" s="5">
        <v>35.028409661464899</v>
      </c>
      <c r="Z8" s="5">
        <v>1975.154508816119</v>
      </c>
      <c r="AA8" s="42"/>
    </row>
    <row r="9" spans="2:27" x14ac:dyDescent="0.2">
      <c r="B9" s="4">
        <v>6</v>
      </c>
      <c r="C9" s="4">
        <v>713</v>
      </c>
      <c r="D9" s="23">
        <v>110966.3553235867</v>
      </c>
      <c r="E9" s="33">
        <v>7.1175443329993868</v>
      </c>
      <c r="F9" s="5">
        <v>2</v>
      </c>
      <c r="G9" s="23">
        <v>63.333333333333343</v>
      </c>
      <c r="H9" s="33">
        <v>30.539657258459844</v>
      </c>
      <c r="I9" s="23">
        <v>25.890470105346139</v>
      </c>
      <c r="J9" s="5">
        <v>2053.5580081054272</v>
      </c>
      <c r="K9" s="31" t="e">
        <f t="shared" si="0"/>
        <v>#DIV/0!</v>
      </c>
      <c r="L9" s="23">
        <v>116971.31427767201</v>
      </c>
      <c r="M9" s="33">
        <v>7.3637252920016181</v>
      </c>
      <c r="N9" s="5">
        <v>2</v>
      </c>
      <c r="O9" s="5">
        <v>50</v>
      </c>
      <c r="P9" s="33">
        <v>32.729728493573184</v>
      </c>
      <c r="Q9" s="5">
        <v>19.254811610183509</v>
      </c>
      <c r="R9" s="5">
        <v>1568.211103642818</v>
      </c>
      <c r="S9" s="42"/>
      <c r="T9" s="23">
        <v>120758.5208489159</v>
      </c>
      <c r="U9" s="33">
        <v>6.3041703329981829</v>
      </c>
      <c r="V9" s="5">
        <v>2</v>
      </c>
      <c r="W9" s="5">
        <v>50</v>
      </c>
      <c r="X9" s="33">
        <v>20.234808651157135</v>
      </c>
      <c r="Y9" s="5">
        <v>27.559834358761783</v>
      </c>
      <c r="Z9" s="5">
        <v>1935.561774334466</v>
      </c>
      <c r="AA9" s="42"/>
    </row>
    <row r="10" spans="2:27" x14ac:dyDescent="0.2">
      <c r="B10" s="4">
        <v>7</v>
      </c>
      <c r="C10" s="4">
        <v>782</v>
      </c>
      <c r="D10" s="23">
        <v>103752.5282899922</v>
      </c>
      <c r="E10" s="33">
        <v>7.8854757079971023</v>
      </c>
      <c r="F10" s="5">
        <v>2</v>
      </c>
      <c r="G10" s="23">
        <v>70</v>
      </c>
      <c r="H10" s="33">
        <v>27.631118471939857</v>
      </c>
      <c r="I10" s="23">
        <v>28.009285707232923</v>
      </c>
      <c r="J10" s="5">
        <v>1928.9574404534544</v>
      </c>
      <c r="K10" s="31" t="e">
        <f t="shared" si="0"/>
        <v>#DIV/0!</v>
      </c>
      <c r="L10" s="23">
        <v>109572.4270629766</v>
      </c>
      <c r="M10" s="33">
        <v>6.9436584169998241</v>
      </c>
      <c r="N10" s="5">
        <v>2</v>
      </c>
      <c r="O10" s="5">
        <v>53.333333333333343</v>
      </c>
      <c r="P10" s="33">
        <v>0</v>
      </c>
      <c r="Q10" s="5">
        <v>18.074104401083876</v>
      </c>
      <c r="R10" s="5">
        <v>1315.6494575162271</v>
      </c>
      <c r="S10" s="42"/>
      <c r="T10" s="23">
        <v>115233.51058649149</v>
      </c>
      <c r="U10" s="33">
        <v>6.8323962499998743</v>
      </c>
      <c r="V10" s="5">
        <v>2</v>
      </c>
      <c r="W10" s="5">
        <v>56.666666666666657</v>
      </c>
      <c r="X10" s="33">
        <v>19.684592059607908</v>
      </c>
      <c r="Y10" s="5">
        <v>35.028409661464899</v>
      </c>
      <c r="Z10" s="5">
        <v>1975.154508816119</v>
      </c>
      <c r="AA10" s="42"/>
    </row>
    <row r="11" spans="2:27" x14ac:dyDescent="0.2">
      <c r="B11" s="4">
        <v>8</v>
      </c>
      <c r="C11" s="4">
        <v>817</v>
      </c>
      <c r="D11" s="23">
        <v>103752.5282899922</v>
      </c>
      <c r="E11" s="33">
        <v>7.5796806250000373</v>
      </c>
      <c r="F11" s="5">
        <v>2</v>
      </c>
      <c r="G11" s="23">
        <v>70</v>
      </c>
      <c r="H11" s="33">
        <v>27.631118471939857</v>
      </c>
      <c r="I11" s="23">
        <v>28.009285707232923</v>
      </c>
      <c r="J11" s="5">
        <v>1928.9574404534544</v>
      </c>
      <c r="K11" s="31" t="e">
        <f t="shared" si="0"/>
        <v>#DIV/0!</v>
      </c>
      <c r="L11" s="23">
        <v>109164.14988951611</v>
      </c>
      <c r="M11" s="33">
        <v>6.7961842909971892</v>
      </c>
      <c r="N11" s="5">
        <v>2</v>
      </c>
      <c r="O11" s="5">
        <v>53.333333333333343</v>
      </c>
      <c r="P11" s="33">
        <v>0</v>
      </c>
      <c r="Q11" s="5">
        <v>18.313690984312153</v>
      </c>
      <c r="R11" s="5">
        <v>1296.3328614005791</v>
      </c>
      <c r="S11" s="42"/>
      <c r="T11" s="23">
        <v>115233.51058649149</v>
      </c>
      <c r="U11" s="33">
        <v>6.8471901250013616</v>
      </c>
      <c r="V11" s="5">
        <v>2</v>
      </c>
      <c r="W11" s="5">
        <v>56.666666666666657</v>
      </c>
      <c r="X11" s="33">
        <v>19.684592059607908</v>
      </c>
      <c r="Y11" s="5">
        <v>35.028409661464899</v>
      </c>
      <c r="Z11" s="5">
        <v>1975.154508816119</v>
      </c>
      <c r="AA11" s="42"/>
    </row>
    <row r="12" spans="2:27" x14ac:dyDescent="0.2">
      <c r="B12" s="4">
        <v>9</v>
      </c>
      <c r="C12" s="4">
        <v>965</v>
      </c>
      <c r="D12" s="23">
        <v>103752.5282899922</v>
      </c>
      <c r="E12" s="33">
        <v>7.6778011249989504</v>
      </c>
      <c r="F12" s="5">
        <v>2</v>
      </c>
      <c r="G12" s="23">
        <v>70</v>
      </c>
      <c r="H12" s="33">
        <v>27.631118471939857</v>
      </c>
      <c r="I12" s="23">
        <v>28.009285707232923</v>
      </c>
      <c r="J12" s="5">
        <v>1928.9574404534544</v>
      </c>
      <c r="K12" s="31" t="e">
        <f t="shared" si="0"/>
        <v>#DIV/0!</v>
      </c>
      <c r="L12" s="23">
        <v>109164.14988951611</v>
      </c>
      <c r="M12" s="33">
        <v>7.0147699169974658</v>
      </c>
      <c r="N12" s="5">
        <v>2</v>
      </c>
      <c r="O12" s="5">
        <v>53.333333333333343</v>
      </c>
      <c r="P12" s="33">
        <v>0</v>
      </c>
      <c r="Q12" s="5">
        <v>18.313690984312153</v>
      </c>
      <c r="R12" s="5">
        <v>1296.3328614005791</v>
      </c>
      <c r="S12" s="42"/>
      <c r="T12" s="23">
        <v>115233.51058649149</v>
      </c>
      <c r="U12" s="33">
        <v>7.0359217500008526</v>
      </c>
      <c r="V12" s="5">
        <v>2</v>
      </c>
      <c r="W12" s="5">
        <v>56.666666666666657</v>
      </c>
      <c r="X12" s="33">
        <v>19.684592059607908</v>
      </c>
      <c r="Y12" s="5">
        <v>35.028409661464899</v>
      </c>
      <c r="Z12" s="5">
        <v>1975.154508816119</v>
      </c>
      <c r="AA12" s="42"/>
    </row>
    <row r="13" spans="2:27" x14ac:dyDescent="0.2">
      <c r="B13" s="4">
        <v>10</v>
      </c>
      <c r="C13" s="4">
        <v>206</v>
      </c>
      <c r="D13" s="23">
        <v>103752.5282899922</v>
      </c>
      <c r="E13" s="33">
        <v>7.5868238330003814</v>
      </c>
      <c r="F13" s="5">
        <v>2</v>
      </c>
      <c r="G13" s="23">
        <v>70</v>
      </c>
      <c r="H13" s="33">
        <v>27.631118471939857</v>
      </c>
      <c r="I13" s="23">
        <v>28.009285707232923</v>
      </c>
      <c r="J13" s="5">
        <v>1928.9574404534544</v>
      </c>
      <c r="K13" s="31" t="e">
        <f t="shared" si="0"/>
        <v>#DIV/0!</v>
      </c>
      <c r="L13" s="23">
        <v>109572.4270629766</v>
      </c>
      <c r="M13" s="33">
        <v>6.9701585420007177</v>
      </c>
      <c r="N13" s="5">
        <v>2</v>
      </c>
      <c r="O13" s="5">
        <v>53.333333333333343</v>
      </c>
      <c r="P13" s="33">
        <v>0</v>
      </c>
      <c r="Q13" s="5">
        <v>18.074104401083876</v>
      </c>
      <c r="R13" s="5">
        <v>1315.6494575162271</v>
      </c>
      <c r="S13" s="42"/>
      <c r="T13" s="23">
        <v>115233.51058649149</v>
      </c>
      <c r="U13" s="33">
        <v>7.064344374997745</v>
      </c>
      <c r="V13" s="5">
        <v>2</v>
      </c>
      <c r="W13" s="5">
        <v>56.666666666666657</v>
      </c>
      <c r="X13" s="33">
        <v>19.684592059607908</v>
      </c>
      <c r="Y13" s="5">
        <v>35.028409661464899</v>
      </c>
      <c r="Z13" s="5">
        <v>1975.154508816119</v>
      </c>
      <c r="AA13" s="42"/>
    </row>
    <row r="14" spans="2:27" x14ac:dyDescent="0.2">
      <c r="B14" s="46" t="s">
        <v>3</v>
      </c>
      <c r="C14" s="47"/>
      <c r="D14" s="9">
        <f>MIN(D4:D13)</f>
        <v>103752.5282899922</v>
      </c>
      <c r="E14" s="22">
        <f>INDEX(E4:E13, MATCH($D$14, D4:D13, 0))</f>
        <v>7.6396106669999426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27.631118471939857</v>
      </c>
      <c r="I14" s="22">
        <f>INDEX(I4:I13, MATCH($D$14, D4:D13, 0))</f>
        <v>28.009285707232923</v>
      </c>
      <c r="J14" s="22">
        <f>INDEX(J4:J13, MATCH($D$14, D4:D13, 0))</f>
        <v>1928.9574404534544</v>
      </c>
      <c r="K14" s="32" t="e">
        <f>(D14-$D$15)/$D$15</f>
        <v>#DIV/0!</v>
      </c>
      <c r="L14" s="16">
        <f>MIN(L4:L13)</f>
        <v>109164.14988951611</v>
      </c>
      <c r="M14" s="21">
        <f>INDEX(M4:M13, MATCH($L$14, L4:L13, 0))</f>
        <v>13.6586562909979</v>
      </c>
      <c r="N14" s="16">
        <f>INDEX(N4:N13, MATCH($L$14, L4:L13, 0))</f>
        <v>2</v>
      </c>
      <c r="O14" s="16">
        <f>INDEX(O4:O13, MATCH($L$14, L4:L13, 0))</f>
        <v>53.333333333333343</v>
      </c>
      <c r="P14" s="21">
        <f>INDEX(P4:P13, MATCH($L$14, L4:L13, 0))</f>
        <v>0</v>
      </c>
      <c r="Q14" s="21">
        <f>INDEX(Q4:Q13, MATCH($L$14, L4:L13, 0))</f>
        <v>18.313690984312153</v>
      </c>
      <c r="R14" s="21">
        <f>INDEX(R4:R13, MATCH($L$14, L4:L13, 0))</f>
        <v>1296.3328614005791</v>
      </c>
      <c r="S14" s="43" t="e">
        <f>(L14-$D$15)/$D$15</f>
        <v>#DIV/0!</v>
      </c>
      <c r="T14" s="38">
        <f>MIN(T4:T13)</f>
        <v>115233.51058649149</v>
      </c>
      <c r="U14" s="44">
        <f>INDEX(U4:U13, MATCH($T$14, T4:T13, 0))</f>
        <v>6.8038574170022912</v>
      </c>
      <c r="V14" s="38">
        <f>INDEX(V4:V13, MATCH($T$14, T4:T13, 0))</f>
        <v>2</v>
      </c>
      <c r="W14" s="38">
        <f>INDEX(W4:W13, MATCH($T$14, T4:T13, 0))</f>
        <v>56.666666666666657</v>
      </c>
      <c r="X14" s="44">
        <f>INDEX(X4:X13, MATCH($T$14, T4:T13, 0))</f>
        <v>19.684592059607908</v>
      </c>
      <c r="Y14" s="44">
        <f>INDEX(Y4:Y13, MATCH($T$14, T4:T13, 0))</f>
        <v>35.028409661464899</v>
      </c>
      <c r="Z14" s="44">
        <f>INDEX(Z4:Z13, MATCH($T$14, T4:T13, 0))</f>
        <v>1975.154508816119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4:C1048576">
    <cfRule type="duplicateValues" dxfId="81" priority="5"/>
    <cfRule type="duplicateValues" dxfId="80" priority="6"/>
  </conditionalFormatting>
  <conditionalFormatting sqref="C14">
    <cfRule type="duplicateValues" dxfId="79" priority="3"/>
    <cfRule type="duplicateValues" dxfId="78" priority="4"/>
  </conditionalFormatting>
  <conditionalFormatting sqref="C15:C33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41337-99EB-9545-909D-BA1CD7CF16CF}">
  <dimension ref="B1:AA17"/>
  <sheetViews>
    <sheetView topLeftCell="L1" zoomScale="118" zoomScaleNormal="120" workbookViewId="0">
      <selection activeCell="L15" sqref="A15:XFD3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-0.50965573691326282</v>
      </c>
      <c r="J2" s="28" t="e">
        <f>(S14-J14)/J14</f>
        <v>#DIV/0!</v>
      </c>
      <c r="K2" s="28"/>
      <c r="L2" s="1" t="s">
        <v>18</v>
      </c>
      <c r="P2" s="1">
        <f>(P14-H14)/H14</f>
        <v>-6.1652995637084568E-2</v>
      </c>
      <c r="R2" s="1">
        <f>(R14-J14)/J14</f>
        <v>-0.11451828106238188</v>
      </c>
      <c r="T2" s="1" t="s">
        <v>19</v>
      </c>
      <c r="X2" s="1">
        <f>(X14-P14)/P14</f>
        <v>-0.32412444325924944</v>
      </c>
      <c r="Z2" s="1">
        <f>(Z14-R14)/R14</f>
        <v>0.38927512163764755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150</v>
      </c>
      <c r="D4" s="23">
        <v>96622.86191609918</v>
      </c>
      <c r="E4" s="33">
        <v>9.620711042000039</v>
      </c>
      <c r="F4" s="5">
        <v>3</v>
      </c>
      <c r="G4" s="23">
        <v>90</v>
      </c>
      <c r="H4" s="33">
        <v>45.802469965880981</v>
      </c>
      <c r="I4" s="23">
        <v>27.408422846018102</v>
      </c>
      <c r="J4" s="5">
        <v>2026.3803331049116</v>
      </c>
      <c r="K4" s="31" t="e">
        <f>(D4-$D$15)/$D$15</f>
        <v>#DIV/0!</v>
      </c>
      <c r="L4" s="23">
        <v>103404.773203194</v>
      </c>
      <c r="M4" s="33">
        <v>8.6464607919988339</v>
      </c>
      <c r="N4" s="5">
        <v>3</v>
      </c>
      <c r="O4" s="5">
        <v>76.666666666666671</v>
      </c>
      <c r="P4" s="33">
        <v>42.978610484906824</v>
      </c>
      <c r="Q4" s="5">
        <v>22.458978382972322</v>
      </c>
      <c r="R4" s="5">
        <v>1794.3227405791204</v>
      </c>
      <c r="S4" s="42"/>
      <c r="T4" s="23">
        <v>119042.02341859241</v>
      </c>
      <c r="U4" s="33">
        <v>8.0326879999993253</v>
      </c>
      <c r="V4" s="5">
        <v>3</v>
      </c>
      <c r="W4" s="5">
        <v>70</v>
      </c>
      <c r="X4" s="33">
        <v>29.048192289430258</v>
      </c>
      <c r="Y4" s="5">
        <v>37.097635565935263</v>
      </c>
      <c r="Z4" s="5">
        <v>2492.8079436752546</v>
      </c>
      <c r="AA4" s="42"/>
    </row>
    <row r="5" spans="2:27" x14ac:dyDescent="0.2">
      <c r="B5" s="4">
        <v>2</v>
      </c>
      <c r="C5" s="4">
        <v>286</v>
      </c>
      <c r="D5" s="23">
        <v>96622.86191609918</v>
      </c>
      <c r="E5" s="33">
        <v>11.26043379199837</v>
      </c>
      <c r="F5" s="5">
        <v>3</v>
      </c>
      <c r="G5" s="23">
        <v>90</v>
      </c>
      <c r="H5" s="33">
        <v>45.802469965880981</v>
      </c>
      <c r="I5" s="23">
        <v>27.408422846018102</v>
      </c>
      <c r="J5" s="5">
        <v>2026.3803331049116</v>
      </c>
      <c r="K5" s="31" t="e">
        <f>(D5-$D$15)/$D$15</f>
        <v>#DIV/0!</v>
      </c>
      <c r="L5" s="23">
        <v>103404.773203194</v>
      </c>
      <c r="M5" s="33">
        <v>10.48767608300113</v>
      </c>
      <c r="N5" s="5">
        <v>3</v>
      </c>
      <c r="O5" s="5">
        <v>76.666666666666671</v>
      </c>
      <c r="P5" s="33">
        <v>42.978610484906824</v>
      </c>
      <c r="Q5" s="5">
        <v>22.458978382972322</v>
      </c>
      <c r="R5" s="5">
        <v>1794.3227405791204</v>
      </c>
      <c r="S5" s="42"/>
      <c r="T5" s="23">
        <v>119042.02341859241</v>
      </c>
      <c r="U5" s="33">
        <v>9.5776833340023586</v>
      </c>
      <c r="V5" s="5">
        <v>3</v>
      </c>
      <c r="W5" s="5">
        <v>70</v>
      </c>
      <c r="X5" s="33">
        <v>29.048192289430258</v>
      </c>
      <c r="Y5" s="5">
        <v>37.097635565935263</v>
      </c>
      <c r="Z5" s="5">
        <v>2492.8079436752546</v>
      </c>
      <c r="AA5" s="42"/>
    </row>
    <row r="6" spans="2:27" x14ac:dyDescent="0.2">
      <c r="B6" s="4">
        <v>3</v>
      </c>
      <c r="C6" s="4">
        <v>303</v>
      </c>
      <c r="D6" s="23">
        <v>96622.86191609918</v>
      </c>
      <c r="E6" s="33">
        <v>9.7394673339949804</v>
      </c>
      <c r="F6" s="5">
        <v>3</v>
      </c>
      <c r="G6" s="23">
        <v>90</v>
      </c>
      <c r="H6" s="33">
        <v>45.802469965880981</v>
      </c>
      <c r="I6" s="23">
        <v>27.408422846018102</v>
      </c>
      <c r="J6" s="5">
        <v>2026.3803331049116</v>
      </c>
      <c r="K6" s="31" t="e">
        <f t="shared" ref="K6:K13" si="0">(D6-$D$15)/$D$15</f>
        <v>#DIV/0!</v>
      </c>
      <c r="L6" s="23">
        <v>103867.7529601126</v>
      </c>
      <c r="M6" s="33">
        <v>8.955541915998765</v>
      </c>
      <c r="N6" s="5">
        <v>3</v>
      </c>
      <c r="O6" s="5">
        <v>76.666666666666671</v>
      </c>
      <c r="P6" s="33">
        <v>44.988969445437185</v>
      </c>
      <c r="Q6" s="5">
        <v>22.263806076980426</v>
      </c>
      <c r="R6" s="5">
        <v>1846.3419488215829</v>
      </c>
      <c r="S6" s="42"/>
      <c r="T6" s="23">
        <v>119042.02341859241</v>
      </c>
      <c r="U6" s="33">
        <v>8.7747120830026688</v>
      </c>
      <c r="V6" s="5">
        <v>3</v>
      </c>
      <c r="W6" s="5">
        <v>70</v>
      </c>
      <c r="X6" s="33">
        <v>29.048192289430258</v>
      </c>
      <c r="Y6" s="5">
        <v>37.097635565935263</v>
      </c>
      <c r="Z6" s="5">
        <v>2492.8079436752546</v>
      </c>
      <c r="AA6" s="42"/>
    </row>
    <row r="7" spans="2:27" x14ac:dyDescent="0.2">
      <c r="B7" s="4">
        <v>4</v>
      </c>
      <c r="C7" s="4">
        <v>315</v>
      </c>
      <c r="D7" s="23">
        <v>96622.86191609918</v>
      </c>
      <c r="E7" s="33">
        <v>9.7378552910013241</v>
      </c>
      <c r="F7" s="5">
        <v>3</v>
      </c>
      <c r="G7" s="23">
        <v>90</v>
      </c>
      <c r="H7" s="33">
        <v>45.802469965880981</v>
      </c>
      <c r="I7" s="23">
        <v>27.408422846018102</v>
      </c>
      <c r="J7" s="5">
        <v>2026.3803331049116</v>
      </c>
      <c r="K7" s="31" t="e">
        <f t="shared" si="0"/>
        <v>#DIV/0!</v>
      </c>
      <c r="L7" s="23">
        <v>103867.7529601126</v>
      </c>
      <c r="M7" s="33">
        <v>8.9923702910018619</v>
      </c>
      <c r="N7" s="5">
        <v>3</v>
      </c>
      <c r="O7" s="5">
        <v>76.666666666666671</v>
      </c>
      <c r="P7" s="33">
        <v>44.988969445437185</v>
      </c>
      <c r="Q7" s="5">
        <v>22.263806076980426</v>
      </c>
      <c r="R7" s="5">
        <v>1846.3419488215829</v>
      </c>
      <c r="S7" s="42"/>
      <c r="T7" s="23">
        <v>119042.02341859241</v>
      </c>
      <c r="U7" s="33">
        <v>8.183350999999675</v>
      </c>
      <c r="V7" s="5">
        <v>3</v>
      </c>
      <c r="W7" s="5">
        <v>70</v>
      </c>
      <c r="X7" s="33">
        <v>29.048192289430258</v>
      </c>
      <c r="Y7" s="5">
        <v>37.097635565935263</v>
      </c>
      <c r="Z7" s="5">
        <v>2492.8079436752546</v>
      </c>
      <c r="AA7" s="42"/>
    </row>
    <row r="8" spans="2:27" x14ac:dyDescent="0.2">
      <c r="B8" s="4">
        <v>5</v>
      </c>
      <c r="C8" s="4">
        <v>377</v>
      </c>
      <c r="D8" s="23">
        <v>96622.86191609918</v>
      </c>
      <c r="E8" s="33">
        <v>11.41022395899927</v>
      </c>
      <c r="F8" s="5">
        <v>3</v>
      </c>
      <c r="G8" s="23">
        <v>90</v>
      </c>
      <c r="H8" s="33">
        <v>45.802469965880981</v>
      </c>
      <c r="I8" s="23">
        <v>27.408422846018102</v>
      </c>
      <c r="J8" s="5">
        <v>2026.3803331049116</v>
      </c>
      <c r="K8" s="31" t="e">
        <f t="shared" si="0"/>
        <v>#DIV/0!</v>
      </c>
      <c r="L8" s="23">
        <v>103867.7529601126</v>
      </c>
      <c r="M8" s="33">
        <v>10.113839958001339</v>
      </c>
      <c r="N8" s="5">
        <v>3</v>
      </c>
      <c r="O8" s="5">
        <v>76.666666666666671</v>
      </c>
      <c r="P8" s="33">
        <v>44.988969445437185</v>
      </c>
      <c r="Q8" s="5">
        <v>22.263806076980426</v>
      </c>
      <c r="R8" s="5">
        <v>1846.3419488215829</v>
      </c>
      <c r="S8" s="42"/>
      <c r="T8" s="23">
        <v>119042.02341859241</v>
      </c>
      <c r="U8" s="33">
        <v>9.5845071660005488</v>
      </c>
      <c r="V8" s="5">
        <v>3</v>
      </c>
      <c r="W8" s="5">
        <v>70</v>
      </c>
      <c r="X8" s="33">
        <v>29.048192289430258</v>
      </c>
      <c r="Y8" s="5">
        <v>37.097635565935263</v>
      </c>
      <c r="Z8" s="5">
        <v>2492.8079436752546</v>
      </c>
      <c r="AA8" s="42"/>
    </row>
    <row r="9" spans="2:27" x14ac:dyDescent="0.2">
      <c r="B9" s="4">
        <v>6</v>
      </c>
      <c r="C9" s="4">
        <v>432</v>
      </c>
      <c r="D9" s="23">
        <v>96622.86191609918</v>
      </c>
      <c r="E9" s="33">
        <v>11.46628570900066</v>
      </c>
      <c r="F9" s="5">
        <v>3</v>
      </c>
      <c r="G9" s="23">
        <v>90</v>
      </c>
      <c r="H9" s="33">
        <v>45.802469965880981</v>
      </c>
      <c r="I9" s="23">
        <v>27.408422846018102</v>
      </c>
      <c r="J9" s="5">
        <v>2026.3803331049116</v>
      </c>
      <c r="K9" s="31" t="e">
        <f t="shared" si="0"/>
        <v>#DIV/0!</v>
      </c>
      <c r="L9" s="23">
        <v>103867.7529601126</v>
      </c>
      <c r="M9" s="33">
        <v>10.38827374999892</v>
      </c>
      <c r="N9" s="5">
        <v>3</v>
      </c>
      <c r="O9" s="5">
        <v>76.666666666666671</v>
      </c>
      <c r="P9" s="33">
        <v>44.988969445437185</v>
      </c>
      <c r="Q9" s="5">
        <v>22.263806076980426</v>
      </c>
      <c r="R9" s="5">
        <v>1846.3419488215829</v>
      </c>
      <c r="S9" s="42"/>
      <c r="T9" s="23">
        <v>119042.02341859241</v>
      </c>
      <c r="U9" s="33">
        <v>11.6366500840013</v>
      </c>
      <c r="V9" s="5">
        <v>3</v>
      </c>
      <c r="W9" s="5">
        <v>70</v>
      </c>
      <c r="X9" s="33">
        <v>29.048192289430258</v>
      </c>
      <c r="Y9" s="5">
        <v>37.097635565935263</v>
      </c>
      <c r="Z9" s="5">
        <v>2492.8079436752546</v>
      </c>
      <c r="AA9" s="42"/>
    </row>
    <row r="10" spans="2:27" x14ac:dyDescent="0.2">
      <c r="B10" s="4">
        <v>7</v>
      </c>
      <c r="C10" s="4">
        <v>501</v>
      </c>
      <c r="D10" s="23">
        <v>96622.86191609918</v>
      </c>
      <c r="E10" s="33">
        <v>11.199236542001019</v>
      </c>
      <c r="F10" s="5">
        <v>3</v>
      </c>
      <c r="G10" s="23">
        <v>90</v>
      </c>
      <c r="H10" s="33">
        <v>45.802469965880981</v>
      </c>
      <c r="I10" s="23">
        <v>27.408422846018102</v>
      </c>
      <c r="J10" s="5">
        <v>2026.3803331049116</v>
      </c>
      <c r="K10" s="31" t="e">
        <f t="shared" si="0"/>
        <v>#DIV/0!</v>
      </c>
      <c r="L10" s="23">
        <v>103867.7529601126</v>
      </c>
      <c r="M10" s="33">
        <v>10.19143679199988</v>
      </c>
      <c r="N10" s="5">
        <v>3</v>
      </c>
      <c r="O10" s="5">
        <v>76.666666666666671</v>
      </c>
      <c r="P10" s="33">
        <v>44.988969445437185</v>
      </c>
      <c r="Q10" s="5">
        <v>22.263806076980426</v>
      </c>
      <c r="R10" s="5">
        <v>1846.3419488215829</v>
      </c>
      <c r="S10" s="42"/>
      <c r="T10" s="23">
        <v>119042.02341859241</v>
      </c>
      <c r="U10" s="33">
        <v>12.98241716600023</v>
      </c>
      <c r="V10" s="5">
        <v>3</v>
      </c>
      <c r="W10" s="5">
        <v>70</v>
      </c>
      <c r="X10" s="33">
        <v>29.048192289430258</v>
      </c>
      <c r="Y10" s="5">
        <v>37.097635565935263</v>
      </c>
      <c r="Z10" s="5">
        <v>2492.8079436752546</v>
      </c>
      <c r="AA10" s="42"/>
    </row>
    <row r="11" spans="2:27" x14ac:dyDescent="0.2">
      <c r="B11" s="4">
        <v>8</v>
      </c>
      <c r="C11" s="4">
        <v>555</v>
      </c>
      <c r="D11" s="23">
        <v>96622.86191609918</v>
      </c>
      <c r="E11" s="33">
        <v>9.7141057500048191</v>
      </c>
      <c r="F11" s="5">
        <v>3</v>
      </c>
      <c r="G11" s="23">
        <v>90</v>
      </c>
      <c r="H11" s="33">
        <v>45.802469965880981</v>
      </c>
      <c r="I11" s="23">
        <v>27.408422846018102</v>
      </c>
      <c r="J11" s="5">
        <v>2026.3803331049116</v>
      </c>
      <c r="K11" s="31" t="e">
        <f t="shared" si="0"/>
        <v>#DIV/0!</v>
      </c>
      <c r="L11" s="23">
        <v>103404.773203194</v>
      </c>
      <c r="M11" s="33">
        <v>8.9010381250009232</v>
      </c>
      <c r="N11" s="5">
        <v>3</v>
      </c>
      <c r="O11" s="5">
        <v>76.666666666666671</v>
      </c>
      <c r="P11" s="33">
        <v>42.978610484906824</v>
      </c>
      <c r="Q11" s="5">
        <v>22.458978382972322</v>
      </c>
      <c r="R11" s="5">
        <v>1794.3227405791204</v>
      </c>
      <c r="S11" s="42"/>
      <c r="T11" s="23">
        <v>119042.02341859241</v>
      </c>
      <c r="U11" s="33">
        <v>8.3104454169988458</v>
      </c>
      <c r="V11" s="5">
        <v>3</v>
      </c>
      <c r="W11" s="5">
        <v>70</v>
      </c>
      <c r="X11" s="33">
        <v>29.048192289430258</v>
      </c>
      <c r="Y11" s="5">
        <v>37.097635565935263</v>
      </c>
      <c r="Z11" s="5">
        <v>2492.8079436752546</v>
      </c>
      <c r="AA11" s="42"/>
    </row>
    <row r="12" spans="2:27" x14ac:dyDescent="0.2">
      <c r="B12" s="4">
        <v>9</v>
      </c>
      <c r="C12" s="4">
        <v>630</v>
      </c>
      <c r="D12" s="23">
        <v>96622.86191609918</v>
      </c>
      <c r="E12" s="33">
        <v>9.7372013749991311</v>
      </c>
      <c r="F12" s="5">
        <v>3</v>
      </c>
      <c r="G12" s="23">
        <v>90</v>
      </c>
      <c r="H12" s="33">
        <v>45.802469965880981</v>
      </c>
      <c r="I12" s="23">
        <v>27.408422846018102</v>
      </c>
      <c r="J12" s="5">
        <v>2026.3803331049116</v>
      </c>
      <c r="K12" s="31" t="e">
        <f t="shared" si="0"/>
        <v>#DIV/0!</v>
      </c>
      <c r="L12" s="23">
        <v>103867.7529601126</v>
      </c>
      <c r="M12" s="33">
        <v>9.1870294580003247</v>
      </c>
      <c r="N12" s="5">
        <v>3</v>
      </c>
      <c r="O12" s="5">
        <v>76.666666666666671</v>
      </c>
      <c r="P12" s="33">
        <v>44.988969445437185</v>
      </c>
      <c r="Q12" s="5">
        <v>22.263806076980426</v>
      </c>
      <c r="R12" s="5">
        <v>1846.3419488215829</v>
      </c>
      <c r="S12" s="42"/>
      <c r="T12" s="23">
        <v>119042.02341859241</v>
      </c>
      <c r="U12" s="33">
        <v>8.221235417000571</v>
      </c>
      <c r="V12" s="5">
        <v>3</v>
      </c>
      <c r="W12" s="5">
        <v>70</v>
      </c>
      <c r="X12" s="33">
        <v>29.048192289430258</v>
      </c>
      <c r="Y12" s="5">
        <v>37.097635565935263</v>
      </c>
      <c r="Z12" s="5">
        <v>2492.8079436752546</v>
      </c>
      <c r="AA12" s="42"/>
    </row>
    <row r="13" spans="2:27" x14ac:dyDescent="0.2">
      <c r="B13" s="4">
        <v>10</v>
      </c>
      <c r="C13" s="4">
        <v>990</v>
      </c>
      <c r="D13" s="23">
        <v>96622.86191609918</v>
      </c>
      <c r="E13" s="33">
        <v>9.7106241250003222</v>
      </c>
      <c r="F13" s="5">
        <v>3</v>
      </c>
      <c r="G13" s="23">
        <v>90</v>
      </c>
      <c r="H13" s="33">
        <v>45.802469965880981</v>
      </c>
      <c r="I13" s="23">
        <v>27.408422846018102</v>
      </c>
      <c r="J13" s="5">
        <v>2026.3803331049116</v>
      </c>
      <c r="K13" s="31" t="e">
        <f t="shared" si="0"/>
        <v>#DIV/0!</v>
      </c>
      <c r="L13" s="23">
        <v>103404.773203194</v>
      </c>
      <c r="M13" s="33">
        <v>8.8380982089984172</v>
      </c>
      <c r="N13" s="5">
        <v>3</v>
      </c>
      <c r="O13" s="5">
        <v>76.666666666666671</v>
      </c>
      <c r="P13" s="33">
        <v>42.978610484906824</v>
      </c>
      <c r="Q13" s="5">
        <v>22.458978382972322</v>
      </c>
      <c r="R13" s="5">
        <v>1794.3227405791204</v>
      </c>
      <c r="S13" s="42"/>
      <c r="T13" s="23">
        <v>119042.02341859241</v>
      </c>
      <c r="U13" s="33">
        <v>8.3665403330014669</v>
      </c>
      <c r="V13" s="5">
        <v>3</v>
      </c>
      <c r="W13" s="5">
        <v>70</v>
      </c>
      <c r="X13" s="33">
        <v>29.048192289430258</v>
      </c>
      <c r="Y13" s="5">
        <v>37.097635565935263</v>
      </c>
      <c r="Z13" s="5">
        <v>2492.8079436752546</v>
      </c>
      <c r="AA13" s="42"/>
    </row>
    <row r="14" spans="2:27" x14ac:dyDescent="0.2">
      <c r="B14" s="46" t="s">
        <v>3</v>
      </c>
      <c r="C14" s="47"/>
      <c r="D14" s="9">
        <f>MIN(D4:D13)</f>
        <v>96622.86191609918</v>
      </c>
      <c r="E14" s="22">
        <f>INDEX(E4:E13, MATCH($D$14, D4:D13, 0))</f>
        <v>9.620711042000039</v>
      </c>
      <c r="F14" s="9">
        <f>INDEX(F4:F13, MATCH($D$14, D4:D13, 0))</f>
        <v>3</v>
      </c>
      <c r="G14" s="9">
        <f>INDEX(G4:G13, MATCH($D$14, D4:D13, 0))</f>
        <v>90</v>
      </c>
      <c r="H14" s="22">
        <f>INDEX(H4:H13, MATCH($D$14, D4:D13, 0))</f>
        <v>45.802469965880981</v>
      </c>
      <c r="I14" s="22">
        <f>INDEX(I4:I13, MATCH($D$14, D4:D13, 0))</f>
        <v>27.408422846018102</v>
      </c>
      <c r="J14" s="22">
        <f>INDEX(J4:J13, MATCH($D$14, D4:D13, 0))</f>
        <v>2026.3803331049116</v>
      </c>
      <c r="K14" s="32" t="e">
        <f>(D14-$D$15)/$D$15</f>
        <v>#DIV/0!</v>
      </c>
      <c r="L14" s="16">
        <f>MIN(L4:L13)</f>
        <v>103404.773203194</v>
      </c>
      <c r="M14" s="21">
        <f>INDEX(M4:M13, MATCH($L$14, L4:L13, 0))</f>
        <v>8.6464607919988339</v>
      </c>
      <c r="N14" s="16">
        <f>INDEX(N4:N13, MATCH($L$14, L4:L13, 0))</f>
        <v>3</v>
      </c>
      <c r="O14" s="16">
        <f>INDEX(O4:O13, MATCH($L$14, L4:L13, 0))</f>
        <v>76.666666666666671</v>
      </c>
      <c r="P14" s="21">
        <f>INDEX(P4:P13, MATCH($L$14, L4:L13, 0))</f>
        <v>42.978610484906824</v>
      </c>
      <c r="Q14" s="21">
        <f>INDEX(Q4:Q13, MATCH($L$14, L4:L13, 0))</f>
        <v>22.458978382972322</v>
      </c>
      <c r="R14" s="21">
        <f>INDEX(R4:R13, MATCH($L$14, L4:L13, 0))</f>
        <v>1794.3227405791204</v>
      </c>
      <c r="S14" s="43" t="e">
        <f>(L14-$D$15)/$D$15</f>
        <v>#DIV/0!</v>
      </c>
      <c r="T14" s="38">
        <f>MIN(T4:T13)</f>
        <v>119042.02341859241</v>
      </c>
      <c r="U14" s="44">
        <f>INDEX(U4:U13, MATCH($T$14, T4:T13, 0))</f>
        <v>8.0326879999993253</v>
      </c>
      <c r="V14" s="38">
        <f>INDEX(V4:V13, MATCH($T$14, T4:T13, 0))</f>
        <v>3</v>
      </c>
      <c r="W14" s="38">
        <f>INDEX(W4:W13, MATCH($T$14, T4:T13, 0))</f>
        <v>70</v>
      </c>
      <c r="X14" s="44">
        <f>INDEX(X4:X13, MATCH($T$14, T4:T13, 0))</f>
        <v>29.048192289430258</v>
      </c>
      <c r="Y14" s="44">
        <f>INDEX(Y4:Y13, MATCH($T$14, T4:T13, 0))</f>
        <v>37.097635565935263</v>
      </c>
      <c r="Z14" s="44">
        <f>INDEX(Z4:Z13, MATCH($T$14, T4:T13, 0))</f>
        <v>2492.8079436752546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4:C1048576">
    <cfRule type="duplicateValues" dxfId="77" priority="5"/>
    <cfRule type="duplicateValues" dxfId="76" priority="6"/>
  </conditionalFormatting>
  <conditionalFormatting sqref="C14">
    <cfRule type="duplicateValues" dxfId="75" priority="3"/>
    <cfRule type="duplicateValues" dxfId="74" priority="4"/>
  </conditionalFormatting>
  <conditionalFormatting sqref="C15:C33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C882-D57F-D141-A0DA-3A2FC34E5A0F}">
  <dimension ref="B1:AA17"/>
  <sheetViews>
    <sheetView topLeftCell="L1" zoomScale="118" zoomScaleNormal="120" workbookViewId="0">
      <selection activeCell="L15" sqref="A15:XFD3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-0.13750124164911207</v>
      </c>
      <c r="T2" s="1" t="s">
        <v>19</v>
      </c>
      <c r="X2" s="1" t="e">
        <f>(X14-P14)/P14</f>
        <v>#DIV/0!</v>
      </c>
      <c r="Z2" s="1">
        <f>(Z14-R14)/R14</f>
        <v>0.18180079131345611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97</v>
      </c>
      <c r="D4" s="23">
        <v>102284.7199590652</v>
      </c>
      <c r="E4" s="33">
        <v>6.855171999995946</v>
      </c>
      <c r="F4" s="5">
        <v>2</v>
      </c>
      <c r="G4" s="23">
        <v>60</v>
      </c>
      <c r="H4" s="33">
        <v>0</v>
      </c>
      <c r="I4" s="23">
        <v>17.607149559592845</v>
      </c>
      <c r="J4" s="5">
        <v>1404.2334981735246</v>
      </c>
      <c r="K4" s="31" t="e">
        <f>(D4-$D$15)/$D$15</f>
        <v>#DIV/0!</v>
      </c>
      <c r="L4" s="23">
        <v>107251.5714436827</v>
      </c>
      <c r="M4" s="33">
        <v>6.5933144589980657</v>
      </c>
      <c r="N4" s="5">
        <v>2</v>
      </c>
      <c r="O4" s="5">
        <v>53.333333333333343</v>
      </c>
      <c r="P4" s="33">
        <v>0</v>
      </c>
      <c r="Q4" s="5">
        <v>13.52144495851169</v>
      </c>
      <c r="R4" s="5">
        <v>1211.1496486093888</v>
      </c>
      <c r="S4" s="42"/>
      <c r="T4" s="23">
        <v>109923.2444361841</v>
      </c>
      <c r="U4" s="33">
        <v>6.5599890830017102</v>
      </c>
      <c r="V4" s="5">
        <v>2</v>
      </c>
      <c r="W4" s="5">
        <v>53.333333333333343</v>
      </c>
      <c r="X4" s="33">
        <v>1.0776251098042169</v>
      </c>
      <c r="Y4" s="5">
        <v>17.90984201280401</v>
      </c>
      <c r="Z4" s="5">
        <v>1431.33761312559</v>
      </c>
      <c r="AA4" s="42"/>
    </row>
    <row r="5" spans="2:27" x14ac:dyDescent="0.2">
      <c r="B5" s="4">
        <v>2</v>
      </c>
      <c r="C5" s="4">
        <v>993</v>
      </c>
      <c r="D5" s="23">
        <v>102284.7199590652</v>
      </c>
      <c r="E5" s="33">
        <v>6.9427309999955469</v>
      </c>
      <c r="F5" s="5">
        <v>2</v>
      </c>
      <c r="G5" s="23">
        <v>60</v>
      </c>
      <c r="H5" s="33">
        <v>0</v>
      </c>
      <c r="I5" s="23">
        <v>17.607149559592845</v>
      </c>
      <c r="J5" s="5">
        <v>1404.2334981735246</v>
      </c>
      <c r="K5" s="31" t="e">
        <f>(D5-$D$15)/$D$15</f>
        <v>#DIV/0!</v>
      </c>
      <c r="L5" s="23">
        <v>107251.5714436827</v>
      </c>
      <c r="M5" s="33">
        <v>6.6392729170001994</v>
      </c>
      <c r="N5" s="5">
        <v>2</v>
      </c>
      <c r="O5" s="5">
        <v>53.333333333333343</v>
      </c>
      <c r="P5" s="33">
        <v>0</v>
      </c>
      <c r="Q5" s="5">
        <v>13.52144495851169</v>
      </c>
      <c r="R5" s="5">
        <v>1211.1496486093888</v>
      </c>
      <c r="S5" s="42"/>
      <c r="T5" s="23">
        <v>109923.2444361841</v>
      </c>
      <c r="U5" s="33">
        <v>6.7475024580016907</v>
      </c>
      <c r="V5" s="5">
        <v>2</v>
      </c>
      <c r="W5" s="5">
        <v>53.333333333333343</v>
      </c>
      <c r="X5" s="33">
        <v>1.0776251098042169</v>
      </c>
      <c r="Y5" s="5">
        <v>17.90984201280401</v>
      </c>
      <c r="Z5" s="5">
        <v>1431.33761312559</v>
      </c>
      <c r="AA5" s="42"/>
    </row>
    <row r="6" spans="2:27" x14ac:dyDescent="0.2">
      <c r="B6" s="4">
        <v>3</v>
      </c>
      <c r="C6" s="4">
        <v>59</v>
      </c>
      <c r="D6" s="23">
        <v>102284.7199590652</v>
      </c>
      <c r="E6" s="33">
        <v>6.8478554999965127</v>
      </c>
      <c r="F6" s="5">
        <v>2</v>
      </c>
      <c r="G6" s="23">
        <v>60</v>
      </c>
      <c r="H6" s="33">
        <v>0</v>
      </c>
      <c r="I6" s="23">
        <v>17.607149559592845</v>
      </c>
      <c r="J6" s="5">
        <v>1404.2334981735246</v>
      </c>
      <c r="K6" s="31" t="e">
        <f t="shared" ref="K6:K13" si="0">(D6-$D$15)/$D$15</f>
        <v>#DIV/0!</v>
      </c>
      <c r="L6" s="23">
        <v>107251.5714436827</v>
      </c>
      <c r="M6" s="33">
        <v>6.7035790839981928</v>
      </c>
      <c r="N6" s="5">
        <v>2</v>
      </c>
      <c r="O6" s="5">
        <v>53.333333333333343</v>
      </c>
      <c r="P6" s="33">
        <v>0</v>
      </c>
      <c r="Q6" s="5">
        <v>13.52144495851169</v>
      </c>
      <c r="R6" s="5">
        <v>1211.1496486093888</v>
      </c>
      <c r="S6" s="42"/>
      <c r="T6" s="23">
        <v>109923.2444361841</v>
      </c>
      <c r="U6" s="33">
        <v>6.6927433749988268</v>
      </c>
      <c r="V6" s="5">
        <v>2</v>
      </c>
      <c r="W6" s="5">
        <v>53.333333333333343</v>
      </c>
      <c r="X6" s="33">
        <v>1.0776251098042169</v>
      </c>
      <c r="Y6" s="5">
        <v>17.90984201280401</v>
      </c>
      <c r="Z6" s="5">
        <v>1431.33761312559</v>
      </c>
      <c r="AA6" s="42"/>
    </row>
    <row r="7" spans="2:27" x14ac:dyDescent="0.2">
      <c r="B7" s="4">
        <v>4</v>
      </c>
      <c r="C7" s="4">
        <v>264</v>
      </c>
      <c r="D7" s="23">
        <v>102284.7199590652</v>
      </c>
      <c r="E7" s="33">
        <v>6.8318372499998077</v>
      </c>
      <c r="F7" s="5">
        <v>2</v>
      </c>
      <c r="G7" s="23">
        <v>60</v>
      </c>
      <c r="H7" s="33">
        <v>0</v>
      </c>
      <c r="I7" s="23">
        <v>17.607149559592845</v>
      </c>
      <c r="J7" s="5">
        <v>1404.2334981735246</v>
      </c>
      <c r="K7" s="31" t="e">
        <f t="shared" si="0"/>
        <v>#DIV/0!</v>
      </c>
      <c r="L7" s="23">
        <v>107251.5714436827</v>
      </c>
      <c r="M7" s="33">
        <v>6.6188419589998384</v>
      </c>
      <c r="N7" s="5">
        <v>2</v>
      </c>
      <c r="O7" s="5">
        <v>53.333333333333343</v>
      </c>
      <c r="P7" s="33">
        <v>0</v>
      </c>
      <c r="Q7" s="5">
        <v>13.52144495851169</v>
      </c>
      <c r="R7" s="5">
        <v>1211.1496486093888</v>
      </c>
      <c r="S7" s="42"/>
      <c r="T7" s="23">
        <v>109923.2444361841</v>
      </c>
      <c r="U7" s="33">
        <v>6.9765064579987666</v>
      </c>
      <c r="V7" s="5">
        <v>2</v>
      </c>
      <c r="W7" s="5">
        <v>53.333333333333343</v>
      </c>
      <c r="X7" s="33">
        <v>1.0776251098042169</v>
      </c>
      <c r="Y7" s="5">
        <v>17.90984201280401</v>
      </c>
      <c r="Z7" s="5">
        <v>1431.33761312559</v>
      </c>
      <c r="AA7" s="42"/>
    </row>
    <row r="8" spans="2:27" x14ac:dyDescent="0.2">
      <c r="B8" s="4">
        <v>5</v>
      </c>
      <c r="C8" s="4">
        <v>429</v>
      </c>
      <c r="D8" s="23">
        <v>102284.7199590652</v>
      </c>
      <c r="E8" s="33">
        <v>6.8452727909971136</v>
      </c>
      <c r="F8" s="5">
        <v>2</v>
      </c>
      <c r="G8" s="23">
        <v>60</v>
      </c>
      <c r="H8" s="33">
        <v>0</v>
      </c>
      <c r="I8" s="23">
        <v>17.607149559592845</v>
      </c>
      <c r="J8" s="5">
        <v>1404.2334981735246</v>
      </c>
      <c r="K8" s="31" t="e">
        <f t="shared" si="0"/>
        <v>#DIV/0!</v>
      </c>
      <c r="L8" s="23">
        <v>107251.5714436827</v>
      </c>
      <c r="M8" s="33">
        <v>6.6086203750019186</v>
      </c>
      <c r="N8" s="5">
        <v>2</v>
      </c>
      <c r="O8" s="5">
        <v>53.333333333333343</v>
      </c>
      <c r="P8" s="33">
        <v>0</v>
      </c>
      <c r="Q8" s="5">
        <v>13.52144495851169</v>
      </c>
      <c r="R8" s="5">
        <v>1211.1496486093888</v>
      </c>
      <c r="S8" s="42"/>
      <c r="T8" s="23">
        <v>109923.2444361841</v>
      </c>
      <c r="U8" s="33">
        <v>6.6947699999982433</v>
      </c>
      <c r="V8" s="5">
        <v>2</v>
      </c>
      <c r="W8" s="5">
        <v>53.333333333333343</v>
      </c>
      <c r="X8" s="33">
        <v>1.0776251098042169</v>
      </c>
      <c r="Y8" s="5">
        <v>17.90984201280401</v>
      </c>
      <c r="Z8" s="5">
        <v>1431.33761312559</v>
      </c>
      <c r="AA8" s="42"/>
    </row>
    <row r="9" spans="2:27" x14ac:dyDescent="0.2">
      <c r="B9" s="4">
        <v>6</v>
      </c>
      <c r="C9" s="4">
        <v>926</v>
      </c>
      <c r="D9" s="23">
        <v>102284.7199590652</v>
      </c>
      <c r="E9" s="33">
        <v>7.0598379579969333</v>
      </c>
      <c r="F9" s="5">
        <v>2</v>
      </c>
      <c r="G9" s="23">
        <v>60</v>
      </c>
      <c r="H9" s="33">
        <v>0</v>
      </c>
      <c r="I9" s="23">
        <v>17.607149559592845</v>
      </c>
      <c r="J9" s="5">
        <v>1404.2334981735246</v>
      </c>
      <c r="K9" s="31" t="e">
        <f t="shared" si="0"/>
        <v>#DIV/0!</v>
      </c>
      <c r="L9" s="23">
        <v>127418.38972699329</v>
      </c>
      <c r="M9" s="33">
        <v>3.782966208000289</v>
      </c>
      <c r="N9" s="5">
        <v>2</v>
      </c>
      <c r="O9" s="5">
        <v>33.333333333333343</v>
      </c>
      <c r="P9" s="33">
        <v>0</v>
      </c>
      <c r="Q9" s="5">
        <v>11.428253435447349</v>
      </c>
      <c r="R9" s="5">
        <v>988.04681124616616</v>
      </c>
      <c r="S9" s="42"/>
      <c r="T9" s="23">
        <v>109923.2444361841</v>
      </c>
      <c r="U9" s="33">
        <v>6.696474958996987</v>
      </c>
      <c r="V9" s="5">
        <v>2</v>
      </c>
      <c r="W9" s="5">
        <v>53.333333333333343</v>
      </c>
      <c r="X9" s="33">
        <v>1.0776251098042169</v>
      </c>
      <c r="Y9" s="5">
        <v>17.90984201280401</v>
      </c>
      <c r="Z9" s="5">
        <v>1431.33761312559</v>
      </c>
      <c r="AA9" s="42"/>
    </row>
    <row r="10" spans="2:27" x14ac:dyDescent="0.2">
      <c r="B10" s="4">
        <v>7</v>
      </c>
      <c r="C10" s="4">
        <v>259</v>
      </c>
      <c r="D10" s="23">
        <v>102284.7199590652</v>
      </c>
      <c r="E10" s="33">
        <v>6.9668328340048902</v>
      </c>
      <c r="F10" s="5">
        <v>2</v>
      </c>
      <c r="G10" s="23">
        <v>60</v>
      </c>
      <c r="H10" s="33">
        <v>0</v>
      </c>
      <c r="I10" s="23">
        <v>17.607149559592845</v>
      </c>
      <c r="J10" s="5">
        <v>1404.2334981735246</v>
      </c>
      <c r="K10" s="31" t="e">
        <f t="shared" si="0"/>
        <v>#DIV/0!</v>
      </c>
      <c r="L10" s="23">
        <v>107251.5714436827</v>
      </c>
      <c r="M10" s="33">
        <v>6.6283551249980519</v>
      </c>
      <c r="N10" s="5">
        <v>2</v>
      </c>
      <c r="O10" s="5">
        <v>53.333333333333343</v>
      </c>
      <c r="P10" s="33">
        <v>0</v>
      </c>
      <c r="Q10" s="5">
        <v>13.52144495851169</v>
      </c>
      <c r="R10" s="5">
        <v>1211.1496486093888</v>
      </c>
      <c r="S10" s="42"/>
      <c r="T10" s="23">
        <v>109923.2444361841</v>
      </c>
      <c r="U10" s="33">
        <v>6.9271645830012858</v>
      </c>
      <c r="V10" s="5">
        <v>2</v>
      </c>
      <c r="W10" s="5">
        <v>53.333333333333343</v>
      </c>
      <c r="X10" s="33">
        <v>1.0776251098042169</v>
      </c>
      <c r="Y10" s="5">
        <v>17.90984201280401</v>
      </c>
      <c r="Z10" s="5">
        <v>1431.33761312559</v>
      </c>
      <c r="AA10" s="42"/>
    </row>
    <row r="11" spans="2:27" x14ac:dyDescent="0.2">
      <c r="B11" s="4">
        <v>8</v>
      </c>
      <c r="C11" s="4">
        <v>830</v>
      </c>
      <c r="D11" s="23">
        <v>102284.7199590652</v>
      </c>
      <c r="E11" s="33">
        <v>6.9801784999945076</v>
      </c>
      <c r="F11" s="5">
        <v>2</v>
      </c>
      <c r="G11" s="23">
        <v>60</v>
      </c>
      <c r="H11" s="33">
        <v>0</v>
      </c>
      <c r="I11" s="23">
        <v>17.607149559592845</v>
      </c>
      <c r="J11" s="5">
        <v>1404.2334981735246</v>
      </c>
      <c r="K11" s="31" t="e">
        <f t="shared" si="0"/>
        <v>#DIV/0!</v>
      </c>
      <c r="L11" s="23">
        <v>107251.5714436827</v>
      </c>
      <c r="M11" s="33">
        <v>6.7911334999989776</v>
      </c>
      <c r="N11" s="5">
        <v>2</v>
      </c>
      <c r="O11" s="5">
        <v>53.333333333333343</v>
      </c>
      <c r="P11" s="33">
        <v>0</v>
      </c>
      <c r="Q11" s="5">
        <v>13.52144495851169</v>
      </c>
      <c r="R11" s="5">
        <v>1211.1496486093888</v>
      </c>
      <c r="S11" s="42"/>
      <c r="T11" s="23">
        <v>109923.2444361841</v>
      </c>
      <c r="U11" s="33">
        <v>6.7983037919984781</v>
      </c>
      <c r="V11" s="5">
        <v>2</v>
      </c>
      <c r="W11" s="5">
        <v>53.333333333333343</v>
      </c>
      <c r="X11" s="33">
        <v>1.0776251098042169</v>
      </c>
      <c r="Y11" s="5">
        <v>17.90984201280401</v>
      </c>
      <c r="Z11" s="5">
        <v>1431.33761312559</v>
      </c>
      <c r="AA11" s="42"/>
    </row>
    <row r="12" spans="2:27" x14ac:dyDescent="0.2">
      <c r="B12" s="4">
        <v>9</v>
      </c>
      <c r="C12" s="4">
        <v>486</v>
      </c>
      <c r="D12" s="23">
        <v>102284.7199590652</v>
      </c>
      <c r="E12" s="33">
        <v>7.1018875840018154</v>
      </c>
      <c r="F12" s="5">
        <v>2</v>
      </c>
      <c r="G12" s="23">
        <v>60</v>
      </c>
      <c r="H12" s="33">
        <v>0</v>
      </c>
      <c r="I12" s="23">
        <v>17.607149559592845</v>
      </c>
      <c r="J12" s="5">
        <v>1404.2334981735246</v>
      </c>
      <c r="K12" s="31" t="e">
        <f t="shared" si="0"/>
        <v>#DIV/0!</v>
      </c>
      <c r="L12" s="23">
        <v>107251.5714436827</v>
      </c>
      <c r="M12" s="33">
        <v>6.8272424999995556</v>
      </c>
      <c r="N12" s="5">
        <v>2</v>
      </c>
      <c r="O12" s="5">
        <v>53.333333333333343</v>
      </c>
      <c r="P12" s="33">
        <v>0</v>
      </c>
      <c r="Q12" s="5">
        <v>13.52144495851169</v>
      </c>
      <c r="R12" s="5">
        <v>1211.1496486093888</v>
      </c>
      <c r="S12" s="42"/>
      <c r="T12" s="23">
        <v>109923.2444361841</v>
      </c>
      <c r="U12" s="33">
        <v>6.8284100419987226</v>
      </c>
      <c r="V12" s="5">
        <v>2</v>
      </c>
      <c r="W12" s="5">
        <v>53.333333333333343</v>
      </c>
      <c r="X12" s="33">
        <v>1.0776251098042169</v>
      </c>
      <c r="Y12" s="5">
        <v>17.90984201280401</v>
      </c>
      <c r="Z12" s="5">
        <v>1431.33761312559</v>
      </c>
      <c r="AA12" s="42"/>
    </row>
    <row r="13" spans="2:27" x14ac:dyDescent="0.2">
      <c r="B13" s="4">
        <v>10</v>
      </c>
      <c r="C13" s="4">
        <v>682</v>
      </c>
      <c r="D13" s="23">
        <v>102284.7199590652</v>
      </c>
      <c r="E13" s="33">
        <v>6.8655148329999074</v>
      </c>
      <c r="F13" s="5">
        <v>2</v>
      </c>
      <c r="G13" s="23">
        <v>60</v>
      </c>
      <c r="H13" s="33">
        <v>0</v>
      </c>
      <c r="I13" s="23">
        <v>17.607149559592845</v>
      </c>
      <c r="J13" s="5">
        <v>1404.2334981735246</v>
      </c>
      <c r="K13" s="31" t="e">
        <f t="shared" si="0"/>
        <v>#DIV/0!</v>
      </c>
      <c r="L13" s="23">
        <v>107251.5714436827</v>
      </c>
      <c r="M13" s="33">
        <v>6.8955902500019874</v>
      </c>
      <c r="N13" s="5">
        <v>2</v>
      </c>
      <c r="O13" s="5">
        <v>53.333333333333343</v>
      </c>
      <c r="P13" s="33">
        <v>0</v>
      </c>
      <c r="Q13" s="5">
        <v>13.52144495851169</v>
      </c>
      <c r="R13" s="5">
        <v>1211.1496486093888</v>
      </c>
      <c r="S13" s="42"/>
      <c r="T13" s="23">
        <v>109923.2444361841</v>
      </c>
      <c r="U13" s="33">
        <v>7.0251465419969463</v>
      </c>
      <c r="V13" s="5">
        <v>2</v>
      </c>
      <c r="W13" s="5">
        <v>53.333333333333343</v>
      </c>
      <c r="X13" s="33">
        <v>1.0776251098042169</v>
      </c>
      <c r="Y13" s="5">
        <v>17.90984201280401</v>
      </c>
      <c r="Z13" s="5">
        <v>1431.33761312559</v>
      </c>
      <c r="AA13" s="42"/>
    </row>
    <row r="14" spans="2:27" x14ac:dyDescent="0.2">
      <c r="B14" s="46" t="s">
        <v>3</v>
      </c>
      <c r="C14" s="47"/>
      <c r="D14" s="9">
        <f>MIN(D4:D13)</f>
        <v>102284.7199590652</v>
      </c>
      <c r="E14" s="22">
        <f>INDEX(E4:E13, MATCH($D$14, D4:D13, 0))</f>
        <v>6.855171999995946</v>
      </c>
      <c r="F14" s="9">
        <f>INDEX(F4:F13, MATCH($D$14, D4:D13, 0))</f>
        <v>2</v>
      </c>
      <c r="G14" s="9">
        <f>INDEX(G4:G13, MATCH($D$14, D4:D13, 0))</f>
        <v>60</v>
      </c>
      <c r="H14" s="22">
        <f>INDEX(H4:H13, MATCH($D$14, D4:D13, 0))</f>
        <v>0</v>
      </c>
      <c r="I14" s="22">
        <f>INDEX(I4:I13, MATCH($D$14, D4:D13, 0))</f>
        <v>17.607149559592845</v>
      </c>
      <c r="J14" s="22">
        <f>INDEX(J4:J13, MATCH($D$14, D4:D13, 0))</f>
        <v>1404.2334981735246</v>
      </c>
      <c r="K14" s="32" t="e">
        <f>(D14-$D$15)/$D$15</f>
        <v>#DIV/0!</v>
      </c>
      <c r="L14" s="16">
        <f>MIN(L4:L13)</f>
        <v>107251.5714436827</v>
      </c>
      <c r="M14" s="21">
        <f>INDEX(M4:M13, MATCH($L$14, L4:L13, 0))</f>
        <v>6.5933144589980657</v>
      </c>
      <c r="N14" s="16">
        <f>INDEX(N4:N13, MATCH($L$14, L4:L13, 0))</f>
        <v>2</v>
      </c>
      <c r="O14" s="16">
        <f>INDEX(O4:O13, MATCH($L$14, L4:L13, 0))</f>
        <v>53.333333333333343</v>
      </c>
      <c r="P14" s="21">
        <f>INDEX(P4:P13, MATCH($L$14, L4:L13, 0))</f>
        <v>0</v>
      </c>
      <c r="Q14" s="21">
        <f>INDEX(Q4:Q13, MATCH($L$14, L4:L13, 0))</f>
        <v>13.52144495851169</v>
      </c>
      <c r="R14" s="21">
        <f>INDEX(R4:R13, MATCH($L$14, L4:L13, 0))</f>
        <v>1211.1496486093888</v>
      </c>
      <c r="S14" s="43" t="e">
        <f>(L14-$D$15)/$D$15</f>
        <v>#DIV/0!</v>
      </c>
      <c r="T14" s="38">
        <f>MIN(T4:T13)</f>
        <v>109923.2444361841</v>
      </c>
      <c r="U14" s="44">
        <f>INDEX(U4:U13, MATCH($T$14, T4:T13, 0))</f>
        <v>6.5599890830017102</v>
      </c>
      <c r="V14" s="38">
        <f>INDEX(V4:V13, MATCH($T$14, T4:T13, 0))</f>
        <v>2</v>
      </c>
      <c r="W14" s="38">
        <f>INDEX(W4:W13, MATCH($T$14, T4:T13, 0))</f>
        <v>53.333333333333343</v>
      </c>
      <c r="X14" s="44">
        <f>INDEX(X4:X13, MATCH($T$14, T4:T13, 0))</f>
        <v>1.0776251098042169</v>
      </c>
      <c r="Y14" s="44">
        <f>INDEX(Y4:Y13, MATCH($T$14, T4:T13, 0))</f>
        <v>17.90984201280401</v>
      </c>
      <c r="Z14" s="44">
        <f>INDEX(Z4:Z13, MATCH($T$14, T4:T13, 0))</f>
        <v>1431.33761312559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4:C1048576">
    <cfRule type="duplicateValues" dxfId="73" priority="5"/>
    <cfRule type="duplicateValues" dxfId="72" priority="6"/>
  </conditionalFormatting>
  <conditionalFormatting sqref="C14">
    <cfRule type="duplicateValues" dxfId="71" priority="3"/>
    <cfRule type="duplicateValues" dxfId="70" priority="4"/>
  </conditionalFormatting>
  <conditionalFormatting sqref="C15:C33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C7C3-9257-8C46-B62D-17CBF482BF51}">
  <dimension ref="B1:AA17"/>
  <sheetViews>
    <sheetView topLeftCell="L1" zoomScale="118" zoomScaleNormal="120" workbookViewId="0">
      <selection activeCell="L15" sqref="A15:XFD3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-0.69134387691237065</v>
      </c>
      <c r="J2" s="28" t="e">
        <f>(S14-J14)/J14</f>
        <v>#DIV/0!</v>
      </c>
      <c r="K2" s="28"/>
      <c r="L2" s="1" t="s">
        <v>18</v>
      </c>
      <c r="P2" s="1">
        <f>(P14-H14)/H14</f>
        <v>-0.90680325782028137</v>
      </c>
      <c r="R2" s="1">
        <f>(R14-J14)/J14</f>
        <v>-0.23202139443434414</v>
      </c>
      <c r="T2" s="1" t="s">
        <v>19</v>
      </c>
      <c r="X2" s="1">
        <f>(X14-P14)/P14</f>
        <v>6.6097254097453648</v>
      </c>
      <c r="Z2" s="1">
        <f>(Z14-R14)/R14</f>
        <v>0.37362242273633955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13</v>
      </c>
      <c r="D4" s="23">
        <v>101302.12895374501</v>
      </c>
      <c r="E4" s="33">
        <v>8.3839024580011028</v>
      </c>
      <c r="F4" s="5">
        <v>2</v>
      </c>
      <c r="G4" s="23">
        <v>73.333333333333329</v>
      </c>
      <c r="H4" s="33">
        <v>71.52273677907742</v>
      </c>
      <c r="I4" s="23">
        <v>30.854586120285227</v>
      </c>
      <c r="J4" s="5">
        <v>1962.3526604204483</v>
      </c>
      <c r="K4" s="31" t="e">
        <f>(D4-$D$15)/$D$15</f>
        <v>#DIV/0!</v>
      </c>
      <c r="L4" s="23">
        <v>108203.9017239746</v>
      </c>
      <c r="M4" s="33">
        <v>7.5772971669975959</v>
      </c>
      <c r="N4" s="5">
        <v>2</v>
      </c>
      <c r="O4" s="5">
        <v>56.666666666666657</v>
      </c>
      <c r="P4" s="33">
        <v>6.6656860595875624</v>
      </c>
      <c r="Q4" s="5">
        <v>22.075930646847034</v>
      </c>
      <c r="R4" s="5">
        <v>1507.0448597777508</v>
      </c>
      <c r="S4" s="42"/>
      <c r="T4" s="23">
        <v>113515.85391922</v>
      </c>
      <c r="U4" s="33">
        <v>7.3433270419991459</v>
      </c>
      <c r="V4" s="5">
        <v>2</v>
      </c>
      <c r="W4" s="5">
        <v>60</v>
      </c>
      <c r="X4" s="33">
        <v>50.72404058102893</v>
      </c>
      <c r="Y4" s="5">
        <v>34.89807734273198</v>
      </c>
      <c r="Z4" s="5">
        <v>2070.1106114602612</v>
      </c>
      <c r="AA4" s="42"/>
    </row>
    <row r="5" spans="2:27" x14ac:dyDescent="0.2">
      <c r="B5" s="4">
        <v>2</v>
      </c>
      <c r="C5" s="4">
        <v>185</v>
      </c>
      <c r="D5" s="23">
        <v>101302.12895374501</v>
      </c>
      <c r="E5" s="33">
        <v>8.2761372500026482</v>
      </c>
      <c r="F5" s="5">
        <v>2</v>
      </c>
      <c r="G5" s="23">
        <v>73.333333333333329</v>
      </c>
      <c r="H5" s="33">
        <v>71.52273677907742</v>
      </c>
      <c r="I5" s="23">
        <v>30.854586120285227</v>
      </c>
      <c r="J5" s="5">
        <v>1962.3526604204483</v>
      </c>
      <c r="K5" s="31" t="e">
        <f>(D5-$D$15)/$D$15</f>
        <v>#DIV/0!</v>
      </c>
      <c r="L5" s="23">
        <v>108203.9017239746</v>
      </c>
      <c r="M5" s="33">
        <v>7.6112877079976897</v>
      </c>
      <c r="N5" s="5">
        <v>2</v>
      </c>
      <c r="O5" s="5">
        <v>56.666666666666657</v>
      </c>
      <c r="P5" s="33">
        <v>6.6656860595875624</v>
      </c>
      <c r="Q5" s="5">
        <v>22.075930646847034</v>
      </c>
      <c r="R5" s="5">
        <v>1507.0448597777508</v>
      </c>
      <c r="S5" s="42"/>
      <c r="T5" s="23">
        <v>113515.85391922</v>
      </c>
      <c r="U5" s="33">
        <v>7.2217227090004599</v>
      </c>
      <c r="V5" s="5">
        <v>2</v>
      </c>
      <c r="W5" s="5">
        <v>60</v>
      </c>
      <c r="X5" s="33">
        <v>50.72404058102893</v>
      </c>
      <c r="Y5" s="5">
        <v>34.89807734273198</v>
      </c>
      <c r="Z5" s="5">
        <v>2070.1106114602612</v>
      </c>
      <c r="AA5" s="42"/>
    </row>
    <row r="6" spans="2:27" x14ac:dyDescent="0.2">
      <c r="B6" s="4">
        <v>3</v>
      </c>
      <c r="C6" s="4">
        <v>244</v>
      </c>
      <c r="D6" s="23">
        <v>109095.4650253835</v>
      </c>
      <c r="E6" s="33">
        <v>7.4659302920044874</v>
      </c>
      <c r="F6" s="5">
        <v>2</v>
      </c>
      <c r="G6" s="23">
        <v>63.333333333333343</v>
      </c>
      <c r="H6" s="33">
        <v>54.302831266347312</v>
      </c>
      <c r="I6" s="23">
        <v>26.355934106764895</v>
      </c>
      <c r="J6" s="5">
        <v>1963.7534521377086</v>
      </c>
      <c r="K6" s="31" t="e">
        <f t="shared" ref="K6:K13" si="0">(D6-$D$15)/$D$15</f>
        <v>#DIV/0!</v>
      </c>
      <c r="L6" s="23">
        <v>118665.2244716814</v>
      </c>
      <c r="M6" s="33">
        <v>6.7063317499996629</v>
      </c>
      <c r="N6" s="5">
        <v>2</v>
      </c>
      <c r="O6" s="5">
        <v>50</v>
      </c>
      <c r="P6" s="33">
        <v>42.371032168813691</v>
      </c>
      <c r="Q6" s="5">
        <v>16.922045364900551</v>
      </c>
      <c r="R6" s="5">
        <v>1693.3332536280473</v>
      </c>
      <c r="S6" s="42"/>
      <c r="T6" s="23">
        <v>121792.4699863667</v>
      </c>
      <c r="U6" s="33">
        <v>6.4919377079968399</v>
      </c>
      <c r="V6" s="5">
        <v>2</v>
      </c>
      <c r="W6" s="5">
        <v>50</v>
      </c>
      <c r="X6" s="33">
        <v>36.662698217917658</v>
      </c>
      <c r="Y6" s="5">
        <v>28.739637140947927</v>
      </c>
      <c r="Z6" s="5">
        <v>2047.0501693502536</v>
      </c>
      <c r="AA6" s="42"/>
    </row>
    <row r="7" spans="2:27" x14ac:dyDescent="0.2">
      <c r="B7" s="4">
        <v>4</v>
      </c>
      <c r="C7" s="4">
        <v>262</v>
      </c>
      <c r="D7" s="23">
        <v>101302.12895374501</v>
      </c>
      <c r="E7" s="33">
        <v>8.3705812080006581</v>
      </c>
      <c r="F7" s="5">
        <v>2</v>
      </c>
      <c r="G7" s="23">
        <v>73.333333333333329</v>
      </c>
      <c r="H7" s="33">
        <v>71.52273677907742</v>
      </c>
      <c r="I7" s="23">
        <v>30.854586120285227</v>
      </c>
      <c r="J7" s="5">
        <v>1962.3526604204483</v>
      </c>
      <c r="K7" s="31" t="e">
        <f t="shared" si="0"/>
        <v>#DIV/0!</v>
      </c>
      <c r="L7" s="23">
        <v>115510.308732976</v>
      </c>
      <c r="M7" s="33">
        <v>7.2733667499996946</v>
      </c>
      <c r="N7" s="5">
        <v>2</v>
      </c>
      <c r="O7" s="5">
        <v>56.666666666666657</v>
      </c>
      <c r="P7" s="33">
        <v>67.268814386397807</v>
      </c>
      <c r="Q7" s="5">
        <v>20.372010783561091</v>
      </c>
      <c r="R7" s="5">
        <v>1848.742543531577</v>
      </c>
      <c r="S7" s="42"/>
      <c r="T7" s="23">
        <v>113515.85391922</v>
      </c>
      <c r="U7" s="33">
        <v>7.335598707999452</v>
      </c>
      <c r="V7" s="5">
        <v>2</v>
      </c>
      <c r="W7" s="5">
        <v>60</v>
      </c>
      <c r="X7" s="33">
        <v>50.72404058102893</v>
      </c>
      <c r="Y7" s="5">
        <v>34.89807734273198</v>
      </c>
      <c r="Z7" s="5">
        <v>2070.1106114602612</v>
      </c>
      <c r="AA7" s="42"/>
    </row>
    <row r="8" spans="2:27" x14ac:dyDescent="0.2">
      <c r="B8" s="4">
        <v>5</v>
      </c>
      <c r="C8" s="4">
        <v>313</v>
      </c>
      <c r="D8" s="23">
        <v>101302.12895374501</v>
      </c>
      <c r="E8" s="33">
        <v>8.4232468330010306</v>
      </c>
      <c r="F8" s="5">
        <v>2</v>
      </c>
      <c r="G8" s="23">
        <v>73.333333333333329</v>
      </c>
      <c r="H8" s="33">
        <v>71.52273677907742</v>
      </c>
      <c r="I8" s="23">
        <v>30.854586120285227</v>
      </c>
      <c r="J8" s="5">
        <v>1962.3526604204483</v>
      </c>
      <c r="K8" s="31" t="e">
        <f t="shared" si="0"/>
        <v>#DIV/0!</v>
      </c>
      <c r="L8" s="23">
        <v>108203.9017239746</v>
      </c>
      <c r="M8" s="33">
        <v>7.8884697909998067</v>
      </c>
      <c r="N8" s="5">
        <v>2</v>
      </c>
      <c r="O8" s="5">
        <v>56.666666666666657</v>
      </c>
      <c r="P8" s="33">
        <v>6.6656860595875624</v>
      </c>
      <c r="Q8" s="5">
        <v>22.075930646847034</v>
      </c>
      <c r="R8" s="5">
        <v>1507.0448597777508</v>
      </c>
      <c r="S8" s="42"/>
      <c r="T8" s="23">
        <v>113515.85391922</v>
      </c>
      <c r="U8" s="33">
        <v>7.3101893750026647</v>
      </c>
      <c r="V8" s="5">
        <v>2</v>
      </c>
      <c r="W8" s="5">
        <v>60</v>
      </c>
      <c r="X8" s="33">
        <v>50.72404058102893</v>
      </c>
      <c r="Y8" s="5">
        <v>34.89807734273198</v>
      </c>
      <c r="Z8" s="5">
        <v>2070.1106114602612</v>
      </c>
      <c r="AA8" s="42"/>
    </row>
    <row r="9" spans="2:27" x14ac:dyDescent="0.2">
      <c r="B9" s="4">
        <v>6</v>
      </c>
      <c r="C9" s="4">
        <v>331</v>
      </c>
      <c r="D9" s="23">
        <v>101302.12895374501</v>
      </c>
      <c r="E9" s="33">
        <v>8.3629877500061411</v>
      </c>
      <c r="F9" s="5">
        <v>2</v>
      </c>
      <c r="G9" s="23">
        <v>73.333333333333329</v>
      </c>
      <c r="H9" s="33">
        <v>71.52273677907742</v>
      </c>
      <c r="I9" s="23">
        <v>30.854586120285227</v>
      </c>
      <c r="J9" s="5">
        <v>1962.3526604204483</v>
      </c>
      <c r="K9" s="31" t="e">
        <f t="shared" si="0"/>
        <v>#DIV/0!</v>
      </c>
      <c r="L9" s="23">
        <v>108203.9017239746</v>
      </c>
      <c r="M9" s="33">
        <v>7.8566652500012424</v>
      </c>
      <c r="N9" s="5">
        <v>2</v>
      </c>
      <c r="O9" s="5">
        <v>56.666666666666657</v>
      </c>
      <c r="P9" s="33">
        <v>6.6656860595875624</v>
      </c>
      <c r="Q9" s="5">
        <v>22.075930646847034</v>
      </c>
      <c r="R9" s="5">
        <v>1507.0448597777508</v>
      </c>
      <c r="S9" s="42"/>
      <c r="T9" s="23">
        <v>113515.85391922</v>
      </c>
      <c r="U9" s="33">
        <v>7.4802676250001241</v>
      </c>
      <c r="V9" s="5">
        <v>2</v>
      </c>
      <c r="W9" s="5">
        <v>60</v>
      </c>
      <c r="X9" s="33">
        <v>50.72404058102893</v>
      </c>
      <c r="Y9" s="5">
        <v>34.89807734273198</v>
      </c>
      <c r="Z9" s="5">
        <v>2070.1106114602612</v>
      </c>
      <c r="AA9" s="42"/>
    </row>
    <row r="10" spans="2:27" x14ac:dyDescent="0.2">
      <c r="B10" s="4">
        <v>7</v>
      </c>
      <c r="C10" s="4">
        <v>417</v>
      </c>
      <c r="D10" s="23">
        <v>109095.4650253835</v>
      </c>
      <c r="E10" s="33">
        <v>7.7704614169997512</v>
      </c>
      <c r="F10" s="5">
        <v>2</v>
      </c>
      <c r="G10" s="23">
        <v>63.333333333333343</v>
      </c>
      <c r="H10" s="33">
        <v>54.302831266347312</v>
      </c>
      <c r="I10" s="23">
        <v>26.355934106764895</v>
      </c>
      <c r="J10" s="5">
        <v>1963.7534521377086</v>
      </c>
      <c r="K10" s="31" t="e">
        <f t="shared" si="0"/>
        <v>#DIV/0!</v>
      </c>
      <c r="L10" s="23">
        <v>118665.2244716814</v>
      </c>
      <c r="M10" s="33">
        <v>6.8640214579972962</v>
      </c>
      <c r="N10" s="5">
        <v>2</v>
      </c>
      <c r="O10" s="5">
        <v>50</v>
      </c>
      <c r="P10" s="33">
        <v>42.371032168813691</v>
      </c>
      <c r="Q10" s="5">
        <v>16.922045364900551</v>
      </c>
      <c r="R10" s="5">
        <v>1693.3332536280473</v>
      </c>
      <c r="S10" s="42"/>
      <c r="T10" s="23">
        <v>121792.4699863667</v>
      </c>
      <c r="U10" s="33">
        <v>6.7715265410006404</v>
      </c>
      <c r="V10" s="5">
        <v>2</v>
      </c>
      <c r="W10" s="5">
        <v>50</v>
      </c>
      <c r="X10" s="33">
        <v>36.662698217917658</v>
      </c>
      <c r="Y10" s="5">
        <v>28.739637140947927</v>
      </c>
      <c r="Z10" s="5">
        <v>2047.0501693502536</v>
      </c>
      <c r="AA10" s="42"/>
    </row>
    <row r="11" spans="2:27" x14ac:dyDescent="0.2">
      <c r="B11" s="4">
        <v>8</v>
      </c>
      <c r="C11" s="4">
        <v>507</v>
      </c>
      <c r="D11" s="23">
        <v>101302.12895374501</v>
      </c>
      <c r="E11" s="33">
        <v>8.4559911250034929</v>
      </c>
      <c r="F11" s="5">
        <v>2</v>
      </c>
      <c r="G11" s="23">
        <v>73.333333333333329</v>
      </c>
      <c r="H11" s="33">
        <v>71.52273677907742</v>
      </c>
      <c r="I11" s="23">
        <v>30.854586120285227</v>
      </c>
      <c r="J11" s="5">
        <v>1962.3526604204483</v>
      </c>
      <c r="K11" s="31" t="e">
        <f t="shared" si="0"/>
        <v>#DIV/0!</v>
      </c>
      <c r="L11" s="23">
        <v>115510.308732976</v>
      </c>
      <c r="M11" s="33">
        <v>7.1167719999975816</v>
      </c>
      <c r="N11" s="5">
        <v>2</v>
      </c>
      <c r="O11" s="5">
        <v>56.666666666666657</v>
      </c>
      <c r="P11" s="33">
        <v>67.268814386397807</v>
      </c>
      <c r="Q11" s="5">
        <v>20.372010783561091</v>
      </c>
      <c r="R11" s="5">
        <v>1848.742543531577</v>
      </c>
      <c r="S11" s="42"/>
      <c r="T11" s="23">
        <v>113515.85391922</v>
      </c>
      <c r="U11" s="33">
        <v>7.3020157920000202</v>
      </c>
      <c r="V11" s="5">
        <v>2</v>
      </c>
      <c r="W11" s="5">
        <v>60</v>
      </c>
      <c r="X11" s="33">
        <v>50.72404058102893</v>
      </c>
      <c r="Y11" s="5">
        <v>34.89807734273198</v>
      </c>
      <c r="Z11" s="5">
        <v>2070.1106114602612</v>
      </c>
      <c r="AA11" s="42"/>
    </row>
    <row r="12" spans="2:27" x14ac:dyDescent="0.2">
      <c r="B12" s="4">
        <v>9</v>
      </c>
      <c r="C12" s="4">
        <v>750</v>
      </c>
      <c r="D12" s="23">
        <v>109095.4650253835</v>
      </c>
      <c r="E12" s="33">
        <v>7.5339180840019253</v>
      </c>
      <c r="F12" s="5">
        <v>2</v>
      </c>
      <c r="G12" s="23">
        <v>63.333333333333343</v>
      </c>
      <c r="H12" s="33">
        <v>54.302831266347312</v>
      </c>
      <c r="I12" s="23">
        <v>26.355934106764895</v>
      </c>
      <c r="J12" s="5">
        <v>1963.7534521377086</v>
      </c>
      <c r="K12" s="31" t="e">
        <f t="shared" si="0"/>
        <v>#DIV/0!</v>
      </c>
      <c r="L12" s="23">
        <v>118665.2244716814</v>
      </c>
      <c r="M12" s="33">
        <v>6.7863809589980519</v>
      </c>
      <c r="N12" s="5">
        <v>2</v>
      </c>
      <c r="O12" s="5">
        <v>50</v>
      </c>
      <c r="P12" s="33">
        <v>42.371032168813691</v>
      </c>
      <c r="Q12" s="5">
        <v>16.922045364900551</v>
      </c>
      <c r="R12" s="5">
        <v>1693.3332536280473</v>
      </c>
      <c r="S12" s="42"/>
      <c r="T12" s="23">
        <v>121792.4699863667</v>
      </c>
      <c r="U12" s="33">
        <v>6.5177479160010989</v>
      </c>
      <c r="V12" s="5">
        <v>2</v>
      </c>
      <c r="W12" s="5">
        <v>50</v>
      </c>
      <c r="X12" s="33">
        <v>36.662698217917658</v>
      </c>
      <c r="Y12" s="5">
        <v>28.739637140947927</v>
      </c>
      <c r="Z12" s="5">
        <v>2047.0501693502536</v>
      </c>
      <c r="AA12" s="42"/>
    </row>
    <row r="13" spans="2:27" x14ac:dyDescent="0.2">
      <c r="B13" s="4">
        <v>10</v>
      </c>
      <c r="C13" s="4">
        <v>773</v>
      </c>
      <c r="D13" s="23">
        <v>101302.12895374501</v>
      </c>
      <c r="E13" s="33">
        <v>8.2944951669996954</v>
      </c>
      <c r="F13" s="5">
        <v>2</v>
      </c>
      <c r="G13" s="23">
        <v>73.333333333333329</v>
      </c>
      <c r="H13" s="33">
        <v>71.52273677907742</v>
      </c>
      <c r="I13" s="23">
        <v>30.854586120285227</v>
      </c>
      <c r="J13" s="5">
        <v>1962.3526604204483</v>
      </c>
      <c r="K13" s="31" t="e">
        <f t="shared" si="0"/>
        <v>#DIV/0!</v>
      </c>
      <c r="L13" s="23">
        <v>108203.9017239746</v>
      </c>
      <c r="M13" s="33">
        <v>7.7373073340022529</v>
      </c>
      <c r="N13" s="5">
        <v>2</v>
      </c>
      <c r="O13" s="5">
        <v>56.666666666666657</v>
      </c>
      <c r="P13" s="33">
        <v>6.6656860595875624</v>
      </c>
      <c r="Q13" s="5">
        <v>22.075930646847034</v>
      </c>
      <c r="R13" s="5">
        <v>1507.0448597777508</v>
      </c>
      <c r="S13" s="42"/>
      <c r="T13" s="23">
        <v>113515.85391922</v>
      </c>
      <c r="U13" s="33">
        <v>7.2857022909993248</v>
      </c>
      <c r="V13" s="5">
        <v>2</v>
      </c>
      <c r="W13" s="5">
        <v>60</v>
      </c>
      <c r="X13" s="33">
        <v>50.72404058102893</v>
      </c>
      <c r="Y13" s="5">
        <v>34.89807734273198</v>
      </c>
      <c r="Z13" s="5">
        <v>2070.1106114602612</v>
      </c>
      <c r="AA13" s="42"/>
    </row>
    <row r="14" spans="2:27" x14ac:dyDescent="0.2">
      <c r="B14" s="46" t="s">
        <v>3</v>
      </c>
      <c r="C14" s="47"/>
      <c r="D14" s="9">
        <f>MIN(D4:D13)</f>
        <v>101302.12895374501</v>
      </c>
      <c r="E14" s="22">
        <f>INDEX(E4:E13, MATCH($D$14, D4:D13, 0))</f>
        <v>8.3839024580011028</v>
      </c>
      <c r="F14" s="9">
        <f>INDEX(F4:F13, MATCH($D$14, D4:D13, 0))</f>
        <v>2</v>
      </c>
      <c r="G14" s="9">
        <f>INDEX(G4:G13, MATCH($D$14, D4:D13, 0))</f>
        <v>73.333333333333329</v>
      </c>
      <c r="H14" s="22">
        <f>INDEX(H4:H13, MATCH($D$14, D4:D13, 0))</f>
        <v>71.52273677907742</v>
      </c>
      <c r="I14" s="22">
        <f>INDEX(I4:I13, MATCH($D$14, D4:D13, 0))</f>
        <v>30.854586120285227</v>
      </c>
      <c r="J14" s="22">
        <f>INDEX(J4:J13, MATCH($D$14, D4:D13, 0))</f>
        <v>1962.3526604204483</v>
      </c>
      <c r="K14" s="32" t="e">
        <f>(D14-$D$15)/$D$15</f>
        <v>#DIV/0!</v>
      </c>
      <c r="L14" s="16">
        <f>MIN(L4:L13)</f>
        <v>108203.9017239746</v>
      </c>
      <c r="M14" s="21">
        <f>INDEX(M4:M13, MATCH($L$14, L4:L13, 0))</f>
        <v>7.5772971669975959</v>
      </c>
      <c r="N14" s="16">
        <f>INDEX(N4:N13, MATCH($L$14, L4:L13, 0))</f>
        <v>2</v>
      </c>
      <c r="O14" s="16">
        <f>INDEX(O4:O13, MATCH($L$14, L4:L13, 0))</f>
        <v>56.666666666666657</v>
      </c>
      <c r="P14" s="21">
        <f>INDEX(P4:P13, MATCH($L$14, L4:L13, 0))</f>
        <v>6.6656860595875624</v>
      </c>
      <c r="Q14" s="21">
        <f>INDEX(Q4:Q13, MATCH($L$14, L4:L13, 0))</f>
        <v>22.075930646847034</v>
      </c>
      <c r="R14" s="21">
        <f>INDEX(R4:R13, MATCH($L$14, L4:L13, 0))</f>
        <v>1507.0448597777508</v>
      </c>
      <c r="S14" s="43" t="e">
        <f>(L14-$D$15)/$D$15</f>
        <v>#DIV/0!</v>
      </c>
      <c r="T14" s="38">
        <f>MIN(T4:T13)</f>
        <v>113515.85391922</v>
      </c>
      <c r="U14" s="44">
        <f>INDEX(U4:U13, MATCH($T$14, T4:T13, 0))</f>
        <v>7.3433270419991459</v>
      </c>
      <c r="V14" s="38">
        <f>INDEX(V4:V13, MATCH($T$14, T4:T13, 0))</f>
        <v>2</v>
      </c>
      <c r="W14" s="38">
        <f>INDEX(W4:W13, MATCH($T$14, T4:T13, 0))</f>
        <v>60</v>
      </c>
      <c r="X14" s="44">
        <f>INDEX(X4:X13, MATCH($T$14, T4:T13, 0))</f>
        <v>50.72404058102893</v>
      </c>
      <c r="Y14" s="44">
        <f>INDEX(Y4:Y13, MATCH($T$14, T4:T13, 0))</f>
        <v>34.89807734273198</v>
      </c>
      <c r="Z14" s="44">
        <f>INDEX(Z4:Z13, MATCH($T$14, T4:T13, 0))</f>
        <v>2070.1106114602612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4:C1048576">
    <cfRule type="duplicateValues" dxfId="69" priority="5"/>
    <cfRule type="duplicateValues" dxfId="68" priority="6"/>
  </conditionalFormatting>
  <conditionalFormatting sqref="C14">
    <cfRule type="duplicateValues" dxfId="67" priority="3"/>
    <cfRule type="duplicateValues" dxfId="66" priority="4"/>
  </conditionalFormatting>
  <conditionalFormatting sqref="C15:C33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EC9E-4159-B44C-9F21-26152BF68646}">
  <dimension ref="B1:AA17"/>
  <sheetViews>
    <sheetView topLeftCell="L1" zoomScale="118" zoomScaleNormal="120" workbookViewId="0">
      <selection activeCell="L15" sqref="A15:XFD3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9.627055326303316E-2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-0.18620614909478697</v>
      </c>
      <c r="T2" s="1" t="s">
        <v>19</v>
      </c>
      <c r="X2" s="1" t="e">
        <f>(X14-P14)/P14</f>
        <v>#DIV/0!</v>
      </c>
      <c r="Z2" s="1">
        <f>(Z14-R14)/R14</f>
        <v>0.44151258571908591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2</v>
      </c>
      <c r="D4" s="23">
        <v>81369.106334446071</v>
      </c>
      <c r="E4" s="33">
        <v>9.8927620419999585</v>
      </c>
      <c r="F4" s="5">
        <v>3</v>
      </c>
      <c r="G4" s="23">
        <v>90</v>
      </c>
      <c r="H4" s="33">
        <v>18.897801737529569</v>
      </c>
      <c r="I4" s="23">
        <v>31.182005082789683</v>
      </c>
      <c r="J4" s="5">
        <v>1641.7539563306652</v>
      </c>
      <c r="K4" s="31" t="e">
        <f>(D4-$D$15)/$D$15</f>
        <v>#DIV/0!</v>
      </c>
      <c r="L4" s="23">
        <v>98976.399083780387</v>
      </c>
      <c r="M4" s="33">
        <v>9.5269642919993203</v>
      </c>
      <c r="N4" s="5">
        <v>3</v>
      </c>
      <c r="O4" s="5">
        <v>73.333333333333329</v>
      </c>
      <c r="P4" s="33">
        <v>0</v>
      </c>
      <c r="Q4" s="5">
        <v>22.484145763136166</v>
      </c>
      <c r="R4" s="5">
        <v>1570.9424780998736</v>
      </c>
      <c r="S4" s="42"/>
      <c r="T4" s="23">
        <v>95327.047961876407</v>
      </c>
      <c r="U4" s="33">
        <v>9.2206060839998827</v>
      </c>
      <c r="V4" s="5">
        <v>3</v>
      </c>
      <c r="W4" s="5">
        <v>80</v>
      </c>
      <c r="X4" s="33">
        <v>4.0782041584270701</v>
      </c>
      <c r="Y4" s="5">
        <v>41.635310017318083</v>
      </c>
      <c r="Z4" s="5">
        <v>1925.9318441325233</v>
      </c>
      <c r="AA4" s="42"/>
    </row>
    <row r="5" spans="2:27" x14ac:dyDescent="0.2">
      <c r="B5" s="4">
        <v>2</v>
      </c>
      <c r="C5" s="4">
        <v>13</v>
      </c>
      <c r="D5" s="23">
        <v>81369.106334446071</v>
      </c>
      <c r="E5" s="33">
        <v>9.975510291995306</v>
      </c>
      <c r="F5" s="5">
        <v>3</v>
      </c>
      <c r="G5" s="23">
        <v>90</v>
      </c>
      <c r="H5" s="33">
        <v>18.897801737529569</v>
      </c>
      <c r="I5" s="23">
        <v>31.182005082789683</v>
      </c>
      <c r="J5" s="5">
        <v>1641.7539563306652</v>
      </c>
      <c r="K5" s="31" t="e">
        <f>(D5-$D$15)/$D$15</f>
        <v>#DIV/0!</v>
      </c>
      <c r="L5" s="23">
        <v>97973.843848520206</v>
      </c>
      <c r="M5" s="33">
        <v>9.0067008749974775</v>
      </c>
      <c r="N5" s="5">
        <v>3</v>
      </c>
      <c r="O5" s="5">
        <v>70</v>
      </c>
      <c r="P5" s="33">
        <v>0</v>
      </c>
      <c r="Q5" s="5">
        <v>20.71710356625665</v>
      </c>
      <c r="R5" s="5">
        <v>1336.049274361201</v>
      </c>
      <c r="S5" s="42"/>
      <c r="T5" s="23">
        <v>95327.047961876407</v>
      </c>
      <c r="U5" s="33">
        <v>9.6476572920000763</v>
      </c>
      <c r="V5" s="5">
        <v>3</v>
      </c>
      <c r="W5" s="5">
        <v>80</v>
      </c>
      <c r="X5" s="33">
        <v>4.0782041584270701</v>
      </c>
      <c r="Y5" s="5">
        <v>41.635310017318083</v>
      </c>
      <c r="Z5" s="5">
        <v>1925.9318441325233</v>
      </c>
      <c r="AA5" s="42"/>
    </row>
    <row r="6" spans="2:27" x14ac:dyDescent="0.2">
      <c r="B6" s="4">
        <v>3</v>
      </c>
      <c r="C6" s="4">
        <v>26</v>
      </c>
      <c r="D6" s="23">
        <v>81369.106334446071</v>
      </c>
      <c r="E6" s="33">
        <v>9.9942042920010863</v>
      </c>
      <c r="F6" s="5">
        <v>3</v>
      </c>
      <c r="G6" s="23">
        <v>90</v>
      </c>
      <c r="H6" s="33">
        <v>18.897801737529569</v>
      </c>
      <c r="I6" s="23">
        <v>31.182005082789683</v>
      </c>
      <c r="J6" s="5">
        <v>1641.7539563306652</v>
      </c>
      <c r="K6" s="31" t="e">
        <f t="shared" ref="K6:K13" si="0">(D6-$D$15)/$D$15</f>
        <v>#DIV/0!</v>
      </c>
      <c r="L6" s="23">
        <v>97973.843848520206</v>
      </c>
      <c r="M6" s="33">
        <v>8.9048611670004902</v>
      </c>
      <c r="N6" s="5">
        <v>3</v>
      </c>
      <c r="O6" s="5">
        <v>70</v>
      </c>
      <c r="P6" s="33">
        <v>0</v>
      </c>
      <c r="Q6" s="5">
        <v>20.71710356625665</v>
      </c>
      <c r="R6" s="5">
        <v>1336.049274361201</v>
      </c>
      <c r="S6" s="42"/>
      <c r="T6" s="23">
        <v>95327.047961876407</v>
      </c>
      <c r="U6" s="33">
        <v>9.5928174170003331</v>
      </c>
      <c r="V6" s="5">
        <v>3</v>
      </c>
      <c r="W6" s="5">
        <v>80</v>
      </c>
      <c r="X6" s="33">
        <v>4.0782041584270701</v>
      </c>
      <c r="Y6" s="5">
        <v>41.635310017318083</v>
      </c>
      <c r="Z6" s="5">
        <v>1925.9318441325233</v>
      </c>
      <c r="AA6" s="42"/>
    </row>
    <row r="7" spans="2:27" x14ac:dyDescent="0.2">
      <c r="B7" s="4">
        <v>4</v>
      </c>
      <c r="C7" s="4">
        <v>59</v>
      </c>
      <c r="D7" s="23">
        <v>81369.106334446071</v>
      </c>
      <c r="E7" s="33">
        <v>9.9787947500008158</v>
      </c>
      <c r="F7" s="5">
        <v>3</v>
      </c>
      <c r="G7" s="23">
        <v>90</v>
      </c>
      <c r="H7" s="33">
        <v>18.897801737529569</v>
      </c>
      <c r="I7" s="23">
        <v>31.182005082789683</v>
      </c>
      <c r="J7" s="5">
        <v>1641.7539563306652</v>
      </c>
      <c r="K7" s="31" t="e">
        <f t="shared" si="0"/>
        <v>#DIV/0!</v>
      </c>
      <c r="L7" s="23">
        <v>97973.843848520206</v>
      </c>
      <c r="M7" s="33">
        <v>8.9210180000009132</v>
      </c>
      <c r="N7" s="5">
        <v>3</v>
      </c>
      <c r="O7" s="5">
        <v>70</v>
      </c>
      <c r="P7" s="33">
        <v>0</v>
      </c>
      <c r="Q7" s="5">
        <v>20.71710356625665</v>
      </c>
      <c r="R7" s="5">
        <v>1336.049274361201</v>
      </c>
      <c r="S7" s="42"/>
      <c r="T7" s="23">
        <v>95327.047961876407</v>
      </c>
      <c r="U7" s="33">
        <v>9.5519482910021907</v>
      </c>
      <c r="V7" s="5">
        <v>3</v>
      </c>
      <c r="W7" s="5">
        <v>80</v>
      </c>
      <c r="X7" s="33">
        <v>4.0782041584270701</v>
      </c>
      <c r="Y7" s="5">
        <v>41.635310017318083</v>
      </c>
      <c r="Z7" s="5">
        <v>1925.9318441325233</v>
      </c>
      <c r="AA7" s="42"/>
    </row>
    <row r="8" spans="2:27" x14ac:dyDescent="0.2">
      <c r="B8" s="4">
        <v>5</v>
      </c>
      <c r="C8" s="4">
        <v>145</v>
      </c>
      <c r="D8" s="23">
        <v>81369.106334446071</v>
      </c>
      <c r="E8" s="33">
        <v>11.73711291699874</v>
      </c>
      <c r="F8" s="5">
        <v>3</v>
      </c>
      <c r="G8" s="23">
        <v>90</v>
      </c>
      <c r="H8" s="33">
        <v>18.897801737529569</v>
      </c>
      <c r="I8" s="23">
        <v>31.182005082789683</v>
      </c>
      <c r="J8" s="5">
        <v>1641.7539563306652</v>
      </c>
      <c r="K8" s="31" t="e">
        <f t="shared" si="0"/>
        <v>#DIV/0!</v>
      </c>
      <c r="L8" s="23">
        <v>97973.843848520206</v>
      </c>
      <c r="M8" s="33">
        <v>10.35481354099829</v>
      </c>
      <c r="N8" s="5">
        <v>3</v>
      </c>
      <c r="O8" s="5">
        <v>70</v>
      </c>
      <c r="P8" s="33">
        <v>0</v>
      </c>
      <c r="Q8" s="5">
        <v>20.71710356625665</v>
      </c>
      <c r="R8" s="5">
        <v>1336.049274361201</v>
      </c>
      <c r="S8" s="42"/>
      <c r="T8" s="23">
        <v>95327.047961876407</v>
      </c>
      <c r="U8" s="33">
        <v>11.61642587499955</v>
      </c>
      <c r="V8" s="5">
        <v>3</v>
      </c>
      <c r="W8" s="5">
        <v>80</v>
      </c>
      <c r="X8" s="33">
        <v>4.0782041584270701</v>
      </c>
      <c r="Y8" s="5">
        <v>41.635310017318083</v>
      </c>
      <c r="Z8" s="5">
        <v>1925.9318441325233</v>
      </c>
      <c r="AA8" s="42"/>
    </row>
    <row r="9" spans="2:27" x14ac:dyDescent="0.2">
      <c r="B9" s="4">
        <v>6</v>
      </c>
      <c r="C9" s="4">
        <v>375</v>
      </c>
      <c r="D9" s="23">
        <v>81369.106334446071</v>
      </c>
      <c r="E9" s="33">
        <v>9.8246098340023309</v>
      </c>
      <c r="F9" s="5">
        <v>3</v>
      </c>
      <c r="G9" s="23">
        <v>90</v>
      </c>
      <c r="H9" s="33">
        <v>18.897801737529569</v>
      </c>
      <c r="I9" s="23">
        <v>31.182005082789683</v>
      </c>
      <c r="J9" s="5">
        <v>1641.7539563306652</v>
      </c>
      <c r="K9" s="31" t="e">
        <f t="shared" si="0"/>
        <v>#DIV/0!</v>
      </c>
      <c r="L9" s="23">
        <v>98976.399083780387</v>
      </c>
      <c r="M9" s="33">
        <v>9.480281374999322</v>
      </c>
      <c r="N9" s="5">
        <v>3</v>
      </c>
      <c r="O9" s="5">
        <v>73.333333333333329</v>
      </c>
      <c r="P9" s="33">
        <v>0</v>
      </c>
      <c r="Q9" s="5">
        <v>22.484145763136166</v>
      </c>
      <c r="R9" s="5">
        <v>1570.9424780998736</v>
      </c>
      <c r="S9" s="42"/>
      <c r="T9" s="23">
        <v>95327.047961876407</v>
      </c>
      <c r="U9" s="33">
        <v>9.4469994579994818</v>
      </c>
      <c r="V9" s="5">
        <v>3</v>
      </c>
      <c r="W9" s="5">
        <v>80</v>
      </c>
      <c r="X9" s="33">
        <v>4.0782041584270701</v>
      </c>
      <c r="Y9" s="5">
        <v>41.635310017318083</v>
      </c>
      <c r="Z9" s="5">
        <v>1925.9318441325233</v>
      </c>
      <c r="AA9" s="42"/>
    </row>
    <row r="10" spans="2:27" x14ac:dyDescent="0.2">
      <c r="B10" s="4">
        <v>7</v>
      </c>
      <c r="C10" s="4">
        <v>664</v>
      </c>
      <c r="D10" s="23">
        <v>81369.106334446071</v>
      </c>
      <c r="E10" s="33">
        <v>11.680181124997031</v>
      </c>
      <c r="F10" s="5">
        <v>3</v>
      </c>
      <c r="G10" s="23">
        <v>90</v>
      </c>
      <c r="H10" s="33">
        <v>18.897801737529569</v>
      </c>
      <c r="I10" s="23">
        <v>31.182005082789683</v>
      </c>
      <c r="J10" s="5">
        <v>1641.7539563306652</v>
      </c>
      <c r="K10" s="31" t="e">
        <f t="shared" si="0"/>
        <v>#DIV/0!</v>
      </c>
      <c r="L10" s="23">
        <v>97973.843848520206</v>
      </c>
      <c r="M10" s="33">
        <v>10.2899048750005</v>
      </c>
      <c r="N10" s="5">
        <v>3</v>
      </c>
      <c r="O10" s="5">
        <v>70</v>
      </c>
      <c r="P10" s="33">
        <v>0</v>
      </c>
      <c r="Q10" s="5">
        <v>20.71710356625665</v>
      </c>
      <c r="R10" s="5">
        <v>1336.049274361201</v>
      </c>
      <c r="S10" s="42"/>
      <c r="T10" s="23">
        <v>95327.047961876407</v>
      </c>
      <c r="U10" s="33">
        <v>11.56160429200099</v>
      </c>
      <c r="V10" s="5">
        <v>3</v>
      </c>
      <c r="W10" s="5">
        <v>80</v>
      </c>
      <c r="X10" s="33">
        <v>4.0782041584270701</v>
      </c>
      <c r="Y10" s="5">
        <v>41.635310017318083</v>
      </c>
      <c r="Z10" s="5">
        <v>1925.9318441325233</v>
      </c>
      <c r="AA10" s="42"/>
    </row>
    <row r="11" spans="2:27" x14ac:dyDescent="0.2">
      <c r="B11" s="4">
        <v>8</v>
      </c>
      <c r="C11" s="4">
        <v>930</v>
      </c>
      <c r="D11" s="23">
        <v>81369.106334446071</v>
      </c>
      <c r="E11" s="33">
        <v>9.9017397919960786</v>
      </c>
      <c r="F11" s="5">
        <v>3</v>
      </c>
      <c r="G11" s="23">
        <v>90</v>
      </c>
      <c r="H11" s="33">
        <v>18.897801737529569</v>
      </c>
      <c r="I11" s="23">
        <v>31.182005082789683</v>
      </c>
      <c r="J11" s="5">
        <v>1641.7539563306652</v>
      </c>
      <c r="K11" s="31" t="e">
        <f t="shared" si="0"/>
        <v>#DIV/0!</v>
      </c>
      <c r="L11" s="23">
        <v>97973.843848520206</v>
      </c>
      <c r="M11" s="33">
        <v>8.9948990829980175</v>
      </c>
      <c r="N11" s="5">
        <v>3</v>
      </c>
      <c r="O11" s="5">
        <v>70</v>
      </c>
      <c r="P11" s="33">
        <v>0</v>
      </c>
      <c r="Q11" s="5">
        <v>20.71710356625665</v>
      </c>
      <c r="R11" s="5">
        <v>1336.049274361201</v>
      </c>
      <c r="S11" s="42"/>
      <c r="T11" s="23">
        <v>95327.047961876407</v>
      </c>
      <c r="U11" s="33">
        <v>9.6099871250007709</v>
      </c>
      <c r="V11" s="5">
        <v>3</v>
      </c>
      <c r="W11" s="5">
        <v>80</v>
      </c>
      <c r="X11" s="33">
        <v>4.0782041584270701</v>
      </c>
      <c r="Y11" s="5">
        <v>41.635310017318083</v>
      </c>
      <c r="Z11" s="5">
        <v>1925.9318441325233</v>
      </c>
      <c r="AA11" s="42"/>
    </row>
    <row r="12" spans="2:27" x14ac:dyDescent="0.2">
      <c r="B12" s="4">
        <v>9</v>
      </c>
      <c r="C12" s="4">
        <v>948</v>
      </c>
      <c r="D12" s="23">
        <v>81369.106334446071</v>
      </c>
      <c r="E12" s="33">
        <v>9.9366165829997044</v>
      </c>
      <c r="F12" s="5">
        <v>3</v>
      </c>
      <c r="G12" s="23">
        <v>90</v>
      </c>
      <c r="H12" s="33">
        <v>18.897801737529569</v>
      </c>
      <c r="I12" s="23">
        <v>31.182005082789683</v>
      </c>
      <c r="J12" s="5">
        <v>1641.7539563306652</v>
      </c>
      <c r="K12" s="31" t="e">
        <f t="shared" si="0"/>
        <v>#DIV/0!</v>
      </c>
      <c r="L12" s="23">
        <v>97973.843848520206</v>
      </c>
      <c r="M12" s="33">
        <v>10.17242408399761</v>
      </c>
      <c r="N12" s="5">
        <v>3</v>
      </c>
      <c r="O12" s="5">
        <v>70</v>
      </c>
      <c r="P12" s="33">
        <v>0</v>
      </c>
      <c r="Q12" s="5">
        <v>20.71710356625665</v>
      </c>
      <c r="R12" s="5">
        <v>1336.049274361201</v>
      </c>
      <c r="S12" s="42"/>
      <c r="T12" s="23">
        <v>95327.047961876407</v>
      </c>
      <c r="U12" s="33">
        <v>9.4762980420018721</v>
      </c>
      <c r="V12" s="5">
        <v>3</v>
      </c>
      <c r="W12" s="5">
        <v>80</v>
      </c>
      <c r="X12" s="33">
        <v>4.0782041584270701</v>
      </c>
      <c r="Y12" s="5">
        <v>41.635310017318083</v>
      </c>
      <c r="Z12" s="5">
        <v>1925.9318441325233</v>
      </c>
      <c r="AA12" s="42"/>
    </row>
    <row r="13" spans="2:27" x14ac:dyDescent="0.2">
      <c r="B13" s="4">
        <v>10</v>
      </c>
      <c r="C13" s="4">
        <v>960</v>
      </c>
      <c r="D13" s="23">
        <v>81369.106334446071</v>
      </c>
      <c r="E13" s="33">
        <v>11.50541645799967</v>
      </c>
      <c r="F13" s="5">
        <v>3</v>
      </c>
      <c r="G13" s="23">
        <v>90</v>
      </c>
      <c r="H13" s="33">
        <v>18.897801737529569</v>
      </c>
      <c r="I13" s="23">
        <v>31.182005082789683</v>
      </c>
      <c r="J13" s="5">
        <v>1641.7539563306652</v>
      </c>
      <c r="K13" s="31" t="e">
        <f t="shared" si="0"/>
        <v>#DIV/0!</v>
      </c>
      <c r="L13" s="23">
        <v>97973.843848520206</v>
      </c>
      <c r="M13" s="33">
        <v>10.36047974999747</v>
      </c>
      <c r="N13" s="5">
        <v>3</v>
      </c>
      <c r="O13" s="5">
        <v>70</v>
      </c>
      <c r="P13" s="33">
        <v>0</v>
      </c>
      <c r="Q13" s="5">
        <v>20.71710356625665</v>
      </c>
      <c r="R13" s="5">
        <v>1336.049274361201</v>
      </c>
      <c r="S13" s="42"/>
      <c r="T13" s="23">
        <v>95327.047961876407</v>
      </c>
      <c r="U13" s="33">
        <v>11.43192583400014</v>
      </c>
      <c r="V13" s="5">
        <v>3</v>
      </c>
      <c r="W13" s="5">
        <v>80</v>
      </c>
      <c r="X13" s="33">
        <v>4.0782041584270701</v>
      </c>
      <c r="Y13" s="5">
        <v>41.635310017318083</v>
      </c>
      <c r="Z13" s="5">
        <v>1925.9318441325233</v>
      </c>
      <c r="AA13" s="42"/>
    </row>
    <row r="14" spans="2:27" x14ac:dyDescent="0.2">
      <c r="B14" s="46" t="s">
        <v>3</v>
      </c>
      <c r="C14" s="47"/>
      <c r="D14" s="9">
        <f>MIN(D4:D13)</f>
        <v>81369.106334446071</v>
      </c>
      <c r="E14" s="22">
        <f>INDEX(E4:E13, MATCH($D$14, D4:D13, 0))</f>
        <v>9.8927620419999585</v>
      </c>
      <c r="F14" s="9">
        <f>INDEX(F4:F13, MATCH($D$14, D4:D13, 0))</f>
        <v>3</v>
      </c>
      <c r="G14" s="9">
        <f>INDEX(G4:G13, MATCH($D$14, D4:D13, 0))</f>
        <v>90</v>
      </c>
      <c r="H14" s="22">
        <f>INDEX(H4:H13, MATCH($D$14, D4:D13, 0))</f>
        <v>18.897801737529569</v>
      </c>
      <c r="I14" s="22">
        <f>INDEX(I4:I13, MATCH($D$14, D4:D13, 0))</f>
        <v>31.182005082789683</v>
      </c>
      <c r="J14" s="22">
        <f>INDEX(J4:J13, MATCH($D$14, D4:D13, 0))</f>
        <v>1641.7539563306652</v>
      </c>
      <c r="K14" s="32" t="e">
        <f>(D14-$D$15)/$D$15</f>
        <v>#DIV/0!</v>
      </c>
      <c r="L14" s="16">
        <f>MIN(L4:L13)</f>
        <v>97973.843848520206</v>
      </c>
      <c r="M14" s="21">
        <f>INDEX(M4:M13, MATCH($L$14, L4:L13, 0))</f>
        <v>9.0067008749974775</v>
      </c>
      <c r="N14" s="16">
        <f>INDEX(N4:N13, MATCH($L$14, L4:L13, 0))</f>
        <v>3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20.71710356625665</v>
      </c>
      <c r="R14" s="21">
        <f>INDEX(R4:R13, MATCH($L$14, L4:L13, 0))</f>
        <v>1336.049274361201</v>
      </c>
      <c r="S14" s="43" t="e">
        <f>(L14-$D$15)/$D$15</f>
        <v>#DIV/0!</v>
      </c>
      <c r="T14" s="38">
        <f>MIN(T4:T13)</f>
        <v>95327.047961876407</v>
      </c>
      <c r="U14" s="44">
        <f>INDEX(U4:U13, MATCH($T$14, T4:T13, 0))</f>
        <v>9.2206060839998827</v>
      </c>
      <c r="V14" s="38">
        <f>INDEX(V4:V13, MATCH($T$14, T4:T13, 0))</f>
        <v>3</v>
      </c>
      <c r="W14" s="38">
        <f>INDEX(W4:W13, MATCH($T$14, T4:T13, 0))</f>
        <v>80</v>
      </c>
      <c r="X14" s="44">
        <f>INDEX(X4:X13, MATCH($T$14, T4:T13, 0))</f>
        <v>4.0782041584270701</v>
      </c>
      <c r="Y14" s="44">
        <f>INDEX(Y4:Y13, MATCH($T$14, T4:T13, 0))</f>
        <v>41.635310017318083</v>
      </c>
      <c r="Z14" s="44">
        <f>INDEX(Z4:Z13, MATCH($T$14, T4:T13, 0))</f>
        <v>1925.9318441325233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4:C1048576">
    <cfRule type="duplicateValues" dxfId="65" priority="5"/>
    <cfRule type="duplicateValues" dxfId="64" priority="6"/>
  </conditionalFormatting>
  <conditionalFormatting sqref="C14">
    <cfRule type="duplicateValues" dxfId="63" priority="3"/>
    <cfRule type="duplicateValues" dxfId="62" priority="4"/>
  </conditionalFormatting>
  <conditionalFormatting sqref="C15:C33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0627-0CAD-E745-B4DD-43D99A7FBAD2}">
  <dimension ref="B1:AA17"/>
  <sheetViews>
    <sheetView topLeftCell="L1" zoomScale="118" zoomScaleNormal="120" workbookViewId="0">
      <selection activeCell="L15" sqref="A15:XFD3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-0.16629546952628527</v>
      </c>
      <c r="T2" s="1" t="s">
        <v>19</v>
      </c>
      <c r="X2" s="1" t="e">
        <f>(X14-P14)/P14</f>
        <v>#DIV/0!</v>
      </c>
      <c r="Z2" s="1">
        <f>(Z14-R14)/R14</f>
        <v>0.49541728350316833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51</v>
      </c>
      <c r="D4" s="23">
        <v>84423.484950275539</v>
      </c>
      <c r="E4" s="33">
        <v>4.3936168750005891</v>
      </c>
      <c r="F4" s="5">
        <v>2</v>
      </c>
      <c r="G4" s="23">
        <v>80</v>
      </c>
      <c r="H4" s="33">
        <v>0</v>
      </c>
      <c r="I4" s="23">
        <v>34.069893863062859</v>
      </c>
      <c r="J4" s="5">
        <v>1654.8432038480362</v>
      </c>
      <c r="K4" s="31" t="e">
        <f>(D4-$D$15)/$D$15</f>
        <v>#DIV/0!</v>
      </c>
      <c r="L4" s="23">
        <v>104350.9411852425</v>
      </c>
      <c r="M4" s="33">
        <v>5.8654139169993869</v>
      </c>
      <c r="N4" s="5">
        <v>2</v>
      </c>
      <c r="O4" s="5">
        <v>56.666666666666657</v>
      </c>
      <c r="P4" s="33">
        <v>0</v>
      </c>
      <c r="Q4" s="5">
        <v>22.517693292819267</v>
      </c>
      <c r="R4" s="5">
        <v>1379.6502762717448</v>
      </c>
      <c r="S4" s="42"/>
      <c r="T4" s="23">
        <v>97660.089936309203</v>
      </c>
      <c r="U4" s="33">
        <v>4.4969418749969918</v>
      </c>
      <c r="V4" s="5">
        <v>2</v>
      </c>
      <c r="W4" s="5">
        <v>73.333333333333329</v>
      </c>
      <c r="X4" s="33">
        <v>3.2864655086492887</v>
      </c>
      <c r="Y4" s="5">
        <v>46.703365719035986</v>
      </c>
      <c r="Z4" s="5">
        <v>2063.1528683266883</v>
      </c>
      <c r="AA4" s="42"/>
    </row>
    <row r="5" spans="2:27" x14ac:dyDescent="0.2">
      <c r="B5" s="4">
        <v>2</v>
      </c>
      <c r="C5" s="4">
        <v>196</v>
      </c>
      <c r="D5" s="23">
        <v>84423.484950275539</v>
      </c>
      <c r="E5" s="33">
        <v>4.4341879580024397</v>
      </c>
      <c r="F5" s="5">
        <v>2</v>
      </c>
      <c r="G5" s="23">
        <v>80</v>
      </c>
      <c r="H5" s="33">
        <v>0</v>
      </c>
      <c r="I5" s="23">
        <v>34.069893863062859</v>
      </c>
      <c r="J5" s="5">
        <v>1654.8432038480362</v>
      </c>
      <c r="K5" s="31" t="e">
        <f>(D5-$D$15)/$D$15</f>
        <v>#DIV/0!</v>
      </c>
      <c r="L5" s="23">
        <v>106317.10062063611</v>
      </c>
      <c r="M5" s="33">
        <v>7.0387875830019766</v>
      </c>
      <c r="N5" s="5">
        <v>3</v>
      </c>
      <c r="O5" s="5">
        <v>66.666666666666671</v>
      </c>
      <c r="P5" s="33">
        <v>15.237537479596677</v>
      </c>
      <c r="Q5" s="5">
        <v>18.116668226294188</v>
      </c>
      <c r="R5" s="5">
        <v>1523.7880745425005</v>
      </c>
      <c r="S5" s="42"/>
      <c r="T5" s="23">
        <v>97660.089936309203</v>
      </c>
      <c r="U5" s="33">
        <v>4.6627906249996158</v>
      </c>
      <c r="V5" s="5">
        <v>2</v>
      </c>
      <c r="W5" s="5">
        <v>73.333333333333329</v>
      </c>
      <c r="X5" s="33">
        <v>3.2864655086492887</v>
      </c>
      <c r="Y5" s="5">
        <v>46.703365719035986</v>
      </c>
      <c r="Z5" s="5">
        <v>2063.1528683266883</v>
      </c>
      <c r="AA5" s="42"/>
    </row>
    <row r="6" spans="2:27" x14ac:dyDescent="0.2">
      <c r="B6" s="4">
        <v>3</v>
      </c>
      <c r="C6" s="4">
        <v>215</v>
      </c>
      <c r="D6" s="23">
        <v>84423.484950275539</v>
      </c>
      <c r="E6" s="33">
        <v>4.5136867080000229</v>
      </c>
      <c r="F6" s="5">
        <v>2</v>
      </c>
      <c r="G6" s="23">
        <v>80</v>
      </c>
      <c r="H6" s="33">
        <v>0</v>
      </c>
      <c r="I6" s="23">
        <v>34.069893863062859</v>
      </c>
      <c r="J6" s="5">
        <v>1654.8432038480362</v>
      </c>
      <c r="K6" s="31" t="e">
        <f t="shared" ref="K6:K13" si="0">(D6-$D$15)/$D$15</f>
        <v>#DIV/0!</v>
      </c>
      <c r="L6" s="23">
        <v>104350.9411852425</v>
      </c>
      <c r="M6" s="33">
        <v>5.6882439170003636</v>
      </c>
      <c r="N6" s="5">
        <v>2</v>
      </c>
      <c r="O6" s="5">
        <v>56.666666666666657</v>
      </c>
      <c r="P6" s="33">
        <v>0</v>
      </c>
      <c r="Q6" s="5">
        <v>22.517693292819267</v>
      </c>
      <c r="R6" s="5">
        <v>1379.6502762717448</v>
      </c>
      <c r="S6" s="42"/>
      <c r="T6" s="23">
        <v>97660.089936309203</v>
      </c>
      <c r="U6" s="33">
        <v>4.6254517499983194</v>
      </c>
      <c r="V6" s="5">
        <v>2</v>
      </c>
      <c r="W6" s="5">
        <v>73.333333333333329</v>
      </c>
      <c r="X6" s="33">
        <v>3.2864655086492887</v>
      </c>
      <c r="Y6" s="5">
        <v>46.703365719035986</v>
      </c>
      <c r="Z6" s="5">
        <v>2063.1528683266883</v>
      </c>
      <c r="AA6" s="42"/>
    </row>
    <row r="7" spans="2:27" x14ac:dyDescent="0.2">
      <c r="B7" s="4">
        <v>4</v>
      </c>
      <c r="C7" s="4">
        <v>293</v>
      </c>
      <c r="D7" s="23">
        <v>84423.484950275539</v>
      </c>
      <c r="E7" s="33">
        <v>4.0663832089994676</v>
      </c>
      <c r="F7" s="5">
        <v>2</v>
      </c>
      <c r="G7" s="23">
        <v>80</v>
      </c>
      <c r="H7" s="33">
        <v>0</v>
      </c>
      <c r="I7" s="23">
        <v>34.069893863062859</v>
      </c>
      <c r="J7" s="5">
        <v>1654.8432038480362</v>
      </c>
      <c r="K7" s="31" t="e">
        <f t="shared" si="0"/>
        <v>#DIV/0!</v>
      </c>
      <c r="L7" s="23">
        <v>104350.9411852425</v>
      </c>
      <c r="M7" s="33">
        <v>6.0246945830003824</v>
      </c>
      <c r="N7" s="5">
        <v>2</v>
      </c>
      <c r="O7" s="5">
        <v>56.666666666666657</v>
      </c>
      <c r="P7" s="33">
        <v>0</v>
      </c>
      <c r="Q7" s="5">
        <v>22.517693292819267</v>
      </c>
      <c r="R7" s="5">
        <v>1379.6502762717448</v>
      </c>
      <c r="S7" s="42"/>
      <c r="T7" s="23">
        <v>97660.089936309203</v>
      </c>
      <c r="U7" s="33">
        <v>4.4987224169999536</v>
      </c>
      <c r="V7" s="5">
        <v>2</v>
      </c>
      <c r="W7" s="5">
        <v>73.333333333333329</v>
      </c>
      <c r="X7" s="33">
        <v>3.2864655086492887</v>
      </c>
      <c r="Y7" s="5">
        <v>46.703365719035986</v>
      </c>
      <c r="Z7" s="5">
        <v>2063.1528683266883</v>
      </c>
      <c r="AA7" s="42"/>
    </row>
    <row r="8" spans="2:27" x14ac:dyDescent="0.2">
      <c r="B8" s="4">
        <v>5</v>
      </c>
      <c r="C8" s="4">
        <v>353</v>
      </c>
      <c r="D8" s="23">
        <v>84423.484950275539</v>
      </c>
      <c r="E8" s="33">
        <v>4.2172939169977326</v>
      </c>
      <c r="F8" s="5">
        <v>2</v>
      </c>
      <c r="G8" s="23">
        <v>80</v>
      </c>
      <c r="H8" s="33">
        <v>0</v>
      </c>
      <c r="I8" s="23">
        <v>34.069893863062859</v>
      </c>
      <c r="J8" s="5">
        <v>1654.8432038480362</v>
      </c>
      <c r="K8" s="31" t="e">
        <f t="shared" si="0"/>
        <v>#DIV/0!</v>
      </c>
      <c r="L8" s="23">
        <v>104350.9411852425</v>
      </c>
      <c r="M8" s="33">
        <v>5.9735048330003337</v>
      </c>
      <c r="N8" s="5">
        <v>2</v>
      </c>
      <c r="O8" s="5">
        <v>56.666666666666657</v>
      </c>
      <c r="P8" s="33">
        <v>0</v>
      </c>
      <c r="Q8" s="5">
        <v>22.517693292819267</v>
      </c>
      <c r="R8" s="5">
        <v>1379.6502762717448</v>
      </c>
      <c r="S8" s="42"/>
      <c r="T8" s="23">
        <v>97660.089936309203</v>
      </c>
      <c r="U8" s="33">
        <v>4.056214958000055</v>
      </c>
      <c r="V8" s="5">
        <v>2</v>
      </c>
      <c r="W8" s="5">
        <v>73.333333333333329</v>
      </c>
      <c r="X8" s="33">
        <v>3.2864655086492887</v>
      </c>
      <c r="Y8" s="5">
        <v>46.703365719035986</v>
      </c>
      <c r="Z8" s="5">
        <v>2063.1528683266883</v>
      </c>
      <c r="AA8" s="42"/>
    </row>
    <row r="9" spans="2:27" x14ac:dyDescent="0.2">
      <c r="B9" s="4">
        <v>6</v>
      </c>
      <c r="C9" s="4">
        <v>592</v>
      </c>
      <c r="D9" s="23">
        <v>84423.484950275539</v>
      </c>
      <c r="E9" s="33">
        <v>4.5328216250054538</v>
      </c>
      <c r="F9" s="5">
        <v>2</v>
      </c>
      <c r="G9" s="23">
        <v>80</v>
      </c>
      <c r="H9" s="33">
        <v>0</v>
      </c>
      <c r="I9" s="23">
        <v>34.069893863062859</v>
      </c>
      <c r="J9" s="5">
        <v>1654.8432038480362</v>
      </c>
      <c r="K9" s="31" t="e">
        <f t="shared" si="0"/>
        <v>#DIV/0!</v>
      </c>
      <c r="L9" s="23">
        <v>104350.9411852425</v>
      </c>
      <c r="M9" s="33">
        <v>6.5615716670035908</v>
      </c>
      <c r="N9" s="5">
        <v>2</v>
      </c>
      <c r="O9" s="5">
        <v>56.666666666666657</v>
      </c>
      <c r="P9" s="33">
        <v>0</v>
      </c>
      <c r="Q9" s="5">
        <v>22.517693292819267</v>
      </c>
      <c r="R9" s="5">
        <v>1379.6502762717448</v>
      </c>
      <c r="S9" s="42"/>
      <c r="T9" s="23">
        <v>97660.089936309203</v>
      </c>
      <c r="U9" s="33">
        <v>5.2980032080013189</v>
      </c>
      <c r="V9" s="5">
        <v>2</v>
      </c>
      <c r="W9" s="5">
        <v>73.333333333333329</v>
      </c>
      <c r="X9" s="33">
        <v>3.2864655086492887</v>
      </c>
      <c r="Y9" s="5">
        <v>46.703365719035986</v>
      </c>
      <c r="Z9" s="5">
        <v>2063.1528683266883</v>
      </c>
      <c r="AA9" s="42"/>
    </row>
    <row r="10" spans="2:27" x14ac:dyDescent="0.2">
      <c r="B10" s="4">
        <v>7</v>
      </c>
      <c r="C10" s="4">
        <v>646</v>
      </c>
      <c r="D10" s="23">
        <v>84423.484950275539</v>
      </c>
      <c r="E10" s="33">
        <v>4.0609957909982768</v>
      </c>
      <c r="F10" s="5">
        <v>2</v>
      </c>
      <c r="G10" s="23">
        <v>80</v>
      </c>
      <c r="H10" s="33">
        <v>0</v>
      </c>
      <c r="I10" s="23">
        <v>34.069893863062859</v>
      </c>
      <c r="J10" s="5">
        <v>1654.8432038480362</v>
      </c>
      <c r="K10" s="31" t="e">
        <f t="shared" si="0"/>
        <v>#DIV/0!</v>
      </c>
      <c r="L10" s="23">
        <v>104350.9411852425</v>
      </c>
      <c r="M10" s="33">
        <v>5.1525664170003438</v>
      </c>
      <c r="N10" s="5">
        <v>2</v>
      </c>
      <c r="O10" s="5">
        <v>56.666666666666657</v>
      </c>
      <c r="P10" s="33">
        <v>0</v>
      </c>
      <c r="Q10" s="5">
        <v>22.517693292819267</v>
      </c>
      <c r="R10" s="5">
        <v>1379.6502762717448</v>
      </c>
      <c r="S10" s="42"/>
      <c r="T10" s="23">
        <v>97660.089936309203</v>
      </c>
      <c r="U10" s="33">
        <v>4.6102225829999952</v>
      </c>
      <c r="V10" s="5">
        <v>2</v>
      </c>
      <c r="W10" s="5">
        <v>73.333333333333329</v>
      </c>
      <c r="X10" s="33">
        <v>3.2864655086492887</v>
      </c>
      <c r="Y10" s="5">
        <v>46.703365719035986</v>
      </c>
      <c r="Z10" s="5">
        <v>2063.1528683266883</v>
      </c>
      <c r="AA10" s="42"/>
    </row>
    <row r="11" spans="2:27" x14ac:dyDescent="0.2">
      <c r="B11" s="4">
        <v>8</v>
      </c>
      <c r="C11" s="4">
        <v>807</v>
      </c>
      <c r="D11" s="23">
        <v>84423.484950275539</v>
      </c>
      <c r="E11" s="33">
        <v>4.0410877499962234</v>
      </c>
      <c r="F11" s="5">
        <v>2</v>
      </c>
      <c r="G11" s="23">
        <v>80</v>
      </c>
      <c r="H11" s="33">
        <v>0</v>
      </c>
      <c r="I11" s="23">
        <v>34.069893863062859</v>
      </c>
      <c r="J11" s="5">
        <v>1654.8432038480362</v>
      </c>
      <c r="K11" s="31" t="e">
        <f t="shared" si="0"/>
        <v>#DIV/0!</v>
      </c>
      <c r="L11" s="23">
        <v>106317.10062063611</v>
      </c>
      <c r="M11" s="33">
        <v>7.0581251660005364</v>
      </c>
      <c r="N11" s="5">
        <v>3</v>
      </c>
      <c r="O11" s="5">
        <v>66.666666666666671</v>
      </c>
      <c r="P11" s="33">
        <v>15.237537479596677</v>
      </c>
      <c r="Q11" s="5">
        <v>18.116668226294188</v>
      </c>
      <c r="R11" s="5">
        <v>1523.7880745425005</v>
      </c>
      <c r="S11" s="42"/>
      <c r="T11" s="23">
        <v>97660.089936309203</v>
      </c>
      <c r="U11" s="33">
        <v>4.0338997910002936</v>
      </c>
      <c r="V11" s="5">
        <v>2</v>
      </c>
      <c r="W11" s="5">
        <v>73.333333333333329</v>
      </c>
      <c r="X11" s="33">
        <v>3.2864655086492887</v>
      </c>
      <c r="Y11" s="5">
        <v>46.703365719035986</v>
      </c>
      <c r="Z11" s="5">
        <v>2063.1528683266883</v>
      </c>
      <c r="AA11" s="42"/>
    </row>
    <row r="12" spans="2:27" x14ac:dyDescent="0.2">
      <c r="B12" s="4">
        <v>9</v>
      </c>
      <c r="C12" s="4">
        <v>844</v>
      </c>
      <c r="D12" s="23">
        <v>84423.484950275539</v>
      </c>
      <c r="E12" s="33">
        <v>3.9490340410047788</v>
      </c>
      <c r="F12" s="5">
        <v>2</v>
      </c>
      <c r="G12" s="23">
        <v>80</v>
      </c>
      <c r="H12" s="33">
        <v>0</v>
      </c>
      <c r="I12" s="23">
        <v>34.069893863062859</v>
      </c>
      <c r="J12" s="5">
        <v>1654.8432038480362</v>
      </c>
      <c r="K12" s="31" t="e">
        <f t="shared" si="0"/>
        <v>#DIV/0!</v>
      </c>
      <c r="L12" s="23">
        <v>106317.10062063611</v>
      </c>
      <c r="M12" s="33">
        <v>6.9242125829987344</v>
      </c>
      <c r="N12" s="5">
        <v>3</v>
      </c>
      <c r="O12" s="5">
        <v>66.666666666666671</v>
      </c>
      <c r="P12" s="33">
        <v>15.237537479596677</v>
      </c>
      <c r="Q12" s="5">
        <v>18.116668226294188</v>
      </c>
      <c r="R12" s="5">
        <v>1523.7880745425005</v>
      </c>
      <c r="S12" s="42"/>
      <c r="T12" s="23">
        <v>97660.089936309203</v>
      </c>
      <c r="U12" s="33">
        <v>4.1556157500017434</v>
      </c>
      <c r="V12" s="5">
        <v>2</v>
      </c>
      <c r="W12" s="5">
        <v>73.333333333333329</v>
      </c>
      <c r="X12" s="33">
        <v>3.2864655086492887</v>
      </c>
      <c r="Y12" s="5">
        <v>46.703365719035986</v>
      </c>
      <c r="Z12" s="5">
        <v>2063.1528683266883</v>
      </c>
      <c r="AA12" s="42"/>
    </row>
    <row r="13" spans="2:27" x14ac:dyDescent="0.2">
      <c r="B13" s="4">
        <v>10</v>
      </c>
      <c r="C13" s="4">
        <v>849</v>
      </c>
      <c r="D13" s="23">
        <v>84423.484950275539</v>
      </c>
      <c r="E13" s="33">
        <v>3.999581582997052</v>
      </c>
      <c r="F13" s="5">
        <v>2</v>
      </c>
      <c r="G13" s="23">
        <v>80</v>
      </c>
      <c r="H13" s="33">
        <v>0</v>
      </c>
      <c r="I13" s="23">
        <v>34.069893863062859</v>
      </c>
      <c r="J13" s="5">
        <v>1654.8432038480362</v>
      </c>
      <c r="K13" s="31" t="e">
        <f t="shared" si="0"/>
        <v>#DIV/0!</v>
      </c>
      <c r="L13" s="23">
        <v>104350.9411852425</v>
      </c>
      <c r="M13" s="33">
        <v>5.212138082999445</v>
      </c>
      <c r="N13" s="5">
        <v>2</v>
      </c>
      <c r="O13" s="5">
        <v>56.666666666666657</v>
      </c>
      <c r="P13" s="33">
        <v>0</v>
      </c>
      <c r="Q13" s="5">
        <v>22.517693292819267</v>
      </c>
      <c r="R13" s="5">
        <v>1379.6502762717448</v>
      </c>
      <c r="S13" s="42"/>
      <c r="T13" s="23">
        <v>97660.089936309203</v>
      </c>
      <c r="U13" s="33">
        <v>4.5955432080008896</v>
      </c>
      <c r="V13" s="5">
        <v>2</v>
      </c>
      <c r="W13" s="5">
        <v>73.333333333333329</v>
      </c>
      <c r="X13" s="33">
        <v>3.2864655086492887</v>
      </c>
      <c r="Y13" s="5">
        <v>46.703365719035986</v>
      </c>
      <c r="Z13" s="5">
        <v>2063.1528683266883</v>
      </c>
      <c r="AA13" s="42"/>
    </row>
    <row r="14" spans="2:27" x14ac:dyDescent="0.2">
      <c r="B14" s="46" t="s">
        <v>3</v>
      </c>
      <c r="C14" s="47"/>
      <c r="D14" s="9">
        <f>MIN(D4:D13)</f>
        <v>84423.484950275539</v>
      </c>
      <c r="E14" s="22">
        <f>INDEX(E4:E13, MATCH($D$14, D4:D13, 0))</f>
        <v>4.3936168750005891</v>
      </c>
      <c r="F14" s="9">
        <f>INDEX(F4:F13, MATCH($D$14, D4:D13, 0))</f>
        <v>2</v>
      </c>
      <c r="G14" s="9">
        <f>INDEX(G4:G13, MATCH($D$14, D4:D13, 0))</f>
        <v>80</v>
      </c>
      <c r="H14" s="22">
        <f>INDEX(H4:H13, MATCH($D$14, D4:D13, 0))</f>
        <v>0</v>
      </c>
      <c r="I14" s="22">
        <f>INDEX(I4:I13, MATCH($D$14, D4:D13, 0))</f>
        <v>34.069893863062859</v>
      </c>
      <c r="J14" s="22">
        <f>INDEX(J4:J13, MATCH($D$14, D4:D13, 0))</f>
        <v>1654.8432038480362</v>
      </c>
      <c r="K14" s="32" t="e">
        <f>(D14-$D$15)/$D$15</f>
        <v>#DIV/0!</v>
      </c>
      <c r="L14" s="16">
        <f>MIN(L4:L13)</f>
        <v>104350.9411852425</v>
      </c>
      <c r="M14" s="21">
        <f>INDEX(M4:M13, MATCH($L$14, L4:L13, 0))</f>
        <v>5.8654139169993869</v>
      </c>
      <c r="N14" s="16">
        <f>INDEX(N4:N13, MATCH($L$14, L4:L13, 0))</f>
        <v>2</v>
      </c>
      <c r="O14" s="16">
        <f>INDEX(O4:O13, MATCH($L$14, L4:L13, 0))</f>
        <v>56.666666666666657</v>
      </c>
      <c r="P14" s="21">
        <f>INDEX(P4:P13, MATCH($L$14, L4:L13, 0))</f>
        <v>0</v>
      </c>
      <c r="Q14" s="21">
        <f>INDEX(Q4:Q13, MATCH($L$14, L4:L13, 0))</f>
        <v>22.517693292819267</v>
      </c>
      <c r="R14" s="21">
        <f>INDEX(R4:R13, MATCH($L$14, L4:L13, 0))</f>
        <v>1379.6502762717448</v>
      </c>
      <c r="S14" s="43" t="e">
        <f>(L14-$D$15)/$D$15</f>
        <v>#DIV/0!</v>
      </c>
      <c r="T14" s="38">
        <f>MIN(T4:T13)</f>
        <v>97660.089936309203</v>
      </c>
      <c r="U14" s="44">
        <f>INDEX(U4:U13, MATCH($T$14, T4:T13, 0))</f>
        <v>4.4969418749969918</v>
      </c>
      <c r="V14" s="38">
        <f>INDEX(V4:V13, MATCH($T$14, T4:T13, 0))</f>
        <v>2</v>
      </c>
      <c r="W14" s="38">
        <f>INDEX(W4:W13, MATCH($T$14, T4:T13, 0))</f>
        <v>73.333333333333329</v>
      </c>
      <c r="X14" s="44">
        <f>INDEX(X4:X13, MATCH($T$14, T4:T13, 0))</f>
        <v>3.2864655086492887</v>
      </c>
      <c r="Y14" s="44">
        <f>INDEX(Y4:Y13, MATCH($T$14, T4:T13, 0))</f>
        <v>46.703365719035986</v>
      </c>
      <c r="Z14" s="44">
        <f>INDEX(Z4:Z13, MATCH($T$14, T4:T13, 0))</f>
        <v>2063.1528683266883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4:C1048576">
    <cfRule type="duplicateValues" dxfId="61" priority="5"/>
    <cfRule type="duplicateValues" dxfId="60" priority="6"/>
  </conditionalFormatting>
  <conditionalFormatting sqref="C14">
    <cfRule type="duplicateValues" dxfId="59" priority="3"/>
    <cfRule type="duplicateValues" dxfId="58" priority="4"/>
  </conditionalFormatting>
  <conditionalFormatting sqref="C15:C33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24D7-92BD-7B43-BB12-B2DB613B16AC}">
  <dimension ref="B1:AA17"/>
  <sheetViews>
    <sheetView topLeftCell="L1" zoomScale="118" zoomScaleNormal="120" workbookViewId="0">
      <selection activeCell="L15" sqref="A15:XFD3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-0.60843026065271877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-0.27823665181908619</v>
      </c>
      <c r="T2" s="1" t="s">
        <v>19</v>
      </c>
      <c r="X2" s="1" t="e">
        <f>(X14-P14)/P14</f>
        <v>#DIV/0!</v>
      </c>
      <c r="Z2" s="1">
        <f>(Z14-R14)/R14</f>
        <v>0.49618621016562409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166</v>
      </c>
      <c r="D4" s="23">
        <v>93343.617864498519</v>
      </c>
      <c r="E4" s="33">
        <v>4.7639457500044946</v>
      </c>
      <c r="F4" s="5">
        <v>3</v>
      </c>
      <c r="G4" s="23">
        <v>86.666666666666671</v>
      </c>
      <c r="H4" s="33">
        <v>58.283586538750811</v>
      </c>
      <c r="I4" s="23">
        <v>39.983935010455525</v>
      </c>
      <c r="J4" s="5">
        <v>1949.2490720880817</v>
      </c>
      <c r="K4" s="31" t="e">
        <f>(D4-$D$15)/$D$15</f>
        <v>#DIV/0!</v>
      </c>
      <c r="L4" s="23">
        <v>110068.79261024149</v>
      </c>
      <c r="M4" s="33">
        <v>5.8794081250016461</v>
      </c>
      <c r="N4" s="5">
        <v>3</v>
      </c>
      <c r="O4" s="5">
        <v>60</v>
      </c>
      <c r="P4" s="33">
        <v>0</v>
      </c>
      <c r="Q4" s="5">
        <v>22.822088789203359</v>
      </c>
      <c r="R4" s="5">
        <v>1406.8965367088333</v>
      </c>
      <c r="S4" s="42"/>
      <c r="T4" s="23">
        <v>108796.2317529451</v>
      </c>
      <c r="U4" s="33">
        <v>5.7751889160026622</v>
      </c>
      <c r="V4" s="5">
        <v>3</v>
      </c>
      <c r="W4" s="5">
        <v>70</v>
      </c>
      <c r="X4" s="33">
        <v>93.943303171774829</v>
      </c>
      <c r="Y4" s="5">
        <v>48.871874624108507</v>
      </c>
      <c r="Z4" s="5">
        <v>2104.9791973535312</v>
      </c>
      <c r="AA4" s="42"/>
    </row>
    <row r="5" spans="2:27" x14ac:dyDescent="0.2">
      <c r="B5" s="4">
        <v>2</v>
      </c>
      <c r="C5" s="4">
        <v>170</v>
      </c>
      <c r="D5" s="23">
        <v>93343.617864498519</v>
      </c>
      <c r="E5" s="33">
        <v>4.9305547090043547</v>
      </c>
      <c r="F5" s="5">
        <v>3</v>
      </c>
      <c r="G5" s="23">
        <v>86.666666666666671</v>
      </c>
      <c r="H5" s="33">
        <v>58.283586538750811</v>
      </c>
      <c r="I5" s="23">
        <v>39.983935010455525</v>
      </c>
      <c r="J5" s="5">
        <v>1949.2490720880817</v>
      </c>
      <c r="K5" s="31" t="e">
        <f>(D5-$D$15)/$D$15</f>
        <v>#DIV/0!</v>
      </c>
      <c r="L5" s="23">
        <v>110068.79261024149</v>
      </c>
      <c r="M5" s="33">
        <v>5.4412889160012128</v>
      </c>
      <c r="N5" s="5">
        <v>3</v>
      </c>
      <c r="O5" s="5">
        <v>60</v>
      </c>
      <c r="P5" s="33">
        <v>0</v>
      </c>
      <c r="Q5" s="5">
        <v>22.822088789203359</v>
      </c>
      <c r="R5" s="5">
        <v>1406.8965367088333</v>
      </c>
      <c r="S5" s="42"/>
      <c r="T5" s="23">
        <v>108796.2317529451</v>
      </c>
      <c r="U5" s="33">
        <v>4.9986397499997111</v>
      </c>
      <c r="V5" s="5">
        <v>3</v>
      </c>
      <c r="W5" s="5">
        <v>70</v>
      </c>
      <c r="X5" s="33">
        <v>93.943303171774829</v>
      </c>
      <c r="Y5" s="5">
        <v>48.871874624108507</v>
      </c>
      <c r="Z5" s="5">
        <v>2104.9791973535312</v>
      </c>
      <c r="AA5" s="42"/>
    </row>
    <row r="6" spans="2:27" x14ac:dyDescent="0.2">
      <c r="B6" s="4">
        <v>3</v>
      </c>
      <c r="C6" s="4">
        <v>190</v>
      </c>
      <c r="D6" s="23">
        <v>93343.617864498519</v>
      </c>
      <c r="E6" s="33">
        <v>4.9369712499974412</v>
      </c>
      <c r="F6" s="5">
        <v>3</v>
      </c>
      <c r="G6" s="23">
        <v>86.666666666666671</v>
      </c>
      <c r="H6" s="33">
        <v>58.283586538750811</v>
      </c>
      <c r="I6" s="23">
        <v>39.983935010455525</v>
      </c>
      <c r="J6" s="5">
        <v>1949.2490720880817</v>
      </c>
      <c r="K6" s="31" t="e">
        <f t="shared" ref="K6:K13" si="0">(D6-$D$15)/$D$15</f>
        <v>#DIV/0!</v>
      </c>
      <c r="L6" s="23">
        <v>110068.79261024149</v>
      </c>
      <c r="M6" s="33">
        <v>5.7289290420012549</v>
      </c>
      <c r="N6" s="5">
        <v>3</v>
      </c>
      <c r="O6" s="5">
        <v>60</v>
      </c>
      <c r="P6" s="33">
        <v>0</v>
      </c>
      <c r="Q6" s="5">
        <v>22.822088789203359</v>
      </c>
      <c r="R6" s="5">
        <v>1406.8965367088333</v>
      </c>
      <c r="S6" s="42"/>
      <c r="T6" s="23">
        <v>108796.2317529451</v>
      </c>
      <c r="U6" s="33">
        <v>5.3981803330025286</v>
      </c>
      <c r="V6" s="5">
        <v>3</v>
      </c>
      <c r="W6" s="5">
        <v>70</v>
      </c>
      <c r="X6" s="33">
        <v>93.943303171774829</v>
      </c>
      <c r="Y6" s="5">
        <v>48.871874624108507</v>
      </c>
      <c r="Z6" s="5">
        <v>2104.9791973535312</v>
      </c>
      <c r="AA6" s="42"/>
    </row>
    <row r="7" spans="2:27" x14ac:dyDescent="0.2">
      <c r="B7" s="4">
        <v>4</v>
      </c>
      <c r="C7" s="4">
        <v>298</v>
      </c>
      <c r="D7" s="23">
        <v>93343.617864498519</v>
      </c>
      <c r="E7" s="33">
        <v>5.2739277910004603</v>
      </c>
      <c r="F7" s="5">
        <v>3</v>
      </c>
      <c r="G7" s="23">
        <v>86.666666666666671</v>
      </c>
      <c r="H7" s="33">
        <v>58.283586538750811</v>
      </c>
      <c r="I7" s="23">
        <v>39.983935010455525</v>
      </c>
      <c r="J7" s="5">
        <v>1949.2490720880817</v>
      </c>
      <c r="K7" s="31" t="e">
        <f t="shared" si="0"/>
        <v>#DIV/0!</v>
      </c>
      <c r="L7" s="23">
        <v>110068.79261024149</v>
      </c>
      <c r="M7" s="33">
        <v>6.076379915997677</v>
      </c>
      <c r="N7" s="5">
        <v>3</v>
      </c>
      <c r="O7" s="5">
        <v>60</v>
      </c>
      <c r="P7" s="33">
        <v>0</v>
      </c>
      <c r="Q7" s="5">
        <v>22.822088789203359</v>
      </c>
      <c r="R7" s="5">
        <v>1406.8965367088333</v>
      </c>
      <c r="S7" s="42"/>
      <c r="T7" s="23">
        <v>108796.2317529451</v>
      </c>
      <c r="U7" s="33">
        <v>5.3382618750001711</v>
      </c>
      <c r="V7" s="5">
        <v>3</v>
      </c>
      <c r="W7" s="5">
        <v>70</v>
      </c>
      <c r="X7" s="33">
        <v>93.943303171774829</v>
      </c>
      <c r="Y7" s="5">
        <v>48.871874624108507</v>
      </c>
      <c r="Z7" s="5">
        <v>2104.9791973535312</v>
      </c>
      <c r="AA7" s="42"/>
    </row>
    <row r="8" spans="2:27" x14ac:dyDescent="0.2">
      <c r="B8" s="4">
        <v>5</v>
      </c>
      <c r="C8" s="4">
        <v>301</v>
      </c>
      <c r="D8" s="23">
        <v>93343.617864498519</v>
      </c>
      <c r="E8" s="33">
        <v>4.8964797910011839</v>
      </c>
      <c r="F8" s="5">
        <v>3</v>
      </c>
      <c r="G8" s="23">
        <v>86.666666666666671</v>
      </c>
      <c r="H8" s="33">
        <v>58.283586538750811</v>
      </c>
      <c r="I8" s="23">
        <v>39.983935010455525</v>
      </c>
      <c r="J8" s="5">
        <v>1949.2490720880817</v>
      </c>
      <c r="K8" s="31" t="e">
        <f t="shared" si="0"/>
        <v>#DIV/0!</v>
      </c>
      <c r="L8" s="23">
        <v>110068.79261024149</v>
      </c>
      <c r="M8" s="33">
        <v>6.2848129160011013</v>
      </c>
      <c r="N8" s="5">
        <v>3</v>
      </c>
      <c r="O8" s="5">
        <v>60</v>
      </c>
      <c r="P8" s="33">
        <v>0</v>
      </c>
      <c r="Q8" s="5">
        <v>22.822088789203359</v>
      </c>
      <c r="R8" s="5">
        <v>1406.8965367088333</v>
      </c>
      <c r="S8" s="42"/>
      <c r="T8" s="23">
        <v>108796.2317529451</v>
      </c>
      <c r="U8" s="33">
        <v>4.9622054579995174</v>
      </c>
      <c r="V8" s="5">
        <v>3</v>
      </c>
      <c r="W8" s="5">
        <v>70</v>
      </c>
      <c r="X8" s="33">
        <v>93.943303171774829</v>
      </c>
      <c r="Y8" s="5">
        <v>48.871874624108507</v>
      </c>
      <c r="Z8" s="5">
        <v>2104.9791973535312</v>
      </c>
      <c r="AA8" s="42"/>
    </row>
    <row r="9" spans="2:27" x14ac:dyDescent="0.2">
      <c r="B9" s="4">
        <v>6</v>
      </c>
      <c r="C9" s="4">
        <v>303</v>
      </c>
      <c r="D9" s="23">
        <v>93343.617864498519</v>
      </c>
      <c r="E9" s="33">
        <v>4.4063234159984859</v>
      </c>
      <c r="F9" s="5">
        <v>3</v>
      </c>
      <c r="G9" s="23">
        <v>86.666666666666671</v>
      </c>
      <c r="H9" s="33">
        <v>58.283586538750811</v>
      </c>
      <c r="I9" s="23">
        <v>39.983935010455525</v>
      </c>
      <c r="J9" s="5">
        <v>1949.2490720880817</v>
      </c>
      <c r="K9" s="31" t="e">
        <f t="shared" si="0"/>
        <v>#DIV/0!</v>
      </c>
      <c r="L9" s="23">
        <v>110068.79261024149</v>
      </c>
      <c r="M9" s="33">
        <v>9.5621320829995966</v>
      </c>
      <c r="N9" s="5">
        <v>3</v>
      </c>
      <c r="O9" s="5">
        <v>60</v>
      </c>
      <c r="P9" s="33">
        <v>0</v>
      </c>
      <c r="Q9" s="5">
        <v>22.822088789203359</v>
      </c>
      <c r="R9" s="5">
        <v>1406.8965367088333</v>
      </c>
      <c r="S9" s="42"/>
      <c r="T9" s="23">
        <v>108796.2317529451</v>
      </c>
      <c r="U9" s="33">
        <v>5.1785238750017024</v>
      </c>
      <c r="V9" s="5">
        <v>3</v>
      </c>
      <c r="W9" s="5">
        <v>70</v>
      </c>
      <c r="X9" s="33">
        <v>93.943303171774829</v>
      </c>
      <c r="Y9" s="5">
        <v>48.871874624108507</v>
      </c>
      <c r="Z9" s="5">
        <v>2104.9791973535312</v>
      </c>
      <c r="AA9" s="42"/>
    </row>
    <row r="10" spans="2:27" x14ac:dyDescent="0.2">
      <c r="B10" s="4">
        <v>7</v>
      </c>
      <c r="C10" s="4">
        <v>349</v>
      </c>
      <c r="D10" s="23">
        <v>93343.617864498519</v>
      </c>
      <c r="E10" s="33">
        <v>4.8047532500058878</v>
      </c>
      <c r="F10" s="5">
        <v>3</v>
      </c>
      <c r="G10" s="23">
        <v>86.666666666666671</v>
      </c>
      <c r="H10" s="33">
        <v>58.283586538750811</v>
      </c>
      <c r="I10" s="23">
        <v>39.983935010455525</v>
      </c>
      <c r="J10" s="5">
        <v>1949.2490720880817</v>
      </c>
      <c r="K10" s="31" t="e">
        <f t="shared" si="0"/>
        <v>#DIV/0!</v>
      </c>
      <c r="L10" s="23">
        <v>110068.79261024149</v>
      </c>
      <c r="M10" s="33">
        <v>6.4223927080020076</v>
      </c>
      <c r="N10" s="5">
        <v>3</v>
      </c>
      <c r="O10" s="5">
        <v>60</v>
      </c>
      <c r="P10" s="33">
        <v>0</v>
      </c>
      <c r="Q10" s="5">
        <v>22.822088789203359</v>
      </c>
      <c r="R10" s="5">
        <v>1406.8965367088333</v>
      </c>
      <c r="S10" s="42"/>
      <c r="T10" s="23">
        <v>108796.2317529451</v>
      </c>
      <c r="U10" s="33">
        <v>4.9817167919973144</v>
      </c>
      <c r="V10" s="5">
        <v>3</v>
      </c>
      <c r="W10" s="5">
        <v>70</v>
      </c>
      <c r="X10" s="33">
        <v>93.943303171774829</v>
      </c>
      <c r="Y10" s="5">
        <v>48.871874624108507</v>
      </c>
      <c r="Z10" s="5">
        <v>2104.9791973535312</v>
      </c>
      <c r="AA10" s="42"/>
    </row>
    <row r="11" spans="2:27" x14ac:dyDescent="0.2">
      <c r="B11" s="4">
        <v>8</v>
      </c>
      <c r="C11" s="4">
        <v>524</v>
      </c>
      <c r="D11" s="23">
        <v>93343.617864498519</v>
      </c>
      <c r="E11" s="33">
        <v>4.8090429169969866</v>
      </c>
      <c r="F11" s="5">
        <v>3</v>
      </c>
      <c r="G11" s="23">
        <v>86.666666666666671</v>
      </c>
      <c r="H11" s="33">
        <v>58.283586538750811</v>
      </c>
      <c r="I11" s="23">
        <v>39.983935010455525</v>
      </c>
      <c r="J11" s="5">
        <v>1949.2490720880817</v>
      </c>
      <c r="K11" s="31" t="e">
        <f t="shared" si="0"/>
        <v>#DIV/0!</v>
      </c>
      <c r="L11" s="23">
        <v>110068.79261024149</v>
      </c>
      <c r="M11" s="33">
        <v>6.0976634159997047</v>
      </c>
      <c r="N11" s="5">
        <v>3</v>
      </c>
      <c r="O11" s="5">
        <v>60</v>
      </c>
      <c r="P11" s="33">
        <v>0</v>
      </c>
      <c r="Q11" s="5">
        <v>22.822088789203359</v>
      </c>
      <c r="R11" s="5">
        <v>1406.8965367088333</v>
      </c>
      <c r="S11" s="42"/>
      <c r="T11" s="23">
        <v>108796.2317529451</v>
      </c>
      <c r="U11" s="33">
        <v>4.8977330420020726</v>
      </c>
      <c r="V11" s="5">
        <v>3</v>
      </c>
      <c r="W11" s="5">
        <v>70</v>
      </c>
      <c r="X11" s="33">
        <v>93.943303171774829</v>
      </c>
      <c r="Y11" s="5">
        <v>48.871874624108507</v>
      </c>
      <c r="Z11" s="5">
        <v>2104.9791973535312</v>
      </c>
      <c r="AA11" s="42"/>
    </row>
    <row r="12" spans="2:27" x14ac:dyDescent="0.2">
      <c r="B12" s="4">
        <v>9</v>
      </c>
      <c r="C12" s="4">
        <v>580</v>
      </c>
      <c r="D12" s="23">
        <v>93343.617864498519</v>
      </c>
      <c r="E12" s="33">
        <v>4.4029683329936233</v>
      </c>
      <c r="F12" s="5">
        <v>3</v>
      </c>
      <c r="G12" s="23">
        <v>86.666666666666671</v>
      </c>
      <c r="H12" s="33">
        <v>58.283586538750811</v>
      </c>
      <c r="I12" s="23">
        <v>39.983935010455525</v>
      </c>
      <c r="J12" s="5">
        <v>1949.2490720880817</v>
      </c>
      <c r="K12" s="31" t="e">
        <f t="shared" si="0"/>
        <v>#DIV/0!</v>
      </c>
      <c r="L12" s="23">
        <v>110068.79261024149</v>
      </c>
      <c r="M12" s="33">
        <v>5.3604377080009726</v>
      </c>
      <c r="N12" s="5">
        <v>3</v>
      </c>
      <c r="O12" s="5">
        <v>60</v>
      </c>
      <c r="P12" s="33">
        <v>0</v>
      </c>
      <c r="Q12" s="5">
        <v>22.822088789203359</v>
      </c>
      <c r="R12" s="5">
        <v>1406.8965367088333</v>
      </c>
      <c r="S12" s="42"/>
      <c r="T12" s="23">
        <v>108796.2317529451</v>
      </c>
      <c r="U12" s="33">
        <v>4.384504832996754</v>
      </c>
      <c r="V12" s="5">
        <v>3</v>
      </c>
      <c r="W12" s="5">
        <v>70</v>
      </c>
      <c r="X12" s="33">
        <v>93.943303171774829</v>
      </c>
      <c r="Y12" s="5">
        <v>48.871874624108507</v>
      </c>
      <c r="Z12" s="5">
        <v>2104.9791973535312</v>
      </c>
      <c r="AA12" s="42"/>
    </row>
    <row r="13" spans="2:27" x14ac:dyDescent="0.2">
      <c r="B13" s="4">
        <v>10</v>
      </c>
      <c r="C13" s="4">
        <v>859</v>
      </c>
      <c r="D13" s="23">
        <v>93343.617864498519</v>
      </c>
      <c r="E13" s="33">
        <v>4.8122334169966052</v>
      </c>
      <c r="F13" s="5">
        <v>3</v>
      </c>
      <c r="G13" s="23">
        <v>86.666666666666671</v>
      </c>
      <c r="H13" s="33">
        <v>58.283586538750811</v>
      </c>
      <c r="I13" s="23">
        <v>39.983935010455525</v>
      </c>
      <c r="J13" s="5">
        <v>1949.2490720880817</v>
      </c>
      <c r="K13" s="31" t="e">
        <f t="shared" si="0"/>
        <v>#DIV/0!</v>
      </c>
      <c r="L13" s="23">
        <v>110068.79261024149</v>
      </c>
      <c r="M13" s="33">
        <v>5.6520716250015539</v>
      </c>
      <c r="N13" s="5">
        <v>3</v>
      </c>
      <c r="O13" s="5">
        <v>60</v>
      </c>
      <c r="P13" s="33">
        <v>0</v>
      </c>
      <c r="Q13" s="5">
        <v>22.822088789203359</v>
      </c>
      <c r="R13" s="5">
        <v>1406.8965367088333</v>
      </c>
      <c r="S13" s="42"/>
      <c r="T13" s="23">
        <v>108796.2317529451</v>
      </c>
      <c r="U13" s="33">
        <v>6.3103464159976284</v>
      </c>
      <c r="V13" s="5">
        <v>3</v>
      </c>
      <c r="W13" s="5">
        <v>70</v>
      </c>
      <c r="X13" s="33">
        <v>93.943303171774829</v>
      </c>
      <c r="Y13" s="5">
        <v>48.871874624108507</v>
      </c>
      <c r="Z13" s="5">
        <v>2104.9791973535312</v>
      </c>
      <c r="AA13" s="42"/>
    </row>
    <row r="14" spans="2:27" x14ac:dyDescent="0.2">
      <c r="B14" s="46" t="s">
        <v>3</v>
      </c>
      <c r="C14" s="47"/>
      <c r="D14" s="9">
        <f>MIN(D4:D13)</f>
        <v>93343.617864498519</v>
      </c>
      <c r="E14" s="22">
        <f>INDEX(E4:E13, MATCH($D$14, D4:D13, 0))</f>
        <v>4.7639457500044946</v>
      </c>
      <c r="F14" s="9">
        <f>INDEX(F4:F13, MATCH($D$14, D4:D13, 0))</f>
        <v>3</v>
      </c>
      <c r="G14" s="9">
        <f>INDEX(G4:G13, MATCH($D$14, D4:D13, 0))</f>
        <v>86.666666666666671</v>
      </c>
      <c r="H14" s="22">
        <f>INDEX(H4:H13, MATCH($D$14, D4:D13, 0))</f>
        <v>58.283586538750811</v>
      </c>
      <c r="I14" s="22">
        <f>INDEX(I4:I13, MATCH($D$14, D4:D13, 0))</f>
        <v>39.983935010455525</v>
      </c>
      <c r="J14" s="22">
        <f>INDEX(J4:J13, MATCH($D$14, D4:D13, 0))</f>
        <v>1949.2490720880817</v>
      </c>
      <c r="K14" s="32" t="e">
        <f>(D14-$D$15)/$D$15</f>
        <v>#DIV/0!</v>
      </c>
      <c r="L14" s="16">
        <f>MIN(L4:L13)</f>
        <v>110068.79261024149</v>
      </c>
      <c r="M14" s="21">
        <f>INDEX(M4:M13, MATCH($L$14, L4:L13, 0))</f>
        <v>5.8794081250016461</v>
      </c>
      <c r="N14" s="16">
        <f>INDEX(N4:N13, MATCH($L$14, L4:L13, 0))</f>
        <v>3</v>
      </c>
      <c r="O14" s="16">
        <f>INDEX(O4:O13, MATCH($L$14, L4:L13, 0))</f>
        <v>60</v>
      </c>
      <c r="P14" s="21">
        <f>INDEX(P4:P13, MATCH($L$14, L4:L13, 0))</f>
        <v>0</v>
      </c>
      <c r="Q14" s="21">
        <f>INDEX(Q4:Q13, MATCH($L$14, L4:L13, 0))</f>
        <v>22.822088789203359</v>
      </c>
      <c r="R14" s="21">
        <f>INDEX(R4:R13, MATCH($L$14, L4:L13, 0))</f>
        <v>1406.8965367088333</v>
      </c>
      <c r="S14" s="43" t="e">
        <f>(L14-$D$15)/$D$15</f>
        <v>#DIV/0!</v>
      </c>
      <c r="T14" s="38">
        <f>MIN(T4:T13)</f>
        <v>108796.2317529451</v>
      </c>
      <c r="U14" s="44">
        <f>INDEX(U4:U13, MATCH($T$14, T4:T13, 0))</f>
        <v>5.7751889160026622</v>
      </c>
      <c r="V14" s="38">
        <f>INDEX(V4:V13, MATCH($T$14, T4:T13, 0))</f>
        <v>3</v>
      </c>
      <c r="W14" s="38">
        <f>INDEX(W4:W13, MATCH($T$14, T4:T13, 0))</f>
        <v>70</v>
      </c>
      <c r="X14" s="44">
        <f>INDEX(X4:X13, MATCH($T$14, T4:T13, 0))</f>
        <v>93.943303171774829</v>
      </c>
      <c r="Y14" s="44">
        <f>INDEX(Y4:Y13, MATCH($T$14, T4:T13, 0))</f>
        <v>48.871874624108507</v>
      </c>
      <c r="Z14" s="44">
        <f>INDEX(Z4:Z13, MATCH($T$14, T4:T13, 0))</f>
        <v>2104.9791973535312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4:C1048576">
    <cfRule type="duplicateValues" dxfId="57" priority="5"/>
    <cfRule type="duplicateValues" dxfId="56" priority="6"/>
  </conditionalFormatting>
  <conditionalFormatting sqref="C14">
    <cfRule type="duplicateValues" dxfId="55" priority="3"/>
    <cfRule type="duplicateValues" dxfId="54" priority="4"/>
  </conditionalFormatting>
  <conditionalFormatting sqref="C15:C33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DAE7-7BB8-3742-8EF6-7555B2F309F6}">
  <dimension ref="B1:AA17"/>
  <sheetViews>
    <sheetView tabSelected="1" topLeftCell="L1" zoomScale="118" zoomScaleNormal="120" workbookViewId="0">
      <selection activeCell="L15" sqref="A15:XFD3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2.5942599374523021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-6.7512468385467567E-2</v>
      </c>
      <c r="T2" s="1" t="s">
        <v>19</v>
      </c>
      <c r="X2" s="1" t="e">
        <f>(X14-P14)/P14</f>
        <v>#DIV/0!</v>
      </c>
      <c r="Z2" s="1">
        <f>(Z14-R14)/R14</f>
        <v>0.29945647011190324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133</v>
      </c>
      <c r="D4" s="23">
        <v>108220.18863169249</v>
      </c>
      <c r="E4" s="33">
        <v>6.7491161249999996</v>
      </c>
      <c r="F4" s="5">
        <v>2</v>
      </c>
      <c r="G4" s="23">
        <v>60</v>
      </c>
      <c r="H4" s="33">
        <v>4.5831826464888836</v>
      </c>
      <c r="I4" s="23">
        <v>18.219362325660988</v>
      </c>
      <c r="J4" s="5">
        <v>1724.1066069257417</v>
      </c>
      <c r="K4" s="31" t="e">
        <f>(D4-$D$15)/$D$15</f>
        <v>#DIV/0!</v>
      </c>
      <c r="L4" s="23">
        <v>109797.19632161219</v>
      </c>
      <c r="M4" s="33">
        <v>6.9288659999983793</v>
      </c>
      <c r="N4" s="5">
        <v>2</v>
      </c>
      <c r="O4" s="5">
        <v>56.666666666666657</v>
      </c>
      <c r="P4" s="33">
        <v>0</v>
      </c>
      <c r="Q4" s="5">
        <v>16.47314977230161</v>
      </c>
      <c r="R4" s="5">
        <v>1607.7079141324919</v>
      </c>
      <c r="S4" s="42"/>
      <c r="T4" s="23">
        <v>120234.42073424259</v>
      </c>
      <c r="U4" s="33">
        <v>6.5391290000006848</v>
      </c>
      <c r="V4" s="5">
        <v>2</v>
      </c>
      <c r="W4" s="5">
        <v>53.333333333333343</v>
      </c>
      <c r="X4" s="33">
        <v>24.438722860354574</v>
      </c>
      <c r="Y4" s="5">
        <v>23.315569115314791</v>
      </c>
      <c r="Z4" s="5">
        <v>2089.1464510695787</v>
      </c>
      <c r="AA4" s="42"/>
    </row>
    <row r="5" spans="2:27" x14ac:dyDescent="0.2">
      <c r="B5" s="4">
        <v>2</v>
      </c>
      <c r="C5" s="4">
        <v>341</v>
      </c>
      <c r="D5" s="23">
        <v>110165.9154062704</v>
      </c>
      <c r="E5" s="33">
        <v>6.5912800000005518</v>
      </c>
      <c r="F5" s="5">
        <v>2</v>
      </c>
      <c r="G5" s="23">
        <v>60</v>
      </c>
      <c r="H5" s="33">
        <v>62.528811142027948</v>
      </c>
      <c r="I5" s="23">
        <v>19.593469077270527</v>
      </c>
      <c r="J5" s="5">
        <v>1888.8349839344748</v>
      </c>
      <c r="K5" s="31" t="e">
        <f>(D5-$D$15)/$D$15</f>
        <v>#DIV/0!</v>
      </c>
      <c r="L5" s="23">
        <v>114110.4158025722</v>
      </c>
      <c r="M5" s="33">
        <v>7.0395451250005863</v>
      </c>
      <c r="N5" s="5">
        <v>2</v>
      </c>
      <c r="O5" s="5">
        <v>53.333333333333343</v>
      </c>
      <c r="P5" s="33">
        <v>37.35928660293601</v>
      </c>
      <c r="Q5" s="5">
        <v>17.000619267026391</v>
      </c>
      <c r="R5" s="5">
        <v>1713.7249145412602</v>
      </c>
      <c r="S5" s="42"/>
      <c r="T5" s="23">
        <v>125829.4535755934</v>
      </c>
      <c r="U5" s="33">
        <v>5.9413372500021069</v>
      </c>
      <c r="V5" s="5">
        <v>2</v>
      </c>
      <c r="W5" s="5">
        <v>43.333333333333343</v>
      </c>
      <c r="X5" s="33">
        <v>30.078428135821014</v>
      </c>
      <c r="Y5" s="5">
        <v>19.450149217254211</v>
      </c>
      <c r="Z5" s="5">
        <v>1897.4467510613047</v>
      </c>
      <c r="AA5" s="42"/>
    </row>
    <row r="6" spans="2:27" x14ac:dyDescent="0.2">
      <c r="B6" s="4">
        <v>3</v>
      </c>
      <c r="C6" s="4">
        <v>447</v>
      </c>
      <c r="D6" s="23">
        <v>108220.18863169249</v>
      </c>
      <c r="E6" s="33">
        <v>6.8057147090003127</v>
      </c>
      <c r="F6" s="5">
        <v>2</v>
      </c>
      <c r="G6" s="23">
        <v>60</v>
      </c>
      <c r="H6" s="33">
        <v>4.5831826464888836</v>
      </c>
      <c r="I6" s="23">
        <v>18.219362325660988</v>
      </c>
      <c r="J6" s="5">
        <v>1724.1066069257417</v>
      </c>
      <c r="K6" s="31" t="e">
        <f t="shared" ref="K6:K13" si="0">(D6-$D$15)/$D$15</f>
        <v>#DIV/0!</v>
      </c>
      <c r="L6" s="23">
        <v>109797.19632161219</v>
      </c>
      <c r="M6" s="33">
        <v>6.9762807919978513</v>
      </c>
      <c r="N6" s="5">
        <v>2</v>
      </c>
      <c r="O6" s="5">
        <v>56.666666666666657</v>
      </c>
      <c r="P6" s="33">
        <v>0</v>
      </c>
      <c r="Q6" s="5">
        <v>16.47314977230161</v>
      </c>
      <c r="R6" s="5">
        <v>1607.7079141324919</v>
      </c>
      <c r="S6" s="42"/>
      <c r="T6" s="23">
        <v>120234.42073424259</v>
      </c>
      <c r="U6" s="33">
        <v>6.7753561669996998</v>
      </c>
      <c r="V6" s="5">
        <v>2</v>
      </c>
      <c r="W6" s="5">
        <v>53.333333333333343</v>
      </c>
      <c r="X6" s="33">
        <v>24.438722860354574</v>
      </c>
      <c r="Y6" s="5">
        <v>23.315569115314791</v>
      </c>
      <c r="Z6" s="5">
        <v>2089.1464510695787</v>
      </c>
      <c r="AA6" s="42"/>
    </row>
    <row r="7" spans="2:27" x14ac:dyDescent="0.2">
      <c r="B7" s="4">
        <v>4</v>
      </c>
      <c r="C7" s="4">
        <v>466</v>
      </c>
      <c r="D7" s="23">
        <v>115671.2235751949</v>
      </c>
      <c r="E7" s="33">
        <v>6.3107329999984358</v>
      </c>
      <c r="F7" s="5">
        <v>2</v>
      </c>
      <c r="G7" s="23">
        <v>53.333333333333343</v>
      </c>
      <c r="H7" s="33">
        <v>65.188832057481449</v>
      </c>
      <c r="I7" s="23">
        <v>20.250434199961454</v>
      </c>
      <c r="J7" s="5">
        <v>1818.3813178573573</v>
      </c>
      <c r="K7" s="31" t="e">
        <f t="shared" si="0"/>
        <v>#DIV/0!</v>
      </c>
      <c r="L7" s="23">
        <v>118283.9766214268</v>
      </c>
      <c r="M7" s="33">
        <v>6.4615871670030174</v>
      </c>
      <c r="N7" s="5">
        <v>2</v>
      </c>
      <c r="O7" s="5">
        <v>50</v>
      </c>
      <c r="P7" s="33">
        <v>39.849905709798414</v>
      </c>
      <c r="Q7" s="5">
        <v>18.050686471327467</v>
      </c>
      <c r="R7" s="5">
        <v>1720.8001806613584</v>
      </c>
      <c r="S7" s="42"/>
      <c r="T7" s="23">
        <v>126678.25099678909</v>
      </c>
      <c r="U7" s="33">
        <v>6.075512333001825</v>
      </c>
      <c r="V7" s="5">
        <v>2</v>
      </c>
      <c r="W7" s="5">
        <v>43.333333333333343</v>
      </c>
      <c r="X7" s="33">
        <v>0</v>
      </c>
      <c r="Y7" s="5">
        <v>22.748277487865373</v>
      </c>
      <c r="Z7" s="5">
        <v>1990.1213564309703</v>
      </c>
      <c r="AA7" s="42"/>
    </row>
    <row r="8" spans="2:27" x14ac:dyDescent="0.2">
      <c r="B8" s="4">
        <v>5</v>
      </c>
      <c r="C8" s="4">
        <v>518</v>
      </c>
      <c r="D8" s="23">
        <v>110165.9154062704</v>
      </c>
      <c r="E8" s="33">
        <v>6.6262635829989449</v>
      </c>
      <c r="F8" s="5">
        <v>2</v>
      </c>
      <c r="G8" s="23">
        <v>60</v>
      </c>
      <c r="H8" s="33">
        <v>62.528811142027948</v>
      </c>
      <c r="I8" s="23">
        <v>19.593469077270527</v>
      </c>
      <c r="J8" s="5">
        <v>1888.8349839344748</v>
      </c>
      <c r="K8" s="31" t="e">
        <f t="shared" si="0"/>
        <v>#DIV/0!</v>
      </c>
      <c r="L8" s="23">
        <v>114110.4158025722</v>
      </c>
      <c r="M8" s="33">
        <v>6.8416318749987113</v>
      </c>
      <c r="N8" s="5">
        <v>2</v>
      </c>
      <c r="O8" s="5">
        <v>53.333333333333343</v>
      </c>
      <c r="P8" s="33">
        <v>37.35928660293601</v>
      </c>
      <c r="Q8" s="5">
        <v>17.000619267026391</v>
      </c>
      <c r="R8" s="5">
        <v>1713.7249145412602</v>
      </c>
      <c r="S8" s="42"/>
      <c r="T8" s="23">
        <v>125829.4535755934</v>
      </c>
      <c r="U8" s="33">
        <v>5.8392891670009703</v>
      </c>
      <c r="V8" s="5">
        <v>2</v>
      </c>
      <c r="W8" s="5">
        <v>43.333333333333343</v>
      </c>
      <c r="X8" s="33">
        <v>30.078428135821014</v>
      </c>
      <c r="Y8" s="5">
        <v>19.450149217254211</v>
      </c>
      <c r="Z8" s="5">
        <v>1897.4467510613047</v>
      </c>
      <c r="AA8" s="42"/>
    </row>
    <row r="9" spans="2:27" x14ac:dyDescent="0.2">
      <c r="B9" s="4">
        <v>6</v>
      </c>
      <c r="C9" s="4">
        <v>557</v>
      </c>
      <c r="D9" s="23">
        <v>108220.18863169249</v>
      </c>
      <c r="E9" s="33">
        <v>6.7233686250037863</v>
      </c>
      <c r="F9" s="5">
        <v>2</v>
      </c>
      <c r="G9" s="23">
        <v>60</v>
      </c>
      <c r="H9" s="33">
        <v>4.5831826464888836</v>
      </c>
      <c r="I9" s="23">
        <v>18.219362325660988</v>
      </c>
      <c r="J9" s="5">
        <v>1724.1066069257417</v>
      </c>
      <c r="K9" s="31" t="e">
        <f t="shared" si="0"/>
        <v>#DIV/0!</v>
      </c>
      <c r="L9" s="23">
        <v>109797.19632161219</v>
      </c>
      <c r="M9" s="33">
        <v>6.8792599589978636</v>
      </c>
      <c r="N9" s="5">
        <v>2</v>
      </c>
      <c r="O9" s="5">
        <v>56.666666666666657</v>
      </c>
      <c r="P9" s="33">
        <v>0</v>
      </c>
      <c r="Q9" s="5">
        <v>16.47314977230161</v>
      </c>
      <c r="R9" s="5">
        <v>1607.7079141324919</v>
      </c>
      <c r="S9" s="42"/>
      <c r="T9" s="23">
        <v>120234.42073424259</v>
      </c>
      <c r="U9" s="33">
        <v>6.4852076250026576</v>
      </c>
      <c r="V9" s="5">
        <v>2</v>
      </c>
      <c r="W9" s="5">
        <v>53.333333333333343</v>
      </c>
      <c r="X9" s="33">
        <v>24.438722860354574</v>
      </c>
      <c r="Y9" s="5">
        <v>23.315569115314791</v>
      </c>
      <c r="Z9" s="5">
        <v>2089.1464510695787</v>
      </c>
      <c r="AA9" s="42"/>
    </row>
    <row r="10" spans="2:27" x14ac:dyDescent="0.2">
      <c r="B10" s="4">
        <v>7</v>
      </c>
      <c r="C10" s="4">
        <v>618</v>
      </c>
      <c r="D10" s="23">
        <v>115671.2235751949</v>
      </c>
      <c r="E10" s="33">
        <v>6.3511438749992521</v>
      </c>
      <c r="F10" s="5">
        <v>2</v>
      </c>
      <c r="G10" s="23">
        <v>53.333333333333343</v>
      </c>
      <c r="H10" s="33">
        <v>65.188832057481449</v>
      </c>
      <c r="I10" s="23">
        <v>20.250434199961454</v>
      </c>
      <c r="J10" s="5">
        <v>1818.3813178573573</v>
      </c>
      <c r="K10" s="31" t="e">
        <f t="shared" si="0"/>
        <v>#DIV/0!</v>
      </c>
      <c r="L10" s="23">
        <v>109797.19632161219</v>
      </c>
      <c r="M10" s="33">
        <v>6.7227964170015184</v>
      </c>
      <c r="N10" s="5">
        <v>2</v>
      </c>
      <c r="O10" s="5">
        <v>56.666666666666657</v>
      </c>
      <c r="P10" s="33">
        <v>0</v>
      </c>
      <c r="Q10" s="5">
        <v>16.47314977230161</v>
      </c>
      <c r="R10" s="5">
        <v>1607.7079141324919</v>
      </c>
      <c r="S10" s="42"/>
      <c r="T10" s="23">
        <v>126678.25099678909</v>
      </c>
      <c r="U10" s="33">
        <v>5.8066952919980386</v>
      </c>
      <c r="V10" s="5">
        <v>2</v>
      </c>
      <c r="W10" s="5">
        <v>43.333333333333343</v>
      </c>
      <c r="X10" s="33">
        <v>0</v>
      </c>
      <c r="Y10" s="5">
        <v>22.748277487865373</v>
      </c>
      <c r="Z10" s="5">
        <v>1990.1213564309703</v>
      </c>
      <c r="AA10" s="42"/>
    </row>
    <row r="11" spans="2:27" x14ac:dyDescent="0.2">
      <c r="B11" s="4">
        <v>8</v>
      </c>
      <c r="C11" s="4">
        <v>666</v>
      </c>
      <c r="D11" s="23">
        <v>115671.2235751949</v>
      </c>
      <c r="E11" s="33">
        <v>6.3947917910045362</v>
      </c>
      <c r="F11" s="5">
        <v>2</v>
      </c>
      <c r="G11" s="23">
        <v>53.333333333333343</v>
      </c>
      <c r="H11" s="33">
        <v>65.188832057481449</v>
      </c>
      <c r="I11" s="23">
        <v>20.250434199961454</v>
      </c>
      <c r="J11" s="5">
        <v>1818.3813178573573</v>
      </c>
      <c r="K11" s="31" t="e">
        <f t="shared" si="0"/>
        <v>#DIV/0!</v>
      </c>
      <c r="L11" s="23">
        <v>118283.9766214268</v>
      </c>
      <c r="M11" s="33">
        <v>6.2636490000004406</v>
      </c>
      <c r="N11" s="5">
        <v>2</v>
      </c>
      <c r="O11" s="5">
        <v>50</v>
      </c>
      <c r="P11" s="33">
        <v>39.849905709798414</v>
      </c>
      <c r="Q11" s="5">
        <v>18.050686471327467</v>
      </c>
      <c r="R11" s="5">
        <v>1720.8001806613584</v>
      </c>
      <c r="S11" s="42"/>
      <c r="T11" s="23">
        <v>126678.25099678909</v>
      </c>
      <c r="U11" s="33">
        <v>5.8089125829974364</v>
      </c>
      <c r="V11" s="5">
        <v>2</v>
      </c>
      <c r="W11" s="5">
        <v>43.333333333333343</v>
      </c>
      <c r="X11" s="33">
        <v>0</v>
      </c>
      <c r="Y11" s="5">
        <v>22.748277487865373</v>
      </c>
      <c r="Z11" s="5">
        <v>1990.1213564309703</v>
      </c>
      <c r="AA11" s="42"/>
    </row>
    <row r="12" spans="2:27" x14ac:dyDescent="0.2">
      <c r="B12" s="4">
        <v>9</v>
      </c>
      <c r="C12" s="4">
        <v>706</v>
      </c>
      <c r="D12" s="23">
        <v>108220.18863169249</v>
      </c>
      <c r="E12" s="33">
        <v>6.7039146660026736</v>
      </c>
      <c r="F12" s="5">
        <v>2</v>
      </c>
      <c r="G12" s="23">
        <v>60</v>
      </c>
      <c r="H12" s="33">
        <v>4.5831826464888836</v>
      </c>
      <c r="I12" s="23">
        <v>18.219362325660988</v>
      </c>
      <c r="J12" s="5">
        <v>1724.1066069257417</v>
      </c>
      <c r="K12" s="31" t="e">
        <f t="shared" si="0"/>
        <v>#DIV/0!</v>
      </c>
      <c r="L12" s="23">
        <v>109797.19632161219</v>
      </c>
      <c r="M12" s="33">
        <v>6.7474708339977951</v>
      </c>
      <c r="N12" s="5">
        <v>2</v>
      </c>
      <c r="O12" s="5">
        <v>56.666666666666657</v>
      </c>
      <c r="P12" s="33">
        <v>0</v>
      </c>
      <c r="Q12" s="5">
        <v>16.47314977230161</v>
      </c>
      <c r="R12" s="5">
        <v>1607.7079141324919</v>
      </c>
      <c r="S12" s="42"/>
      <c r="T12" s="23">
        <v>120234.42073424259</v>
      </c>
      <c r="U12" s="33">
        <v>6.2527823329983221</v>
      </c>
      <c r="V12" s="5">
        <v>2</v>
      </c>
      <c r="W12" s="5">
        <v>53.333333333333343</v>
      </c>
      <c r="X12" s="33">
        <v>24.438722860354574</v>
      </c>
      <c r="Y12" s="5">
        <v>23.315569115314791</v>
      </c>
      <c r="Z12" s="5">
        <v>2089.1464510695787</v>
      </c>
      <c r="AA12" s="42"/>
    </row>
    <row r="13" spans="2:27" x14ac:dyDescent="0.2">
      <c r="B13" s="4">
        <v>10</v>
      </c>
      <c r="C13" s="4">
        <v>892</v>
      </c>
      <c r="D13" s="23">
        <v>115671.2235751949</v>
      </c>
      <c r="E13" s="33">
        <v>6.3621163749994594</v>
      </c>
      <c r="F13" s="5">
        <v>2</v>
      </c>
      <c r="G13" s="23">
        <v>53.333333333333343</v>
      </c>
      <c r="H13" s="33">
        <v>65.188832057481449</v>
      </c>
      <c r="I13" s="23">
        <v>20.250434199961454</v>
      </c>
      <c r="J13" s="5">
        <v>1818.3813178573573</v>
      </c>
      <c r="K13" s="31" t="e">
        <f t="shared" si="0"/>
        <v>#DIV/0!</v>
      </c>
      <c r="L13" s="23">
        <v>118283.9766214268</v>
      </c>
      <c r="M13" s="33">
        <v>6.1944180829996176</v>
      </c>
      <c r="N13" s="5">
        <v>2</v>
      </c>
      <c r="O13" s="5">
        <v>50</v>
      </c>
      <c r="P13" s="33">
        <v>39.849905709798414</v>
      </c>
      <c r="Q13" s="5">
        <v>18.050686471327467</v>
      </c>
      <c r="R13" s="5">
        <v>1720.8001806613584</v>
      </c>
      <c r="S13" s="42"/>
      <c r="T13" s="23">
        <v>126678.25099678909</v>
      </c>
      <c r="U13" s="33">
        <v>5.7428142499993564</v>
      </c>
      <c r="V13" s="5">
        <v>2</v>
      </c>
      <c r="W13" s="5">
        <v>43.333333333333343</v>
      </c>
      <c r="X13" s="33">
        <v>0</v>
      </c>
      <c r="Y13" s="5">
        <v>22.748277487865373</v>
      </c>
      <c r="Z13" s="5">
        <v>1990.1213564309703</v>
      </c>
      <c r="AA13" s="42"/>
    </row>
    <row r="14" spans="2:27" x14ac:dyDescent="0.2">
      <c r="B14" s="46" t="s">
        <v>3</v>
      </c>
      <c r="C14" s="47"/>
      <c r="D14" s="9">
        <f>MIN(D4:D13)</f>
        <v>108220.18863169249</v>
      </c>
      <c r="E14" s="22">
        <f>INDEX(E4:E13, MATCH($D$14, D4:D13, 0))</f>
        <v>6.7491161249999996</v>
      </c>
      <c r="F14" s="9">
        <f>INDEX(F4:F13, MATCH($D$14, D4:D13, 0))</f>
        <v>2</v>
      </c>
      <c r="G14" s="9">
        <f>INDEX(G4:G13, MATCH($D$14, D4:D13, 0))</f>
        <v>60</v>
      </c>
      <c r="H14" s="22">
        <f>INDEX(H4:H13, MATCH($D$14, D4:D13, 0))</f>
        <v>4.5831826464888836</v>
      </c>
      <c r="I14" s="22">
        <f>INDEX(I4:I13, MATCH($D$14, D4:D13, 0))</f>
        <v>18.219362325660988</v>
      </c>
      <c r="J14" s="22">
        <f>INDEX(J4:J13, MATCH($D$14, D4:D13, 0))</f>
        <v>1724.1066069257417</v>
      </c>
      <c r="K14" s="32" t="e">
        <f>(D14-$D$15)/$D$15</f>
        <v>#DIV/0!</v>
      </c>
      <c r="L14" s="16">
        <f>MIN(L4:L13)</f>
        <v>109797.19632161219</v>
      </c>
      <c r="M14" s="21">
        <f>INDEX(M4:M13, MATCH($L$14, L4:L13, 0))</f>
        <v>6.9288659999983793</v>
      </c>
      <c r="N14" s="16">
        <f>INDEX(N4:N13, MATCH($L$14, L4:L13, 0))</f>
        <v>2</v>
      </c>
      <c r="O14" s="16">
        <f>INDEX(O4:O13, MATCH($L$14, L4:L13, 0))</f>
        <v>56.666666666666657</v>
      </c>
      <c r="P14" s="21">
        <f>INDEX(P4:P13, MATCH($L$14, L4:L13, 0))</f>
        <v>0</v>
      </c>
      <c r="Q14" s="21">
        <f>INDEX(Q4:Q13, MATCH($L$14, L4:L13, 0))</f>
        <v>16.47314977230161</v>
      </c>
      <c r="R14" s="21">
        <f>INDEX(R4:R13, MATCH($L$14, L4:L13, 0))</f>
        <v>1607.7079141324919</v>
      </c>
      <c r="S14" s="43" t="e">
        <f>(L14-$D$15)/$D$15</f>
        <v>#DIV/0!</v>
      </c>
      <c r="T14" s="38">
        <f>MIN(T4:T13)</f>
        <v>120234.42073424259</v>
      </c>
      <c r="U14" s="44">
        <f>INDEX(U4:U13, MATCH($T$14, T4:T13, 0))</f>
        <v>6.5391290000006848</v>
      </c>
      <c r="V14" s="38">
        <f>INDEX(V4:V13, MATCH($T$14, T4:T13, 0))</f>
        <v>2</v>
      </c>
      <c r="W14" s="38">
        <f>INDEX(W4:W13, MATCH($T$14, T4:T13, 0))</f>
        <v>53.333333333333343</v>
      </c>
      <c r="X14" s="44">
        <f>INDEX(X4:X13, MATCH($T$14, T4:T13, 0))</f>
        <v>24.438722860354574</v>
      </c>
      <c r="Y14" s="44">
        <f>INDEX(Y4:Y13, MATCH($T$14, T4:T13, 0))</f>
        <v>23.315569115314791</v>
      </c>
      <c r="Z14" s="44">
        <f>INDEX(Z4:Z13, MATCH($T$14, T4:T13, 0))</f>
        <v>2089.1464510695787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4:C1048576">
    <cfRule type="duplicateValues" dxfId="53" priority="5"/>
    <cfRule type="duplicateValues" dxfId="52" priority="6"/>
  </conditionalFormatting>
  <conditionalFormatting sqref="C14">
    <cfRule type="duplicateValues" dxfId="51" priority="3"/>
    <cfRule type="duplicateValues" dxfId="50" priority="4"/>
  </conditionalFormatting>
  <conditionalFormatting sqref="C15:C33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832031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results43</vt:lpstr>
      <vt:lpstr>results324</vt:lpstr>
      <vt:lpstr>results396</vt:lpstr>
      <vt:lpstr>results457</vt:lpstr>
      <vt:lpstr>results526</vt:lpstr>
      <vt:lpstr>results539</vt:lpstr>
      <vt:lpstr>results581</vt:lpstr>
      <vt:lpstr>results680</vt:lpstr>
      <vt:lpstr>results698</vt:lpstr>
      <vt:lpstr>results917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2026-10-15T22:21:20Z</dcterms:modified>
</cp:coreProperties>
</file>