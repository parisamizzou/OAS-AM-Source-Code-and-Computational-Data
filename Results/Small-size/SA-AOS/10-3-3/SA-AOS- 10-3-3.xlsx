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Small/SA-AOS/10-3-3/"/>
    </mc:Choice>
  </mc:AlternateContent>
  <xr:revisionPtr revIDLastSave="0" documentId="13_ncr:1_{E61AF949-3BEC-5B4E-B763-E351CF001B0B}" xr6:coauthVersionLast="47" xr6:coauthVersionMax="47" xr10:uidLastSave="{00000000-0000-0000-0000-000000000000}"/>
  <bookViews>
    <workbookView xWindow="0" yWindow="760" windowWidth="34560" windowHeight="20480" xr2:uid="{41E620E7-D6DF-9342-B452-EA60AB3B07C5}"/>
  </bookViews>
  <sheets>
    <sheet name="Summary" sheetId="68" r:id="rId1"/>
    <sheet name="results42" sheetId="57" r:id="rId2"/>
    <sheet name="results43" sheetId="62" r:id="rId3"/>
    <sheet name="results456" sheetId="67" r:id="rId4"/>
    <sheet name="results464" sheetId="61" r:id="rId5"/>
    <sheet name="results619" sheetId="64" r:id="rId6"/>
    <sheet name="results684" sheetId="63" r:id="rId7"/>
    <sheet name="results690" sheetId="65" r:id="rId8"/>
    <sheet name="results702" sheetId="66" r:id="rId9"/>
    <sheet name="results810" sheetId="60" r:id="rId10"/>
    <sheet name="results959" sheetId="58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58" l="1"/>
  <c r="R2" i="60"/>
  <c r="R2" i="66"/>
  <c r="R2" i="65"/>
  <c r="R2" i="63"/>
  <c r="R2" i="64"/>
  <c r="R2" i="61"/>
  <c r="R2" i="67"/>
  <c r="R2" i="62"/>
  <c r="R14" i="58"/>
  <c r="T14" i="58"/>
  <c r="AA14" i="58" s="1"/>
  <c r="L14" i="58"/>
  <c r="S14" i="58" s="1"/>
  <c r="D14" i="58"/>
  <c r="T14" i="60"/>
  <c r="AA14" i="60" s="1"/>
  <c r="L14" i="60"/>
  <c r="R14" i="60" s="1"/>
  <c r="D14" i="60"/>
  <c r="J14" i="60" s="1"/>
  <c r="T14" i="66"/>
  <c r="AA14" i="66" s="1"/>
  <c r="L14" i="66"/>
  <c r="R14" i="66" s="1"/>
  <c r="H14" i="66"/>
  <c r="D14" i="66"/>
  <c r="I14" i="66" s="1"/>
  <c r="T14" i="65"/>
  <c r="AA14" i="65" s="1"/>
  <c r="N14" i="65"/>
  <c r="L14" i="65"/>
  <c r="Q14" i="65" s="1"/>
  <c r="D14" i="65"/>
  <c r="T14" i="63"/>
  <c r="AA14" i="63" s="1"/>
  <c r="L14" i="63"/>
  <c r="Q14" i="63" s="1"/>
  <c r="D14" i="63"/>
  <c r="I14" i="63" s="1"/>
  <c r="T14" i="64"/>
  <c r="AA14" i="64" s="1"/>
  <c r="N14" i="64"/>
  <c r="L14" i="64"/>
  <c r="R14" i="64" s="1"/>
  <c r="D14" i="64"/>
  <c r="T14" i="61"/>
  <c r="AA14" i="61" s="1"/>
  <c r="L14" i="61"/>
  <c r="S14" i="61" s="1"/>
  <c r="D14" i="61"/>
  <c r="J14" i="61" s="1"/>
  <c r="T14" i="67"/>
  <c r="AA14" i="67" s="1"/>
  <c r="L14" i="67"/>
  <c r="S14" i="67" s="1"/>
  <c r="D14" i="67"/>
  <c r="G14" i="67" s="1"/>
  <c r="T14" i="62"/>
  <c r="AA14" i="62" s="1"/>
  <c r="N14" i="62"/>
  <c r="L14" i="62"/>
  <c r="S14" i="62" s="1"/>
  <c r="I14" i="62"/>
  <c r="F14" i="62"/>
  <c r="D14" i="62"/>
  <c r="E14" i="62" s="1"/>
  <c r="T14" i="57"/>
  <c r="AA14" i="57" s="1"/>
  <c r="L14" i="57"/>
  <c r="Q14" i="57" s="1"/>
  <c r="G14" i="57"/>
  <c r="D14" i="57"/>
  <c r="J14" i="57" s="1"/>
  <c r="P14" i="58" l="1"/>
  <c r="H14" i="58"/>
  <c r="X14" i="58"/>
  <c r="F14" i="58"/>
  <c r="J14" i="58"/>
  <c r="M14" i="58"/>
  <c r="O14" i="58"/>
  <c r="Y14" i="58"/>
  <c r="E14" i="58"/>
  <c r="G14" i="58"/>
  <c r="I14" i="58"/>
  <c r="V14" i="58"/>
  <c r="Z14" i="58"/>
  <c r="N14" i="58"/>
  <c r="Q14" i="58"/>
  <c r="U14" i="58"/>
  <c r="W14" i="58"/>
  <c r="F14" i="60"/>
  <c r="G14" i="60"/>
  <c r="I14" i="60"/>
  <c r="N14" i="60"/>
  <c r="H14" i="60"/>
  <c r="M14" i="60"/>
  <c r="W14" i="60"/>
  <c r="U14" i="60"/>
  <c r="O14" i="60"/>
  <c r="Q14" i="60"/>
  <c r="S14" i="60"/>
  <c r="Y14" i="60"/>
  <c r="E14" i="60"/>
  <c r="P14" i="60"/>
  <c r="Z14" i="60"/>
  <c r="V14" i="60"/>
  <c r="X14" i="60"/>
  <c r="V14" i="66"/>
  <c r="E14" i="66"/>
  <c r="J14" i="66"/>
  <c r="N14" i="66"/>
  <c r="W14" i="66"/>
  <c r="G14" i="66"/>
  <c r="Q14" i="66"/>
  <c r="X14" i="66"/>
  <c r="S14" i="66"/>
  <c r="Y14" i="66"/>
  <c r="F14" i="66"/>
  <c r="M14" i="66"/>
  <c r="P14" i="66"/>
  <c r="Z14" i="66"/>
  <c r="O14" i="66"/>
  <c r="U14" i="66"/>
  <c r="G14" i="65"/>
  <c r="M14" i="65"/>
  <c r="S14" i="65"/>
  <c r="F14" i="65"/>
  <c r="I14" i="65"/>
  <c r="P14" i="65"/>
  <c r="R14" i="65"/>
  <c r="U14" i="65"/>
  <c r="Y14" i="65"/>
  <c r="J14" i="65"/>
  <c r="O14" i="65"/>
  <c r="V14" i="65"/>
  <c r="Z14" i="65"/>
  <c r="E14" i="65"/>
  <c r="H14" i="65"/>
  <c r="W14" i="65"/>
  <c r="X14" i="65"/>
  <c r="V14" i="63"/>
  <c r="F14" i="63"/>
  <c r="H14" i="63"/>
  <c r="J14" i="63"/>
  <c r="W14" i="63"/>
  <c r="N14" i="63"/>
  <c r="P14" i="63"/>
  <c r="R14" i="63"/>
  <c r="X14" i="63"/>
  <c r="E14" i="63"/>
  <c r="Y14" i="63"/>
  <c r="G14" i="63"/>
  <c r="S14" i="63"/>
  <c r="U14" i="63"/>
  <c r="Z14" i="63"/>
  <c r="M14" i="63"/>
  <c r="O14" i="63"/>
  <c r="F14" i="64"/>
  <c r="X14" i="64"/>
  <c r="H14" i="64"/>
  <c r="Y14" i="64"/>
  <c r="E14" i="64"/>
  <c r="M14" i="64"/>
  <c r="O14" i="64"/>
  <c r="Q14" i="64"/>
  <c r="S14" i="64"/>
  <c r="V14" i="64"/>
  <c r="Z14" i="64"/>
  <c r="G14" i="64"/>
  <c r="I14" i="64"/>
  <c r="J14" i="64"/>
  <c r="P14" i="64"/>
  <c r="U14" i="64"/>
  <c r="W14" i="64"/>
  <c r="G14" i="61"/>
  <c r="Q14" i="61"/>
  <c r="F14" i="61"/>
  <c r="I14" i="61"/>
  <c r="P14" i="61"/>
  <c r="Z14" i="61"/>
  <c r="E14" i="61"/>
  <c r="H14" i="61"/>
  <c r="M14" i="61"/>
  <c r="N14" i="61"/>
  <c r="O14" i="61"/>
  <c r="R14" i="61"/>
  <c r="U14" i="61"/>
  <c r="V14" i="61"/>
  <c r="W14" i="61"/>
  <c r="X14" i="61"/>
  <c r="Y14" i="61"/>
  <c r="F14" i="67"/>
  <c r="M14" i="67"/>
  <c r="O14" i="67"/>
  <c r="V14" i="67"/>
  <c r="W14" i="67"/>
  <c r="X14" i="67"/>
  <c r="I14" i="67"/>
  <c r="Q14" i="67"/>
  <c r="Y14" i="67"/>
  <c r="E14" i="67"/>
  <c r="H14" i="67"/>
  <c r="J14" i="67"/>
  <c r="N14" i="67"/>
  <c r="P14" i="67"/>
  <c r="R14" i="67"/>
  <c r="U14" i="67"/>
  <c r="Z14" i="67"/>
  <c r="H14" i="62"/>
  <c r="X14" i="62"/>
  <c r="G14" i="62"/>
  <c r="J14" i="62"/>
  <c r="M14" i="62"/>
  <c r="V14" i="62"/>
  <c r="Y14" i="62"/>
  <c r="P14" i="62"/>
  <c r="R14" i="62"/>
  <c r="U14" i="62"/>
  <c r="W14" i="62"/>
  <c r="Z14" i="62"/>
  <c r="O14" i="62"/>
  <c r="Q14" i="62"/>
  <c r="E14" i="57"/>
  <c r="H14" i="57"/>
  <c r="N14" i="57"/>
  <c r="R14" i="57"/>
  <c r="F14" i="57"/>
  <c r="I14" i="57"/>
  <c r="S14" i="57"/>
  <c r="W14" i="57"/>
  <c r="M14" i="57"/>
  <c r="O14" i="57"/>
  <c r="P14" i="57"/>
  <c r="V14" i="57"/>
  <c r="X14" i="57"/>
  <c r="Y14" i="57"/>
  <c r="U14" i="57"/>
  <c r="Z14" i="57"/>
  <c r="C3" i="68" a="1"/>
  <c r="C7" i="68" a="1"/>
  <c r="H6" i="68" a="1"/>
  <c r="G6" i="68" a="1"/>
  <c r="G4" i="68" a="1"/>
  <c r="I11" i="68" a="1"/>
  <c r="F4" i="68" a="1"/>
  <c r="C8" i="68" a="1"/>
  <c r="C12" i="68" a="1"/>
  <c r="H7" i="68" a="1"/>
  <c r="F6" i="68" a="1"/>
  <c r="G3" i="68" a="1"/>
  <c r="H11" i="68" a="1"/>
  <c r="D5" i="68" a="1"/>
  <c r="E11" i="68" a="1"/>
  <c r="D6" i="68" a="1"/>
  <c r="I5" i="68" a="1"/>
  <c r="G11" i="68" a="1"/>
  <c r="D12" i="68" a="1"/>
  <c r="E4" i="68" a="1"/>
  <c r="F11" i="68" a="1"/>
  <c r="D11" i="68" a="1"/>
  <c r="I4" i="68" a="1"/>
  <c r="G8" i="68" a="1"/>
  <c r="C4" i="68" a="1"/>
  <c r="G5" i="68" a="1"/>
  <c r="I7" i="68" a="1"/>
  <c r="D4" i="68" a="1"/>
  <c r="I3" i="68" a="1"/>
  <c r="C6" i="68" a="1"/>
  <c r="C11" i="68" a="1"/>
  <c r="G12" i="68" a="1"/>
  <c r="E6" i="68" a="1"/>
  <c r="H10" i="68" a="1"/>
  <c r="H4" i="68" a="1"/>
  <c r="F9" i="68" a="1"/>
  <c r="C10" i="68" a="1"/>
  <c r="E10" i="68" a="1"/>
  <c r="E8" i="68" a="1"/>
  <c r="E5" i="68" a="1"/>
  <c r="D3" i="68" a="1"/>
  <c r="I9" i="68" a="1"/>
  <c r="D8" i="68" a="1"/>
  <c r="E3" i="68" a="1"/>
  <c r="I12" i="68" a="1"/>
  <c r="D10" i="68" a="1"/>
  <c r="F5" i="68" a="1"/>
  <c r="F3" i="68" a="1"/>
  <c r="F7" i="68" a="1"/>
  <c r="F8" i="68" a="1"/>
  <c r="I10" i="68" a="1"/>
  <c r="G9" i="68" a="1"/>
  <c r="H12" i="68" a="1"/>
  <c r="H5" i="68" a="1"/>
  <c r="F12" i="68" a="1"/>
  <c r="H9" i="68" a="1"/>
  <c r="G7" i="68" a="1"/>
  <c r="C5" i="68" a="1"/>
  <c r="C9" i="68" a="1"/>
  <c r="G10" i="68" a="1"/>
  <c r="D7" i="68" a="1"/>
  <c r="H8" i="68" a="1"/>
  <c r="H3" i="68" a="1"/>
  <c r="F10" i="68" a="1"/>
  <c r="E7" i="68" a="1"/>
  <c r="E9" i="68" a="1"/>
  <c r="I8" i="68" a="1"/>
  <c r="I6" i="68" a="1"/>
  <c r="D9" i="68" a="1"/>
  <c r="E12" i="68" a="1"/>
  <c r="G8" i="68" l="1"/>
  <c r="G6" i="68"/>
  <c r="D11" i="68"/>
  <c r="D5" i="68"/>
  <c r="G12" i="68"/>
  <c r="G4" i="68"/>
  <c r="D9" i="68"/>
  <c r="D3" i="68"/>
  <c r="D7" i="68"/>
  <c r="G10" i="68"/>
  <c r="E3" i="68"/>
  <c r="H4" i="68"/>
  <c r="E5" i="68"/>
  <c r="H6" i="68"/>
  <c r="E7" i="68"/>
  <c r="H8" i="68"/>
  <c r="E9" i="68"/>
  <c r="H10" i="68"/>
  <c r="E11" i="68"/>
  <c r="H12" i="68"/>
  <c r="C6" i="68"/>
  <c r="F7" i="68"/>
  <c r="I8" i="68"/>
  <c r="D4" i="68"/>
  <c r="G5" i="68"/>
  <c r="G7" i="68"/>
  <c r="D12" i="68"/>
  <c r="E4" i="68"/>
  <c r="E6" i="68"/>
  <c r="H7" i="68"/>
  <c r="E8" i="68"/>
  <c r="H9" i="68"/>
  <c r="E10" i="68"/>
  <c r="H11" i="68"/>
  <c r="E12" i="68"/>
  <c r="C4" i="68"/>
  <c r="F5" i="68"/>
  <c r="I10" i="68"/>
  <c r="D6" i="68"/>
  <c r="H5" i="68"/>
  <c r="C8" i="68"/>
  <c r="F9" i="68"/>
  <c r="C10" i="68"/>
  <c r="F11" i="68"/>
  <c r="I12" i="68"/>
  <c r="D8" i="68"/>
  <c r="G9" i="68"/>
  <c r="H3" i="68"/>
  <c r="C3" i="68"/>
  <c r="F4" i="68"/>
  <c r="I5" i="68"/>
  <c r="C7" i="68"/>
  <c r="C9" i="68"/>
  <c r="I9" i="68"/>
  <c r="C11" i="68"/>
  <c r="I11" i="68"/>
  <c r="F12" i="68"/>
  <c r="F3" i="68"/>
  <c r="I4" i="68"/>
  <c r="I6" i="68"/>
  <c r="C12" i="68"/>
  <c r="G3" i="68"/>
  <c r="D10" i="68"/>
  <c r="G11" i="68"/>
  <c r="I3" i="68"/>
  <c r="C5" i="68"/>
  <c r="F6" i="68"/>
  <c r="I7" i="68"/>
  <c r="F8" i="68"/>
  <c r="F10" i="68"/>
  <c r="H13" i="68" l="1"/>
  <c r="C16" i="68"/>
  <c r="D13" i="68"/>
  <c r="G13" i="68"/>
  <c r="I13" i="68"/>
  <c r="E13" i="68"/>
  <c r="F13" i="68"/>
  <c r="C13" i="68"/>
  <c r="J13" i="68" s="1"/>
  <c r="N10" i="68" a="1"/>
  <c r="Q10" i="68" a="1"/>
  <c r="T10" i="68" a="1"/>
  <c r="P10" i="68" a="1"/>
  <c r="K10" i="68" a="1"/>
  <c r="X10" i="68" a="1"/>
  <c r="Y10" i="68" a="1"/>
  <c r="V10" i="68" a="1"/>
  <c r="S10" i="68" a="1"/>
  <c r="L10" i="68" a="1"/>
  <c r="O10" i="68" a="1"/>
  <c r="W10" i="68" a="1"/>
  <c r="M10" i="68" a="1"/>
  <c r="U10" i="68" a="1"/>
  <c r="K10" i="68" l="1"/>
  <c r="S10" i="68"/>
  <c r="Y10" i="68"/>
  <c r="N10" i="68"/>
  <c r="M10" i="68"/>
  <c r="U10" i="68"/>
  <c r="Q10" i="68"/>
  <c r="T10" i="68"/>
  <c r="V10" i="68"/>
  <c r="P10" i="68"/>
  <c r="L10" i="68"/>
  <c r="O10" i="68"/>
  <c r="W10" i="68"/>
  <c r="X10" i="68"/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14" i="42" l="1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P14" i="42" l="1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G14" i="26" l="1"/>
  <c r="E14" i="26"/>
  <c r="D14" i="26"/>
  <c r="K14" i="26"/>
  <c r="P14" i="25"/>
  <c r="N14" i="25"/>
  <c r="M14" i="25"/>
  <c r="T14" i="25"/>
  <c r="D14" i="25"/>
  <c r="K4" i="68" a="1"/>
  <c r="S4" i="68" a="1"/>
  <c r="K4" i="68" l="1"/>
  <c r="S4" i="68"/>
  <c r="F12" i="23" a="1"/>
  <c r="X4" i="68" a="1"/>
  <c r="D13" i="23" a="1"/>
  <c r="E7" i="23" a="1"/>
  <c r="O4" i="68" a="1"/>
  <c r="F8" i="23" a="1"/>
  <c r="G10" i="23" a="1"/>
  <c r="D11" i="23" a="1"/>
  <c r="T4" i="68" a="1"/>
  <c r="E13" i="23" a="1"/>
  <c r="Y4" i="68" a="1"/>
  <c r="G12" i="23" a="1"/>
  <c r="V4" i="68" a="1"/>
  <c r="G6" i="23" a="1"/>
  <c r="G7" i="23" a="1"/>
  <c r="Q4" i="68" a="1"/>
  <c r="F11" i="23" a="1"/>
  <c r="G4" i="23" a="1"/>
  <c r="E12" i="23" a="1"/>
  <c r="D10" i="23" a="1"/>
  <c r="U4" i="68" a="1"/>
  <c r="F10" i="23" a="1"/>
  <c r="F4" i="23" a="1"/>
  <c r="D6" i="23" a="1"/>
  <c r="E8" i="23" a="1"/>
  <c r="F5" i="23" a="1"/>
  <c r="E10" i="23" a="1"/>
  <c r="G13" i="23" a="1"/>
  <c r="G8" i="23" a="1"/>
  <c r="D5" i="23" a="1"/>
  <c r="W4" i="68" a="1"/>
  <c r="L4" i="68" a="1"/>
  <c r="I4" i="23" a="1"/>
  <c r="D7" i="23" a="1"/>
  <c r="G5" i="23" a="1"/>
  <c r="D9" i="23" a="1"/>
  <c r="E4" i="23" a="1"/>
  <c r="E5" i="23" a="1"/>
  <c r="P4" i="68" a="1"/>
  <c r="D8" i="23" a="1"/>
  <c r="F7" i="23" a="1"/>
  <c r="H4" i="23" a="1"/>
  <c r="E6" i="23" a="1"/>
  <c r="N4" i="68" a="1"/>
  <c r="G9" i="23" a="1"/>
  <c r="M4" i="68" a="1"/>
  <c r="F9" i="23" a="1"/>
  <c r="D4" i="23" a="1"/>
  <c r="E11" i="23" a="1"/>
  <c r="G11" i="23" a="1"/>
  <c r="D12" i="23" a="1"/>
  <c r="E9" i="23" a="1"/>
  <c r="F13" i="23" a="1"/>
  <c r="F6" i="23" a="1"/>
  <c r="D7" i="23" l="1"/>
  <c r="F7" i="23"/>
  <c r="F11" i="23"/>
  <c r="E12" i="23"/>
  <c r="G13" i="23"/>
  <c r="G11" i="23"/>
  <c r="G7" i="23"/>
  <c r="E11" i="23"/>
  <c r="F10" i="23"/>
  <c r="E6" i="23"/>
  <c r="F12" i="23"/>
  <c r="G8" i="23"/>
  <c r="F5" i="23"/>
  <c r="G12" i="23"/>
  <c r="G5" i="23"/>
  <c r="I4" i="23"/>
  <c r="D4" i="23"/>
  <c r="D14" i="23" s="1"/>
  <c r="H4" i="23"/>
  <c r="D13" i="23"/>
  <c r="G4" i="23"/>
  <c r="E4" i="23"/>
  <c r="E14" i="23" s="1"/>
  <c r="E5" i="23"/>
  <c r="D10" i="23"/>
  <c r="E8" i="23"/>
  <c r="D11" i="23"/>
  <c r="G9" i="23"/>
  <c r="E10" i="23"/>
  <c r="D5" i="23"/>
  <c r="D12" i="23"/>
  <c r="D6" i="23"/>
  <c r="X4" i="68"/>
  <c r="D9" i="23"/>
  <c r="F6" i="23"/>
  <c r="E13" i="23"/>
  <c r="E7" i="23"/>
  <c r="F13" i="23"/>
  <c r="G10" i="23"/>
  <c r="F4" i="23"/>
  <c r="F14" i="23" s="1"/>
  <c r="F9" i="23"/>
  <c r="G6" i="23"/>
  <c r="F8" i="23"/>
  <c r="E9" i="23"/>
  <c r="D8" i="23"/>
  <c r="M4" i="68"/>
  <c r="L4" i="68"/>
  <c r="V4" i="68"/>
  <c r="Y4" i="68"/>
  <c r="O4" i="68"/>
  <c r="P4" i="68"/>
  <c r="W4" i="68"/>
  <c r="T4" i="68"/>
  <c r="U4" i="68"/>
  <c r="Q4" i="68"/>
  <c r="N4" i="68"/>
  <c r="V3" i="68" a="1"/>
  <c r="V3" i="68" l="1"/>
  <c r="T9" i="68" a="1"/>
  <c r="W6" i="68" a="1"/>
  <c r="Q5" i="68" a="1"/>
  <c r="M7" i="68" a="1"/>
  <c r="V8" i="68" a="1"/>
  <c r="O7" i="68" a="1"/>
  <c r="U3" i="68" a="1"/>
  <c r="Q3" i="68" a="1"/>
  <c r="W7" i="68" a="1"/>
  <c r="U11" i="68" a="1"/>
  <c r="O9" i="68" a="1"/>
  <c r="O8" i="68" a="1"/>
  <c r="V7" i="68" a="1"/>
  <c r="T6" i="68" a="1"/>
  <c r="V5" i="68" a="1"/>
  <c r="Q7" i="68" a="1"/>
  <c r="N7" i="68" a="1"/>
  <c r="Q11" i="68" a="1"/>
  <c r="V6" i="68" a="1"/>
  <c r="Y5" i="68" a="1"/>
  <c r="M6" i="68" a="1"/>
  <c r="T12" i="68" a="1"/>
  <c r="N12" i="68" a="1"/>
  <c r="P6" i="68" a="1"/>
  <c r="P7" i="68" a="1"/>
  <c r="W12" i="68" a="1"/>
  <c r="S11" i="68" a="1"/>
  <c r="Q6" i="68" a="1"/>
  <c r="M9" i="68" a="1"/>
  <c r="M5" i="68" a="1"/>
  <c r="O3" i="68" a="1"/>
  <c r="Y11" i="68" a="1"/>
  <c r="W9" i="68" a="1"/>
  <c r="Y3" i="68" a="1"/>
  <c r="P5" i="68" a="1"/>
  <c r="V12" i="68" a="1"/>
  <c r="L5" i="68" a="1"/>
  <c r="L9" i="68" a="1"/>
  <c r="W8" i="68" a="1"/>
  <c r="Y6" i="68" a="1"/>
  <c r="M3" i="68" a="1"/>
  <c r="S7" i="68" a="1"/>
  <c r="M11" i="68" a="1"/>
  <c r="Y9" i="68" a="1"/>
  <c r="X12" i="68" a="1"/>
  <c r="L8" i="68" a="1"/>
  <c r="K6" i="68" a="1"/>
  <c r="K7" i="68" a="1"/>
  <c r="K3" i="68" a="1"/>
  <c r="Y12" i="68" a="1"/>
  <c r="O12" i="68" a="1"/>
  <c r="T11" i="68" a="1"/>
  <c r="V9" i="68" a="1"/>
  <c r="V11" i="68" a="1"/>
  <c r="O5" i="68" a="1"/>
  <c r="P12" i="68" a="1"/>
  <c r="P11" i="68" a="1"/>
  <c r="U8" i="68" a="1"/>
  <c r="M12" i="68" a="1"/>
  <c r="N3" i="68" a="1"/>
  <c r="N5" i="68" a="1"/>
  <c r="L7" i="68" a="1"/>
  <c r="O11" i="68" a="1"/>
  <c r="S9" i="68" a="1"/>
  <c r="P9" i="68" a="1"/>
  <c r="N9" i="68" a="1"/>
  <c r="T3" i="68" a="1"/>
  <c r="L12" i="68" a="1"/>
  <c r="K12" i="68" a="1"/>
  <c r="K5" i="68" a="1"/>
  <c r="N6" i="68" a="1"/>
  <c r="X6" i="68" a="1"/>
  <c r="M8" i="68" a="1"/>
  <c r="W3" i="68" a="1"/>
  <c r="P3" i="68" a="1"/>
  <c r="X9" i="68" a="1"/>
  <c r="K9" i="68" a="1"/>
  <c r="S8" i="68" a="1"/>
  <c r="O6" i="68" a="1"/>
  <c r="Q9" i="68" a="1"/>
  <c r="X7" i="68" a="1"/>
  <c r="Y8" i="68" a="1"/>
  <c r="K11" i="68" a="1"/>
  <c r="T7" i="68" a="1"/>
  <c r="K8" i="68" a="1"/>
  <c r="S3" i="68" a="1"/>
  <c r="S12" i="68" a="1"/>
  <c r="W11" i="68" a="1"/>
  <c r="P8" i="68" a="1"/>
  <c r="N11" i="68" a="1"/>
  <c r="X8" i="68" a="1"/>
  <c r="T8" i="68" a="1"/>
  <c r="U7" i="68" a="1"/>
  <c r="W5" i="68" a="1"/>
  <c r="L6" i="68" a="1"/>
  <c r="U12" i="68" a="1"/>
  <c r="L11" i="68" a="1"/>
  <c r="U5" i="68" a="1"/>
  <c r="T5" i="68" a="1"/>
  <c r="U9" i="68" a="1"/>
  <c r="Q12" i="68" a="1"/>
  <c r="U6" i="68" a="1"/>
  <c r="S6" i="68" a="1"/>
  <c r="Q8" i="68" a="1"/>
  <c r="L3" i="68" a="1"/>
  <c r="X5" i="68" a="1"/>
  <c r="X11" i="68" a="1"/>
  <c r="S5" i="68" a="1"/>
  <c r="N8" i="68" a="1"/>
  <c r="Y7" i="68" a="1"/>
  <c r="X3" i="68" a="1"/>
  <c r="K12" i="68" l="1"/>
  <c r="K9" i="68"/>
  <c r="K7" i="68"/>
  <c r="K11" i="68"/>
  <c r="K6" i="68"/>
  <c r="K5" i="68"/>
  <c r="K8" i="68"/>
  <c r="K3" i="68"/>
  <c r="S12" i="68"/>
  <c r="S9" i="68"/>
  <c r="S7" i="68"/>
  <c r="S11" i="68"/>
  <c r="S6" i="68"/>
  <c r="S5" i="68"/>
  <c r="S8" i="68"/>
  <c r="N5" i="68"/>
  <c r="W5" i="68"/>
  <c r="O11" i="68"/>
  <c r="O5" i="68"/>
  <c r="T9" i="68"/>
  <c r="M5" i="68"/>
  <c r="Q3" i="68"/>
  <c r="L12" i="68"/>
  <c r="T6" i="68"/>
  <c r="N9" i="68"/>
  <c r="P8" i="68"/>
  <c r="R2" i="57"/>
  <c r="U8" i="68"/>
  <c r="X11" i="68"/>
  <c r="S3" i="68"/>
  <c r="L9" i="68"/>
  <c r="Q5" i="68"/>
  <c r="U9" i="68"/>
  <c r="O12" i="68"/>
  <c r="Y12" i="68"/>
  <c r="P11" i="68"/>
  <c r="L7" i="68"/>
  <c r="M9" i="68"/>
  <c r="T12" i="68"/>
  <c r="V6" i="68"/>
  <c r="W12" i="68"/>
  <c r="X8" i="68"/>
  <c r="X6" i="68"/>
  <c r="P3" i="68"/>
  <c r="N3" i="68"/>
  <c r="Q9" i="68"/>
  <c r="U3" i="68"/>
  <c r="Q11" i="68"/>
  <c r="W11" i="68"/>
  <c r="V5" i="68"/>
  <c r="Y6" i="68"/>
  <c r="X3" i="68"/>
  <c r="P5" i="68"/>
  <c r="N11" i="68"/>
  <c r="L8" i="68"/>
  <c r="T11" i="68"/>
  <c r="O8" i="68"/>
  <c r="Q7" i="68"/>
  <c r="X12" i="68"/>
  <c r="X5" i="68"/>
  <c r="V12" i="68"/>
  <c r="L11" i="68"/>
  <c r="O6" i="68"/>
  <c r="U12" i="68"/>
  <c r="O9" i="68"/>
  <c r="Q12" i="68"/>
  <c r="P7" i="68"/>
  <c r="U6" i="68"/>
  <c r="X9" i="68"/>
  <c r="P9" i="68"/>
  <c r="M11" i="68"/>
  <c r="T5" i="68"/>
  <c r="O7" i="68"/>
  <c r="L3" i="68"/>
  <c r="Y8" i="68"/>
  <c r="P6" i="68"/>
  <c r="M6" i="68"/>
  <c r="P12" i="68"/>
  <c r="T7" i="68"/>
  <c r="U7" i="68"/>
  <c r="W8" i="68"/>
  <c r="Y11" i="68"/>
  <c r="V11" i="68"/>
  <c r="L6" i="68"/>
  <c r="W6" i="68"/>
  <c r="M12" i="68"/>
  <c r="U11" i="68"/>
  <c r="U5" i="68"/>
  <c r="W3" i="68"/>
  <c r="M7" i="68"/>
  <c r="M8" i="68"/>
  <c r="W9" i="68"/>
  <c r="X7" i="68"/>
  <c r="M3" i="68"/>
  <c r="Y3" i="68"/>
  <c r="N8" i="68"/>
  <c r="T8" i="68"/>
  <c r="Y7" i="68"/>
  <c r="T3" i="68"/>
  <c r="Y5" i="68"/>
  <c r="O3" i="68"/>
  <c r="Y9" i="68"/>
  <c r="Q6" i="68"/>
  <c r="N7" i="68"/>
  <c r="N12" i="68"/>
  <c r="V8" i="68"/>
  <c r="V9" i="68"/>
  <c r="Q8" i="68"/>
  <c r="W7" i="68"/>
  <c r="N6" i="68"/>
  <c r="L5" i="68"/>
  <c r="V7" i="68"/>
  <c r="K16" i="68" l="1"/>
  <c r="S16" i="68"/>
  <c r="K13" i="68"/>
  <c r="R13" i="68" s="1"/>
  <c r="S13" i="68"/>
  <c r="Z13" i="68" s="1"/>
  <c r="V13" i="68"/>
  <c r="M13" i="68"/>
  <c r="T13" i="68"/>
  <c r="O13" i="68"/>
  <c r="N13" i="68"/>
  <c r="L13" i="68"/>
  <c r="W13" i="68"/>
  <c r="X13" i="68"/>
  <c r="Y13" i="68"/>
  <c r="U13" i="68"/>
  <c r="P13" i="68"/>
  <c r="Q13" i="6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<sst xmlns="http://schemas.openxmlformats.org/spreadsheetml/2006/main" count="670" uniqueCount="21">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</sst>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F146-F4C5-D641-AA1F-BE6CE109CF4B}">
  <dimension ref="B1:Z16"/>
  <sheetViews>
    <sheetView tabSelected="1" zoomScale="85" zoomScaleNormal="85" workbookViewId="0">
      <selection activeCell="S2" sqref="S2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1" spans="2:26" x14ac:dyDescent="0.2">
      <c r="B1" s="1" t="s">
        <v>17</v>
      </c>
      <c r="K1" t="s">
        <v>18</v>
      </c>
      <c r="S1" t="s">
        <v>19</v>
      </c>
    </row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42</v>
      </c>
      <c r="C3" s="5" cm="1">
        <f t="array" aca="1" ref="C3" ca="1">INDIRECT("'results" &amp; $B3 &amp; "'!D$14")</f>
        <v>35939.457370727912</v>
      </c>
      <c r="D3" s="33" cm="1">
        <f t="array" aca="1" ref="D3" ca="1">INDIRECT("'results" &amp; $B3 &amp; "'!E$14")</f>
        <v>1.556909458002337</v>
      </c>
      <c r="E3" s="5" cm="1">
        <f t="array" aca="1" ref="E3" ca="1">INDIRECT("'results" &amp; $B3 &amp; "'!F$14")</f>
        <v>2</v>
      </c>
      <c r="F3" s="5" cm="1">
        <f t="array" aca="1" ref="F3" ca="1">INDIRECT("'results" &amp; $B3 &amp; "'!G$14")</f>
        <v>80</v>
      </c>
      <c r="G3" s="5" cm="1">
        <f t="array" aca="1" ref="G3" ca="1">INDIRECT("'results" &amp; $B3 &amp; "'!H$14")</f>
        <v>0</v>
      </c>
      <c r="H3" s="33" cm="1">
        <f t="array" aca="1" ref="H3" ca="1">INDIRECT("'results" &amp; $B3 &amp; "'!I$14")</f>
        <v>17.917570947479984</v>
      </c>
      <c r="I3" s="5" cm="1">
        <f t="array" aca="1" ref="I3" ca="1">INDIRECT("'results" &amp; $B3 &amp; "'!J$14")</f>
        <v>1147.3636476076927</v>
      </c>
      <c r="J3" s="5"/>
      <c r="K3" s="5" cm="1">
        <f t="array" aca="1" ref="K3" ca="1">INDIRECT("'results" &amp; $B3 &amp; "'!L$14")</f>
        <v>35939.457370727912</v>
      </c>
      <c r="L3" s="5" cm="1">
        <f t="array" aca="1" ref="L3" ca="1">INDIRECT("'results" &amp; $B3 &amp; "'!M$14")</f>
        <v>1.6112545840005621</v>
      </c>
      <c r="M3" s="5" cm="1">
        <f t="array" aca="1" ref="M3" ca="1">INDIRECT("'results" &amp; $B3 &amp; "'!N$14")</f>
        <v>2</v>
      </c>
      <c r="N3" s="5" cm="1">
        <f t="array" aca="1" ref="N3" ca="1">INDIRECT("'results" &amp; $B3 &amp; "'!O$14")</f>
        <v>80</v>
      </c>
      <c r="O3" s="5" cm="1">
        <f t="array" aca="1" ref="O3" ca="1">INDIRECT("'results" &amp; $B3 &amp; "'!P$14")</f>
        <v>0</v>
      </c>
      <c r="P3" s="5" cm="1">
        <f t="array" aca="1" ref="P3" ca="1">INDIRECT("'results" &amp; $B3 &amp; "'!Q$14")</f>
        <v>17.917570947479984</v>
      </c>
      <c r="Q3" s="5" cm="1">
        <f t="array" aca="1" ref="Q3" ca="1">INDIRECT("'results" &amp; $B3 &amp; "'!R$14")</f>
        <v>1147.3636476076927</v>
      </c>
      <c r="R3" s="5"/>
      <c r="S3" s="5" cm="1">
        <f t="array" aca="1" ref="S3" ca="1">INDIRECT("'results" &amp; $B3 &amp; "'!T$14")</f>
        <v>36607.578322444497</v>
      </c>
      <c r="T3" s="5" cm="1">
        <f t="array" aca="1" ref="T3" ca="1">INDIRECT("'results" &amp; $B3 &amp; "'!U$14")</f>
        <v>1.533868082999106</v>
      </c>
      <c r="U3" s="5" cm="1">
        <f t="array" aca="1" ref="U3" ca="1">INDIRECT("'results" &amp; $B3 &amp; "'!V$14")</f>
        <v>2</v>
      </c>
      <c r="V3" s="5" cm="1">
        <f t="array" aca="1" ref="V3" ca="1">INDIRECT("'results" &amp; $B3 &amp; "'!W$14")</f>
        <v>80</v>
      </c>
      <c r="W3" s="5" cm="1">
        <f t="array" aca="1" ref="W3" ca="1">INDIRECT("'results" &amp; $B3 &amp; "'!X$14")</f>
        <v>0</v>
      </c>
      <c r="X3" s="5" cm="1">
        <f t="array" aca="1" ref="X3" ca="1">INDIRECT("'results" &amp; $B3 &amp; "'!Y$14")</f>
        <v>27.864033138321723</v>
      </c>
      <c r="Y3" s="5" cm="1">
        <f t="array" aca="1" ref="Y3" ca="1">INDIRECT("'results" &amp; $B3 &amp; "'!Z$14")</f>
        <v>1471.3259913062316</v>
      </c>
      <c r="Z3" s="5"/>
    </row>
    <row r="4" spans="2:26" x14ac:dyDescent="0.2">
      <c r="B4" s="4">
        <v>43</v>
      </c>
      <c r="C4" s="5" cm="1">
        <f t="array" aca="1" ref="C4" ca="1">INDIRECT("'results" &amp; $B4 &amp; "'!D$14")</f>
        <v>36198.979115424831</v>
      </c>
      <c r="D4" s="33" cm="1">
        <f t="array" aca="1" ref="D4" ca="1">INDIRECT("'results" &amp; $B4 &amp; "'!E$14")</f>
        <v>2.3830156660005741</v>
      </c>
      <c r="E4" s="5" cm="1">
        <f t="array" aca="1" ref="E4" ca="1">INDIRECT("'results" &amp; $B4 &amp; "'!F$14")</f>
        <v>3</v>
      </c>
      <c r="F4" s="5" cm="1">
        <f t="array" aca="1" ref="F4" ca="1">INDIRECT("'results" &amp; $B4 &amp; "'!G$14")</f>
        <v>100</v>
      </c>
      <c r="G4" s="5" cm="1">
        <f t="array" aca="1" ref="G4" ca="1">INDIRECT("'results" &amp; $B4 &amp; "'!H$14")</f>
        <v>0</v>
      </c>
      <c r="H4" s="33" cm="1">
        <f t="array" aca="1" ref="H4" ca="1">INDIRECT("'results" &amp; $B4 &amp; "'!I$14")</f>
        <v>7.611962625483975</v>
      </c>
      <c r="I4" s="5" cm="1">
        <f t="array" aca="1" ref="I4" ca="1">INDIRECT("'results" &amp; $B4 &amp; "'!J$14")</f>
        <v>826.36461685403754</v>
      </c>
      <c r="J4" s="5"/>
      <c r="K4" s="5" cm="1">
        <f t="array" aca="1" ref="K4" ca="1">INDIRECT("'results" &amp; $B4 &amp; "'!L$14")</f>
        <v>36198.979115424831</v>
      </c>
      <c r="L4" s="5" cm="1">
        <f t="array" aca="1" ref="L4" ca="1">INDIRECT("'results" &amp; $B4 &amp; "'!M$14")</f>
        <v>2.130123124999955</v>
      </c>
      <c r="M4" s="5" cm="1">
        <f t="array" aca="1" ref="M4" ca="1">INDIRECT("'results" &amp; $B4 &amp; "'!N$14")</f>
        <v>3</v>
      </c>
      <c r="N4" s="5" cm="1">
        <f t="array" aca="1" ref="N4" ca="1">INDIRECT("'results" &amp; $B4 &amp; "'!O$14")</f>
        <v>100</v>
      </c>
      <c r="O4" s="5" cm="1">
        <f t="array" aca="1" ref="O4" ca="1">INDIRECT("'results" &amp; $B4 &amp; "'!P$14")</f>
        <v>0</v>
      </c>
      <c r="P4" s="5" cm="1">
        <f t="array" aca="1" ref="P4" ca="1">INDIRECT("'results" &amp; $B4 &amp; "'!Q$14")</f>
        <v>7.611962625483975</v>
      </c>
      <c r="Q4" s="5" cm="1">
        <f t="array" aca="1" ref="Q4" ca="1">INDIRECT("'results" &amp; $B4 &amp; "'!R$14")</f>
        <v>826.36461685403754</v>
      </c>
      <c r="R4" s="5"/>
      <c r="S4" s="5" cm="1">
        <f t="array" aca="1" ref="S4" ca="1">INDIRECT("'results" &amp; $B4 &amp; "'!T$14")</f>
        <v>38407.582651309283</v>
      </c>
      <c r="T4" s="5" cm="1">
        <f t="array" aca="1" ref="T4" ca="1">INDIRECT("'results" &amp; $B4 &amp; "'!U$14")</f>
        <v>1.3633762499994191</v>
      </c>
      <c r="U4" s="5" cm="1">
        <f t="array" aca="1" ref="U4" ca="1">INDIRECT("'results" &amp; $B4 &amp; "'!V$14")</f>
        <v>1</v>
      </c>
      <c r="V4" s="5" cm="1">
        <f t="array" aca="1" ref="V4" ca="1">INDIRECT("'results" &amp; $B4 &amp; "'!W$14")</f>
        <v>50</v>
      </c>
      <c r="W4" s="5" cm="1">
        <f t="array" aca="1" ref="W4" ca="1">INDIRECT("'results" &amp; $B4 &amp; "'!X$14")</f>
        <v>0</v>
      </c>
      <c r="X4" s="5" cm="1">
        <f t="array" aca="1" ref="X4" ca="1">INDIRECT("'results" &amp; $B4 &amp; "'!Y$14")</f>
        <v>16.839553512667639</v>
      </c>
      <c r="Y4" s="5" cm="1">
        <f t="array" aca="1" ref="Y4" ca="1">INDIRECT("'results" &amp; $B4 &amp; "'!Z$14")</f>
        <v>967.9730042920246</v>
      </c>
      <c r="Z4" s="5"/>
    </row>
    <row r="5" spans="2:26" x14ac:dyDescent="0.2">
      <c r="B5" s="4">
        <v>619</v>
      </c>
      <c r="C5" s="5" cm="1">
        <f t="array" aca="1" ref="C5" ca="1">INDIRECT("'results" &amp; $B5 &amp; "'!D$14")</f>
        <v>38067.924863159162</v>
      </c>
      <c r="D5" s="33" cm="1">
        <f t="array" aca="1" ref="D5" ca="1">INDIRECT("'results" &amp; $B5 &amp; "'!E$14")</f>
        <v>1.538188291997358</v>
      </c>
      <c r="E5" s="5" cm="1">
        <f t="array" aca="1" ref="E5" ca="1">INDIRECT("'results" &amp; $B5 &amp; "'!F$14")</f>
        <v>2</v>
      </c>
      <c r="F5" s="5" cm="1">
        <f t="array" aca="1" ref="F5" ca="1">INDIRECT("'results" &amp; $B5 &amp; "'!G$14")</f>
        <v>80</v>
      </c>
      <c r="G5" s="5" cm="1">
        <f t="array" aca="1" ref="G5" ca="1">INDIRECT("'results" &amp; $B5 &amp; "'!H$14")</f>
        <v>0</v>
      </c>
      <c r="H5" s="33" cm="1">
        <f t="array" aca="1" ref="H5" ca="1">INDIRECT("'results" &amp; $B5 &amp; "'!I$14")</f>
        <v>12.44916762991188</v>
      </c>
      <c r="I5" s="5" cm="1">
        <f t="array" aca="1" ref="I5" ca="1">INDIRECT("'results" &amp; $B5 &amp; "'!J$14")</f>
        <v>1194.4038903376927</v>
      </c>
      <c r="J5" s="5"/>
      <c r="K5" s="5" cm="1">
        <f t="array" aca="1" ref="K5" ca="1">INDIRECT("'results" &amp; $B5 &amp; "'!L$14")</f>
        <v>38067.924863159162</v>
      </c>
      <c r="L5" s="5" cm="1">
        <f t="array" aca="1" ref="L5" ca="1">INDIRECT("'results" &amp; $B5 &amp; "'!M$14")</f>
        <v>1.572899250000773</v>
      </c>
      <c r="M5" s="5" cm="1">
        <f t="array" aca="1" ref="M5" ca="1">INDIRECT("'results" &amp; $B5 &amp; "'!N$14")</f>
        <v>2</v>
      </c>
      <c r="N5" s="5" cm="1">
        <f t="array" aca="1" ref="N5" ca="1">INDIRECT("'results" &amp; $B5 &amp; "'!O$14")</f>
        <v>80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12.44916762991188</v>
      </c>
      <c r="Q5" s="5" cm="1">
        <f t="array" aca="1" ref="Q5" ca="1">INDIRECT("'results" &amp; $B5 &amp; "'!R$14")</f>
        <v>1194.4038903376927</v>
      </c>
      <c r="R5" s="5"/>
      <c r="S5" s="5" cm="1">
        <f t="array" aca="1" ref="S5" ca="1">INDIRECT("'results" &amp; $B5 &amp; "'!T$14")</f>
        <v>38555.229195905849</v>
      </c>
      <c r="T5" s="5" cm="1">
        <f t="array" aca="1" ref="T5" ca="1">INDIRECT("'results" &amp; $B5 &amp; "'!U$14")</f>
        <v>1.561614374999408</v>
      </c>
      <c r="U5" s="5" cm="1">
        <f t="array" aca="1" ref="U5" ca="1">INDIRECT("'results" &amp; $B5 &amp; "'!V$14")</f>
        <v>2</v>
      </c>
      <c r="V5" s="5" cm="1">
        <f t="array" aca="1" ref="V5" ca="1">INDIRECT("'results" &amp; $B5 &amp; "'!W$14")</f>
        <v>80</v>
      </c>
      <c r="W5" s="5" cm="1">
        <f t="array" aca="1" ref="W5" ca="1">INDIRECT("'results" &amp; $B5 &amp; "'!X$14")</f>
        <v>0</v>
      </c>
      <c r="X5" s="5" cm="1">
        <f t="array" aca="1" ref="X5" ca="1">INDIRECT("'results" &amp; $B5 &amp; "'!Y$14")</f>
        <v>21.290853860889008</v>
      </c>
      <c r="Y5" s="5" cm="1">
        <f t="array" aca="1" ref="Y5" ca="1">INDIRECT("'results" &amp; $B5 &amp; "'!Z$14")</f>
        <v>1456.8240886035278</v>
      </c>
      <c r="Z5" s="5"/>
    </row>
    <row r="6" spans="2:26" x14ac:dyDescent="0.2">
      <c r="B6" s="4">
        <v>684</v>
      </c>
      <c r="C6" s="5" cm="1">
        <f t="array" aca="1" ref="C6" ca="1">INDIRECT("'results" &amp; $B6 &amp; "'!D$14")</f>
        <v>31553.276755353359</v>
      </c>
      <c r="D6" s="33" cm="1">
        <f t="array" aca="1" ref="D6" ca="1">INDIRECT("'results" &amp; $B6 &amp; "'!E$14")</f>
        <v>1.712035790995287</v>
      </c>
      <c r="E6" s="5" cm="1">
        <f t="array" aca="1" ref="E6" ca="1">INDIRECT("'results" &amp; $B6 &amp; "'!F$14")</f>
        <v>2</v>
      </c>
      <c r="F6" s="5" cm="1">
        <f t="array" aca="1" ref="F6" ca="1">INDIRECT("'results" &amp; $B6 &amp; "'!G$14")</f>
        <v>90</v>
      </c>
      <c r="G6" s="5" cm="1">
        <f t="array" aca="1" ref="G6" ca="1">INDIRECT("'results" &amp; $B6 &amp; "'!H$14")</f>
        <v>0</v>
      </c>
      <c r="H6" s="33" cm="1">
        <f t="array" aca="1" ref="H6" ca="1">INDIRECT("'results" &amp; $B6 &amp; "'!I$14")</f>
        <v>9.1205442673448669</v>
      </c>
      <c r="I6" s="5" cm="1">
        <f t="array" aca="1" ref="I6" ca="1">INDIRECT("'results" &amp; $B6 &amp; "'!J$14")</f>
        <v>898.94168943399018</v>
      </c>
      <c r="J6" s="5"/>
      <c r="K6" s="5" cm="1">
        <f t="array" aca="1" ref="K6" ca="1">INDIRECT("'results" &amp; $B6 &amp; "'!L$14")</f>
        <v>39006.564213543061</v>
      </c>
      <c r="L6" s="5" cm="1">
        <f t="array" aca="1" ref="L6" ca="1">INDIRECT("'results" &amp; $B6 &amp; "'!M$14")</f>
        <v>1.8641424579982411</v>
      </c>
      <c r="M6" s="5" cm="1">
        <f t="array" aca="1" ref="M6" ca="1">INDIRECT("'results" &amp; $B6 &amp; "'!N$14")</f>
        <v>2</v>
      </c>
      <c r="N6" s="5" cm="1">
        <f t="array" aca="1" ref="N6" ca="1">INDIRECT("'results" &amp; $B6 &amp; "'!O$14")</f>
        <v>70</v>
      </c>
      <c r="O6" s="5" cm="1">
        <f t="array" aca="1" ref="O6" ca="1">INDIRECT("'results" &amp; $B6 &amp; "'!P$14")</f>
        <v>0</v>
      </c>
      <c r="P6" s="5" cm="1">
        <f t="array" aca="1" ref="P6" ca="1">INDIRECT("'results" &amp; $B6 &amp; "'!Q$14")</f>
        <v>6.7494565620585867</v>
      </c>
      <c r="Q6" s="5" cm="1">
        <f t="array" aca="1" ref="Q6" ca="1">INDIRECT("'results" &amp; $B6 &amp; "'!R$14")</f>
        <v>741.46611082700485</v>
      </c>
      <c r="R6" s="5"/>
      <c r="S6" s="5" cm="1">
        <f t="array" aca="1" ref="S6" ca="1">INDIRECT("'results" &amp; $B6 &amp; "'!T$14")</f>
        <v>34022.561900671797</v>
      </c>
      <c r="T6" s="5" cm="1">
        <f t="array" aca="1" ref="T6" ca="1">INDIRECT("'results" &amp; $B6 &amp; "'!U$14")</f>
        <v>1.6520133750000241</v>
      </c>
      <c r="U6" s="5" cm="1">
        <f t="array" aca="1" ref="U6" ca="1">INDIRECT("'results" &amp; $B6 &amp; "'!V$14")</f>
        <v>2</v>
      </c>
      <c r="V6" s="5" cm="1">
        <f t="array" aca="1" ref="V6" ca="1">INDIRECT("'results" &amp; $B6 &amp; "'!W$14")</f>
        <v>90</v>
      </c>
      <c r="W6" s="5" cm="1">
        <f t="array" aca="1" ref="W6" ca="1">INDIRECT("'results" &amp; $B6 &amp; "'!X$14")</f>
        <v>20.773118818488257</v>
      </c>
      <c r="X6" s="5" cm="1">
        <f t="array" aca="1" ref="X6" ca="1">INDIRECT("'results" &amp; $B6 &amp; "'!Y$14")</f>
        <v>21.934283289791345</v>
      </c>
      <c r="Y6" s="5" cm="1">
        <f t="array" aca="1" ref="Y6" ca="1">INDIRECT("'results" &amp; $B6 &amp; "'!Z$14")</f>
        <v>1425.0697368616977</v>
      </c>
      <c r="Z6" s="5"/>
    </row>
    <row r="7" spans="2:26" x14ac:dyDescent="0.2">
      <c r="B7" s="4">
        <v>702</v>
      </c>
      <c r="C7" s="5" cm="1">
        <f t="array" aca="1" ref="C7" ca="1">INDIRECT("'results" &amp; $B7 &amp; "'!D$14")</f>
        <v>38701.860619462619</v>
      </c>
      <c r="D7" s="33" cm="1">
        <f t="array" aca="1" ref="D7" ca="1">INDIRECT("'results" &amp; $B7 &amp; "'!E$14")</f>
        <v>1.7341949170004229</v>
      </c>
      <c r="E7" s="5" cm="1">
        <f t="array" aca="1" ref="E7" ca="1">INDIRECT("'results" &amp; $B7 &amp; "'!F$14")</f>
        <v>2</v>
      </c>
      <c r="F7" s="5" cm="1">
        <f t="array" aca="1" ref="F7" ca="1">INDIRECT("'results" &amp; $B7 &amp; "'!G$14")</f>
        <v>70</v>
      </c>
      <c r="G7" s="5" cm="1">
        <f t="array" aca="1" ref="G7" ca="1">INDIRECT("'results" &amp; $B7 &amp; "'!H$14")</f>
        <v>0</v>
      </c>
      <c r="H7" s="33" cm="1">
        <f t="array" aca="1" ref="H7" ca="1">INDIRECT("'results" &amp; $B7 &amp; "'!I$14")</f>
        <v>12.560379271624655</v>
      </c>
      <c r="I7" s="5" cm="1">
        <f t="array" aca="1" ref="I7" ca="1">INDIRECT("'results" &amp; $B7 &amp; "'!J$14")</f>
        <v>833.57566083088386</v>
      </c>
      <c r="J7" s="5"/>
      <c r="K7" s="5" cm="1">
        <f t="array" aca="1" ref="K7" ca="1">INDIRECT("'results" &amp; $B7 &amp; "'!L$14")</f>
        <v>42752.620828207771</v>
      </c>
      <c r="L7" s="5" cm="1">
        <f t="array" aca="1" ref="L7" ca="1">INDIRECT("'results" &amp; $B7 &amp; "'!M$14")</f>
        <v>1.636991332999969</v>
      </c>
      <c r="M7" s="5" cm="1">
        <f t="array" aca="1" ref="M7" ca="1">INDIRECT("'results" &amp; $B7 &amp; "'!N$14")</f>
        <v>2</v>
      </c>
      <c r="N7" s="5" cm="1">
        <f t="array" aca="1" ref="N7" ca="1">INDIRECT("'results" &amp; $B7 &amp; "'!O$14")</f>
        <v>60</v>
      </c>
      <c r="O7" s="5" cm="1">
        <f t="array" aca="1" ref="O7" ca="1">INDIRECT("'results" &amp; $B7 &amp; "'!P$14")</f>
        <v>0</v>
      </c>
      <c r="P7" s="5" cm="1">
        <f t="array" aca="1" ref="P7" ca="1">INDIRECT("'results" &amp; $B7 &amp; "'!Q$14")</f>
        <v>6.8323603479853503</v>
      </c>
      <c r="Q7" s="5" cm="1">
        <f t="array" aca="1" ref="Q7" ca="1">INDIRECT("'results" &amp; $B7 &amp; "'!R$14")</f>
        <v>657.24078951764989</v>
      </c>
      <c r="R7" s="5"/>
      <c r="S7" s="5" cm="1">
        <f t="array" aca="1" ref="S7" ca="1">INDIRECT("'results" &amp; $B7 &amp; "'!T$14")</f>
        <v>38286.371652681701</v>
      </c>
      <c r="T7" s="5" cm="1">
        <f t="array" aca="1" ref="T7" ca="1">INDIRECT("'results" &amp; $B7 &amp; "'!U$14")</f>
        <v>1.7052975829992649</v>
      </c>
      <c r="U7" s="5" cm="1">
        <f t="array" aca="1" ref="U7" ca="1">INDIRECT("'results" &amp; $B7 &amp; "'!V$14")</f>
        <v>2</v>
      </c>
      <c r="V7" s="5" cm="1">
        <f t="array" aca="1" ref="V7" ca="1">INDIRECT("'results" &amp; $B7 &amp; "'!W$14")</f>
        <v>70</v>
      </c>
      <c r="W7" s="5" cm="1">
        <f t="array" aca="1" ref="W7" ca="1">INDIRECT("'results" &amp; $B7 &amp; "'!X$14")</f>
        <v>0</v>
      </c>
      <c r="X7" s="5" cm="1">
        <f t="array" aca="1" ref="X7" ca="1">INDIRECT("'results" &amp; $B7 &amp; "'!Y$14")</f>
        <v>30.751622988147663</v>
      </c>
      <c r="Y7" s="5" cm="1">
        <f t="array" aca="1" ref="Y7" ca="1">INDIRECT("'results" &amp; $B7 &amp; "'!Z$14")</f>
        <v>1264.4807939221184</v>
      </c>
      <c r="Z7" s="5"/>
    </row>
    <row r="8" spans="2:26" x14ac:dyDescent="0.2">
      <c r="B8" s="4">
        <v>464</v>
      </c>
      <c r="C8" s="5" cm="1">
        <f t="array" aca="1" ref="C8" ca="1">INDIRECT("'results" &amp; $B8 &amp; "'!D$14")</f>
        <v>43310.501760430867</v>
      </c>
      <c r="D8" s="33" cm="1">
        <f t="array" aca="1" ref="D8" ca="1">INDIRECT("'results" &amp; $B8 &amp; "'!E$14")</f>
        <v>1.538050666000345</v>
      </c>
      <c r="E8" s="5" cm="1">
        <f t="array" aca="1" ref="E8" ca="1">INDIRECT("'results" &amp; $B8 &amp; "'!F$14")</f>
        <v>2</v>
      </c>
      <c r="F8" s="5" cm="1">
        <f t="array" aca="1" ref="F8" ca="1">INDIRECT("'results" &amp; $B8 &amp; "'!G$14")</f>
        <v>60</v>
      </c>
      <c r="G8" s="5" cm="1">
        <f t="array" aca="1" ref="G8" ca="1">INDIRECT("'results" &amp; $B8 &amp; "'!H$14")</f>
        <v>0</v>
      </c>
      <c r="H8" s="33" cm="1">
        <f t="array" aca="1" ref="H8" ca="1">INDIRECT("'results" &amp; $B8 &amp; "'!I$14")</f>
        <v>10.091700147595338</v>
      </c>
      <c r="I8" s="5" cm="1">
        <f t="array" aca="1" ref="I8" ca="1">INDIRECT("'results" &amp; $B8 &amp; "'!J$14")</f>
        <v>902.24206652263513</v>
      </c>
      <c r="J8" s="5"/>
      <c r="K8" s="5" cm="1">
        <f t="array" aca="1" ref="K8" ca="1">INDIRECT("'results" &amp; $B8 &amp; "'!L$14")</f>
        <v>43310.501760430867</v>
      </c>
      <c r="L8" s="5" cm="1">
        <f t="array" aca="1" ref="L8" ca="1">INDIRECT("'results" &amp; $B8 &amp; "'!M$14")</f>
        <v>1.6190924169986829</v>
      </c>
      <c r="M8" s="5" cm="1">
        <f t="array" aca="1" ref="M8" ca="1">INDIRECT("'results" &amp; $B8 &amp; "'!N$14")</f>
        <v>2</v>
      </c>
      <c r="N8" s="5" cm="1">
        <f t="array" aca="1" ref="N8" ca="1">INDIRECT("'results" &amp; $B8 &amp; "'!O$14")</f>
        <v>60</v>
      </c>
      <c r="O8" s="5" cm="1">
        <f t="array" aca="1" ref="O8" ca="1">INDIRECT("'results" &amp; $B8 &amp; "'!P$14")</f>
        <v>0</v>
      </c>
      <c r="P8" s="5" cm="1">
        <f t="array" aca="1" ref="P8" ca="1">INDIRECT("'results" &amp; $B8 &amp; "'!Q$14")</f>
        <v>10.091700147595338</v>
      </c>
      <c r="Q8" s="5" cm="1">
        <f t="array" aca="1" ref="Q8" ca="1">INDIRECT("'results" &amp; $B8 &amp; "'!R$14")</f>
        <v>902.24206652263513</v>
      </c>
      <c r="R8" s="5"/>
      <c r="S8" s="5" cm="1">
        <f t="array" aca="1" ref="S8" ca="1">INDIRECT("'results" &amp; $B8 &amp; "'!T$14")</f>
        <v>44139.534673957838</v>
      </c>
      <c r="T8" s="5" cm="1">
        <f t="array" aca="1" ref="T8" ca="1">INDIRECT("'results" &amp; $B8 &amp; "'!U$14")</f>
        <v>1.5715024999990419</v>
      </c>
      <c r="U8" s="5" cm="1">
        <f t="array" aca="1" ref="U8" ca="1">INDIRECT("'results" &amp; $B8 &amp; "'!V$14")</f>
        <v>2</v>
      </c>
      <c r="V8" s="5" cm="1">
        <f t="array" aca="1" ref="V8" ca="1">INDIRECT("'results" &amp; $B8 &amp; "'!W$14")</f>
        <v>60</v>
      </c>
      <c r="W8" s="5" cm="1">
        <f t="array" aca="1" ref="W8" ca="1">INDIRECT("'results" &amp; $B8 &amp; "'!X$14")</f>
        <v>81.729904876305156</v>
      </c>
      <c r="X8" s="5" cm="1">
        <f t="array" aca="1" ref="X8" ca="1">INDIRECT("'results" &amp; $B8 &amp; "'!Y$14")</f>
        <v>19.03223198171672</v>
      </c>
      <c r="Y8" s="5" cm="1">
        <f t="array" aca="1" ref="Y8" ca="1">INDIRECT("'results" &amp; $B8 &amp; "'!Z$14")</f>
        <v>1301.2424152458095</v>
      </c>
      <c r="Z8" s="5"/>
    </row>
    <row r="9" spans="2:26" x14ac:dyDescent="0.2">
      <c r="B9" s="4">
        <v>810</v>
      </c>
      <c r="C9" s="5" cm="1">
        <f t="array" aca="1" ref="C9" ca="1">INDIRECT("'results" &amp; $B9 &amp; "'!D$14")</f>
        <v>35292.740544844681</v>
      </c>
      <c r="D9" s="33" cm="1">
        <f t="array" aca="1" ref="D9" ca="1">INDIRECT("'results" &amp; $B9 &amp; "'!E$14")</f>
        <v>2.156270749999976</v>
      </c>
      <c r="E9" s="5" cm="1">
        <f t="array" aca="1" ref="E9" ca="1">INDIRECT("'results" &amp; $B9 &amp; "'!F$14")</f>
        <v>3</v>
      </c>
      <c r="F9" s="5" cm="1">
        <f t="array" aca="1" ref="F9" ca="1">INDIRECT("'results" &amp; $B9 &amp; "'!G$14")</f>
        <v>100</v>
      </c>
      <c r="G9" s="5" cm="1">
        <f t="array" aca="1" ref="G9" ca="1">INDIRECT("'results" &amp; $B9 &amp; "'!H$14")</f>
        <v>0</v>
      </c>
      <c r="H9" s="33" cm="1">
        <f t="array" aca="1" ref="H9" ca="1">INDIRECT("'results" &amp; $B9 &amp; "'!I$14")</f>
        <v>10.987230587767863</v>
      </c>
      <c r="I9" s="5" cm="1">
        <f t="array" aca="1" ref="I9" ca="1">INDIRECT("'results" &amp; $B9 &amp; "'!J$14")</f>
        <v>858.11774828434932</v>
      </c>
      <c r="J9" s="5"/>
      <c r="K9" s="5" cm="1">
        <f t="array" aca="1" ref="K9" ca="1">INDIRECT("'results" &amp; $B9 &amp; "'!L$14")</f>
        <v>35292.740544844681</v>
      </c>
      <c r="L9" s="5" cm="1">
        <f t="array" aca="1" ref="L9" ca="1">INDIRECT("'results" &amp; $B9 &amp; "'!M$14")</f>
        <v>1.9364705840016541</v>
      </c>
      <c r="M9" s="5" cm="1">
        <f t="array" aca="1" ref="M9" ca="1">INDIRECT("'results" &amp; $B9 &amp; "'!N$14")</f>
        <v>3</v>
      </c>
      <c r="N9" s="5" cm="1">
        <f t="array" aca="1" ref="N9" ca="1">INDIRECT("'results" &amp; $B9 &amp; "'!O$14")</f>
        <v>100</v>
      </c>
      <c r="O9" s="5" cm="1">
        <f t="array" aca="1" ref="O9" ca="1">INDIRECT("'results" &amp; $B9 &amp; "'!P$14")</f>
        <v>0</v>
      </c>
      <c r="P9" s="5" cm="1">
        <f t="array" aca="1" ref="P9" ca="1">INDIRECT("'results" &amp; $B9 &amp; "'!Q$14")</f>
        <v>10.987230587767863</v>
      </c>
      <c r="Q9" s="5" cm="1">
        <f t="array" aca="1" ref="Q9" ca="1">INDIRECT("'results" &amp; $B9 &amp; "'!R$14")</f>
        <v>858.11774828434932</v>
      </c>
      <c r="R9" s="5"/>
      <c r="S9" s="5" cm="1">
        <f t="array" aca="1" ref="S9" ca="1">INDIRECT("'results" &amp; $B9 &amp; "'!T$14")</f>
        <v>34757.182514669403</v>
      </c>
      <c r="T9" s="5" cm="1">
        <f t="array" aca="1" ref="T9" ca="1">INDIRECT("'results" &amp; $B9 &amp; "'!U$14")</f>
        <v>1.7414098750014091</v>
      </c>
      <c r="U9" s="5" cm="1">
        <f t="array" aca="1" ref="U9" ca="1">INDIRECT("'results" &amp; $B9 &amp; "'!V$14")</f>
        <v>3</v>
      </c>
      <c r="V9" s="5" cm="1">
        <f t="array" aca="1" ref="V9" ca="1">INDIRECT("'results" &amp; $B9 &amp; "'!W$14")</f>
        <v>100</v>
      </c>
      <c r="W9" s="5" cm="1">
        <f t="array" aca="1" ref="W9" ca="1">INDIRECT("'results" &amp; $B9 &amp; "'!X$14")</f>
        <v>0</v>
      </c>
      <c r="X9" s="5" cm="1">
        <f t="array" aca="1" ref="X9" ca="1">INDIRECT("'results" &amp; $B9 &amp; "'!Y$14")</f>
        <v>25.435833387794471</v>
      </c>
      <c r="Y9" s="5" cm="1">
        <f t="array" aca="1" ref="Y9" ca="1">INDIRECT("'results" &amp; $B9 &amp; "'!Z$14")</f>
        <v>1260.8654221900638</v>
      </c>
      <c r="Z9" s="5"/>
    </row>
    <row r="10" spans="2:26" x14ac:dyDescent="0.2">
      <c r="B10" s="4">
        <v>456</v>
      </c>
      <c r="C10" s="5" cm="1">
        <f t="array" aca="1" ref="C10" ca="1">INDIRECT("'results" &amp; $B10 &amp; "'!D$14")</f>
        <v>39213.357590855143</v>
      </c>
      <c r="D10" s="33" cm="1">
        <f t="array" aca="1" ref="D10" ca="1">INDIRECT("'results" &amp; $B10 &amp; "'!E$14")</f>
        <v>1.5892779589994459</v>
      </c>
      <c r="E10" s="5" cm="1">
        <f t="array" aca="1" ref="E10" ca="1">INDIRECT("'results" &amp; $B10 &amp; "'!F$14")</f>
        <v>2</v>
      </c>
      <c r="F10" s="5" cm="1">
        <f t="array" aca="1" ref="F10" ca="1">INDIRECT("'results" &amp; $B10 &amp; "'!G$14")</f>
        <v>70</v>
      </c>
      <c r="G10" s="5" cm="1">
        <f t="array" aca="1" ref="G10" ca="1">INDIRECT("'results" &amp; $B10 &amp; "'!H$14")</f>
        <v>0</v>
      </c>
      <c r="H10" s="33" cm="1">
        <f t="array" aca="1" ref="H10" ca="1">INDIRECT("'results" &amp; $B10 &amp; "'!I$14")</f>
        <v>8.5405808378697614</v>
      </c>
      <c r="I10" s="5" cm="1">
        <f t="array" aca="1" ref="I10" ca="1">INDIRECT("'results" &amp; $B10 &amp; "'!J$14")</f>
        <v>919.75972619951426</v>
      </c>
      <c r="J10" s="5"/>
      <c r="K10" s="5" cm="1">
        <f t="array" aca="1" ref="K10" ca="1">INDIRECT("'results" &amp; $B10 &amp; "'!L$14")</f>
        <v>39213.357590855143</v>
      </c>
      <c r="L10" s="5" cm="1">
        <f t="array" aca="1" ref="L10" ca="1">INDIRECT("'results" &amp; $B10 &amp; "'!M$14")</f>
        <v>1.595101916998829</v>
      </c>
      <c r="M10" s="5" cm="1">
        <f t="array" aca="1" ref="M10" ca="1">INDIRECT("'results" &amp; $B10 &amp; "'!N$14")</f>
        <v>2</v>
      </c>
      <c r="N10" s="5" cm="1">
        <f t="array" aca="1" ref="N10" ca="1">INDIRECT("'results" &amp; $B10 &amp; "'!O$14")</f>
        <v>70</v>
      </c>
      <c r="O10" s="5" cm="1">
        <f t="array" aca="1" ref="O10" ca="1">INDIRECT("'results" &amp; $B10 &amp; "'!P$14")</f>
        <v>0</v>
      </c>
      <c r="P10" s="5" cm="1">
        <f t="array" aca="1" ref="P10" ca="1">INDIRECT("'results" &amp; $B10 &amp; "'!Q$14")</f>
        <v>8.5405808378697614</v>
      </c>
      <c r="Q10" s="5" cm="1">
        <f t="array" aca="1" ref="Q10" ca="1">INDIRECT("'results" &amp; $B10 &amp; "'!R$14")</f>
        <v>919.75972619951426</v>
      </c>
      <c r="R10" s="5"/>
      <c r="S10" s="5" cm="1">
        <f t="array" aca="1" ref="S10" ca="1">INDIRECT("'results" &amp; $B10 &amp; "'!T$14")</f>
        <v>39417.484168678697</v>
      </c>
      <c r="T10" s="5" cm="1">
        <f t="array" aca="1" ref="T10" ca="1">INDIRECT("'results" &amp; $B10 &amp; "'!U$14")</f>
        <v>1.507520334000219</v>
      </c>
      <c r="U10" s="5" cm="1">
        <f t="array" aca="1" ref="U10" ca="1">INDIRECT("'results" &amp; $B10 &amp; "'!V$14")</f>
        <v>2</v>
      </c>
      <c r="V10" s="5" cm="1">
        <f t="array" aca="1" ref="V10" ca="1">INDIRECT("'results" &amp; $B10 &amp; "'!W$14")</f>
        <v>70</v>
      </c>
      <c r="W10" s="5" cm="1">
        <f t="array" aca="1" ref="W10" ca="1">INDIRECT("'results" &amp; $B10 &amp; "'!X$14")</f>
        <v>0</v>
      </c>
      <c r="X10" s="5" cm="1">
        <f t="array" aca="1" ref="X10" ca="1">INDIRECT("'results" &amp; $B10 &amp; "'!Y$14")</f>
        <v>14.417598777818014</v>
      </c>
      <c r="Y10" s="5" cm="1">
        <f t="array" aca="1" ref="Y10" ca="1">INDIRECT("'results" &amp; $B10 &amp; "'!Z$14")</f>
        <v>1131.5429091120577</v>
      </c>
      <c r="Z10" s="5"/>
    </row>
    <row r="11" spans="2:26" x14ac:dyDescent="0.2">
      <c r="B11" s="4">
        <v>690</v>
      </c>
      <c r="C11" s="5" cm="1">
        <f t="array" aca="1" ref="C11" ca="1">INDIRECT("'results" &amp; $B11 &amp; "'!D$14")</f>
        <v>40263.615504612782</v>
      </c>
      <c r="D11" s="33" cm="1">
        <f t="array" aca="1" ref="D11" ca="1">INDIRECT("'results" &amp; $B11 &amp; "'!E$14")</f>
        <v>2.242357124996488</v>
      </c>
      <c r="E11" s="5" cm="1">
        <f t="array" aca="1" ref="E11" ca="1">INDIRECT("'results" &amp; $B11 &amp; "'!F$14")</f>
        <v>3</v>
      </c>
      <c r="F11" s="5" cm="1">
        <f t="array" aca="1" ref="F11" ca="1">INDIRECT("'results" &amp; $B11 &amp; "'!G$14")</f>
        <v>90</v>
      </c>
      <c r="G11" s="5" cm="1">
        <f t="array" aca="1" ref="G11" ca="1">INDIRECT("'results" &amp; $B11 &amp; "'!H$14")</f>
        <v>0</v>
      </c>
      <c r="H11" s="33" cm="1">
        <f t="array" aca="1" ref="H11" ca="1">INDIRECT("'results" &amp; $B11 &amp; "'!I$14")</f>
        <v>10.797211556552384</v>
      </c>
      <c r="I11" s="5" cm="1">
        <f t="array" aca="1" ref="I11" ca="1">INDIRECT("'results" &amp; $B11 &amp; "'!J$14")</f>
        <v>913.60894277134014</v>
      </c>
      <c r="J11" s="5"/>
      <c r="K11" s="5" cm="1">
        <f t="array" aca="1" ref="K11" ca="1">INDIRECT("'results" &amp; $B11 &amp; "'!L$14")</f>
        <v>44728.020055282082</v>
      </c>
      <c r="L11" s="5" cm="1">
        <f t="array" aca="1" ref="L11" ca="1">INDIRECT("'results" &amp; $B11 &amp; "'!M$14")</f>
        <v>2.1817683330009459</v>
      </c>
      <c r="M11" s="5" cm="1">
        <f t="array" aca="1" ref="M11" ca="1">INDIRECT("'results" &amp; $B11 &amp; "'!N$14")</f>
        <v>3</v>
      </c>
      <c r="N11" s="5" cm="1">
        <f t="array" aca="1" ref="N11" ca="1">INDIRECT("'results" &amp; $B11 &amp; "'!O$14")</f>
        <v>80</v>
      </c>
      <c r="O11" s="5" cm="1">
        <f t="array" aca="1" ref="O11" ca="1">INDIRECT("'results" &amp; $B11 &amp; "'!P$14")</f>
        <v>0</v>
      </c>
      <c r="P11" s="5" cm="1">
        <f t="array" aca="1" ref="P11" ca="1">INDIRECT("'results" &amp; $B11 &amp; "'!Q$14")</f>
        <v>8.88681075681842</v>
      </c>
      <c r="Q11" s="5" cm="1">
        <f t="array" aca="1" ref="Q11" ca="1">INDIRECT("'results" &amp; $B11 &amp; "'!R$14")</f>
        <v>880.46942921515074</v>
      </c>
      <c r="R11" s="5"/>
      <c r="S11" s="5" cm="1">
        <f t="array" aca="1" ref="S11" ca="1">INDIRECT("'results" &amp; $B11 &amp; "'!T$14")</f>
        <v>40058.933795354409</v>
      </c>
      <c r="T11" s="5" cm="1">
        <f t="array" aca="1" ref="T11" ca="1">INDIRECT("'results" &amp; $B11 &amp; "'!U$14")</f>
        <v>2.2481312920008349</v>
      </c>
      <c r="U11" s="5" cm="1">
        <f t="array" aca="1" ref="U11" ca="1">INDIRECT("'results" &amp; $B11 &amp; "'!V$14")</f>
        <v>3</v>
      </c>
      <c r="V11" s="5" cm="1">
        <f t="array" aca="1" ref="V11" ca="1">INDIRECT("'results" &amp; $B11 &amp; "'!W$14")</f>
        <v>90</v>
      </c>
      <c r="W11" s="5" cm="1">
        <f t="array" aca="1" ref="W11" ca="1">INDIRECT("'results" &amp; $B11 &amp; "'!X$14")</f>
        <v>13.325063066278368</v>
      </c>
      <c r="X11" s="5" cm="1">
        <f t="array" aca="1" ref="X11" ca="1">INDIRECT("'results" &amp; $B11 &amp; "'!Y$14")</f>
        <v>20.951239115149235</v>
      </c>
      <c r="Y11" s="5" cm="1">
        <f t="array" aca="1" ref="Y11" ca="1">INDIRECT("'results" &amp; $B11 &amp; "'!Z$14")</f>
        <v>1210.9203266647235</v>
      </c>
      <c r="Z11" s="5"/>
    </row>
    <row r="12" spans="2:26" x14ac:dyDescent="0.2">
      <c r="B12" s="4">
        <v>959</v>
      </c>
      <c r="C12" s="5" cm="1">
        <f t="array" aca="1" ref="C12" ca="1">INDIRECT("'results" &amp; $B12 &amp; "'!D$14")</f>
        <v>35940.295819452047</v>
      </c>
      <c r="D12" s="33" cm="1">
        <f t="array" aca="1" ref="D12" ca="1">INDIRECT("'results" &amp; $B12 &amp; "'!E$14")</f>
        <v>2.019750417000068</v>
      </c>
      <c r="E12" s="5" cm="1">
        <f t="array" aca="1" ref="E12" ca="1">INDIRECT("'results" &amp; $B12 &amp; "'!F$14")</f>
        <v>3</v>
      </c>
      <c r="F12" s="5" cm="1">
        <f t="array" aca="1" ref="F12" ca="1">INDIRECT("'results" &amp; $B12 &amp; "'!G$14")</f>
        <v>100</v>
      </c>
      <c r="G12" s="5" cm="1">
        <f t="array" aca="1" ref="G12" ca="1">INDIRECT("'results" &amp; $B12 &amp; "'!H$14")</f>
        <v>0</v>
      </c>
      <c r="H12" s="33" cm="1">
        <f t="array" aca="1" ref="H12" ca="1">INDIRECT("'results" &amp; $B12 &amp; "'!I$14")</f>
        <v>10.306385978211763</v>
      </c>
      <c r="I12" s="5" cm="1">
        <f t="array" aca="1" ref="I12" ca="1">INDIRECT("'results" &amp; $B12 &amp; "'!J$14")</f>
        <v>860.19753575560446</v>
      </c>
      <c r="J12" s="5"/>
      <c r="K12" s="5" cm="1">
        <f t="array" aca="1" ref="K12" ca="1">INDIRECT("'results" &amp; $B12 &amp; "'!L$14")</f>
        <v>40291.252987146901</v>
      </c>
      <c r="L12" s="5" cm="1">
        <f t="array" aca="1" ref="L12" ca="1">INDIRECT("'results" &amp; $B12 &amp; "'!M$14")</f>
        <v>2.1680942909988521</v>
      </c>
      <c r="M12" s="5" cm="1">
        <f t="array" aca="1" ref="M12" ca="1">INDIRECT("'results" &amp; $B12 &amp; "'!N$14")</f>
        <v>3</v>
      </c>
      <c r="N12" s="5" cm="1">
        <f t="array" aca="1" ref="N12" ca="1">INDIRECT("'results" &amp; $B12 &amp; "'!O$14")</f>
        <v>90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8.6791481124417889</v>
      </c>
      <c r="Q12" s="5" cm="1">
        <f t="array" aca="1" ref="Q12" ca="1">INDIRECT("'results" &amp; $B12 &amp; "'!R$14")</f>
        <v>846.19628118851097</v>
      </c>
      <c r="R12" s="5"/>
      <c r="S12" s="5" cm="1">
        <f t="array" aca="1" ref="S12" ca="1">INDIRECT("'results" &amp; $B12 &amp; "'!T$14")</f>
        <v>36282.392983330908</v>
      </c>
      <c r="T12" s="5" cm="1">
        <f t="array" aca="1" ref="T12" ca="1">INDIRECT("'results" &amp; $B12 &amp; "'!U$14")</f>
        <v>1.8131232499999901</v>
      </c>
      <c r="U12" s="5" cm="1">
        <f t="array" aca="1" ref="U12" ca="1">INDIRECT("'results" &amp; $B12 &amp; "'!V$14")</f>
        <v>3</v>
      </c>
      <c r="V12" s="5" cm="1">
        <f t="array" aca="1" ref="V12" ca="1">INDIRECT("'results" &amp; $B12 &amp; "'!W$14")</f>
        <v>100</v>
      </c>
      <c r="W12" s="5" cm="1">
        <f t="array" aca="1" ref="W12" ca="1">INDIRECT("'results" &amp; $B12 &amp; "'!X$14")</f>
        <v>0</v>
      </c>
      <c r="X12" s="5" cm="1">
        <f t="array" aca="1" ref="X12" ca="1">INDIRECT("'results" &amp; $B12 &amp; "'!Y$14")</f>
        <v>22.314357225309703</v>
      </c>
      <c r="Y12" s="5" cm="1">
        <f t="array" aca="1" ref="Y12" ca="1">INDIRECT("'results" &amp; $B12 &amp; "'!Z$14")</f>
        <v>1237.9888633333449</v>
      </c>
      <c r="Z12" s="5"/>
    </row>
    <row r="13" spans="2:26" x14ac:dyDescent="0.2">
      <c r="B13" s="8" t="s">
        <v>3</v>
      </c>
      <c r="C13" s="9">
        <f ca="1">AVERAGE(C3:C12)</f>
        <v>37448.200994432336</v>
      </c>
      <c r="D13" s="10">
        <f t="shared" ref="D13:I13" ca="1" si="0">AVERAGE(D3:D12)</f>
        <v>1.8470051040992304</v>
      </c>
      <c r="E13" s="9">
        <f t="shared" ca="1" si="0"/>
        <v>2.4</v>
      </c>
      <c r="F13" s="9">
        <f t="shared" ca="1" si="0"/>
        <v>84</v>
      </c>
      <c r="G13" s="9">
        <f t="shared" ca="1" si="0"/>
        <v>0</v>
      </c>
      <c r="H13" s="10">
        <f t="shared" ca="1" si="0"/>
        <v>11.038273384984247</v>
      </c>
      <c r="I13" s="9">
        <f t="shared" ca="1" si="0"/>
        <v>935.45755245977398</v>
      </c>
      <c r="J13" s="32" t="e">
        <f ca="1">(C13-$D$15)/$D$15</f>
        <v>#DIV/0!</v>
      </c>
      <c r="K13" s="16">
        <f ca="1">AVERAGE(K3:K12)</f>
        <v>39480.141932962244</v>
      </c>
      <c r="L13" s="41">
        <f t="shared" ref="L13:Q13" ca="1" si="1">AVERAGE(L3:L12)</f>
        <v>1.8315938291998464</v>
      </c>
      <c r="M13" s="16">
        <f t="shared" ca="1" si="1"/>
        <v>2.4</v>
      </c>
      <c r="N13" s="16">
        <f ca="1">AVERAGE(N3:N12)</f>
        <v>79</v>
      </c>
      <c r="O13" s="16">
        <f t="shared" ca="1" si="1"/>
        <v>0</v>
      </c>
      <c r="P13" s="41">
        <f t="shared" ca="1" si="1"/>
        <v>9.8745988555412971</v>
      </c>
      <c r="Q13" s="16">
        <f t="shared" ca="1" si="1"/>
        <v>897.36243065542385</v>
      </c>
      <c r="R13" s="42" t="e">
        <f ca="1">(K13-$D$15)/$D$15</f>
        <v>#DIV/0!</v>
      </c>
      <c r="S13" s="38">
        <f ca="1">AVERAGE(S3:S12)</f>
        <v>38053.485185900434</v>
      </c>
      <c r="T13" s="43">
        <f t="shared" ref="T13:Y13" ca="1" si="2">AVERAGE(T3:T12)</f>
        <v>1.6697856916998717</v>
      </c>
      <c r="U13" s="38">
        <f t="shared" ca="1" si="2"/>
        <v>2.2000000000000002</v>
      </c>
      <c r="V13" s="38">
        <f t="shared" ca="1" si="2"/>
        <v>79</v>
      </c>
      <c r="W13" s="38">
        <f t="shared" ca="1" si="2"/>
        <v>11.582808676107177</v>
      </c>
      <c r="X13" s="43">
        <f t="shared" ca="1" si="2"/>
        <v>22.08316072776055</v>
      </c>
      <c r="Y13" s="38">
        <f t="shared" ca="1" si="2"/>
        <v>1272.8233551531598</v>
      </c>
      <c r="Z13" s="44" t="e">
        <f ca="1">(S13-$D$15)/$D$15</f>
        <v>#DIV/0!</v>
      </c>
    </row>
    <row r="14" spans="2:26" x14ac:dyDescent="0.2">
      <c r="K14" s="45"/>
      <c r="L14" s="45"/>
      <c r="M14" s="45"/>
      <c r="N14" s="45"/>
      <c r="O14" s="45"/>
      <c r="P14" s="45"/>
      <c r="Q14" s="45"/>
      <c r="S14" s="45"/>
      <c r="T14" s="45"/>
      <c r="U14" s="45"/>
      <c r="V14" s="45"/>
      <c r="W14" s="45"/>
      <c r="X14" s="45"/>
      <c r="Y14" s="45"/>
    </row>
    <row r="16" spans="2:26" x14ac:dyDescent="0.2">
      <c r="B16" s="1" t="s">
        <v>20</v>
      </c>
      <c r="C16">
        <f ca="1">_xlfn.STDEV.S(C3:C12)</f>
        <v>3212.327111646407</v>
      </c>
      <c r="J16" s="1" t="s">
        <v>20</v>
      </c>
      <c r="K16">
        <f ca="1">_xlfn.STDEV.S(K3:K12)</f>
        <v>3277.9653960628125</v>
      </c>
      <c r="R16" s="1" t="s">
        <v>20</v>
      </c>
      <c r="S16">
        <f ca="1">_xlfn.STDEV.S(S3:S12)</f>
        <v>2900.0967794926887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4E46-C60D-964F-8118-DF98C8A53853}">
  <dimension ref="B1:AA17"/>
  <sheetViews>
    <sheetView zoomScaleNormal="100" workbookViewId="0">
      <selection activeCell="A2" sqref="A2:XFD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R2" s="1">
        <f>(R14-J14)/J14</f>
        <v>0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</v>
      </c>
      <c r="D4" s="23">
        <v>35939.457370727912</v>
      </c>
      <c r="E4" s="33">
        <v>1.556909458002337</v>
      </c>
      <c r="F4" s="5">
        <v>2</v>
      </c>
      <c r="G4" s="23">
        <v>80</v>
      </c>
      <c r="H4" s="33">
        <v>0</v>
      </c>
      <c r="I4" s="23">
        <v>17.917570947479984</v>
      </c>
      <c r="J4" s="5">
        <v>1147.3636476076927</v>
      </c>
      <c r="K4" s="31"/>
      <c r="L4" s="23">
        <v>35939.457370727912</v>
      </c>
      <c r="M4" s="33">
        <v>1.6112545840005621</v>
      </c>
      <c r="N4" s="5">
        <v>2</v>
      </c>
      <c r="O4" s="5">
        <v>80</v>
      </c>
      <c r="P4" s="33">
        <v>0</v>
      </c>
      <c r="Q4" s="5">
        <v>17.917570947479984</v>
      </c>
      <c r="R4" s="5">
        <v>1147.3636476076927</v>
      </c>
      <c r="S4" s="35"/>
      <c r="T4" s="23">
        <v>36607.578322444497</v>
      </c>
      <c r="U4" s="33">
        <v>1.533868082999106</v>
      </c>
      <c r="V4" s="5">
        <v>2</v>
      </c>
      <c r="W4" s="5">
        <v>80</v>
      </c>
      <c r="X4" s="33">
        <v>0</v>
      </c>
      <c r="Y4" s="5">
        <v>27.864033138321723</v>
      </c>
      <c r="Z4" s="5">
        <v>1471.3259913062316</v>
      </c>
      <c r="AA4" s="35"/>
    </row>
    <row r="5" spans="2:27" x14ac:dyDescent="0.2">
      <c r="B5" s="4">
        <v>2</v>
      </c>
      <c r="C5" s="4">
        <v>891</v>
      </c>
      <c r="D5" s="23">
        <v>35939.457370727912</v>
      </c>
      <c r="E5" s="33">
        <v>1.5835097079980189</v>
      </c>
      <c r="F5" s="5">
        <v>2</v>
      </c>
      <c r="G5" s="23">
        <v>80</v>
      </c>
      <c r="H5" s="33">
        <v>0</v>
      </c>
      <c r="I5" s="23">
        <v>17.917570947479984</v>
      </c>
      <c r="J5" s="5">
        <v>1147.3636476076927</v>
      </c>
      <c r="K5" s="31"/>
      <c r="L5" s="23">
        <v>35939.457370727912</v>
      </c>
      <c r="M5" s="33">
        <v>1.600080291998893</v>
      </c>
      <c r="N5" s="5">
        <v>2</v>
      </c>
      <c r="O5" s="5">
        <v>80</v>
      </c>
      <c r="P5" s="33">
        <v>0</v>
      </c>
      <c r="Q5" s="5">
        <v>17.917570947479984</v>
      </c>
      <c r="R5" s="5">
        <v>1147.3636476076927</v>
      </c>
      <c r="S5" s="35"/>
      <c r="T5" s="23">
        <v>36607.578322444497</v>
      </c>
      <c r="U5" s="33">
        <v>1.524976333999803</v>
      </c>
      <c r="V5" s="5">
        <v>2</v>
      </c>
      <c r="W5" s="5">
        <v>80</v>
      </c>
      <c r="X5" s="33">
        <v>0</v>
      </c>
      <c r="Y5" s="5">
        <v>27.864033138321723</v>
      </c>
      <c r="Z5" s="5">
        <v>1471.3259913062316</v>
      </c>
      <c r="AA5" s="35"/>
    </row>
    <row r="6" spans="2:27" x14ac:dyDescent="0.2">
      <c r="B6" s="4">
        <v>3</v>
      </c>
      <c r="C6" s="4">
        <v>443</v>
      </c>
      <c r="D6" s="23">
        <v>35939.457370727912</v>
      </c>
      <c r="E6" s="33">
        <v>1.568205874998966</v>
      </c>
      <c r="F6" s="5">
        <v>2</v>
      </c>
      <c r="G6" s="23">
        <v>80</v>
      </c>
      <c r="H6" s="33">
        <v>0</v>
      </c>
      <c r="I6" s="23">
        <v>17.917570947479984</v>
      </c>
      <c r="J6" s="5">
        <v>1147.3636476076927</v>
      </c>
      <c r="K6" s="31"/>
      <c r="L6" s="23">
        <v>35939.457370727912</v>
      </c>
      <c r="M6" s="33">
        <v>1.602528665998761</v>
      </c>
      <c r="N6" s="5">
        <v>2</v>
      </c>
      <c r="O6" s="5">
        <v>80</v>
      </c>
      <c r="P6" s="33">
        <v>0</v>
      </c>
      <c r="Q6" s="5">
        <v>17.917570947479984</v>
      </c>
      <c r="R6" s="5">
        <v>1147.3636476076927</v>
      </c>
      <c r="S6" s="35"/>
      <c r="T6" s="23">
        <v>36607.578322444497</v>
      </c>
      <c r="U6" s="33">
        <v>1.53575870900022</v>
      </c>
      <c r="V6" s="5">
        <v>2</v>
      </c>
      <c r="W6" s="5">
        <v>80</v>
      </c>
      <c r="X6" s="33">
        <v>0</v>
      </c>
      <c r="Y6" s="5">
        <v>27.864033138321723</v>
      </c>
      <c r="Z6" s="5">
        <v>1471.3259913062316</v>
      </c>
      <c r="AA6" s="35"/>
    </row>
    <row r="7" spans="2:27" x14ac:dyDescent="0.2">
      <c r="B7" s="4">
        <v>4</v>
      </c>
      <c r="C7" s="4">
        <v>529</v>
      </c>
      <c r="D7" s="23">
        <v>35939.457370727912</v>
      </c>
      <c r="E7" s="33">
        <v>1.745371291999618</v>
      </c>
      <c r="F7" s="5">
        <v>2</v>
      </c>
      <c r="G7" s="23">
        <v>80</v>
      </c>
      <c r="H7" s="33">
        <v>0</v>
      </c>
      <c r="I7" s="23">
        <v>17.917570947479984</v>
      </c>
      <c r="J7" s="5">
        <v>1147.3636476076927</v>
      </c>
      <c r="K7" s="31"/>
      <c r="L7" s="23">
        <v>35939.457370727912</v>
      </c>
      <c r="M7" s="33">
        <v>1.7710963749996149</v>
      </c>
      <c r="N7" s="5">
        <v>2</v>
      </c>
      <c r="O7" s="5">
        <v>80</v>
      </c>
      <c r="P7" s="33">
        <v>0</v>
      </c>
      <c r="Q7" s="5">
        <v>17.917570947479984</v>
      </c>
      <c r="R7" s="5">
        <v>1147.3636476076927</v>
      </c>
      <c r="S7" s="35"/>
      <c r="T7" s="23">
        <v>36607.578322444497</v>
      </c>
      <c r="U7" s="33">
        <v>1.6942837499991581</v>
      </c>
      <c r="V7" s="5">
        <v>2</v>
      </c>
      <c r="W7" s="5">
        <v>80</v>
      </c>
      <c r="X7" s="33">
        <v>0</v>
      </c>
      <c r="Y7" s="5">
        <v>27.864033138321723</v>
      </c>
      <c r="Z7" s="5">
        <v>1471.3259913062316</v>
      </c>
      <c r="AA7" s="35"/>
    </row>
    <row r="8" spans="2:27" x14ac:dyDescent="0.2">
      <c r="B8" s="4">
        <v>5</v>
      </c>
      <c r="C8" s="4">
        <v>249</v>
      </c>
      <c r="D8" s="23">
        <v>35939.457370727912</v>
      </c>
      <c r="E8" s="33">
        <v>1.7311157910007751</v>
      </c>
      <c r="F8" s="5">
        <v>2</v>
      </c>
      <c r="G8" s="23">
        <v>80</v>
      </c>
      <c r="H8" s="33">
        <v>0</v>
      </c>
      <c r="I8" s="23">
        <v>17.917570947479984</v>
      </c>
      <c r="J8" s="5">
        <v>1147.3636476076927</v>
      </c>
      <c r="K8" s="31"/>
      <c r="L8" s="23">
        <v>35939.457370727912</v>
      </c>
      <c r="M8" s="33">
        <v>1.787564542000837</v>
      </c>
      <c r="N8" s="5">
        <v>2</v>
      </c>
      <c r="O8" s="5">
        <v>80</v>
      </c>
      <c r="P8" s="33">
        <v>0</v>
      </c>
      <c r="Q8" s="5">
        <v>17.917570947479984</v>
      </c>
      <c r="R8" s="5">
        <v>1147.3636476076927</v>
      </c>
      <c r="S8" s="35"/>
      <c r="T8" s="23">
        <v>36607.578322444497</v>
      </c>
      <c r="U8" s="33">
        <v>1.7217020000007319</v>
      </c>
      <c r="V8" s="5">
        <v>2</v>
      </c>
      <c r="W8" s="5">
        <v>80</v>
      </c>
      <c r="X8" s="33">
        <v>0</v>
      </c>
      <c r="Y8" s="5">
        <v>27.864033138321723</v>
      </c>
      <c r="Z8" s="5">
        <v>1471.3259913062316</v>
      </c>
      <c r="AA8" s="35"/>
    </row>
    <row r="9" spans="2:27" x14ac:dyDescent="0.2">
      <c r="B9" s="4">
        <v>6</v>
      </c>
      <c r="C9" s="4">
        <v>356</v>
      </c>
      <c r="D9" s="23">
        <v>35939.457370727912</v>
      </c>
      <c r="E9" s="33">
        <v>1.54113658300048</v>
      </c>
      <c r="F9" s="5">
        <v>2</v>
      </c>
      <c r="G9" s="23">
        <v>80</v>
      </c>
      <c r="H9" s="33">
        <v>0</v>
      </c>
      <c r="I9" s="23">
        <v>17.917570947479984</v>
      </c>
      <c r="J9" s="5">
        <v>1147.3636476076927</v>
      </c>
      <c r="K9" s="31"/>
      <c r="L9" s="23">
        <v>35939.457370727912</v>
      </c>
      <c r="M9" s="33">
        <v>1.610654791000343</v>
      </c>
      <c r="N9" s="5">
        <v>2</v>
      </c>
      <c r="O9" s="5">
        <v>80</v>
      </c>
      <c r="P9" s="33">
        <v>0</v>
      </c>
      <c r="Q9" s="5">
        <v>17.917570947479984</v>
      </c>
      <c r="R9" s="5">
        <v>1147.3636476076927</v>
      </c>
      <c r="S9" s="35"/>
      <c r="T9" s="23">
        <v>36607.578322444497</v>
      </c>
      <c r="U9" s="33">
        <v>1.5505548340006501</v>
      </c>
      <c r="V9" s="5">
        <v>2</v>
      </c>
      <c r="W9" s="5">
        <v>80</v>
      </c>
      <c r="X9" s="33">
        <v>0</v>
      </c>
      <c r="Y9" s="5">
        <v>27.864033138321723</v>
      </c>
      <c r="Z9" s="5">
        <v>1471.3259913062316</v>
      </c>
      <c r="AA9" s="35"/>
    </row>
    <row r="10" spans="2:27" x14ac:dyDescent="0.2">
      <c r="B10" s="4">
        <v>7</v>
      </c>
      <c r="C10" s="4">
        <v>214</v>
      </c>
      <c r="D10" s="23">
        <v>35939.457370727912</v>
      </c>
      <c r="E10" s="33">
        <v>1.724473333000788</v>
      </c>
      <c r="F10" s="5">
        <v>2</v>
      </c>
      <c r="G10" s="23">
        <v>80</v>
      </c>
      <c r="H10" s="33">
        <v>0</v>
      </c>
      <c r="I10" s="23">
        <v>17.917570947479984</v>
      </c>
      <c r="J10" s="5">
        <v>1147.3636476076927</v>
      </c>
      <c r="K10" s="31"/>
      <c r="L10" s="23">
        <v>35939.457370727912</v>
      </c>
      <c r="M10" s="33">
        <v>1.7739481249991511</v>
      </c>
      <c r="N10" s="5">
        <v>2</v>
      </c>
      <c r="O10" s="5">
        <v>80</v>
      </c>
      <c r="P10" s="33">
        <v>0</v>
      </c>
      <c r="Q10" s="5">
        <v>17.917570947479984</v>
      </c>
      <c r="R10" s="5">
        <v>1147.3636476076927</v>
      </c>
      <c r="S10" s="35"/>
      <c r="T10" s="23">
        <v>36607.578322444497</v>
      </c>
      <c r="U10" s="33">
        <v>1.7149619589999929</v>
      </c>
      <c r="V10" s="5">
        <v>2</v>
      </c>
      <c r="W10" s="5">
        <v>80</v>
      </c>
      <c r="X10" s="33">
        <v>0</v>
      </c>
      <c r="Y10" s="5">
        <v>27.864033138321723</v>
      </c>
      <c r="Z10" s="5">
        <v>1471.3259913062316</v>
      </c>
      <c r="AA10" s="35"/>
    </row>
    <row r="11" spans="2:27" x14ac:dyDescent="0.2">
      <c r="B11" s="4">
        <v>8</v>
      </c>
      <c r="C11" s="4">
        <v>613</v>
      </c>
      <c r="D11" s="23">
        <v>35939.457370727912</v>
      </c>
      <c r="E11" s="33">
        <v>1.5299087919993331</v>
      </c>
      <c r="F11" s="5">
        <v>2</v>
      </c>
      <c r="G11" s="23">
        <v>80</v>
      </c>
      <c r="H11" s="33">
        <v>0</v>
      </c>
      <c r="I11" s="23">
        <v>17.917570947479984</v>
      </c>
      <c r="J11" s="5">
        <v>1147.3636476076927</v>
      </c>
      <c r="K11" s="31"/>
      <c r="L11" s="23">
        <v>35939.457370727912</v>
      </c>
      <c r="M11" s="33">
        <v>1.6072240829998921</v>
      </c>
      <c r="N11" s="5">
        <v>2</v>
      </c>
      <c r="O11" s="5">
        <v>80</v>
      </c>
      <c r="P11" s="33">
        <v>0</v>
      </c>
      <c r="Q11" s="5">
        <v>17.917570947479984</v>
      </c>
      <c r="R11" s="5">
        <v>1147.3636476076927</v>
      </c>
      <c r="S11" s="35"/>
      <c r="T11" s="23">
        <v>36607.578322444497</v>
      </c>
      <c r="U11" s="33">
        <v>1.551528999998482</v>
      </c>
      <c r="V11" s="5">
        <v>2</v>
      </c>
      <c r="W11" s="5">
        <v>80</v>
      </c>
      <c r="X11" s="33">
        <v>0</v>
      </c>
      <c r="Y11" s="5">
        <v>27.864033138321723</v>
      </c>
      <c r="Z11" s="5">
        <v>1471.3259913062316</v>
      </c>
      <c r="AA11" s="35"/>
    </row>
    <row r="12" spans="2:27" x14ac:dyDescent="0.2">
      <c r="B12" s="4">
        <v>9</v>
      </c>
      <c r="C12" s="4">
        <v>633</v>
      </c>
      <c r="D12" s="23">
        <v>35939.457370727912</v>
      </c>
      <c r="E12" s="33">
        <v>1.567347166997934</v>
      </c>
      <c r="F12" s="5">
        <v>2</v>
      </c>
      <c r="G12" s="23">
        <v>80</v>
      </c>
      <c r="H12" s="33">
        <v>0</v>
      </c>
      <c r="I12" s="23">
        <v>17.917570947479984</v>
      </c>
      <c r="J12" s="5">
        <v>1147.3636476076927</v>
      </c>
      <c r="K12" s="31"/>
      <c r="L12" s="23">
        <v>35939.457370727912</v>
      </c>
      <c r="M12" s="33">
        <v>1.60411962499893</v>
      </c>
      <c r="N12" s="5">
        <v>2</v>
      </c>
      <c r="O12" s="5">
        <v>80</v>
      </c>
      <c r="P12" s="33">
        <v>0</v>
      </c>
      <c r="Q12" s="5">
        <v>17.917570947479984</v>
      </c>
      <c r="R12" s="5">
        <v>1147.3636476076927</v>
      </c>
      <c r="S12" s="35"/>
      <c r="T12" s="23">
        <v>36607.578322444497</v>
      </c>
      <c r="U12" s="33">
        <v>1.546308207998663</v>
      </c>
      <c r="V12" s="5">
        <v>2</v>
      </c>
      <c r="W12" s="5">
        <v>80</v>
      </c>
      <c r="X12" s="33">
        <v>0</v>
      </c>
      <c r="Y12" s="5">
        <v>27.864033138321723</v>
      </c>
      <c r="Z12" s="5">
        <v>1471.3259913062316</v>
      </c>
      <c r="AA12" s="35"/>
    </row>
    <row r="13" spans="2:27" x14ac:dyDescent="0.2">
      <c r="B13" s="4">
        <v>10</v>
      </c>
      <c r="C13" s="4">
        <v>993</v>
      </c>
      <c r="D13" s="23">
        <v>35939.457370727912</v>
      </c>
      <c r="E13" s="33">
        <v>1.581069166997622</v>
      </c>
      <c r="F13" s="5">
        <v>2</v>
      </c>
      <c r="G13" s="23">
        <v>80</v>
      </c>
      <c r="H13" s="33">
        <v>0</v>
      </c>
      <c r="I13" s="23">
        <v>17.917570947479984</v>
      </c>
      <c r="J13" s="5">
        <v>1147.3636476076927</v>
      </c>
      <c r="K13" s="31"/>
      <c r="L13" s="23">
        <v>35939.457370727912</v>
      </c>
      <c r="M13" s="33">
        <v>1.612843875000181</v>
      </c>
      <c r="N13" s="5">
        <v>2</v>
      </c>
      <c r="O13" s="5">
        <v>80</v>
      </c>
      <c r="P13" s="33">
        <v>0</v>
      </c>
      <c r="Q13" s="5">
        <v>17.917570947479984</v>
      </c>
      <c r="R13" s="5">
        <v>1147.3636476076927</v>
      </c>
      <c r="S13" s="35"/>
      <c r="T13" s="23">
        <v>36607.578322444497</v>
      </c>
      <c r="U13" s="33">
        <v>1.5348808749986349</v>
      </c>
      <c r="V13" s="5">
        <v>2</v>
      </c>
      <c r="W13" s="5">
        <v>80</v>
      </c>
      <c r="X13" s="33">
        <v>0</v>
      </c>
      <c r="Y13" s="5">
        <v>27.864033138321723</v>
      </c>
      <c r="Z13" s="5">
        <v>1471.3259913062316</v>
      </c>
      <c r="AA13" s="35"/>
    </row>
    <row r="14" spans="2:27" x14ac:dyDescent="0.2">
      <c r="B14" s="46" t="s">
        <v>3</v>
      </c>
      <c r="C14" s="47"/>
      <c r="D14" s="9">
        <f>MIN(D4:D13)</f>
        <v>35939.457370727912</v>
      </c>
      <c r="E14" s="22">
        <f>INDEX(E4:E13, MATCH($D$14, D4:D13, 0))</f>
        <v>1.556909458002337</v>
      </c>
      <c r="F14" s="9">
        <f>INDEX(F4:F13, MATCH($D$14, D4:D13, 0))</f>
        <v>2</v>
      </c>
      <c r="G14" s="9">
        <f>INDEX(G4:G13, MATCH($D$14, D4:D13, 0))</f>
        <v>80</v>
      </c>
      <c r="H14" s="22">
        <f>INDEX(H4:H13, MATCH($D$14, D4:D13, 0))</f>
        <v>0</v>
      </c>
      <c r="I14" s="22">
        <f>INDEX(I4:I13, MATCH($D$14, D4:D13, 0))</f>
        <v>17.917570947479984</v>
      </c>
      <c r="J14" s="22">
        <f>INDEX(J4:J13, MATCH($D$14, D4:D13, 0))</f>
        <v>1147.3636476076927</v>
      </c>
      <c r="K14" s="32"/>
      <c r="L14" s="16">
        <f>MIN(L4:L13)</f>
        <v>35939.457370727912</v>
      </c>
      <c r="M14" s="21">
        <f>INDEX(M4:M13, MATCH($L$14, L4:L13, 0))</f>
        <v>1.6112545840005621</v>
      </c>
      <c r="N14" s="16">
        <f>INDEX(N4:N13, MATCH($L$14, L4:L13, 0))</f>
        <v>2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17.917570947479984</v>
      </c>
      <c r="R14" s="21">
        <f>INDEX(R4:R13, MATCH($L$14, L4:L13, 0))</f>
        <v>1147.3636476076927</v>
      </c>
      <c r="S14" s="36" t="e">
        <f>(L14-$D$15)/$D$15</f>
        <v>#DIV/0!</v>
      </c>
      <c r="T14" s="38">
        <f>MIN(T4:T13)</f>
        <v>36607.578322444497</v>
      </c>
      <c r="U14" s="39">
        <f>INDEX(U4:U13, MATCH($T$14, T4:T13, 0))</f>
        <v>1.533868082999106</v>
      </c>
      <c r="V14" s="38">
        <f>INDEX(V4:V13, MATCH($T$14, T4:T13, 0))</f>
        <v>2</v>
      </c>
      <c r="W14" s="38">
        <f>INDEX(W4:W13, MATCH($T$14, T4:T13, 0))</f>
        <v>80</v>
      </c>
      <c r="X14" s="39">
        <f>INDEX(X4:X13, MATCH($T$14, T4:T13, 0))</f>
        <v>0</v>
      </c>
      <c r="Y14" s="39">
        <f>INDEX(Y4:Y13, MATCH($T$14, T4:T13, 0))</f>
        <v>27.864033138321723</v>
      </c>
      <c r="Z14" s="39">
        <f>INDEX(Z4:Z13, MATCH($T$14, T4:T13, 0))</f>
        <v>1471.3259913062316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5"/>
      <c r="M15" s="45"/>
      <c r="N15" s="45"/>
      <c r="O15" s="45"/>
      <c r="P15" s="45"/>
      <c r="Q15" s="45"/>
      <c r="R15" s="45"/>
      <c r="S15"/>
      <c r="T15" s="45"/>
      <c r="U15" s="45"/>
      <c r="V15" s="45"/>
      <c r="W15" s="45"/>
      <c r="X15" s="45"/>
      <c r="Y15" s="45"/>
      <c r="Z15" s="45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91" priority="5"/>
    <cfRule type="duplicateValues" dxfId="90" priority="6"/>
  </conditionalFormatting>
  <conditionalFormatting sqref="C14">
    <cfRule type="duplicateValues" dxfId="89" priority="1"/>
    <cfRule type="duplicateValues" dxfId="88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CB64-9B21-3341-9BCA-CCD023BD0F6C}">
  <dimension ref="B1:AA17"/>
  <sheetViews>
    <sheetView zoomScaleNormal="100" workbookViewId="0">
      <selection activeCell="A2" sqref="A2:XFD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R2" s="1">
        <f>(R14-J14)/J14</f>
        <v>0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102</v>
      </c>
      <c r="D4" s="23">
        <v>36198.979115424831</v>
      </c>
      <c r="E4" s="33">
        <v>2.3830156660005741</v>
      </c>
      <c r="F4" s="5">
        <v>3</v>
      </c>
      <c r="G4" s="23">
        <v>100</v>
      </c>
      <c r="H4" s="33">
        <v>0</v>
      </c>
      <c r="I4" s="23">
        <v>7.611962625483975</v>
      </c>
      <c r="J4" s="5">
        <v>826.36461685403754</v>
      </c>
      <c r="K4" s="31"/>
      <c r="L4" s="23">
        <v>36198.979115424831</v>
      </c>
      <c r="M4" s="33">
        <v>2.130123124999955</v>
      </c>
      <c r="N4" s="5">
        <v>3</v>
      </c>
      <c r="O4" s="5">
        <v>100</v>
      </c>
      <c r="P4" s="33">
        <v>0</v>
      </c>
      <c r="Q4" s="5">
        <v>7.611962625483975</v>
      </c>
      <c r="R4" s="5">
        <v>826.36461685403754</v>
      </c>
      <c r="S4" s="35"/>
      <c r="T4" s="23">
        <v>38970.808314360627</v>
      </c>
      <c r="U4" s="33">
        <v>1.6552848329993139</v>
      </c>
      <c r="V4" s="5">
        <v>2</v>
      </c>
      <c r="W4" s="5">
        <v>80</v>
      </c>
      <c r="X4" s="33">
        <v>0</v>
      </c>
      <c r="Y4" s="5">
        <v>15.006706818174409</v>
      </c>
      <c r="Z4" s="5">
        <v>1397.599040006754</v>
      </c>
      <c r="AA4" s="35"/>
    </row>
    <row r="5" spans="2:27" x14ac:dyDescent="0.2">
      <c r="B5" s="4">
        <v>2</v>
      </c>
      <c r="C5" s="4">
        <v>372</v>
      </c>
      <c r="D5" s="23">
        <v>36198.979115424831</v>
      </c>
      <c r="E5" s="33">
        <v>2.1456593750008319</v>
      </c>
      <c r="F5" s="5">
        <v>3</v>
      </c>
      <c r="G5" s="23">
        <v>100</v>
      </c>
      <c r="H5" s="33">
        <v>0</v>
      </c>
      <c r="I5" s="23">
        <v>7.611962625483975</v>
      </c>
      <c r="J5" s="5">
        <v>826.36461685403754</v>
      </c>
      <c r="K5" s="31"/>
      <c r="L5" s="23">
        <v>36198.979115424831</v>
      </c>
      <c r="M5" s="33">
        <v>2.113170499998887</v>
      </c>
      <c r="N5" s="5">
        <v>3</v>
      </c>
      <c r="O5" s="5">
        <v>100</v>
      </c>
      <c r="P5" s="33">
        <v>0</v>
      </c>
      <c r="Q5" s="5">
        <v>7.611962625483975</v>
      </c>
      <c r="R5" s="5">
        <v>826.36461685403754</v>
      </c>
      <c r="S5" s="35"/>
      <c r="T5" s="23">
        <v>39021.447484404744</v>
      </c>
      <c r="U5" s="33">
        <v>1.647159374999319</v>
      </c>
      <c r="V5" s="5">
        <v>2</v>
      </c>
      <c r="W5" s="5">
        <v>80</v>
      </c>
      <c r="X5" s="33">
        <v>0</v>
      </c>
      <c r="Y5" s="5">
        <v>17.262004163620972</v>
      </c>
      <c r="Z5" s="5">
        <v>1457.2115208923774</v>
      </c>
      <c r="AA5" s="35"/>
    </row>
    <row r="6" spans="2:27" x14ac:dyDescent="0.2">
      <c r="B6" s="4">
        <v>3</v>
      </c>
      <c r="C6" s="4">
        <v>460</v>
      </c>
      <c r="D6" s="23">
        <v>36198.979115424831</v>
      </c>
      <c r="E6" s="33">
        <v>2.0599625419999938</v>
      </c>
      <c r="F6" s="5">
        <v>3</v>
      </c>
      <c r="G6" s="23">
        <v>100</v>
      </c>
      <c r="H6" s="33">
        <v>0</v>
      </c>
      <c r="I6" s="23">
        <v>7.611962625483975</v>
      </c>
      <c r="J6" s="5">
        <v>826.36461685403754</v>
      </c>
      <c r="K6" s="31"/>
      <c r="L6" s="23">
        <v>36198.979115424831</v>
      </c>
      <c r="M6" s="33">
        <v>2.1231798329990852</v>
      </c>
      <c r="N6" s="5">
        <v>3</v>
      </c>
      <c r="O6" s="5">
        <v>100</v>
      </c>
      <c r="P6" s="33">
        <v>0</v>
      </c>
      <c r="Q6" s="5">
        <v>7.611962625483975</v>
      </c>
      <c r="R6" s="5">
        <v>826.36461685403754</v>
      </c>
      <c r="S6" s="35"/>
      <c r="T6" s="23">
        <v>38407.582651309283</v>
      </c>
      <c r="U6" s="33">
        <v>1.3633762499994191</v>
      </c>
      <c r="V6" s="5">
        <v>1</v>
      </c>
      <c r="W6" s="5">
        <v>50</v>
      </c>
      <c r="X6" s="33">
        <v>0</v>
      </c>
      <c r="Y6" s="5">
        <v>16.839553512667639</v>
      </c>
      <c r="Z6" s="5">
        <v>967.9730042920246</v>
      </c>
      <c r="AA6" s="35"/>
    </row>
    <row r="7" spans="2:27" x14ac:dyDescent="0.2">
      <c r="B7" s="4">
        <v>4</v>
      </c>
      <c r="C7" s="4">
        <v>499</v>
      </c>
      <c r="D7" s="23">
        <v>36198.979115424831</v>
      </c>
      <c r="E7" s="33">
        <v>2.048930374998235</v>
      </c>
      <c r="F7" s="5">
        <v>3</v>
      </c>
      <c r="G7" s="23">
        <v>100</v>
      </c>
      <c r="H7" s="33">
        <v>0</v>
      </c>
      <c r="I7" s="23">
        <v>7.611962625483975</v>
      </c>
      <c r="J7" s="5">
        <v>826.36461685403754</v>
      </c>
      <c r="K7" s="31"/>
      <c r="L7" s="23">
        <v>36198.979115424831</v>
      </c>
      <c r="M7" s="33">
        <v>1.9293227500002099</v>
      </c>
      <c r="N7" s="5">
        <v>3</v>
      </c>
      <c r="O7" s="5">
        <v>100</v>
      </c>
      <c r="P7" s="33">
        <v>0</v>
      </c>
      <c r="Q7" s="5">
        <v>7.611962625483975</v>
      </c>
      <c r="R7" s="5">
        <v>826.36461685403754</v>
      </c>
      <c r="S7" s="35"/>
      <c r="T7" s="23">
        <v>38407.582651309283</v>
      </c>
      <c r="U7" s="33">
        <v>1.3965773339987211</v>
      </c>
      <c r="V7" s="5">
        <v>1</v>
      </c>
      <c r="W7" s="5">
        <v>50</v>
      </c>
      <c r="X7" s="33">
        <v>0</v>
      </c>
      <c r="Y7" s="5">
        <v>16.839553512667639</v>
      </c>
      <c r="Z7" s="5">
        <v>967.9730042920246</v>
      </c>
      <c r="AA7" s="35"/>
    </row>
    <row r="8" spans="2:27" x14ac:dyDescent="0.2">
      <c r="B8" s="4">
        <v>5</v>
      </c>
      <c r="C8" s="4">
        <v>505</v>
      </c>
      <c r="D8" s="23">
        <v>36198.979115424831</v>
      </c>
      <c r="E8" s="33">
        <v>1.9548697500013079</v>
      </c>
      <c r="F8" s="5">
        <v>3</v>
      </c>
      <c r="G8" s="23">
        <v>100</v>
      </c>
      <c r="H8" s="33">
        <v>0</v>
      </c>
      <c r="I8" s="23">
        <v>7.611962625483975</v>
      </c>
      <c r="J8" s="5">
        <v>826.36461685403754</v>
      </c>
      <c r="K8" s="31"/>
      <c r="L8" s="23">
        <v>36198.979115424831</v>
      </c>
      <c r="M8" s="33">
        <v>1.9343481249998149</v>
      </c>
      <c r="N8" s="5">
        <v>3</v>
      </c>
      <c r="O8" s="5">
        <v>100</v>
      </c>
      <c r="P8" s="33">
        <v>0</v>
      </c>
      <c r="Q8" s="5">
        <v>7.611962625483975</v>
      </c>
      <c r="R8" s="5">
        <v>826.36461685403754</v>
      </c>
      <c r="S8" s="35"/>
      <c r="T8" s="23">
        <v>39021.447484404744</v>
      </c>
      <c r="U8" s="33">
        <v>1.6646287080002371</v>
      </c>
      <c r="V8" s="5">
        <v>2</v>
      </c>
      <c r="W8" s="5">
        <v>80</v>
      </c>
      <c r="X8" s="33">
        <v>0</v>
      </c>
      <c r="Y8" s="5">
        <v>17.262004163620972</v>
      </c>
      <c r="Z8" s="5">
        <v>1457.2115208923774</v>
      </c>
      <c r="AA8" s="35"/>
    </row>
    <row r="9" spans="2:27" x14ac:dyDescent="0.2">
      <c r="B9" s="4">
        <v>6</v>
      </c>
      <c r="C9" s="4">
        <v>524</v>
      </c>
      <c r="D9" s="23">
        <v>36198.979115424831</v>
      </c>
      <c r="E9" s="33">
        <v>2.1602952499997632</v>
      </c>
      <c r="F9" s="5">
        <v>3</v>
      </c>
      <c r="G9" s="23">
        <v>100</v>
      </c>
      <c r="H9" s="33">
        <v>0</v>
      </c>
      <c r="I9" s="23">
        <v>7.611962625483975</v>
      </c>
      <c r="J9" s="5">
        <v>826.36461685403754</v>
      </c>
      <c r="K9" s="31"/>
      <c r="L9" s="23">
        <v>36198.979115424831</v>
      </c>
      <c r="M9" s="33">
        <v>2.1161688329993922</v>
      </c>
      <c r="N9" s="5">
        <v>3</v>
      </c>
      <c r="O9" s="5">
        <v>100</v>
      </c>
      <c r="P9" s="33">
        <v>0</v>
      </c>
      <c r="Q9" s="5">
        <v>7.611962625483975</v>
      </c>
      <c r="R9" s="5">
        <v>826.36461685403754</v>
      </c>
      <c r="S9" s="35"/>
      <c r="T9" s="23">
        <v>38970.808314360627</v>
      </c>
      <c r="U9" s="33">
        <v>1.706672540998625</v>
      </c>
      <c r="V9" s="5">
        <v>2</v>
      </c>
      <c r="W9" s="5">
        <v>80</v>
      </c>
      <c r="X9" s="33">
        <v>0</v>
      </c>
      <c r="Y9" s="5">
        <v>15.006706818174409</v>
      </c>
      <c r="Z9" s="5">
        <v>1397.599040006754</v>
      </c>
      <c r="AA9" s="35"/>
    </row>
    <row r="10" spans="2:27" x14ac:dyDescent="0.2">
      <c r="B10" s="4">
        <v>7</v>
      </c>
      <c r="C10" s="4">
        <v>559</v>
      </c>
      <c r="D10" s="23">
        <v>36198.979115424831</v>
      </c>
      <c r="E10" s="33">
        <v>1.933329833000244</v>
      </c>
      <c r="F10" s="5">
        <v>3</v>
      </c>
      <c r="G10" s="23">
        <v>100</v>
      </c>
      <c r="H10" s="33">
        <v>0</v>
      </c>
      <c r="I10" s="23">
        <v>7.611962625483975</v>
      </c>
      <c r="J10" s="5">
        <v>826.36461685403754</v>
      </c>
      <c r="K10" s="31"/>
      <c r="L10" s="23">
        <v>36198.979115424831</v>
      </c>
      <c r="M10" s="33">
        <v>2.1169824999997222</v>
      </c>
      <c r="N10" s="5">
        <v>3</v>
      </c>
      <c r="O10" s="5">
        <v>100</v>
      </c>
      <c r="P10" s="33">
        <v>0</v>
      </c>
      <c r="Q10" s="5">
        <v>7.611962625483975</v>
      </c>
      <c r="R10" s="5">
        <v>826.36461685403754</v>
      </c>
      <c r="S10" s="35"/>
      <c r="T10" s="23">
        <v>38407.582651309283</v>
      </c>
      <c r="U10" s="33">
        <v>1.2434914170007689</v>
      </c>
      <c r="V10" s="5">
        <v>1</v>
      </c>
      <c r="W10" s="5">
        <v>50</v>
      </c>
      <c r="X10" s="33">
        <v>0</v>
      </c>
      <c r="Y10" s="5">
        <v>16.839553512667639</v>
      </c>
      <c r="Z10" s="5">
        <v>967.9730042920246</v>
      </c>
      <c r="AA10" s="35"/>
    </row>
    <row r="11" spans="2:27" x14ac:dyDescent="0.2">
      <c r="B11" s="4">
        <v>8</v>
      </c>
      <c r="C11" s="4">
        <v>628</v>
      </c>
      <c r="D11" s="23">
        <v>36198.979115424831</v>
      </c>
      <c r="E11" s="33">
        <v>2.4388100420001142</v>
      </c>
      <c r="F11" s="5">
        <v>3</v>
      </c>
      <c r="G11" s="23">
        <v>100</v>
      </c>
      <c r="H11" s="33">
        <v>0</v>
      </c>
      <c r="I11" s="23">
        <v>7.611962625483975</v>
      </c>
      <c r="J11" s="5">
        <v>826.36461685403754</v>
      </c>
      <c r="K11" s="31"/>
      <c r="L11" s="23">
        <v>36198.979115424831</v>
      </c>
      <c r="M11" s="33">
        <v>2.1339973340000138</v>
      </c>
      <c r="N11" s="5">
        <v>3</v>
      </c>
      <c r="O11" s="5">
        <v>100</v>
      </c>
      <c r="P11" s="33">
        <v>0</v>
      </c>
      <c r="Q11" s="5">
        <v>7.611962625483975</v>
      </c>
      <c r="R11" s="5">
        <v>826.36461685403754</v>
      </c>
      <c r="S11" s="35"/>
      <c r="T11" s="23">
        <v>38970.808314360627</v>
      </c>
      <c r="U11" s="33">
        <v>1.667246749999322</v>
      </c>
      <c r="V11" s="5">
        <v>2</v>
      </c>
      <c r="W11" s="5">
        <v>80</v>
      </c>
      <c r="X11" s="33">
        <v>0</v>
      </c>
      <c r="Y11" s="5">
        <v>15.006706818174409</v>
      </c>
      <c r="Z11" s="5">
        <v>1397.599040006754</v>
      </c>
      <c r="AA11" s="35"/>
    </row>
    <row r="12" spans="2:27" x14ac:dyDescent="0.2">
      <c r="B12" s="4">
        <v>9</v>
      </c>
      <c r="C12" s="4">
        <v>868</v>
      </c>
      <c r="D12" s="23">
        <v>36198.979115424831</v>
      </c>
      <c r="E12" s="33">
        <v>2.150151957999697</v>
      </c>
      <c r="F12" s="5">
        <v>3</v>
      </c>
      <c r="G12" s="23">
        <v>100</v>
      </c>
      <c r="H12" s="33">
        <v>0</v>
      </c>
      <c r="I12" s="23">
        <v>7.611962625483975</v>
      </c>
      <c r="J12" s="5">
        <v>826.36461685403754</v>
      </c>
      <c r="K12" s="31"/>
      <c r="L12" s="23">
        <v>36198.979115424831</v>
      </c>
      <c r="M12" s="33">
        <v>2.1403094159995821</v>
      </c>
      <c r="N12" s="5">
        <v>3</v>
      </c>
      <c r="O12" s="5">
        <v>100</v>
      </c>
      <c r="P12" s="33">
        <v>0</v>
      </c>
      <c r="Q12" s="5">
        <v>7.611962625483975</v>
      </c>
      <c r="R12" s="5">
        <v>826.36461685403754</v>
      </c>
      <c r="S12" s="35"/>
      <c r="T12" s="23">
        <v>38970.808314360627</v>
      </c>
      <c r="U12" s="33">
        <v>1.667934166000123</v>
      </c>
      <c r="V12" s="5">
        <v>2</v>
      </c>
      <c r="W12" s="5">
        <v>80</v>
      </c>
      <c r="X12" s="33">
        <v>0</v>
      </c>
      <c r="Y12" s="5">
        <v>15.006706818174409</v>
      </c>
      <c r="Z12" s="5">
        <v>1397.599040006754</v>
      </c>
      <c r="AA12" s="35"/>
    </row>
    <row r="13" spans="2:27" x14ac:dyDescent="0.2">
      <c r="B13" s="4">
        <v>10</v>
      </c>
      <c r="C13" s="4">
        <v>882</v>
      </c>
      <c r="D13" s="23">
        <v>36198.979115424831</v>
      </c>
      <c r="E13" s="33">
        <v>2.0445686660004871</v>
      </c>
      <c r="F13" s="5">
        <v>3</v>
      </c>
      <c r="G13" s="23">
        <v>100</v>
      </c>
      <c r="H13" s="33">
        <v>0</v>
      </c>
      <c r="I13" s="23">
        <v>7.611962625483975</v>
      </c>
      <c r="J13" s="5">
        <v>826.36461685403754</v>
      </c>
      <c r="K13" s="31"/>
      <c r="L13" s="23">
        <v>36198.979115424831</v>
      </c>
      <c r="M13" s="33">
        <v>2.138841500000126</v>
      </c>
      <c r="N13" s="5">
        <v>3</v>
      </c>
      <c r="O13" s="5">
        <v>100</v>
      </c>
      <c r="P13" s="33">
        <v>0</v>
      </c>
      <c r="Q13" s="5">
        <v>7.611962625483975</v>
      </c>
      <c r="R13" s="5">
        <v>826.36461685403754</v>
      </c>
      <c r="S13" s="35"/>
      <c r="T13" s="23">
        <v>38407.582651309283</v>
      </c>
      <c r="U13" s="33">
        <v>1.2418854579991601</v>
      </c>
      <c r="V13" s="5">
        <v>1</v>
      </c>
      <c r="W13" s="5">
        <v>50</v>
      </c>
      <c r="X13" s="33">
        <v>0</v>
      </c>
      <c r="Y13" s="5">
        <v>16.839553512667639</v>
      </c>
      <c r="Z13" s="5">
        <v>967.9730042920246</v>
      </c>
      <c r="AA13" s="35"/>
    </row>
    <row r="14" spans="2:27" x14ac:dyDescent="0.2">
      <c r="B14" s="46" t="s">
        <v>3</v>
      </c>
      <c r="C14" s="47"/>
      <c r="D14" s="9">
        <f>MIN(D4:D13)</f>
        <v>36198.979115424831</v>
      </c>
      <c r="E14" s="22">
        <f>INDEX(E4:E13, MATCH($D$14, D4:D13, 0))</f>
        <v>2.3830156660005741</v>
      </c>
      <c r="F14" s="9">
        <f>INDEX(F4:F13, MATCH($D$14, D4:D13, 0))</f>
        <v>3</v>
      </c>
      <c r="G14" s="9">
        <f>INDEX(G4:G13, MATCH($D$14, D4:D13, 0))</f>
        <v>100</v>
      </c>
      <c r="H14" s="22">
        <f>INDEX(H4:H13, MATCH($D$14, D4:D13, 0))</f>
        <v>0</v>
      </c>
      <c r="I14" s="22">
        <f>INDEX(I4:I13, MATCH($D$14, D4:D13, 0))</f>
        <v>7.611962625483975</v>
      </c>
      <c r="J14" s="22">
        <f>INDEX(J4:J13, MATCH($D$14, D4:D13, 0))</f>
        <v>826.36461685403754</v>
      </c>
      <c r="K14" s="32"/>
      <c r="L14" s="16">
        <f>MIN(L4:L13)</f>
        <v>36198.979115424831</v>
      </c>
      <c r="M14" s="21">
        <f>INDEX(M4:M13, MATCH($L$14, L4:L13, 0))</f>
        <v>2.130123124999955</v>
      </c>
      <c r="N14" s="16">
        <f>INDEX(N4:N13, MATCH($L$14, L4:L13, 0))</f>
        <v>3</v>
      </c>
      <c r="O14" s="16">
        <f>INDEX(O4:O13, MATCH($L$14, L4:L13, 0))</f>
        <v>100</v>
      </c>
      <c r="P14" s="21">
        <f>INDEX(P4:P13, MATCH($L$14, L4:L13, 0))</f>
        <v>0</v>
      </c>
      <c r="Q14" s="21">
        <f>INDEX(Q4:Q13, MATCH($L$14, L4:L13, 0))</f>
        <v>7.611962625483975</v>
      </c>
      <c r="R14" s="21">
        <f>INDEX(R4:R13, MATCH($L$14, L4:L13, 0))</f>
        <v>826.36461685403754</v>
      </c>
      <c r="S14" s="36" t="e">
        <f>(L14-$D$15)/$D$15</f>
        <v>#DIV/0!</v>
      </c>
      <c r="T14" s="38">
        <f>MIN(T4:T13)</f>
        <v>38407.582651309283</v>
      </c>
      <c r="U14" s="39">
        <f>INDEX(U4:U13, MATCH($T$14, T4:T13, 0))</f>
        <v>1.3633762499994191</v>
      </c>
      <c r="V14" s="38">
        <f>INDEX(V4:V13, MATCH($T$14, T4:T13, 0))</f>
        <v>1</v>
      </c>
      <c r="W14" s="38">
        <f>INDEX(W4:W13, MATCH($T$14, T4:T13, 0))</f>
        <v>50</v>
      </c>
      <c r="X14" s="39">
        <f>INDEX(X4:X13, MATCH($T$14, T4:T13, 0))</f>
        <v>0</v>
      </c>
      <c r="Y14" s="39">
        <f>INDEX(Y4:Y13, MATCH($T$14, T4:T13, 0))</f>
        <v>16.839553512667639</v>
      </c>
      <c r="Z14" s="39">
        <f>INDEX(Z4:Z13, MATCH($T$14, T4:T13, 0))</f>
        <v>967.9730042920246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5"/>
      <c r="M15" s="45"/>
      <c r="N15" s="45"/>
      <c r="O15" s="45"/>
      <c r="P15" s="45"/>
      <c r="Q15" s="45"/>
      <c r="R15" s="45"/>
      <c r="S15"/>
      <c r="T15" s="45"/>
      <c r="U15" s="45"/>
      <c r="V15" s="45"/>
      <c r="W15" s="45"/>
      <c r="X15" s="45"/>
      <c r="Y15" s="45"/>
      <c r="Z15" s="45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5:C1048576 C3">
    <cfRule type="duplicateValues" dxfId="87" priority="9"/>
    <cfRule type="duplicateValues" dxfId="86" priority="10"/>
  </conditionalFormatting>
  <conditionalFormatting sqref="C4:C13">
    <cfRule type="duplicateValues" dxfId="85" priority="5"/>
    <cfRule type="duplicateValues" dxfId="84" priority="6"/>
  </conditionalFormatting>
  <conditionalFormatting sqref="C14">
    <cfRule type="duplicateValues" dxfId="83" priority="3"/>
    <cfRule type="duplicateValues" dxfId="82" priority="4"/>
  </conditionalFormatting>
  <conditionalFormatting sqref="C2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B582-8C8E-9C44-9CA9-6E5EF80C60AA}">
  <dimension ref="B1:AA17"/>
  <sheetViews>
    <sheetView zoomScaleNormal="100" workbookViewId="0">
      <selection activeCell="A2" sqref="A2:XFD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R2" s="1">
        <f>(R14-J14)/J14</f>
        <v>0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176</v>
      </c>
      <c r="D4" s="23">
        <v>39248.408421163163</v>
      </c>
      <c r="E4" s="33">
        <v>2.3189199999978878</v>
      </c>
      <c r="F4" s="5">
        <v>2</v>
      </c>
      <c r="G4" s="23">
        <v>70</v>
      </c>
      <c r="H4" s="33">
        <v>0</v>
      </c>
      <c r="I4" s="23">
        <v>7.4931519343165576</v>
      </c>
      <c r="J4" s="5">
        <v>893.80214429436182</v>
      </c>
      <c r="K4" s="31"/>
      <c r="L4" s="23">
        <v>39248.408421163163</v>
      </c>
      <c r="M4" s="33">
        <v>2.0102800000004208</v>
      </c>
      <c r="N4" s="5">
        <v>2</v>
      </c>
      <c r="O4" s="5">
        <v>70</v>
      </c>
      <c r="P4" s="33">
        <v>0</v>
      </c>
      <c r="Q4" s="5">
        <v>7.4931519343165576</v>
      </c>
      <c r="R4" s="5">
        <v>893.80214429436182</v>
      </c>
      <c r="S4" s="35"/>
      <c r="T4" s="23">
        <v>39507.30748016994</v>
      </c>
      <c r="U4" s="33">
        <v>1.9014729160007851</v>
      </c>
      <c r="V4" s="5">
        <v>2</v>
      </c>
      <c r="W4" s="5">
        <v>70</v>
      </c>
      <c r="X4" s="33">
        <v>0</v>
      </c>
      <c r="Y4" s="5">
        <v>12.371970186993305</v>
      </c>
      <c r="Z4" s="5">
        <v>1084.0276700237087</v>
      </c>
      <c r="AA4" s="35"/>
    </row>
    <row r="5" spans="2:27" x14ac:dyDescent="0.2">
      <c r="B5" s="4">
        <v>2</v>
      </c>
      <c r="C5" s="4">
        <v>185</v>
      </c>
      <c r="D5" s="23">
        <v>39248.408421163163</v>
      </c>
      <c r="E5" s="33">
        <v>1.863560541001789</v>
      </c>
      <c r="F5" s="5">
        <v>2</v>
      </c>
      <c r="G5" s="23">
        <v>70</v>
      </c>
      <c r="H5" s="33">
        <v>0</v>
      </c>
      <c r="I5" s="23">
        <v>7.4931519343165576</v>
      </c>
      <c r="J5" s="5">
        <v>893.80214429436182</v>
      </c>
      <c r="K5" s="31"/>
      <c r="L5" s="23">
        <v>39248.408421163163</v>
      </c>
      <c r="M5" s="33">
        <v>2.031659625001339</v>
      </c>
      <c r="N5" s="5">
        <v>2</v>
      </c>
      <c r="O5" s="5">
        <v>70</v>
      </c>
      <c r="P5" s="33">
        <v>0</v>
      </c>
      <c r="Q5" s="5">
        <v>7.4931519343165576</v>
      </c>
      <c r="R5" s="5">
        <v>893.80214429436182</v>
      </c>
      <c r="S5" s="35"/>
      <c r="T5" s="23">
        <v>39507.30748016994</v>
      </c>
      <c r="U5" s="33">
        <v>1.8847065829995699</v>
      </c>
      <c r="V5" s="5">
        <v>2</v>
      </c>
      <c r="W5" s="5">
        <v>70</v>
      </c>
      <c r="X5" s="33">
        <v>0</v>
      </c>
      <c r="Y5" s="5">
        <v>12.371970186993305</v>
      </c>
      <c r="Z5" s="5">
        <v>1084.0276700237087</v>
      </c>
      <c r="AA5" s="35"/>
    </row>
    <row r="6" spans="2:27" x14ac:dyDescent="0.2">
      <c r="B6" s="4">
        <v>3</v>
      </c>
      <c r="C6" s="4">
        <v>205</v>
      </c>
      <c r="D6" s="23">
        <v>39248.408421163163</v>
      </c>
      <c r="E6" s="33">
        <v>1.95086616700064</v>
      </c>
      <c r="F6" s="5">
        <v>2</v>
      </c>
      <c r="G6" s="23">
        <v>70</v>
      </c>
      <c r="H6" s="33">
        <v>0</v>
      </c>
      <c r="I6" s="23">
        <v>7.4931519343165576</v>
      </c>
      <c r="J6" s="5">
        <v>893.80214429436182</v>
      </c>
      <c r="K6" s="31"/>
      <c r="L6" s="23">
        <v>39248.408421163163</v>
      </c>
      <c r="M6" s="33">
        <v>2.030395874999158</v>
      </c>
      <c r="N6" s="5">
        <v>2</v>
      </c>
      <c r="O6" s="5">
        <v>70</v>
      </c>
      <c r="P6" s="33">
        <v>0</v>
      </c>
      <c r="Q6" s="5">
        <v>7.4931519343165576</v>
      </c>
      <c r="R6" s="5">
        <v>893.80214429436182</v>
      </c>
      <c r="S6" s="35"/>
      <c r="T6" s="23">
        <v>39507.30748016994</v>
      </c>
      <c r="U6" s="33">
        <v>1.913823208000395</v>
      </c>
      <c r="V6" s="5">
        <v>2</v>
      </c>
      <c r="W6" s="5">
        <v>70</v>
      </c>
      <c r="X6" s="33">
        <v>0</v>
      </c>
      <c r="Y6" s="5">
        <v>12.371970186993305</v>
      </c>
      <c r="Z6" s="5">
        <v>1084.0276700237087</v>
      </c>
      <c r="AA6" s="35"/>
    </row>
    <row r="7" spans="2:27" x14ac:dyDescent="0.2">
      <c r="B7" s="4">
        <v>4</v>
      </c>
      <c r="C7" s="4">
        <v>227</v>
      </c>
      <c r="D7" s="23">
        <v>39248.408421163163</v>
      </c>
      <c r="E7" s="33">
        <v>1.8443019170008479</v>
      </c>
      <c r="F7" s="5">
        <v>2</v>
      </c>
      <c r="G7" s="23">
        <v>70</v>
      </c>
      <c r="H7" s="33">
        <v>0</v>
      </c>
      <c r="I7" s="23">
        <v>7.4931519343165576</v>
      </c>
      <c r="J7" s="5">
        <v>893.80214429436182</v>
      </c>
      <c r="K7" s="31"/>
      <c r="L7" s="23">
        <v>39248.408421163163</v>
      </c>
      <c r="M7" s="33">
        <v>2.0462307500001771</v>
      </c>
      <c r="N7" s="5">
        <v>2</v>
      </c>
      <c r="O7" s="5">
        <v>70</v>
      </c>
      <c r="P7" s="33">
        <v>0</v>
      </c>
      <c r="Q7" s="5">
        <v>7.4931519343165576</v>
      </c>
      <c r="R7" s="5">
        <v>893.80214429436182</v>
      </c>
      <c r="S7" s="35"/>
      <c r="T7" s="23">
        <v>39507.30748016994</v>
      </c>
      <c r="U7" s="33">
        <v>1.9294423329993149</v>
      </c>
      <c r="V7" s="5">
        <v>2</v>
      </c>
      <c r="W7" s="5">
        <v>70</v>
      </c>
      <c r="X7" s="33">
        <v>0</v>
      </c>
      <c r="Y7" s="5">
        <v>12.371970186993305</v>
      </c>
      <c r="Z7" s="5">
        <v>1084.0276700237087</v>
      </c>
      <c r="AA7" s="35"/>
    </row>
    <row r="8" spans="2:27" x14ac:dyDescent="0.2">
      <c r="B8" s="4">
        <v>5</v>
      </c>
      <c r="C8" s="4">
        <v>489</v>
      </c>
      <c r="D8" s="23">
        <v>39213.357590855143</v>
      </c>
      <c r="E8" s="33">
        <v>1.5892779589994459</v>
      </c>
      <c r="F8" s="5">
        <v>2</v>
      </c>
      <c r="G8" s="23">
        <v>70</v>
      </c>
      <c r="H8" s="33">
        <v>0</v>
      </c>
      <c r="I8" s="23">
        <v>8.5405808378697614</v>
      </c>
      <c r="J8" s="5">
        <v>919.75972619951426</v>
      </c>
      <c r="K8" s="31"/>
      <c r="L8" s="23">
        <v>39213.357590855143</v>
      </c>
      <c r="M8" s="33">
        <v>1.595101916998829</v>
      </c>
      <c r="N8" s="5">
        <v>2</v>
      </c>
      <c r="O8" s="5">
        <v>70</v>
      </c>
      <c r="P8" s="33">
        <v>0</v>
      </c>
      <c r="Q8" s="5">
        <v>8.5405808378697614</v>
      </c>
      <c r="R8" s="5">
        <v>919.75972619951426</v>
      </c>
      <c r="S8" s="35"/>
      <c r="T8" s="23">
        <v>39417.484168678697</v>
      </c>
      <c r="U8" s="33">
        <v>1.507520334000219</v>
      </c>
      <c r="V8" s="5">
        <v>2</v>
      </c>
      <c r="W8" s="5">
        <v>70</v>
      </c>
      <c r="X8" s="33">
        <v>0</v>
      </c>
      <c r="Y8" s="5">
        <v>14.417598777818014</v>
      </c>
      <c r="Z8" s="5">
        <v>1131.5429091120577</v>
      </c>
      <c r="AA8" s="35"/>
    </row>
    <row r="9" spans="2:27" x14ac:dyDescent="0.2">
      <c r="B9" s="4">
        <v>6</v>
      </c>
      <c r="C9" s="4">
        <v>491</v>
      </c>
      <c r="D9" s="23">
        <v>39213.357590855143</v>
      </c>
      <c r="E9" s="33">
        <v>1.510012208000262</v>
      </c>
      <c r="F9" s="5">
        <v>2</v>
      </c>
      <c r="G9" s="23">
        <v>70</v>
      </c>
      <c r="H9" s="33">
        <v>0</v>
      </c>
      <c r="I9" s="23">
        <v>8.5405808378697614</v>
      </c>
      <c r="J9" s="5">
        <v>919.75972619951426</v>
      </c>
      <c r="K9" s="31"/>
      <c r="L9" s="23">
        <v>39213.357590855143</v>
      </c>
      <c r="M9" s="33">
        <v>1.5658986670005111</v>
      </c>
      <c r="N9" s="5">
        <v>2</v>
      </c>
      <c r="O9" s="5">
        <v>70</v>
      </c>
      <c r="P9" s="33">
        <v>0</v>
      </c>
      <c r="Q9" s="5">
        <v>8.5405808378697614</v>
      </c>
      <c r="R9" s="5">
        <v>919.75972619951426</v>
      </c>
      <c r="S9" s="35"/>
      <c r="T9" s="23">
        <v>39417.484168678697</v>
      </c>
      <c r="U9" s="33">
        <v>1.496665915999984</v>
      </c>
      <c r="V9" s="5">
        <v>2</v>
      </c>
      <c r="W9" s="5">
        <v>70</v>
      </c>
      <c r="X9" s="33">
        <v>0</v>
      </c>
      <c r="Y9" s="5">
        <v>14.417598777818014</v>
      </c>
      <c r="Z9" s="5">
        <v>1131.5429091120577</v>
      </c>
      <c r="AA9" s="35"/>
    </row>
    <row r="10" spans="2:27" x14ac:dyDescent="0.2">
      <c r="B10" s="4">
        <v>7</v>
      </c>
      <c r="C10" s="4">
        <v>696</v>
      </c>
      <c r="D10" s="23">
        <v>39248.408421163163</v>
      </c>
      <c r="E10" s="33">
        <v>2.008862250000675</v>
      </c>
      <c r="F10" s="5">
        <v>2</v>
      </c>
      <c r="G10" s="23">
        <v>70</v>
      </c>
      <c r="H10" s="33">
        <v>0</v>
      </c>
      <c r="I10" s="23">
        <v>7.4931519343165576</v>
      </c>
      <c r="J10" s="5">
        <v>893.80214429436182</v>
      </c>
      <c r="K10" s="31"/>
      <c r="L10" s="23">
        <v>39248.408421163163</v>
      </c>
      <c r="M10" s="33">
        <v>2.029742208998869</v>
      </c>
      <c r="N10" s="5">
        <v>2</v>
      </c>
      <c r="O10" s="5">
        <v>70</v>
      </c>
      <c r="P10" s="33">
        <v>0</v>
      </c>
      <c r="Q10" s="5">
        <v>7.4931519343165576</v>
      </c>
      <c r="R10" s="5">
        <v>893.80214429436182</v>
      </c>
      <c r="S10" s="35"/>
      <c r="T10" s="23">
        <v>39507.30748016994</v>
      </c>
      <c r="U10" s="33">
        <v>1.9767548330000859</v>
      </c>
      <c r="V10" s="5">
        <v>2</v>
      </c>
      <c r="W10" s="5">
        <v>70</v>
      </c>
      <c r="X10" s="33">
        <v>0</v>
      </c>
      <c r="Y10" s="5">
        <v>12.371970186993305</v>
      </c>
      <c r="Z10" s="5">
        <v>1084.0276700237087</v>
      </c>
      <c r="AA10" s="35"/>
    </row>
    <row r="11" spans="2:27" x14ac:dyDescent="0.2">
      <c r="B11" s="4">
        <v>8</v>
      </c>
      <c r="C11" s="4">
        <v>743</v>
      </c>
      <c r="D11" s="23">
        <v>39213.357590855143</v>
      </c>
      <c r="E11" s="33">
        <v>1.5402667089983879</v>
      </c>
      <c r="F11" s="5">
        <v>2</v>
      </c>
      <c r="G11" s="23">
        <v>70</v>
      </c>
      <c r="H11" s="33">
        <v>0</v>
      </c>
      <c r="I11" s="23">
        <v>8.5405808378697614</v>
      </c>
      <c r="J11" s="5">
        <v>919.75972619951426</v>
      </c>
      <c r="K11" s="31"/>
      <c r="L11" s="23">
        <v>39213.357590855143</v>
      </c>
      <c r="M11" s="33">
        <v>1.55991429200003</v>
      </c>
      <c r="N11" s="5">
        <v>2</v>
      </c>
      <c r="O11" s="5">
        <v>70</v>
      </c>
      <c r="P11" s="33">
        <v>0</v>
      </c>
      <c r="Q11" s="5">
        <v>8.5405808378697614</v>
      </c>
      <c r="R11" s="5">
        <v>919.75972619951426</v>
      </c>
      <c r="S11" s="35"/>
      <c r="T11" s="23">
        <v>39417.484168678697</v>
      </c>
      <c r="U11" s="33">
        <v>1.5107489580004769</v>
      </c>
      <c r="V11" s="5">
        <v>2</v>
      </c>
      <c r="W11" s="5">
        <v>70</v>
      </c>
      <c r="X11" s="33">
        <v>0</v>
      </c>
      <c r="Y11" s="5">
        <v>14.417598777818014</v>
      </c>
      <c r="Z11" s="5">
        <v>1131.5429091120577</v>
      </c>
      <c r="AA11" s="35"/>
    </row>
    <row r="12" spans="2:27" x14ac:dyDescent="0.2">
      <c r="B12" s="4">
        <v>9</v>
      </c>
      <c r="C12" s="4">
        <v>810</v>
      </c>
      <c r="D12" s="23">
        <v>39248.408421163163</v>
      </c>
      <c r="E12" s="33">
        <v>1.762176790998637</v>
      </c>
      <c r="F12" s="5">
        <v>2</v>
      </c>
      <c r="G12" s="23">
        <v>70</v>
      </c>
      <c r="H12" s="33">
        <v>0</v>
      </c>
      <c r="I12" s="23">
        <v>7.4931519343165576</v>
      </c>
      <c r="J12" s="5">
        <v>893.80214429436182</v>
      </c>
      <c r="K12" s="31"/>
      <c r="L12" s="23">
        <v>39248.408421163163</v>
      </c>
      <c r="M12" s="33">
        <v>2.015048874998683</v>
      </c>
      <c r="N12" s="5">
        <v>2</v>
      </c>
      <c r="O12" s="5">
        <v>70</v>
      </c>
      <c r="P12" s="33">
        <v>0</v>
      </c>
      <c r="Q12" s="5">
        <v>7.4931519343165576</v>
      </c>
      <c r="R12" s="5">
        <v>893.80214429436182</v>
      </c>
      <c r="S12" s="35"/>
      <c r="T12" s="23">
        <v>39507.30748016994</v>
      </c>
      <c r="U12" s="33">
        <v>1.917526042001555</v>
      </c>
      <c r="V12" s="5">
        <v>2</v>
      </c>
      <c r="W12" s="5">
        <v>70</v>
      </c>
      <c r="X12" s="33">
        <v>0</v>
      </c>
      <c r="Y12" s="5">
        <v>12.371970186993305</v>
      </c>
      <c r="Z12" s="5">
        <v>1084.0276700237087</v>
      </c>
      <c r="AA12" s="35"/>
    </row>
    <row r="13" spans="2:27" x14ac:dyDescent="0.2">
      <c r="B13" s="4">
        <v>10</v>
      </c>
      <c r="C13" s="4">
        <v>838</v>
      </c>
      <c r="D13" s="23">
        <v>40825.154225542326</v>
      </c>
      <c r="E13" s="33">
        <v>2.1679040000017271</v>
      </c>
      <c r="F13" s="5">
        <v>2</v>
      </c>
      <c r="G13" s="23">
        <v>70</v>
      </c>
      <c r="H13" s="33">
        <v>0</v>
      </c>
      <c r="I13" s="23">
        <v>8.6195220030110313</v>
      </c>
      <c r="J13" s="5">
        <v>1180.277512148366</v>
      </c>
      <c r="K13" s="31"/>
      <c r="L13" s="23">
        <v>40825.154225542326</v>
      </c>
      <c r="M13" s="33">
        <v>1.800885499998913</v>
      </c>
      <c r="N13" s="5">
        <v>2</v>
      </c>
      <c r="O13" s="5">
        <v>70</v>
      </c>
      <c r="P13" s="33">
        <v>0</v>
      </c>
      <c r="Q13" s="5">
        <v>8.6195220030110313</v>
      </c>
      <c r="R13" s="5">
        <v>1180.277512148366</v>
      </c>
      <c r="S13" s="35"/>
      <c r="T13" s="23">
        <v>42059.865946626443</v>
      </c>
      <c r="U13" s="33">
        <v>1.7072072080009091</v>
      </c>
      <c r="V13" s="5">
        <v>2</v>
      </c>
      <c r="W13" s="5">
        <v>70</v>
      </c>
      <c r="X13" s="33">
        <v>0</v>
      </c>
      <c r="Y13" s="5">
        <v>14.538300206386335</v>
      </c>
      <c r="Z13" s="5">
        <v>1558.3571650002366</v>
      </c>
      <c r="AA13" s="35"/>
    </row>
    <row r="14" spans="2:27" x14ac:dyDescent="0.2">
      <c r="B14" s="46" t="s">
        <v>3</v>
      </c>
      <c r="C14" s="47"/>
      <c r="D14" s="9">
        <f>MIN(D4:D13)</f>
        <v>39213.357590855143</v>
      </c>
      <c r="E14" s="22">
        <f>INDEX(E4:E13, MATCH($D$14, D4:D13, 0))</f>
        <v>1.5892779589994459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8.5405808378697614</v>
      </c>
      <c r="J14" s="22">
        <f>INDEX(J4:J13, MATCH($D$14, D4:D13, 0))</f>
        <v>919.75972619951426</v>
      </c>
      <c r="K14" s="32"/>
      <c r="L14" s="16">
        <f>MIN(L4:L13)</f>
        <v>39213.357590855143</v>
      </c>
      <c r="M14" s="21">
        <f>INDEX(M4:M13, MATCH($L$14, L4:L13, 0))</f>
        <v>1.595101916998829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8.5405808378697614</v>
      </c>
      <c r="R14" s="21">
        <f>INDEX(R4:R13, MATCH($L$14, L4:L13, 0))</f>
        <v>919.75972619951426</v>
      </c>
      <c r="S14" s="36" t="e">
        <f>(L14-$D$15)/$D$15</f>
        <v>#DIV/0!</v>
      </c>
      <c r="T14" s="38">
        <f>MIN(T4:T13)</f>
        <v>39417.484168678697</v>
      </c>
      <c r="U14" s="39">
        <f>INDEX(U4:U13, MATCH($T$14, T4:T13, 0))</f>
        <v>1.507520334000219</v>
      </c>
      <c r="V14" s="38">
        <f>INDEX(V4:V13, MATCH($T$14, T4:T13, 0))</f>
        <v>2</v>
      </c>
      <c r="W14" s="38">
        <f>INDEX(W4:W13, MATCH($T$14, T4:T13, 0))</f>
        <v>70</v>
      </c>
      <c r="X14" s="39">
        <f>INDEX(X4:X13, MATCH($T$14, T4:T13, 0))</f>
        <v>0</v>
      </c>
      <c r="Y14" s="39">
        <f>INDEX(Y4:Y13, MATCH($T$14, T4:T13, 0))</f>
        <v>14.417598777818014</v>
      </c>
      <c r="Z14" s="39">
        <f>INDEX(Z4:Z13, MATCH($T$14, T4:T13, 0))</f>
        <v>1131.5429091120577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5:C1048576 C3:C13">
    <cfRule type="duplicateValues" dxfId="81" priority="9"/>
    <cfRule type="duplicateValues" dxfId="80" priority="10"/>
  </conditionalFormatting>
  <conditionalFormatting sqref="C14">
    <cfRule type="duplicateValues" dxfId="79" priority="3"/>
    <cfRule type="duplicateValues" dxfId="78" priority="4"/>
  </conditionalFormatting>
  <conditionalFormatting sqref="C2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ACBD-908A-454D-A91B-43409B29FCEB}">
  <dimension ref="B1:AA17"/>
  <sheetViews>
    <sheetView zoomScaleNormal="100" workbookViewId="0">
      <selection activeCell="A2" sqref="A2:XFD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R2" s="1">
        <f>(R14-J14)/J14</f>
        <v>0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30</v>
      </c>
      <c r="D4" s="23">
        <v>43885.933170076038</v>
      </c>
      <c r="E4" s="33">
        <v>2.1691648749983869</v>
      </c>
      <c r="F4" s="5">
        <v>3</v>
      </c>
      <c r="G4" s="23">
        <v>80</v>
      </c>
      <c r="H4" s="33">
        <v>0</v>
      </c>
      <c r="I4" s="23">
        <v>7.6916889022942661</v>
      </c>
      <c r="J4" s="5">
        <v>785.93938117913819</v>
      </c>
      <c r="K4" s="31"/>
      <c r="L4" s="23">
        <v>43885.933170076038</v>
      </c>
      <c r="M4" s="33">
        <v>2.2209557919995859</v>
      </c>
      <c r="N4" s="5">
        <v>3</v>
      </c>
      <c r="O4" s="5">
        <v>80</v>
      </c>
      <c r="P4" s="33">
        <v>0</v>
      </c>
      <c r="Q4" s="5">
        <v>7.6916889022942661</v>
      </c>
      <c r="R4" s="5">
        <v>785.93938117913819</v>
      </c>
      <c r="S4" s="35"/>
      <c r="T4" s="23">
        <v>44213.865322429992</v>
      </c>
      <c r="U4" s="33">
        <v>2.1223749579985451</v>
      </c>
      <c r="V4" s="5">
        <v>3</v>
      </c>
      <c r="W4" s="5">
        <v>80</v>
      </c>
      <c r="X4" s="33">
        <v>30.572594335461137</v>
      </c>
      <c r="Y4" s="5">
        <v>14.018082756624262</v>
      </c>
      <c r="Z4" s="5">
        <v>1053.8599156279299</v>
      </c>
      <c r="AA4" s="35"/>
    </row>
    <row r="5" spans="2:27" x14ac:dyDescent="0.2">
      <c r="B5" s="4">
        <v>2</v>
      </c>
      <c r="C5" s="4">
        <v>126</v>
      </c>
      <c r="D5" s="23">
        <v>43885.933170076038</v>
      </c>
      <c r="E5" s="33">
        <v>2.249739709001005</v>
      </c>
      <c r="F5" s="5">
        <v>3</v>
      </c>
      <c r="G5" s="23">
        <v>80</v>
      </c>
      <c r="H5" s="33">
        <v>0</v>
      </c>
      <c r="I5" s="23">
        <v>7.6916889022942661</v>
      </c>
      <c r="J5" s="5">
        <v>785.93938117913819</v>
      </c>
      <c r="K5" s="31"/>
      <c r="L5" s="23">
        <v>43885.933170076038</v>
      </c>
      <c r="M5" s="33">
        <v>2.2039552079986611</v>
      </c>
      <c r="N5" s="5">
        <v>3</v>
      </c>
      <c r="O5" s="5">
        <v>80</v>
      </c>
      <c r="P5" s="33">
        <v>0</v>
      </c>
      <c r="Q5" s="5">
        <v>7.6916889022942661</v>
      </c>
      <c r="R5" s="5">
        <v>785.93938117913819</v>
      </c>
      <c r="S5" s="35"/>
      <c r="T5" s="23">
        <v>44213.865322429992</v>
      </c>
      <c r="U5" s="33">
        <v>2.140069082999617</v>
      </c>
      <c r="V5" s="5">
        <v>3</v>
      </c>
      <c r="W5" s="5">
        <v>80</v>
      </c>
      <c r="X5" s="33">
        <v>30.572594335461137</v>
      </c>
      <c r="Y5" s="5">
        <v>14.018082756624262</v>
      </c>
      <c r="Z5" s="5">
        <v>1053.8599156279299</v>
      </c>
      <c r="AA5" s="35"/>
    </row>
    <row r="6" spans="2:27" x14ac:dyDescent="0.2">
      <c r="B6" s="4">
        <v>3</v>
      </c>
      <c r="C6" s="4">
        <v>380</v>
      </c>
      <c r="D6" s="23">
        <v>43310.501760430867</v>
      </c>
      <c r="E6" s="33">
        <v>1.538050666000345</v>
      </c>
      <c r="F6" s="5">
        <v>2</v>
      </c>
      <c r="G6" s="23">
        <v>60</v>
      </c>
      <c r="H6" s="33">
        <v>0</v>
      </c>
      <c r="I6" s="23">
        <v>10.091700147595338</v>
      </c>
      <c r="J6" s="5">
        <v>902.24206652263513</v>
      </c>
      <c r="K6" s="31"/>
      <c r="L6" s="23">
        <v>43310.501760430867</v>
      </c>
      <c r="M6" s="33">
        <v>1.6190924169986829</v>
      </c>
      <c r="N6" s="5">
        <v>2</v>
      </c>
      <c r="O6" s="5">
        <v>60</v>
      </c>
      <c r="P6" s="33">
        <v>0</v>
      </c>
      <c r="Q6" s="5">
        <v>10.091700147595338</v>
      </c>
      <c r="R6" s="5">
        <v>902.24206652263513</v>
      </c>
      <c r="S6" s="35"/>
      <c r="T6" s="23">
        <v>44139.534673957838</v>
      </c>
      <c r="U6" s="33">
        <v>1.5715024999990419</v>
      </c>
      <c r="V6" s="5">
        <v>2</v>
      </c>
      <c r="W6" s="5">
        <v>60</v>
      </c>
      <c r="X6" s="33">
        <v>81.729904876305156</v>
      </c>
      <c r="Y6" s="5">
        <v>19.03223198171672</v>
      </c>
      <c r="Z6" s="5">
        <v>1301.2424152458095</v>
      </c>
      <c r="AA6" s="35"/>
    </row>
    <row r="7" spans="2:27" x14ac:dyDescent="0.2">
      <c r="B7" s="4">
        <v>4</v>
      </c>
      <c r="C7" s="4">
        <v>413</v>
      </c>
      <c r="D7" s="23">
        <v>47584.06617196749</v>
      </c>
      <c r="E7" s="33">
        <v>1.5282454170010169</v>
      </c>
      <c r="F7" s="5">
        <v>2</v>
      </c>
      <c r="G7" s="23">
        <v>50</v>
      </c>
      <c r="H7" s="33">
        <v>0</v>
      </c>
      <c r="I7" s="23">
        <v>10.260684783658586</v>
      </c>
      <c r="J7" s="5">
        <v>966.4810777194632</v>
      </c>
      <c r="K7" s="31"/>
      <c r="L7" s="23">
        <v>47584.06617196749</v>
      </c>
      <c r="M7" s="33">
        <v>1.5984712090012181</v>
      </c>
      <c r="N7" s="5">
        <v>2</v>
      </c>
      <c r="O7" s="5">
        <v>50</v>
      </c>
      <c r="P7" s="33">
        <v>0</v>
      </c>
      <c r="Q7" s="5">
        <v>10.260684783658586</v>
      </c>
      <c r="R7" s="5">
        <v>966.4810777194632</v>
      </c>
      <c r="S7" s="35"/>
      <c r="T7" s="23">
        <v>48379.857793007563</v>
      </c>
      <c r="U7" s="33">
        <v>1.5340979589982451</v>
      </c>
      <c r="V7" s="5">
        <v>2</v>
      </c>
      <c r="W7" s="5">
        <v>50</v>
      </c>
      <c r="X7" s="33">
        <v>98.075885851566184</v>
      </c>
      <c r="Y7" s="5">
        <v>19.559649606333409</v>
      </c>
      <c r="Z7" s="5">
        <v>1456.2724967122135</v>
      </c>
      <c r="AA7" s="35"/>
    </row>
    <row r="8" spans="2:27" x14ac:dyDescent="0.2">
      <c r="B8" s="4">
        <v>5</v>
      </c>
      <c r="C8" s="4">
        <v>419</v>
      </c>
      <c r="D8" s="23">
        <v>43885.933170076038</v>
      </c>
      <c r="E8" s="33">
        <v>2.5984037080015701</v>
      </c>
      <c r="F8" s="5">
        <v>3</v>
      </c>
      <c r="G8" s="23">
        <v>80</v>
      </c>
      <c r="H8" s="33">
        <v>0</v>
      </c>
      <c r="I8" s="23">
        <v>7.6916889022942661</v>
      </c>
      <c r="J8" s="5">
        <v>785.93938117913819</v>
      </c>
      <c r="K8" s="31"/>
      <c r="L8" s="23">
        <v>43885.933170076038</v>
      </c>
      <c r="M8" s="33">
        <v>2.2317365840008279</v>
      </c>
      <c r="N8" s="5">
        <v>3</v>
      </c>
      <c r="O8" s="5">
        <v>80</v>
      </c>
      <c r="P8" s="33">
        <v>0</v>
      </c>
      <c r="Q8" s="5">
        <v>7.6916889022942661</v>
      </c>
      <c r="R8" s="5">
        <v>785.93938117913819</v>
      </c>
      <c r="S8" s="35"/>
      <c r="T8" s="23">
        <v>44213.865322429992</v>
      </c>
      <c r="U8" s="33">
        <v>2.154921624998678</v>
      </c>
      <c r="V8" s="5">
        <v>3</v>
      </c>
      <c r="W8" s="5">
        <v>80</v>
      </c>
      <c r="X8" s="33">
        <v>30.572594335461137</v>
      </c>
      <c r="Y8" s="5">
        <v>14.018082756624262</v>
      </c>
      <c r="Z8" s="5">
        <v>1053.8599156279299</v>
      </c>
      <c r="AA8" s="35"/>
    </row>
    <row r="9" spans="2:27" x14ac:dyDescent="0.2">
      <c r="B9" s="4">
        <v>6</v>
      </c>
      <c r="C9" s="4">
        <v>472</v>
      </c>
      <c r="D9" s="23">
        <v>43885.933170076038</v>
      </c>
      <c r="E9" s="33">
        <v>2.109170416999405</v>
      </c>
      <c r="F9" s="5">
        <v>3</v>
      </c>
      <c r="G9" s="23">
        <v>80</v>
      </c>
      <c r="H9" s="33">
        <v>0</v>
      </c>
      <c r="I9" s="23">
        <v>7.6916889022942661</v>
      </c>
      <c r="J9" s="5">
        <v>785.93938117913819</v>
      </c>
      <c r="K9" s="31"/>
      <c r="L9" s="23">
        <v>43885.933170076038</v>
      </c>
      <c r="M9" s="33">
        <v>2.193633416000011</v>
      </c>
      <c r="N9" s="5">
        <v>3</v>
      </c>
      <c r="O9" s="5">
        <v>80</v>
      </c>
      <c r="P9" s="33">
        <v>0</v>
      </c>
      <c r="Q9" s="5">
        <v>7.6916889022942661</v>
      </c>
      <c r="R9" s="5">
        <v>785.93938117913819</v>
      </c>
      <c r="S9" s="35"/>
      <c r="T9" s="23">
        <v>44213.865322429992</v>
      </c>
      <c r="U9" s="33">
        <v>2.140660167000533</v>
      </c>
      <c r="V9" s="5">
        <v>3</v>
      </c>
      <c r="W9" s="5">
        <v>80</v>
      </c>
      <c r="X9" s="33">
        <v>30.572594335461137</v>
      </c>
      <c r="Y9" s="5">
        <v>14.018082756624262</v>
      </c>
      <c r="Z9" s="5">
        <v>1053.8599156279299</v>
      </c>
      <c r="AA9" s="35"/>
    </row>
    <row r="10" spans="2:27" x14ac:dyDescent="0.2">
      <c r="B10" s="4">
        <v>7</v>
      </c>
      <c r="C10" s="4">
        <v>649</v>
      </c>
      <c r="D10" s="23">
        <v>43885.933170076038</v>
      </c>
      <c r="E10" s="33">
        <v>1.911569916999724</v>
      </c>
      <c r="F10" s="5">
        <v>3</v>
      </c>
      <c r="G10" s="23">
        <v>80</v>
      </c>
      <c r="H10" s="33">
        <v>0</v>
      </c>
      <c r="I10" s="23">
        <v>7.6916889022942661</v>
      </c>
      <c r="J10" s="5">
        <v>785.93938117913819</v>
      </c>
      <c r="K10" s="31"/>
      <c r="L10" s="23">
        <v>43885.933170076038</v>
      </c>
      <c r="M10" s="33">
        <v>2.0012818329996662</v>
      </c>
      <c r="N10" s="5">
        <v>3</v>
      </c>
      <c r="O10" s="5">
        <v>80</v>
      </c>
      <c r="P10" s="33">
        <v>0</v>
      </c>
      <c r="Q10" s="5">
        <v>7.6916889022942661</v>
      </c>
      <c r="R10" s="5">
        <v>785.93938117913819</v>
      </c>
      <c r="S10" s="35"/>
      <c r="T10" s="23">
        <v>44213.865322429992</v>
      </c>
      <c r="U10" s="33">
        <v>1.935984582998572</v>
      </c>
      <c r="V10" s="5">
        <v>3</v>
      </c>
      <c r="W10" s="5">
        <v>80</v>
      </c>
      <c r="X10" s="33">
        <v>30.572594335461137</v>
      </c>
      <c r="Y10" s="5">
        <v>14.018082756624262</v>
      </c>
      <c r="Z10" s="5">
        <v>1053.8599156279299</v>
      </c>
      <c r="AA10" s="35"/>
    </row>
    <row r="11" spans="2:27" x14ac:dyDescent="0.2">
      <c r="B11" s="4">
        <v>8</v>
      </c>
      <c r="C11" s="4">
        <v>733</v>
      </c>
      <c r="D11" s="23">
        <v>43885.933170076038</v>
      </c>
      <c r="E11" s="33">
        <v>1.9765620409998521</v>
      </c>
      <c r="F11" s="5">
        <v>3</v>
      </c>
      <c r="G11" s="23">
        <v>80</v>
      </c>
      <c r="H11" s="33">
        <v>0</v>
      </c>
      <c r="I11" s="23">
        <v>7.6916889022942661</v>
      </c>
      <c r="J11" s="5">
        <v>785.93938117913819</v>
      </c>
      <c r="K11" s="31"/>
      <c r="L11" s="23">
        <v>43885.933170076038</v>
      </c>
      <c r="M11" s="33">
        <v>2.2030088749997958</v>
      </c>
      <c r="N11" s="5">
        <v>3</v>
      </c>
      <c r="O11" s="5">
        <v>80</v>
      </c>
      <c r="P11" s="33">
        <v>0</v>
      </c>
      <c r="Q11" s="5">
        <v>7.6916889022942661</v>
      </c>
      <c r="R11" s="5">
        <v>785.93938117913819</v>
      </c>
      <c r="S11" s="35"/>
      <c r="T11" s="23">
        <v>44213.865322429992</v>
      </c>
      <c r="U11" s="33">
        <v>2.125017499998648</v>
      </c>
      <c r="V11" s="5">
        <v>3</v>
      </c>
      <c r="W11" s="5">
        <v>80</v>
      </c>
      <c r="X11" s="33">
        <v>30.572594335461137</v>
      </c>
      <c r="Y11" s="5">
        <v>14.018082756624262</v>
      </c>
      <c r="Z11" s="5">
        <v>1053.8599156279299</v>
      </c>
      <c r="AA11" s="35"/>
    </row>
    <row r="12" spans="2:27" x14ac:dyDescent="0.2">
      <c r="B12" s="4">
        <v>9</v>
      </c>
      <c r="C12" s="4">
        <v>777</v>
      </c>
      <c r="D12" s="23">
        <v>43310.501760430867</v>
      </c>
      <c r="E12" s="33">
        <v>1.6699008750001669</v>
      </c>
      <c r="F12" s="5">
        <v>2</v>
      </c>
      <c r="G12" s="23">
        <v>60</v>
      </c>
      <c r="H12" s="33">
        <v>0</v>
      </c>
      <c r="I12" s="23">
        <v>10.091700147595338</v>
      </c>
      <c r="J12" s="5">
        <v>902.24206652263513</v>
      </c>
      <c r="K12" s="31"/>
      <c r="L12" s="23">
        <v>43310.501760430867</v>
      </c>
      <c r="M12" s="33">
        <v>1.495736042001226</v>
      </c>
      <c r="N12" s="5">
        <v>2</v>
      </c>
      <c r="O12" s="5">
        <v>60</v>
      </c>
      <c r="P12" s="33">
        <v>0</v>
      </c>
      <c r="Q12" s="5">
        <v>10.091700147595338</v>
      </c>
      <c r="R12" s="5">
        <v>902.24206652263513</v>
      </c>
      <c r="S12" s="35"/>
      <c r="T12" s="23">
        <v>44139.534673957838</v>
      </c>
      <c r="U12" s="33">
        <v>1.4317907500008</v>
      </c>
      <c r="V12" s="5">
        <v>2</v>
      </c>
      <c r="W12" s="5">
        <v>60</v>
      </c>
      <c r="X12" s="33">
        <v>81.729904876305156</v>
      </c>
      <c r="Y12" s="5">
        <v>19.03223198171672</v>
      </c>
      <c r="Z12" s="5">
        <v>1301.2424152458095</v>
      </c>
      <c r="AA12" s="35"/>
    </row>
    <row r="13" spans="2:27" x14ac:dyDescent="0.2">
      <c r="B13" s="4">
        <v>10</v>
      </c>
      <c r="C13" s="4">
        <v>871</v>
      </c>
      <c r="D13" s="23">
        <v>43885.933170076038</v>
      </c>
      <c r="E13" s="33">
        <v>1.922898167002131</v>
      </c>
      <c r="F13" s="5">
        <v>3</v>
      </c>
      <c r="G13" s="23">
        <v>80</v>
      </c>
      <c r="H13" s="33">
        <v>0</v>
      </c>
      <c r="I13" s="23">
        <v>7.6916889022942661</v>
      </c>
      <c r="J13" s="5">
        <v>785.93938117913819</v>
      </c>
      <c r="K13" s="31"/>
      <c r="L13" s="23">
        <v>43885.933170076038</v>
      </c>
      <c r="M13" s="33">
        <v>2.004030833000797</v>
      </c>
      <c r="N13" s="5">
        <v>3</v>
      </c>
      <c r="O13" s="5">
        <v>80</v>
      </c>
      <c r="P13" s="33">
        <v>0</v>
      </c>
      <c r="Q13" s="5">
        <v>7.6916889022942661</v>
      </c>
      <c r="R13" s="5">
        <v>785.93938117913819</v>
      </c>
      <c r="S13" s="35"/>
      <c r="T13" s="23">
        <v>44213.865322429992</v>
      </c>
      <c r="U13" s="33">
        <v>1.94841658400037</v>
      </c>
      <c r="V13" s="5">
        <v>3</v>
      </c>
      <c r="W13" s="5">
        <v>80</v>
      </c>
      <c r="X13" s="33">
        <v>30.572594335461137</v>
      </c>
      <c r="Y13" s="5">
        <v>14.018082756624262</v>
      </c>
      <c r="Z13" s="5">
        <v>1053.8599156279299</v>
      </c>
      <c r="AA13" s="35"/>
    </row>
    <row r="14" spans="2:27" x14ac:dyDescent="0.2">
      <c r="B14" s="46" t="s">
        <v>3</v>
      </c>
      <c r="C14" s="47"/>
      <c r="D14" s="9">
        <f>MIN(D4:D13)</f>
        <v>43310.501760430867</v>
      </c>
      <c r="E14" s="22">
        <f>INDEX(E4:E13, MATCH($D$14, D4:D13, 0))</f>
        <v>1.538050666000345</v>
      </c>
      <c r="F14" s="9">
        <f>INDEX(F4:F13, MATCH($D$14, D4:D13, 0))</f>
        <v>2</v>
      </c>
      <c r="G14" s="9">
        <f>INDEX(G4:G13, MATCH($D$14, D4:D13, 0))</f>
        <v>60</v>
      </c>
      <c r="H14" s="22">
        <f>INDEX(H4:H13, MATCH($D$14, D4:D13, 0))</f>
        <v>0</v>
      </c>
      <c r="I14" s="22">
        <f>INDEX(I4:I13, MATCH($D$14, D4:D13, 0))</f>
        <v>10.091700147595338</v>
      </c>
      <c r="J14" s="22">
        <f>INDEX(J4:J13, MATCH($D$14, D4:D13, 0))</f>
        <v>902.24206652263513</v>
      </c>
      <c r="K14" s="32"/>
      <c r="L14" s="16">
        <f>MIN(L4:L13)</f>
        <v>43310.501760430867</v>
      </c>
      <c r="M14" s="21">
        <f>INDEX(M4:M13, MATCH($L$14, L4:L13, 0))</f>
        <v>1.6190924169986829</v>
      </c>
      <c r="N14" s="16">
        <f>INDEX(N4:N13, MATCH($L$14, L4:L13, 0))</f>
        <v>2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10.091700147595338</v>
      </c>
      <c r="R14" s="21">
        <f>INDEX(R4:R13, MATCH($L$14, L4:L13, 0))</f>
        <v>902.24206652263513</v>
      </c>
      <c r="S14" s="36" t="e">
        <f>(L14-$D$15)/$D$15</f>
        <v>#DIV/0!</v>
      </c>
      <c r="T14" s="38">
        <f>MIN(T4:T13)</f>
        <v>44139.534673957838</v>
      </c>
      <c r="U14" s="39">
        <f>INDEX(U4:U13, MATCH($T$14, T4:T13, 0))</f>
        <v>1.5715024999990419</v>
      </c>
      <c r="V14" s="38">
        <f>INDEX(V4:V13, MATCH($T$14, T4:T13, 0))</f>
        <v>2</v>
      </c>
      <c r="W14" s="38">
        <f>INDEX(W4:W13, MATCH($T$14, T4:T13, 0))</f>
        <v>60</v>
      </c>
      <c r="X14" s="39">
        <f>INDEX(X4:X13, MATCH($T$14, T4:T13, 0))</f>
        <v>81.729904876305156</v>
      </c>
      <c r="Y14" s="39">
        <f>INDEX(Y4:Y13, MATCH($T$14, T4:T13, 0))</f>
        <v>19.03223198171672</v>
      </c>
      <c r="Z14" s="39">
        <f>INDEX(Z4:Z13, MATCH($T$14, T4:T13, 0))</f>
        <v>1301.2424152458095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5:C1048576 C3:C13">
    <cfRule type="duplicateValues" dxfId="77" priority="9"/>
    <cfRule type="duplicateValues" dxfId="76" priority="10"/>
  </conditionalFormatting>
  <conditionalFormatting sqref="C14">
    <cfRule type="duplicateValues" dxfId="75" priority="3"/>
    <cfRule type="duplicateValues" dxfId="74" priority="4"/>
  </conditionalFormatting>
  <conditionalFormatting sqref="C2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778C-EA29-464C-83D6-EC6EF59A8B57}">
  <dimension ref="B1:AA17"/>
  <sheetViews>
    <sheetView topLeftCell="K1" zoomScale="118" zoomScaleNormal="120" workbookViewId="0">
      <selection activeCell="A2" sqref="A2:XFD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R2" s="1">
        <f>(R14-J14)/J14</f>
        <v>0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138</v>
      </c>
      <c r="D4" s="23">
        <v>38067.924863159162</v>
      </c>
      <c r="E4" s="33">
        <v>1.538188291997358</v>
      </c>
      <c r="F4" s="5">
        <v>2</v>
      </c>
      <c r="G4" s="23">
        <v>80</v>
      </c>
      <c r="H4" s="33">
        <v>0</v>
      </c>
      <c r="I4" s="23">
        <v>12.44916762991188</v>
      </c>
      <c r="J4" s="5">
        <v>1194.4038903376927</v>
      </c>
      <c r="K4" s="31"/>
      <c r="L4" s="23">
        <v>38067.924863159162</v>
      </c>
      <c r="M4" s="33">
        <v>1.572899250000773</v>
      </c>
      <c r="N4" s="5">
        <v>2</v>
      </c>
      <c r="O4" s="5">
        <v>80</v>
      </c>
      <c r="P4" s="33">
        <v>0</v>
      </c>
      <c r="Q4" s="5">
        <v>12.44916762991188</v>
      </c>
      <c r="R4" s="5">
        <v>1194.4038903376927</v>
      </c>
      <c r="S4" s="35"/>
      <c r="T4" s="23">
        <v>38555.229195905849</v>
      </c>
      <c r="U4" s="33">
        <v>1.561614374999408</v>
      </c>
      <c r="V4" s="5">
        <v>2</v>
      </c>
      <c r="W4" s="5">
        <v>80</v>
      </c>
      <c r="X4" s="33">
        <v>0</v>
      </c>
      <c r="Y4" s="5">
        <v>21.290853860889008</v>
      </c>
      <c r="Z4" s="5">
        <v>1456.8240886035278</v>
      </c>
      <c r="AA4" s="35"/>
    </row>
    <row r="5" spans="2:27" x14ac:dyDescent="0.2">
      <c r="B5" s="4">
        <v>2</v>
      </c>
      <c r="C5" s="4">
        <v>772</v>
      </c>
      <c r="D5" s="23">
        <v>38067.924863159162</v>
      </c>
      <c r="E5" s="33">
        <v>1.789737125000102</v>
      </c>
      <c r="F5" s="5">
        <v>2</v>
      </c>
      <c r="G5" s="23">
        <v>80</v>
      </c>
      <c r="H5" s="33">
        <v>0</v>
      </c>
      <c r="I5" s="23">
        <v>12.44916762991188</v>
      </c>
      <c r="J5" s="5">
        <v>1194.4038903376927</v>
      </c>
      <c r="K5" s="31"/>
      <c r="L5" s="23">
        <v>38067.924863159162</v>
      </c>
      <c r="M5" s="33">
        <v>1.7185341250005881</v>
      </c>
      <c r="N5" s="5">
        <v>2</v>
      </c>
      <c r="O5" s="5">
        <v>80</v>
      </c>
      <c r="P5" s="33">
        <v>0</v>
      </c>
      <c r="Q5" s="5">
        <v>12.44916762991188</v>
      </c>
      <c r="R5" s="5">
        <v>1194.4038903376927</v>
      </c>
      <c r="S5" s="35"/>
      <c r="T5" s="23">
        <v>38555.229195905849</v>
      </c>
      <c r="U5" s="33">
        <v>1.7320680409993661</v>
      </c>
      <c r="V5" s="5">
        <v>2</v>
      </c>
      <c r="W5" s="5">
        <v>80</v>
      </c>
      <c r="X5" s="33">
        <v>0</v>
      </c>
      <c r="Y5" s="5">
        <v>21.290853860889008</v>
      </c>
      <c r="Z5" s="5">
        <v>1456.8240886035278</v>
      </c>
      <c r="AA5" s="35"/>
    </row>
    <row r="6" spans="2:27" x14ac:dyDescent="0.2">
      <c r="B6" s="4">
        <v>3</v>
      </c>
      <c r="C6" s="4">
        <v>806</v>
      </c>
      <c r="D6" s="23">
        <v>38067.924863159162</v>
      </c>
      <c r="E6" s="33">
        <v>1.7834019169968089</v>
      </c>
      <c r="F6" s="5">
        <v>2</v>
      </c>
      <c r="G6" s="23">
        <v>80</v>
      </c>
      <c r="H6" s="33">
        <v>0</v>
      </c>
      <c r="I6" s="23">
        <v>12.44916762991188</v>
      </c>
      <c r="J6" s="5">
        <v>1194.4038903376927</v>
      </c>
      <c r="K6" s="31"/>
      <c r="L6" s="23">
        <v>38067.924863159162</v>
      </c>
      <c r="M6" s="33">
        <v>1.720659000000524</v>
      </c>
      <c r="N6" s="5">
        <v>2</v>
      </c>
      <c r="O6" s="5">
        <v>80</v>
      </c>
      <c r="P6" s="33">
        <v>0</v>
      </c>
      <c r="Q6" s="5">
        <v>12.44916762991188</v>
      </c>
      <c r="R6" s="5">
        <v>1194.4038903376927</v>
      </c>
      <c r="S6" s="35"/>
      <c r="T6" s="23">
        <v>38555.229195905849</v>
      </c>
      <c r="U6" s="33">
        <v>1.7500118749994731</v>
      </c>
      <c r="V6" s="5">
        <v>2</v>
      </c>
      <c r="W6" s="5">
        <v>80</v>
      </c>
      <c r="X6" s="33">
        <v>0</v>
      </c>
      <c r="Y6" s="5">
        <v>21.290853860889008</v>
      </c>
      <c r="Z6" s="5">
        <v>1456.8240886035278</v>
      </c>
      <c r="AA6" s="35"/>
    </row>
    <row r="7" spans="2:27" x14ac:dyDescent="0.2">
      <c r="B7" s="4">
        <v>4</v>
      </c>
      <c r="C7" s="4">
        <v>118</v>
      </c>
      <c r="D7" s="23">
        <v>38067.924863159162</v>
      </c>
      <c r="E7" s="33">
        <v>1.814948375002132</v>
      </c>
      <c r="F7" s="5">
        <v>2</v>
      </c>
      <c r="G7" s="23">
        <v>80</v>
      </c>
      <c r="H7" s="33">
        <v>0</v>
      </c>
      <c r="I7" s="23">
        <v>12.44916762991188</v>
      </c>
      <c r="J7" s="5">
        <v>1194.4038903376927</v>
      </c>
      <c r="K7" s="31"/>
      <c r="L7" s="23">
        <v>38067.924863159162</v>
      </c>
      <c r="M7" s="33">
        <v>1.730176667000705</v>
      </c>
      <c r="N7" s="5">
        <v>2</v>
      </c>
      <c r="O7" s="5">
        <v>80</v>
      </c>
      <c r="P7" s="33">
        <v>0</v>
      </c>
      <c r="Q7" s="5">
        <v>12.44916762991188</v>
      </c>
      <c r="R7" s="5">
        <v>1194.4038903376927</v>
      </c>
      <c r="S7" s="35"/>
      <c r="T7" s="23">
        <v>38555.229195905849</v>
      </c>
      <c r="U7" s="33">
        <v>1.7323836659998051</v>
      </c>
      <c r="V7" s="5">
        <v>2</v>
      </c>
      <c r="W7" s="5">
        <v>80</v>
      </c>
      <c r="X7" s="33">
        <v>0</v>
      </c>
      <c r="Y7" s="5">
        <v>21.290853860889008</v>
      </c>
      <c r="Z7" s="5">
        <v>1456.8240886035278</v>
      </c>
      <c r="AA7" s="35"/>
    </row>
    <row r="8" spans="2:27" x14ac:dyDescent="0.2">
      <c r="B8" s="4">
        <v>5</v>
      </c>
      <c r="C8" s="4">
        <v>182</v>
      </c>
      <c r="D8" s="23">
        <v>38845.43682631453</v>
      </c>
      <c r="E8" s="33">
        <v>1.321036583001842</v>
      </c>
      <c r="F8" s="5">
        <v>2</v>
      </c>
      <c r="G8" s="23">
        <v>80</v>
      </c>
      <c r="H8" s="33">
        <v>0</v>
      </c>
      <c r="I8" s="23">
        <v>12.26033827122674</v>
      </c>
      <c r="J8" s="5">
        <v>1291.0606095996716</v>
      </c>
      <c r="K8" s="31"/>
      <c r="L8" s="23">
        <v>38845.43682631453</v>
      </c>
      <c r="M8" s="33">
        <v>1.443418875000134</v>
      </c>
      <c r="N8" s="5">
        <v>2</v>
      </c>
      <c r="O8" s="5">
        <v>80</v>
      </c>
      <c r="P8" s="33">
        <v>0</v>
      </c>
      <c r="Q8" s="5">
        <v>12.26033827122674</v>
      </c>
      <c r="R8" s="5">
        <v>1291.0606095996716</v>
      </c>
      <c r="S8" s="35"/>
      <c r="T8" s="23">
        <v>40051.121801113863</v>
      </c>
      <c r="U8" s="33">
        <v>1.356208707999031</v>
      </c>
      <c r="V8" s="5">
        <v>2</v>
      </c>
      <c r="W8" s="5">
        <v>80</v>
      </c>
      <c r="X8" s="33">
        <v>0</v>
      </c>
      <c r="Y8" s="5">
        <v>20.88392091682099</v>
      </c>
      <c r="Z8" s="5">
        <v>1641.6463032892075</v>
      </c>
      <c r="AA8" s="35"/>
    </row>
    <row r="9" spans="2:27" x14ac:dyDescent="0.2">
      <c r="B9" s="4">
        <v>6</v>
      </c>
      <c r="C9" s="4">
        <v>228</v>
      </c>
      <c r="D9" s="23">
        <v>38067.924863159162</v>
      </c>
      <c r="E9" s="33">
        <v>1.6395930840008079</v>
      </c>
      <c r="F9" s="5">
        <v>2</v>
      </c>
      <c r="G9" s="23">
        <v>80</v>
      </c>
      <c r="H9" s="33">
        <v>0</v>
      </c>
      <c r="I9" s="23">
        <v>12.44916762991188</v>
      </c>
      <c r="J9" s="5">
        <v>1194.4038903376927</v>
      </c>
      <c r="K9" s="31"/>
      <c r="L9" s="23">
        <v>38067.924863159162</v>
      </c>
      <c r="M9" s="33">
        <v>1.5906508339994621</v>
      </c>
      <c r="N9" s="5">
        <v>2</v>
      </c>
      <c r="O9" s="5">
        <v>80</v>
      </c>
      <c r="P9" s="33">
        <v>0</v>
      </c>
      <c r="Q9" s="5">
        <v>12.44916762991188</v>
      </c>
      <c r="R9" s="5">
        <v>1194.4038903376927</v>
      </c>
      <c r="S9" s="35"/>
      <c r="T9" s="23">
        <v>38555.229195905849</v>
      </c>
      <c r="U9" s="33">
        <v>1.5956382500007751</v>
      </c>
      <c r="V9" s="5">
        <v>2</v>
      </c>
      <c r="W9" s="5">
        <v>80</v>
      </c>
      <c r="X9" s="33">
        <v>0</v>
      </c>
      <c r="Y9" s="5">
        <v>21.290853860889008</v>
      </c>
      <c r="Z9" s="5">
        <v>1456.8240886035278</v>
      </c>
      <c r="AA9" s="35"/>
    </row>
    <row r="10" spans="2:27" x14ac:dyDescent="0.2">
      <c r="B10" s="4">
        <v>7</v>
      </c>
      <c r="C10" s="4">
        <v>269</v>
      </c>
      <c r="D10" s="23">
        <v>38067.924863159162</v>
      </c>
      <c r="E10" s="33">
        <v>1.850728291996347</v>
      </c>
      <c r="F10" s="5">
        <v>2</v>
      </c>
      <c r="G10" s="23">
        <v>80</v>
      </c>
      <c r="H10" s="33">
        <v>0</v>
      </c>
      <c r="I10" s="23">
        <v>12.44916762991188</v>
      </c>
      <c r="J10" s="5">
        <v>1194.4038903376927</v>
      </c>
      <c r="K10" s="31"/>
      <c r="L10" s="23">
        <v>38067.924863159162</v>
      </c>
      <c r="M10" s="33">
        <v>1.744423749998532</v>
      </c>
      <c r="N10" s="5">
        <v>2</v>
      </c>
      <c r="O10" s="5">
        <v>80</v>
      </c>
      <c r="P10" s="33">
        <v>0</v>
      </c>
      <c r="Q10" s="5">
        <v>12.44916762991188</v>
      </c>
      <c r="R10" s="5">
        <v>1194.4038903376927</v>
      </c>
      <c r="S10" s="35"/>
      <c r="T10" s="23">
        <v>38555.229195905849</v>
      </c>
      <c r="U10" s="33">
        <v>1.7432366249995539</v>
      </c>
      <c r="V10" s="5">
        <v>2</v>
      </c>
      <c r="W10" s="5">
        <v>80</v>
      </c>
      <c r="X10" s="33">
        <v>0</v>
      </c>
      <c r="Y10" s="5">
        <v>21.290853860889008</v>
      </c>
      <c r="Z10" s="5">
        <v>1456.8240886035278</v>
      </c>
      <c r="AA10" s="35"/>
    </row>
    <row r="11" spans="2:27" x14ac:dyDescent="0.2">
      <c r="B11" s="4">
        <v>8</v>
      </c>
      <c r="C11" s="4">
        <v>339</v>
      </c>
      <c r="D11" s="23">
        <v>38845.43682631453</v>
      </c>
      <c r="E11" s="33">
        <v>1.5582512090040841</v>
      </c>
      <c r="F11" s="5">
        <v>2</v>
      </c>
      <c r="G11" s="23">
        <v>80</v>
      </c>
      <c r="H11" s="33">
        <v>0</v>
      </c>
      <c r="I11" s="23">
        <v>12.26033827122674</v>
      </c>
      <c r="J11" s="5">
        <v>1291.0606095996716</v>
      </c>
      <c r="K11" s="31"/>
      <c r="L11" s="23">
        <v>38845.43682631453</v>
      </c>
      <c r="M11" s="33">
        <v>1.577612125000087</v>
      </c>
      <c r="N11" s="5">
        <v>2</v>
      </c>
      <c r="O11" s="5">
        <v>80</v>
      </c>
      <c r="P11" s="33">
        <v>0</v>
      </c>
      <c r="Q11" s="5">
        <v>12.26033827122674</v>
      </c>
      <c r="R11" s="5">
        <v>1291.0606095996716</v>
      </c>
      <c r="S11" s="35"/>
      <c r="T11" s="23">
        <v>40051.121801113863</v>
      </c>
      <c r="U11" s="33">
        <v>1.4899820419996099</v>
      </c>
      <c r="V11" s="5">
        <v>2</v>
      </c>
      <c r="W11" s="5">
        <v>80</v>
      </c>
      <c r="X11" s="33">
        <v>0</v>
      </c>
      <c r="Y11" s="5">
        <v>20.88392091682099</v>
      </c>
      <c r="Z11" s="5">
        <v>1641.6463032892075</v>
      </c>
      <c r="AA11" s="35"/>
    </row>
    <row r="12" spans="2:27" x14ac:dyDescent="0.2">
      <c r="B12" s="4">
        <v>9</v>
      </c>
      <c r="C12" s="4">
        <v>535</v>
      </c>
      <c r="D12" s="23">
        <v>38845.43682631453</v>
      </c>
      <c r="E12" s="33">
        <v>1.5464573330027629</v>
      </c>
      <c r="F12" s="5">
        <v>2</v>
      </c>
      <c r="G12" s="23">
        <v>80</v>
      </c>
      <c r="H12" s="33">
        <v>0</v>
      </c>
      <c r="I12" s="23">
        <v>12.26033827122674</v>
      </c>
      <c r="J12" s="5">
        <v>1291.0606095996716</v>
      </c>
      <c r="K12" s="31"/>
      <c r="L12" s="23">
        <v>38845.43682631453</v>
      </c>
      <c r="M12" s="33">
        <v>1.5837709580009689</v>
      </c>
      <c r="N12" s="5">
        <v>2</v>
      </c>
      <c r="O12" s="5">
        <v>80</v>
      </c>
      <c r="P12" s="33">
        <v>0</v>
      </c>
      <c r="Q12" s="5">
        <v>12.26033827122674</v>
      </c>
      <c r="R12" s="5">
        <v>1291.0606095996716</v>
      </c>
      <c r="S12" s="35"/>
      <c r="T12" s="23">
        <v>40051.121801113863</v>
      </c>
      <c r="U12" s="33">
        <v>1.495456667000326</v>
      </c>
      <c r="V12" s="5">
        <v>2</v>
      </c>
      <c r="W12" s="5">
        <v>80</v>
      </c>
      <c r="X12" s="33">
        <v>0</v>
      </c>
      <c r="Y12" s="5">
        <v>20.88392091682099</v>
      </c>
      <c r="Z12" s="5">
        <v>1641.6463032892075</v>
      </c>
      <c r="AA12" s="35"/>
    </row>
    <row r="13" spans="2:27" x14ac:dyDescent="0.2">
      <c r="B13" s="4">
        <v>10</v>
      </c>
      <c r="C13" s="4">
        <v>762</v>
      </c>
      <c r="D13" s="23">
        <v>38067.924863159162</v>
      </c>
      <c r="E13" s="33">
        <v>1.793348624996725</v>
      </c>
      <c r="F13" s="5">
        <v>2</v>
      </c>
      <c r="G13" s="23">
        <v>80</v>
      </c>
      <c r="H13" s="33">
        <v>0</v>
      </c>
      <c r="I13" s="23">
        <v>12.44916762991188</v>
      </c>
      <c r="J13" s="5">
        <v>1194.4038903376927</v>
      </c>
      <c r="K13" s="31"/>
      <c r="L13" s="23">
        <v>38067.924863159162</v>
      </c>
      <c r="M13" s="33">
        <v>1.7230904579992059</v>
      </c>
      <c r="N13" s="5">
        <v>2</v>
      </c>
      <c r="O13" s="5">
        <v>80</v>
      </c>
      <c r="P13" s="33">
        <v>0</v>
      </c>
      <c r="Q13" s="5">
        <v>12.44916762991188</v>
      </c>
      <c r="R13" s="5">
        <v>1194.4038903376927</v>
      </c>
      <c r="S13" s="35"/>
      <c r="T13" s="23">
        <v>38555.229195905849</v>
      </c>
      <c r="U13" s="33">
        <v>1.734592332999455</v>
      </c>
      <c r="V13" s="5">
        <v>2</v>
      </c>
      <c r="W13" s="5">
        <v>80</v>
      </c>
      <c r="X13" s="33">
        <v>0</v>
      </c>
      <c r="Y13" s="5">
        <v>21.290853860889008</v>
      </c>
      <c r="Z13" s="5">
        <v>1456.8240886035278</v>
      </c>
      <c r="AA13" s="35"/>
    </row>
    <row r="14" spans="2:27" x14ac:dyDescent="0.2">
      <c r="B14" s="46" t="s">
        <v>3</v>
      </c>
      <c r="C14" s="47"/>
      <c r="D14" s="9">
        <f>MIN(D4:D13)</f>
        <v>38067.924863159162</v>
      </c>
      <c r="E14" s="22">
        <f>INDEX(E4:E13, MATCH($D$14, D4:D13, 0))</f>
        <v>1.538188291997358</v>
      </c>
      <c r="F14" s="9">
        <f>INDEX(F4:F13, MATCH($D$14, D4:D13, 0))</f>
        <v>2</v>
      </c>
      <c r="G14" s="9">
        <f>INDEX(G4:G13, MATCH($D$14, D4:D13, 0))</f>
        <v>80</v>
      </c>
      <c r="H14" s="22">
        <f>INDEX(H4:H13, MATCH($D$14, D4:D13, 0))</f>
        <v>0</v>
      </c>
      <c r="I14" s="22">
        <f>INDEX(I4:I13, MATCH($D$14, D4:D13, 0))</f>
        <v>12.44916762991188</v>
      </c>
      <c r="J14" s="22">
        <f>INDEX(J4:J13, MATCH($D$14, D4:D13, 0))</f>
        <v>1194.4038903376927</v>
      </c>
      <c r="K14" s="32"/>
      <c r="L14" s="16">
        <f>MIN(L4:L13)</f>
        <v>38067.924863159162</v>
      </c>
      <c r="M14" s="21">
        <f>INDEX(M4:M13, MATCH($L$14, L4:L13, 0))</f>
        <v>1.572899250000773</v>
      </c>
      <c r="N14" s="16">
        <f>INDEX(N4:N13, MATCH($L$14, L4:L13, 0))</f>
        <v>2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12.44916762991188</v>
      </c>
      <c r="R14" s="21">
        <f>INDEX(R4:R13, MATCH($L$14, L4:L13, 0))</f>
        <v>1194.4038903376927</v>
      </c>
      <c r="S14" s="36" t="e">
        <f>(L14-$D$15)/$D$15</f>
        <v>#DIV/0!</v>
      </c>
      <c r="T14" s="38">
        <f>MIN(T4:T13)</f>
        <v>38555.229195905849</v>
      </c>
      <c r="U14" s="39">
        <f>INDEX(U4:U13, MATCH($T$14, T4:T13, 0))</f>
        <v>1.561614374999408</v>
      </c>
      <c r="V14" s="38">
        <f>INDEX(V4:V13, MATCH($T$14, T4:T13, 0))</f>
        <v>2</v>
      </c>
      <c r="W14" s="38">
        <f>INDEX(W4:W13, MATCH($T$14, T4:T13, 0))</f>
        <v>80</v>
      </c>
      <c r="X14" s="39">
        <f>INDEX(X4:X13, MATCH($T$14, T4:T13, 0))</f>
        <v>0</v>
      </c>
      <c r="Y14" s="39">
        <f>INDEX(Y4:Y13, MATCH($T$14, T4:T13, 0))</f>
        <v>21.290853860889008</v>
      </c>
      <c r="Z14" s="39">
        <f>INDEX(Z4:Z13, MATCH($T$14, T4:T13, 0))</f>
        <v>1456.8240886035278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73" priority="3"/>
    <cfRule type="duplicateValues" dxfId="72" priority="4"/>
  </conditionalFormatting>
  <conditionalFormatting sqref="C15:C1048576 C1 C3:C13">
    <cfRule type="duplicateValues" dxfId="71" priority="9"/>
    <cfRule type="duplicateValues" dxfId="70" priority="10"/>
  </conditionalFormatting>
  <conditionalFormatting sqref="C2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0144-EAAF-374E-A21F-E82B2429D1A5}">
  <dimension ref="B1:AA17"/>
  <sheetViews>
    <sheetView zoomScaleNormal="100" workbookViewId="0">
      <selection activeCell="A2" sqref="A2:XFD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R2" s="1">
        <f>(R14-J14)/J14</f>
        <v>-0.17517885804822145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23</v>
      </c>
      <c r="D4" s="23">
        <v>31553.276755353359</v>
      </c>
      <c r="E4" s="33">
        <v>1.712035790995287</v>
      </c>
      <c r="F4" s="5">
        <v>2</v>
      </c>
      <c r="G4" s="23">
        <v>90</v>
      </c>
      <c r="H4" s="33">
        <v>0</v>
      </c>
      <c r="I4" s="23">
        <v>9.1205442673448669</v>
      </c>
      <c r="J4" s="5">
        <v>898.94168943399018</v>
      </c>
      <c r="K4" s="31"/>
      <c r="L4" s="23">
        <v>39006.564213543061</v>
      </c>
      <c r="M4" s="33">
        <v>1.8641424579982411</v>
      </c>
      <c r="N4" s="5">
        <v>2</v>
      </c>
      <c r="O4" s="5">
        <v>70</v>
      </c>
      <c r="P4" s="33">
        <v>0</v>
      </c>
      <c r="Q4" s="5">
        <v>6.7494565620585867</v>
      </c>
      <c r="R4" s="5">
        <v>741.46611082700485</v>
      </c>
      <c r="S4" s="35"/>
      <c r="T4" s="23">
        <v>34022.561900671797</v>
      </c>
      <c r="U4" s="33">
        <v>1.6520133750000241</v>
      </c>
      <c r="V4" s="5">
        <v>2</v>
      </c>
      <c r="W4" s="5">
        <v>90</v>
      </c>
      <c r="X4" s="33">
        <v>20.773118818488257</v>
      </c>
      <c r="Y4" s="5">
        <v>21.934283289791345</v>
      </c>
      <c r="Z4" s="5">
        <v>1425.0697368616977</v>
      </c>
      <c r="AA4" s="35"/>
    </row>
    <row r="5" spans="2:27" x14ac:dyDescent="0.2">
      <c r="B5" s="4">
        <v>2</v>
      </c>
      <c r="C5" s="4">
        <v>71</v>
      </c>
      <c r="D5" s="23">
        <v>31553.276755353359</v>
      </c>
      <c r="E5" s="33">
        <v>1.658904208001331</v>
      </c>
      <c r="F5" s="5">
        <v>2</v>
      </c>
      <c r="G5" s="23">
        <v>90</v>
      </c>
      <c r="H5" s="33">
        <v>0</v>
      </c>
      <c r="I5" s="23">
        <v>9.1205442673448669</v>
      </c>
      <c r="J5" s="5">
        <v>898.94168943399018</v>
      </c>
      <c r="K5" s="31"/>
      <c r="L5" s="23">
        <v>39006.564213543061</v>
      </c>
      <c r="M5" s="33">
        <v>1.858571624999968</v>
      </c>
      <c r="N5" s="5">
        <v>2</v>
      </c>
      <c r="O5" s="5">
        <v>70</v>
      </c>
      <c r="P5" s="33">
        <v>0</v>
      </c>
      <c r="Q5" s="5">
        <v>6.7494565620585867</v>
      </c>
      <c r="R5" s="5">
        <v>741.46611082700485</v>
      </c>
      <c r="S5" s="35"/>
      <c r="T5" s="23">
        <v>34022.561900671797</v>
      </c>
      <c r="U5" s="33">
        <v>1.643274292000569</v>
      </c>
      <c r="V5" s="5">
        <v>2</v>
      </c>
      <c r="W5" s="5">
        <v>90</v>
      </c>
      <c r="X5" s="33">
        <v>20.773118818488257</v>
      </c>
      <c r="Y5" s="5">
        <v>21.934283289791345</v>
      </c>
      <c r="Z5" s="5">
        <v>1425.0697368616977</v>
      </c>
      <c r="AA5" s="35"/>
    </row>
    <row r="6" spans="2:27" x14ac:dyDescent="0.2">
      <c r="B6" s="4">
        <v>3</v>
      </c>
      <c r="C6" s="4">
        <v>589</v>
      </c>
      <c r="D6" s="23">
        <v>31553.276755353359</v>
      </c>
      <c r="E6" s="33">
        <v>1.669263333002164</v>
      </c>
      <c r="F6" s="5">
        <v>2</v>
      </c>
      <c r="G6" s="23">
        <v>90</v>
      </c>
      <c r="H6" s="33">
        <v>0</v>
      </c>
      <c r="I6" s="23">
        <v>9.1205442673448669</v>
      </c>
      <c r="J6" s="5">
        <v>898.94168943399018</v>
      </c>
      <c r="K6" s="31"/>
      <c r="L6" s="23">
        <v>39006.564213543061</v>
      </c>
      <c r="M6" s="33">
        <v>1.8734658329995</v>
      </c>
      <c r="N6" s="5">
        <v>2</v>
      </c>
      <c r="O6" s="5">
        <v>70</v>
      </c>
      <c r="P6" s="33">
        <v>0</v>
      </c>
      <c r="Q6" s="5">
        <v>6.7494565620585867</v>
      </c>
      <c r="R6" s="5">
        <v>741.46611082700485</v>
      </c>
      <c r="S6" s="35"/>
      <c r="T6" s="23">
        <v>34022.561900671797</v>
      </c>
      <c r="U6" s="33">
        <v>1.6451784159999081</v>
      </c>
      <c r="V6" s="5">
        <v>2</v>
      </c>
      <c r="W6" s="5">
        <v>90</v>
      </c>
      <c r="X6" s="33">
        <v>20.773118818488257</v>
      </c>
      <c r="Y6" s="5">
        <v>21.934283289791345</v>
      </c>
      <c r="Z6" s="5">
        <v>1425.0697368616977</v>
      </c>
      <c r="AA6" s="35"/>
    </row>
    <row r="7" spans="2:27" x14ac:dyDescent="0.2">
      <c r="B7" s="4">
        <v>4</v>
      </c>
      <c r="C7" s="4">
        <v>655</v>
      </c>
      <c r="D7" s="23">
        <v>31553.276755353359</v>
      </c>
      <c r="E7" s="33">
        <v>1.606448165999609</v>
      </c>
      <c r="F7" s="5">
        <v>2</v>
      </c>
      <c r="G7" s="23">
        <v>90</v>
      </c>
      <c r="H7" s="33">
        <v>0</v>
      </c>
      <c r="I7" s="23">
        <v>9.1205442673448669</v>
      </c>
      <c r="J7" s="5">
        <v>898.94168943399018</v>
      </c>
      <c r="K7" s="31"/>
      <c r="L7" s="23">
        <v>39006.564213543061</v>
      </c>
      <c r="M7" s="33">
        <v>1.8743669169998609</v>
      </c>
      <c r="N7" s="5">
        <v>2</v>
      </c>
      <c r="O7" s="5">
        <v>70</v>
      </c>
      <c r="P7" s="33">
        <v>0</v>
      </c>
      <c r="Q7" s="5">
        <v>6.7494565620585867</v>
      </c>
      <c r="R7" s="5">
        <v>741.46611082700485</v>
      </c>
      <c r="S7" s="35"/>
      <c r="T7" s="23">
        <v>34022.561900671797</v>
      </c>
      <c r="U7" s="33">
        <v>1.663013999999748</v>
      </c>
      <c r="V7" s="5">
        <v>2</v>
      </c>
      <c r="W7" s="5">
        <v>90</v>
      </c>
      <c r="X7" s="33">
        <v>20.773118818488257</v>
      </c>
      <c r="Y7" s="5">
        <v>21.934283289791345</v>
      </c>
      <c r="Z7" s="5">
        <v>1425.0697368616977</v>
      </c>
      <c r="AA7" s="35"/>
    </row>
    <row r="8" spans="2:27" x14ac:dyDescent="0.2">
      <c r="B8" s="4">
        <v>5</v>
      </c>
      <c r="C8" s="4">
        <v>868</v>
      </c>
      <c r="D8" s="23">
        <v>31553.276755353359</v>
      </c>
      <c r="E8" s="33">
        <v>1.6956347910017939</v>
      </c>
      <c r="F8" s="5">
        <v>2</v>
      </c>
      <c r="G8" s="23">
        <v>90</v>
      </c>
      <c r="H8" s="33">
        <v>0</v>
      </c>
      <c r="I8" s="23">
        <v>9.1205442673448669</v>
      </c>
      <c r="J8" s="5">
        <v>898.94168943399018</v>
      </c>
      <c r="K8" s="31"/>
      <c r="L8" s="23">
        <v>44188.111217963044</v>
      </c>
      <c r="M8" s="33">
        <v>2.1104298329992162</v>
      </c>
      <c r="N8" s="5">
        <v>3</v>
      </c>
      <c r="O8" s="5">
        <v>80</v>
      </c>
      <c r="P8" s="33">
        <v>0</v>
      </c>
      <c r="Q8" s="5">
        <v>6.2636190307484796</v>
      </c>
      <c r="R8" s="5">
        <v>733.22209049740877</v>
      </c>
      <c r="S8" s="35"/>
      <c r="T8" s="23">
        <v>34022.561900671797</v>
      </c>
      <c r="U8" s="33">
        <v>1.655209208000088</v>
      </c>
      <c r="V8" s="5">
        <v>2</v>
      </c>
      <c r="W8" s="5">
        <v>90</v>
      </c>
      <c r="X8" s="33">
        <v>20.773118818488257</v>
      </c>
      <c r="Y8" s="5">
        <v>21.934283289791345</v>
      </c>
      <c r="Z8" s="5">
        <v>1425.0697368616977</v>
      </c>
      <c r="AA8" s="35"/>
    </row>
    <row r="9" spans="2:27" x14ac:dyDescent="0.2">
      <c r="B9" s="4">
        <v>6</v>
      </c>
      <c r="C9" s="4">
        <v>956</v>
      </c>
      <c r="D9" s="23">
        <v>31553.276755353359</v>
      </c>
      <c r="E9" s="33">
        <v>1.669620542001212</v>
      </c>
      <c r="F9" s="5">
        <v>2</v>
      </c>
      <c r="G9" s="23">
        <v>90</v>
      </c>
      <c r="H9" s="33">
        <v>0</v>
      </c>
      <c r="I9" s="23">
        <v>9.1205442673448669</v>
      </c>
      <c r="J9" s="5">
        <v>898.94168943399018</v>
      </c>
      <c r="K9" s="31"/>
      <c r="L9" s="23">
        <v>39006.564213543061</v>
      </c>
      <c r="M9" s="33">
        <v>1.896805334001328</v>
      </c>
      <c r="N9" s="5">
        <v>2</v>
      </c>
      <c r="O9" s="5">
        <v>70</v>
      </c>
      <c r="P9" s="33">
        <v>0</v>
      </c>
      <c r="Q9" s="5">
        <v>6.7494565620585867</v>
      </c>
      <c r="R9" s="5">
        <v>741.46611082700485</v>
      </c>
      <c r="S9" s="35"/>
      <c r="T9" s="23">
        <v>34022.561900671797</v>
      </c>
      <c r="U9" s="33">
        <v>1.668125374999363</v>
      </c>
      <c r="V9" s="5">
        <v>2</v>
      </c>
      <c r="W9" s="5">
        <v>90</v>
      </c>
      <c r="X9" s="33">
        <v>20.773118818488257</v>
      </c>
      <c r="Y9" s="5">
        <v>21.934283289791345</v>
      </c>
      <c r="Z9" s="5">
        <v>1425.0697368616977</v>
      </c>
      <c r="AA9" s="35"/>
    </row>
    <row r="10" spans="2:27" x14ac:dyDescent="0.2">
      <c r="B10" s="4">
        <v>7</v>
      </c>
      <c r="C10" s="4">
        <v>514</v>
      </c>
      <c r="D10" s="23">
        <v>32364.607212256989</v>
      </c>
      <c r="E10" s="33">
        <v>1.643659499997739</v>
      </c>
      <c r="F10" s="5">
        <v>2</v>
      </c>
      <c r="G10" s="23">
        <v>90</v>
      </c>
      <c r="H10" s="33">
        <v>0</v>
      </c>
      <c r="I10" s="23">
        <v>7.6794813689926702</v>
      </c>
      <c r="J10" s="5">
        <v>968.17853178485268</v>
      </c>
      <c r="K10" s="31"/>
      <c r="L10" s="23">
        <v>44188.111217963044</v>
      </c>
      <c r="M10" s="33">
        <v>2.177210875001037</v>
      </c>
      <c r="N10" s="5">
        <v>3</v>
      </c>
      <c r="O10" s="5">
        <v>80</v>
      </c>
      <c r="P10" s="33">
        <v>0</v>
      </c>
      <c r="Q10" s="5">
        <v>6.2636190307484796</v>
      </c>
      <c r="R10" s="5">
        <v>733.22209049740877</v>
      </c>
      <c r="S10" s="35"/>
      <c r="T10" s="23">
        <v>35413.382114133652</v>
      </c>
      <c r="U10" s="33">
        <v>1.63496395799848</v>
      </c>
      <c r="V10" s="5">
        <v>2</v>
      </c>
      <c r="W10" s="5">
        <v>90</v>
      </c>
      <c r="X10" s="33">
        <v>20.773118818488257</v>
      </c>
      <c r="Y10" s="5">
        <v>17.007666655857211</v>
      </c>
      <c r="Z10" s="5">
        <v>1487.5888231577019</v>
      </c>
      <c r="AA10" s="35"/>
    </row>
    <row r="11" spans="2:27" x14ac:dyDescent="0.2">
      <c r="B11" s="4">
        <v>8</v>
      </c>
      <c r="C11" s="4">
        <v>890</v>
      </c>
      <c r="D11" s="23">
        <v>31553.276755353359</v>
      </c>
      <c r="E11" s="33">
        <v>1.66260379099549</v>
      </c>
      <c r="F11" s="5">
        <v>2</v>
      </c>
      <c r="G11" s="23">
        <v>90</v>
      </c>
      <c r="H11" s="33">
        <v>0</v>
      </c>
      <c r="I11" s="23">
        <v>9.1205442673448669</v>
      </c>
      <c r="J11" s="5">
        <v>898.94168943399018</v>
      </c>
      <c r="K11" s="31"/>
      <c r="L11" s="23">
        <v>39006.564213543061</v>
      </c>
      <c r="M11" s="33">
        <v>1.8981205420004701</v>
      </c>
      <c r="N11" s="5">
        <v>2</v>
      </c>
      <c r="O11" s="5">
        <v>70</v>
      </c>
      <c r="P11" s="33">
        <v>0</v>
      </c>
      <c r="Q11" s="5">
        <v>6.7494565620585867</v>
      </c>
      <c r="R11" s="5">
        <v>741.46611082700485</v>
      </c>
      <c r="S11" s="35"/>
      <c r="T11" s="23">
        <v>34022.561900671797</v>
      </c>
      <c r="U11" s="33">
        <v>1.658135166000648</v>
      </c>
      <c r="V11" s="5">
        <v>2</v>
      </c>
      <c r="W11" s="5">
        <v>90</v>
      </c>
      <c r="X11" s="33">
        <v>20.773118818488257</v>
      </c>
      <c r="Y11" s="5">
        <v>21.934283289791345</v>
      </c>
      <c r="Z11" s="5">
        <v>1425.0697368616977</v>
      </c>
      <c r="AA11" s="35"/>
    </row>
    <row r="12" spans="2:27" x14ac:dyDescent="0.2">
      <c r="B12" s="4">
        <v>9</v>
      </c>
      <c r="C12" s="4">
        <v>765</v>
      </c>
      <c r="D12" s="23">
        <v>32364.607212256989</v>
      </c>
      <c r="E12" s="33">
        <v>1.618358833999082</v>
      </c>
      <c r="F12" s="5">
        <v>2</v>
      </c>
      <c r="G12" s="23">
        <v>90</v>
      </c>
      <c r="H12" s="33">
        <v>0</v>
      </c>
      <c r="I12" s="23">
        <v>7.6794813689926702</v>
      </c>
      <c r="J12" s="5">
        <v>968.17853178485268</v>
      </c>
      <c r="K12" s="31"/>
      <c r="L12" s="23">
        <v>39006.564213543061</v>
      </c>
      <c r="M12" s="33">
        <v>1.8791826249998851</v>
      </c>
      <c r="N12" s="5">
        <v>2</v>
      </c>
      <c r="O12" s="5">
        <v>70</v>
      </c>
      <c r="P12" s="33">
        <v>0</v>
      </c>
      <c r="Q12" s="5">
        <v>6.7494565620585867</v>
      </c>
      <c r="R12" s="5">
        <v>741.46611082700485</v>
      </c>
      <c r="S12" s="35"/>
      <c r="T12" s="23">
        <v>35413.382114133652</v>
      </c>
      <c r="U12" s="33">
        <v>1.642412416000298</v>
      </c>
      <c r="V12" s="5">
        <v>2</v>
      </c>
      <c r="W12" s="5">
        <v>90</v>
      </c>
      <c r="X12" s="33">
        <v>20.773118818488257</v>
      </c>
      <c r="Y12" s="5">
        <v>17.007666655857211</v>
      </c>
      <c r="Z12" s="5">
        <v>1487.5888231577019</v>
      </c>
      <c r="AA12" s="35"/>
    </row>
    <row r="13" spans="2:27" x14ac:dyDescent="0.2">
      <c r="B13" s="4">
        <v>10</v>
      </c>
      <c r="C13" s="4">
        <v>875</v>
      </c>
      <c r="D13" s="23">
        <v>31553.276755353359</v>
      </c>
      <c r="E13" s="33">
        <v>1.650328165997053</v>
      </c>
      <c r="F13" s="5">
        <v>2</v>
      </c>
      <c r="G13" s="23">
        <v>90</v>
      </c>
      <c r="H13" s="33">
        <v>0</v>
      </c>
      <c r="I13" s="23">
        <v>9.1205442673448669</v>
      </c>
      <c r="J13" s="5">
        <v>898.94168943399018</v>
      </c>
      <c r="K13" s="31"/>
      <c r="L13" s="23">
        <v>39006.564213543061</v>
      </c>
      <c r="M13" s="33">
        <v>1.88811487500061</v>
      </c>
      <c r="N13" s="5">
        <v>2</v>
      </c>
      <c r="O13" s="5">
        <v>70</v>
      </c>
      <c r="P13" s="33">
        <v>0</v>
      </c>
      <c r="Q13" s="5">
        <v>6.7494565620585867</v>
      </c>
      <c r="R13" s="5">
        <v>741.46611082700485</v>
      </c>
      <c r="S13" s="35"/>
      <c r="T13" s="23">
        <v>34022.561900671797</v>
      </c>
      <c r="U13" s="33">
        <v>1.6521025420006481</v>
      </c>
      <c r="V13" s="5">
        <v>2</v>
      </c>
      <c r="W13" s="5">
        <v>90</v>
      </c>
      <c r="X13" s="33">
        <v>20.773118818488257</v>
      </c>
      <c r="Y13" s="5">
        <v>21.934283289791345</v>
      </c>
      <c r="Z13" s="5">
        <v>1425.0697368616977</v>
      </c>
      <c r="AA13" s="35"/>
    </row>
    <row r="14" spans="2:27" x14ac:dyDescent="0.2">
      <c r="B14" s="46" t="s">
        <v>3</v>
      </c>
      <c r="C14" s="47"/>
      <c r="D14" s="9">
        <f>MIN(D4:D13)</f>
        <v>31553.276755353359</v>
      </c>
      <c r="E14" s="22">
        <f>INDEX(E4:E13, MATCH($D$14, D4:D13, 0))</f>
        <v>1.712035790995287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9.1205442673448669</v>
      </c>
      <c r="J14" s="22">
        <f>INDEX(J4:J13, MATCH($D$14, D4:D13, 0))</f>
        <v>898.94168943399018</v>
      </c>
      <c r="K14" s="32"/>
      <c r="L14" s="16">
        <f>MIN(L4:L13)</f>
        <v>39006.564213543061</v>
      </c>
      <c r="M14" s="21">
        <f>INDEX(M4:M13, MATCH($L$14, L4:L13, 0))</f>
        <v>1.8641424579982411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6.7494565620585867</v>
      </c>
      <c r="R14" s="21">
        <f>INDEX(R4:R13, MATCH($L$14, L4:L13, 0))</f>
        <v>741.46611082700485</v>
      </c>
      <c r="S14" s="36" t="e">
        <f>(L14-$D$15)/$D$15</f>
        <v>#DIV/0!</v>
      </c>
      <c r="T14" s="38">
        <f>MIN(T4:T13)</f>
        <v>34022.561900671797</v>
      </c>
      <c r="U14" s="39">
        <f>INDEX(U4:U13, MATCH($T$14, T4:T13, 0))</f>
        <v>1.6520133750000241</v>
      </c>
      <c r="V14" s="38">
        <f>INDEX(V4:V13, MATCH($T$14, T4:T13, 0))</f>
        <v>2</v>
      </c>
      <c r="W14" s="38">
        <f>INDEX(W4:W13, MATCH($T$14, T4:T13, 0))</f>
        <v>90</v>
      </c>
      <c r="X14" s="39">
        <f>INDEX(X4:X13, MATCH($T$14, T4:T13, 0))</f>
        <v>20.773118818488257</v>
      </c>
      <c r="Y14" s="39">
        <f>INDEX(Y4:Y13, MATCH($T$14, T4:T13, 0))</f>
        <v>21.934283289791345</v>
      </c>
      <c r="Z14" s="39">
        <f>INDEX(Z4:Z13, MATCH($T$14, T4:T13, 0))</f>
        <v>1425.0697368616977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69" priority="3"/>
    <cfRule type="duplicateValues" dxfId="68" priority="4"/>
  </conditionalFormatting>
  <conditionalFormatting sqref="C15:C1048576 C1 C3:C13">
    <cfRule type="duplicateValues" dxfId="67" priority="7"/>
    <cfRule type="duplicateValues" dxfId="66" priority="8"/>
  </conditionalFormatting>
  <conditionalFormatting sqref="C2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0774-2E1D-A94B-9678-0C6F93715F77}">
  <dimension ref="B1:AA17"/>
  <sheetViews>
    <sheetView zoomScale="118" zoomScaleNormal="120" workbookViewId="0">
      <selection activeCell="A2" sqref="A2:XFD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R2" s="1">
        <f>(R14-J14)/J14</f>
        <v>-3.6273193053106556E-2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442</v>
      </c>
      <c r="D4" s="23">
        <v>40263.615504612782</v>
      </c>
      <c r="E4" s="33">
        <v>2.242357124996488</v>
      </c>
      <c r="F4" s="5">
        <v>3</v>
      </c>
      <c r="G4" s="23">
        <v>90</v>
      </c>
      <c r="H4" s="33">
        <v>0</v>
      </c>
      <c r="I4" s="23">
        <v>10.797211556552384</v>
      </c>
      <c r="J4" s="5">
        <v>913.60894277134014</v>
      </c>
      <c r="K4" s="31"/>
      <c r="L4" s="23">
        <v>44728.020055282082</v>
      </c>
      <c r="M4" s="33">
        <v>2.1817683330009459</v>
      </c>
      <c r="N4" s="5">
        <v>3</v>
      </c>
      <c r="O4" s="5">
        <v>80</v>
      </c>
      <c r="P4" s="33">
        <v>0</v>
      </c>
      <c r="Q4" s="5">
        <v>8.88681075681842</v>
      </c>
      <c r="R4" s="5">
        <v>880.46942921515074</v>
      </c>
      <c r="S4" s="35"/>
      <c r="T4" s="23">
        <v>40058.933795354409</v>
      </c>
      <c r="U4" s="33">
        <v>2.2481312920008349</v>
      </c>
      <c r="V4" s="5">
        <v>3</v>
      </c>
      <c r="W4" s="5">
        <v>90</v>
      </c>
      <c r="X4" s="33">
        <v>13.325063066278368</v>
      </c>
      <c r="Y4" s="5">
        <v>20.951239115149235</v>
      </c>
      <c r="Z4" s="5">
        <v>1210.9203266647235</v>
      </c>
      <c r="AA4" s="35"/>
    </row>
    <row r="5" spans="2:27" x14ac:dyDescent="0.2">
      <c r="B5" s="4">
        <v>2</v>
      </c>
      <c r="C5" s="4">
        <v>111</v>
      </c>
      <c r="D5" s="23">
        <v>40263.615504612782</v>
      </c>
      <c r="E5" s="33">
        <v>2.2076669160014721</v>
      </c>
      <c r="F5" s="5">
        <v>3</v>
      </c>
      <c r="G5" s="23">
        <v>90</v>
      </c>
      <c r="H5" s="33">
        <v>0</v>
      </c>
      <c r="I5" s="23">
        <v>10.797211556552384</v>
      </c>
      <c r="J5" s="5">
        <v>913.60894277134014</v>
      </c>
      <c r="K5" s="31"/>
      <c r="L5" s="23">
        <v>44728.020055282082</v>
      </c>
      <c r="M5" s="33">
        <v>2.217525459000171</v>
      </c>
      <c r="N5" s="5">
        <v>3</v>
      </c>
      <c r="O5" s="5">
        <v>80</v>
      </c>
      <c r="P5" s="33">
        <v>0</v>
      </c>
      <c r="Q5" s="5">
        <v>8.88681075681842</v>
      </c>
      <c r="R5" s="5">
        <v>880.46942921515074</v>
      </c>
      <c r="S5" s="35"/>
      <c r="T5" s="23">
        <v>40058.933795354409</v>
      </c>
      <c r="U5" s="33">
        <v>2.2377542499998531</v>
      </c>
      <c r="V5" s="5">
        <v>3</v>
      </c>
      <c r="W5" s="5">
        <v>90</v>
      </c>
      <c r="X5" s="33">
        <v>13.325063066278368</v>
      </c>
      <c r="Y5" s="5">
        <v>20.951239115149235</v>
      </c>
      <c r="Z5" s="5">
        <v>1210.9203266647235</v>
      </c>
      <c r="AA5" s="35"/>
    </row>
    <row r="6" spans="2:27" x14ac:dyDescent="0.2">
      <c r="B6" s="4">
        <v>3</v>
      </c>
      <c r="C6" s="4">
        <v>275</v>
      </c>
      <c r="D6" s="23">
        <v>40263.615504612782</v>
      </c>
      <c r="E6" s="33">
        <v>2.2695450829996839</v>
      </c>
      <c r="F6" s="5">
        <v>3</v>
      </c>
      <c r="G6" s="23">
        <v>90</v>
      </c>
      <c r="H6" s="33">
        <v>0</v>
      </c>
      <c r="I6" s="23">
        <v>10.797211556552384</v>
      </c>
      <c r="J6" s="5">
        <v>913.60894277134014</v>
      </c>
      <c r="K6" s="31"/>
      <c r="L6" s="23">
        <v>44728.020055282082</v>
      </c>
      <c r="M6" s="33">
        <v>2.2246550830004712</v>
      </c>
      <c r="N6" s="5">
        <v>3</v>
      </c>
      <c r="O6" s="5">
        <v>80</v>
      </c>
      <c r="P6" s="33">
        <v>0</v>
      </c>
      <c r="Q6" s="5">
        <v>8.88681075681842</v>
      </c>
      <c r="R6" s="5">
        <v>880.46942921515074</v>
      </c>
      <c r="S6" s="35"/>
      <c r="T6" s="23">
        <v>40058.933795354409</v>
      </c>
      <c r="U6" s="33">
        <v>2.2388772089998379</v>
      </c>
      <c r="V6" s="5">
        <v>3</v>
      </c>
      <c r="W6" s="5">
        <v>90</v>
      </c>
      <c r="X6" s="33">
        <v>13.325063066278368</v>
      </c>
      <c r="Y6" s="5">
        <v>20.951239115149235</v>
      </c>
      <c r="Z6" s="5">
        <v>1210.9203266647235</v>
      </c>
      <c r="AA6" s="35"/>
    </row>
    <row r="7" spans="2:27" x14ac:dyDescent="0.2">
      <c r="B7" s="4">
        <v>4</v>
      </c>
      <c r="C7" s="4">
        <v>753</v>
      </c>
      <c r="D7" s="23">
        <v>40263.615504612782</v>
      </c>
      <c r="E7" s="33">
        <v>2.2813972500007371</v>
      </c>
      <c r="F7" s="5">
        <v>3</v>
      </c>
      <c r="G7" s="23">
        <v>90</v>
      </c>
      <c r="H7" s="33">
        <v>0</v>
      </c>
      <c r="I7" s="23">
        <v>10.797211556552384</v>
      </c>
      <c r="J7" s="5">
        <v>913.60894277134014</v>
      </c>
      <c r="K7" s="31"/>
      <c r="L7" s="23">
        <v>44728.020055282082</v>
      </c>
      <c r="M7" s="33">
        <v>2.1806902499993162</v>
      </c>
      <c r="N7" s="5">
        <v>3</v>
      </c>
      <c r="O7" s="5">
        <v>80</v>
      </c>
      <c r="P7" s="33">
        <v>0</v>
      </c>
      <c r="Q7" s="5">
        <v>8.88681075681842</v>
      </c>
      <c r="R7" s="5">
        <v>880.46942921515074</v>
      </c>
      <c r="S7" s="35"/>
      <c r="T7" s="23">
        <v>40058.933795354409</v>
      </c>
      <c r="U7" s="33">
        <v>2.2839048750010988</v>
      </c>
      <c r="V7" s="5">
        <v>3</v>
      </c>
      <c r="W7" s="5">
        <v>90</v>
      </c>
      <c r="X7" s="33">
        <v>13.325063066278368</v>
      </c>
      <c r="Y7" s="5">
        <v>20.951239115149235</v>
      </c>
      <c r="Z7" s="5">
        <v>1210.9203266647235</v>
      </c>
      <c r="AA7" s="35"/>
    </row>
    <row r="8" spans="2:27" x14ac:dyDescent="0.2">
      <c r="B8" s="4">
        <v>5</v>
      </c>
      <c r="C8" s="4">
        <v>864</v>
      </c>
      <c r="D8" s="23">
        <v>40263.615504612782</v>
      </c>
      <c r="E8" s="33">
        <v>2.2347955410004938</v>
      </c>
      <c r="F8" s="5">
        <v>3</v>
      </c>
      <c r="G8" s="23">
        <v>90</v>
      </c>
      <c r="H8" s="33">
        <v>0</v>
      </c>
      <c r="I8" s="23">
        <v>10.797211556552384</v>
      </c>
      <c r="J8" s="5">
        <v>913.60894277134014</v>
      </c>
      <c r="K8" s="31"/>
      <c r="L8" s="23">
        <v>44728.020055282082</v>
      </c>
      <c r="M8" s="33">
        <v>2.1945009579994799</v>
      </c>
      <c r="N8" s="5">
        <v>3</v>
      </c>
      <c r="O8" s="5">
        <v>80</v>
      </c>
      <c r="P8" s="33">
        <v>0</v>
      </c>
      <c r="Q8" s="5">
        <v>8.88681075681842</v>
      </c>
      <c r="R8" s="5">
        <v>880.46942921515074</v>
      </c>
      <c r="S8" s="35"/>
      <c r="T8" s="23">
        <v>40058.933795354409</v>
      </c>
      <c r="U8" s="33">
        <v>2.2766351659993229</v>
      </c>
      <c r="V8" s="5">
        <v>3</v>
      </c>
      <c r="W8" s="5">
        <v>90</v>
      </c>
      <c r="X8" s="33">
        <v>13.325063066278368</v>
      </c>
      <c r="Y8" s="5">
        <v>20.951239115149235</v>
      </c>
      <c r="Z8" s="5">
        <v>1210.9203266647235</v>
      </c>
      <c r="AA8" s="35"/>
    </row>
    <row r="9" spans="2:27" x14ac:dyDescent="0.2">
      <c r="B9" s="4">
        <v>6</v>
      </c>
      <c r="C9" s="4">
        <v>883</v>
      </c>
      <c r="D9" s="23">
        <v>40263.615504612782</v>
      </c>
      <c r="E9" s="33">
        <v>2.283449333001045</v>
      </c>
      <c r="F9" s="5">
        <v>3</v>
      </c>
      <c r="G9" s="23">
        <v>90</v>
      </c>
      <c r="H9" s="33">
        <v>0</v>
      </c>
      <c r="I9" s="23">
        <v>10.797211556552384</v>
      </c>
      <c r="J9" s="5">
        <v>913.60894277134014</v>
      </c>
      <c r="K9" s="31"/>
      <c r="L9" s="23">
        <v>44728.020055282082</v>
      </c>
      <c r="M9" s="33">
        <v>2.1953934170014691</v>
      </c>
      <c r="N9" s="5">
        <v>3</v>
      </c>
      <c r="O9" s="5">
        <v>80</v>
      </c>
      <c r="P9" s="33">
        <v>0</v>
      </c>
      <c r="Q9" s="5">
        <v>8.88681075681842</v>
      </c>
      <c r="R9" s="5">
        <v>880.46942921515074</v>
      </c>
      <c r="S9" s="35"/>
      <c r="T9" s="23">
        <v>40058.933795354409</v>
      </c>
      <c r="U9" s="33">
        <v>2.2519197919991711</v>
      </c>
      <c r="V9" s="5">
        <v>3</v>
      </c>
      <c r="W9" s="5">
        <v>90</v>
      </c>
      <c r="X9" s="33">
        <v>13.325063066278368</v>
      </c>
      <c r="Y9" s="5">
        <v>20.951239115149235</v>
      </c>
      <c r="Z9" s="5">
        <v>1210.9203266647235</v>
      </c>
      <c r="AA9" s="35"/>
    </row>
    <row r="10" spans="2:27" x14ac:dyDescent="0.2">
      <c r="B10" s="4">
        <v>7</v>
      </c>
      <c r="C10" s="4">
        <v>335</v>
      </c>
      <c r="D10" s="23">
        <v>40263.615504612782</v>
      </c>
      <c r="E10" s="33">
        <v>2.3332400409999541</v>
      </c>
      <c r="F10" s="5">
        <v>3</v>
      </c>
      <c r="G10" s="23">
        <v>90</v>
      </c>
      <c r="H10" s="33">
        <v>0</v>
      </c>
      <c r="I10" s="23">
        <v>10.797211556552384</v>
      </c>
      <c r="J10" s="5">
        <v>913.60894277134014</v>
      </c>
      <c r="K10" s="31"/>
      <c r="L10" s="23">
        <v>44728.020055282082</v>
      </c>
      <c r="M10" s="33">
        <v>2.243843042000663</v>
      </c>
      <c r="N10" s="5">
        <v>3</v>
      </c>
      <c r="O10" s="5">
        <v>80</v>
      </c>
      <c r="P10" s="33">
        <v>0</v>
      </c>
      <c r="Q10" s="5">
        <v>8.88681075681842</v>
      </c>
      <c r="R10" s="5">
        <v>880.46942921515074</v>
      </c>
      <c r="S10" s="35"/>
      <c r="T10" s="23">
        <v>40058.933795354409</v>
      </c>
      <c r="U10" s="33">
        <v>2.2598217909999221</v>
      </c>
      <c r="V10" s="5">
        <v>3</v>
      </c>
      <c r="W10" s="5">
        <v>90</v>
      </c>
      <c r="X10" s="33">
        <v>13.325063066278368</v>
      </c>
      <c r="Y10" s="5">
        <v>20.951239115149235</v>
      </c>
      <c r="Z10" s="5">
        <v>1210.9203266647235</v>
      </c>
      <c r="AA10" s="35"/>
    </row>
    <row r="11" spans="2:27" x14ac:dyDescent="0.2">
      <c r="B11" s="4">
        <v>8</v>
      </c>
      <c r="C11" s="4">
        <v>493</v>
      </c>
      <c r="D11" s="23">
        <v>40263.615504612782</v>
      </c>
      <c r="E11" s="33">
        <v>2.33622695899976</v>
      </c>
      <c r="F11" s="5">
        <v>3</v>
      </c>
      <c r="G11" s="23">
        <v>90</v>
      </c>
      <c r="H11" s="33">
        <v>0</v>
      </c>
      <c r="I11" s="23">
        <v>10.797211556552384</v>
      </c>
      <c r="J11" s="5">
        <v>913.60894277134014</v>
      </c>
      <c r="K11" s="31"/>
      <c r="L11" s="23">
        <v>44728.020055282082</v>
      </c>
      <c r="M11" s="33">
        <v>2.2215864589998091</v>
      </c>
      <c r="N11" s="5">
        <v>3</v>
      </c>
      <c r="O11" s="5">
        <v>80</v>
      </c>
      <c r="P11" s="33">
        <v>0</v>
      </c>
      <c r="Q11" s="5">
        <v>8.88681075681842</v>
      </c>
      <c r="R11" s="5">
        <v>880.46942921515074</v>
      </c>
      <c r="S11" s="35"/>
      <c r="T11" s="23">
        <v>40058.933795354409</v>
      </c>
      <c r="U11" s="33">
        <v>2.2606527499992808</v>
      </c>
      <c r="V11" s="5">
        <v>3</v>
      </c>
      <c r="W11" s="5">
        <v>90</v>
      </c>
      <c r="X11" s="33">
        <v>13.325063066278368</v>
      </c>
      <c r="Y11" s="5">
        <v>20.951239115149235</v>
      </c>
      <c r="Z11" s="5">
        <v>1210.9203266647235</v>
      </c>
      <c r="AA11" s="35"/>
    </row>
    <row r="12" spans="2:27" x14ac:dyDescent="0.2">
      <c r="B12" s="4">
        <v>9</v>
      </c>
      <c r="C12" s="4">
        <v>560</v>
      </c>
      <c r="D12" s="23">
        <v>40263.615504612782</v>
      </c>
      <c r="E12" s="33">
        <v>2.034487749995606</v>
      </c>
      <c r="F12" s="5">
        <v>3</v>
      </c>
      <c r="G12" s="23">
        <v>90</v>
      </c>
      <c r="H12" s="33">
        <v>0</v>
      </c>
      <c r="I12" s="23">
        <v>10.797211556552384</v>
      </c>
      <c r="J12" s="5">
        <v>913.60894277134014</v>
      </c>
      <c r="K12" s="31"/>
      <c r="L12" s="23">
        <v>44728.020055282082</v>
      </c>
      <c r="M12" s="33">
        <v>2.2382092080006259</v>
      </c>
      <c r="N12" s="5">
        <v>3</v>
      </c>
      <c r="O12" s="5">
        <v>80</v>
      </c>
      <c r="P12" s="33">
        <v>0</v>
      </c>
      <c r="Q12" s="5">
        <v>8.88681075681842</v>
      </c>
      <c r="R12" s="5">
        <v>880.46942921515074</v>
      </c>
      <c r="S12" s="35"/>
      <c r="T12" s="23">
        <v>40058.933795354409</v>
      </c>
      <c r="U12" s="33">
        <v>2.0405304159994562</v>
      </c>
      <c r="V12" s="5">
        <v>3</v>
      </c>
      <c r="W12" s="5">
        <v>90</v>
      </c>
      <c r="X12" s="33">
        <v>13.325063066278368</v>
      </c>
      <c r="Y12" s="5">
        <v>20.951239115149235</v>
      </c>
      <c r="Z12" s="5">
        <v>1210.9203266647235</v>
      </c>
      <c r="AA12" s="35"/>
    </row>
    <row r="13" spans="2:27" x14ac:dyDescent="0.2">
      <c r="B13" s="4">
        <v>10</v>
      </c>
      <c r="C13" s="4">
        <v>639</v>
      </c>
      <c r="D13" s="23">
        <v>40263.615504612782</v>
      </c>
      <c r="E13" s="33">
        <v>2.2572135000009439</v>
      </c>
      <c r="F13" s="5">
        <v>3</v>
      </c>
      <c r="G13" s="23">
        <v>90</v>
      </c>
      <c r="H13" s="33">
        <v>0</v>
      </c>
      <c r="I13" s="23">
        <v>10.797211556552384</v>
      </c>
      <c r="J13" s="5">
        <v>913.60894277134014</v>
      </c>
      <c r="K13" s="31"/>
      <c r="L13" s="23">
        <v>44728.020055282082</v>
      </c>
      <c r="M13" s="33">
        <v>2.2070980000007689</v>
      </c>
      <c r="N13" s="5">
        <v>3</v>
      </c>
      <c r="O13" s="5">
        <v>80</v>
      </c>
      <c r="P13" s="33">
        <v>0</v>
      </c>
      <c r="Q13" s="5">
        <v>8.88681075681842</v>
      </c>
      <c r="R13" s="5">
        <v>880.46942921515074</v>
      </c>
      <c r="S13" s="35"/>
      <c r="T13" s="23">
        <v>40058.933795354409</v>
      </c>
      <c r="U13" s="33">
        <v>2.2499787500000821</v>
      </c>
      <c r="V13" s="5">
        <v>3</v>
      </c>
      <c r="W13" s="5">
        <v>90</v>
      </c>
      <c r="X13" s="33">
        <v>13.325063066278368</v>
      </c>
      <c r="Y13" s="5">
        <v>20.951239115149235</v>
      </c>
      <c r="Z13" s="5">
        <v>1210.9203266647235</v>
      </c>
      <c r="AA13" s="35"/>
    </row>
    <row r="14" spans="2:27" x14ac:dyDescent="0.2">
      <c r="B14" s="46" t="s">
        <v>3</v>
      </c>
      <c r="C14" s="47"/>
      <c r="D14" s="9">
        <f>MIN(D4:D13)</f>
        <v>40263.615504612782</v>
      </c>
      <c r="E14" s="22">
        <f>INDEX(E4:E13, MATCH($D$14, D4:D13, 0))</f>
        <v>2.242357124996488</v>
      </c>
      <c r="F14" s="9">
        <f>INDEX(F4:F13, MATCH($D$14, D4:D13, 0))</f>
        <v>3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10.797211556552384</v>
      </c>
      <c r="J14" s="22">
        <f>INDEX(J4:J13, MATCH($D$14, D4:D13, 0))</f>
        <v>913.60894277134014</v>
      </c>
      <c r="K14" s="32"/>
      <c r="L14" s="16">
        <f>MIN(L4:L13)</f>
        <v>44728.020055282082</v>
      </c>
      <c r="M14" s="21">
        <f>INDEX(M4:M13, MATCH($L$14, L4:L13, 0))</f>
        <v>2.1817683330009459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8.88681075681842</v>
      </c>
      <c r="R14" s="21">
        <f>INDEX(R4:R13, MATCH($L$14, L4:L13, 0))</f>
        <v>880.46942921515074</v>
      </c>
      <c r="S14" s="36" t="e">
        <f>(L14-$D$15)/$D$15</f>
        <v>#DIV/0!</v>
      </c>
      <c r="T14" s="38">
        <f>MIN(T4:T13)</f>
        <v>40058.933795354409</v>
      </c>
      <c r="U14" s="39">
        <f>INDEX(U4:U13, MATCH($T$14, T4:T13, 0))</f>
        <v>2.2481312920008349</v>
      </c>
      <c r="V14" s="38">
        <f>INDEX(V4:V13, MATCH($T$14, T4:T13, 0))</f>
        <v>3</v>
      </c>
      <c r="W14" s="38">
        <f>INDEX(W4:W13, MATCH($T$14, T4:T13, 0))</f>
        <v>90</v>
      </c>
      <c r="X14" s="39">
        <f>INDEX(X4:X13, MATCH($T$14, T4:T13, 0))</f>
        <v>13.325063066278368</v>
      </c>
      <c r="Y14" s="39">
        <f>INDEX(Y4:Y13, MATCH($T$14, T4:T13, 0))</f>
        <v>20.951239115149235</v>
      </c>
      <c r="Z14" s="39">
        <f>INDEX(Z4:Z13, MATCH($T$14, T4:T13, 0))</f>
        <v>1210.9203266647235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65" priority="3"/>
    <cfRule type="duplicateValues" dxfId="64" priority="4"/>
  </conditionalFormatting>
  <conditionalFormatting sqref="C15:C1048576 C1 C3:C13">
    <cfRule type="duplicateValues" dxfId="63" priority="7"/>
    <cfRule type="duplicateValues" dxfId="62" priority="8"/>
  </conditionalFormatting>
  <conditionalFormatting sqref="C2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9DE3-E93F-D345-88DE-BCC822728CEC}">
  <dimension ref="B1:AA17"/>
  <sheetViews>
    <sheetView zoomScale="118" zoomScaleNormal="120" workbookViewId="0">
      <selection activeCell="A2" sqref="A2:XFD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R2" s="1">
        <f>(R14-J14)/J14</f>
        <v>-0.21154033112899256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31</v>
      </c>
      <c r="D4" s="23">
        <v>38701.860619462619</v>
      </c>
      <c r="E4" s="33">
        <v>1.7341949170004229</v>
      </c>
      <c r="F4" s="5">
        <v>2</v>
      </c>
      <c r="G4" s="23">
        <v>70</v>
      </c>
      <c r="H4" s="33">
        <v>0</v>
      </c>
      <c r="I4" s="23">
        <v>12.560379271624655</v>
      </c>
      <c r="J4" s="5">
        <v>833.57566083088386</v>
      </c>
      <c r="K4" s="31"/>
      <c r="L4" s="23">
        <v>47009.133561713446</v>
      </c>
      <c r="M4" s="33">
        <v>1.759666916999777</v>
      </c>
      <c r="N4" s="5">
        <v>2</v>
      </c>
      <c r="O4" s="5">
        <v>50</v>
      </c>
      <c r="P4" s="33">
        <v>0</v>
      </c>
      <c r="Q4" s="5">
        <v>9.1855918566586698</v>
      </c>
      <c r="R4" s="5">
        <v>745.64929920699137</v>
      </c>
      <c r="S4" s="35"/>
      <c r="T4" s="23">
        <v>38286.371652681701</v>
      </c>
      <c r="U4" s="33">
        <v>1.7052975829992649</v>
      </c>
      <c r="V4" s="5">
        <v>2</v>
      </c>
      <c r="W4" s="5">
        <v>70</v>
      </c>
      <c r="X4" s="33">
        <v>0</v>
      </c>
      <c r="Y4" s="5">
        <v>30.751622988147663</v>
      </c>
      <c r="Z4" s="5">
        <v>1264.4807939221184</v>
      </c>
      <c r="AA4" s="35"/>
    </row>
    <row r="5" spans="2:27" x14ac:dyDescent="0.2">
      <c r="B5" s="4">
        <v>2</v>
      </c>
      <c r="C5" s="4">
        <v>294</v>
      </c>
      <c r="D5" s="23">
        <v>38701.860619462619</v>
      </c>
      <c r="E5" s="33">
        <v>1.7323592920001829</v>
      </c>
      <c r="F5" s="5">
        <v>2</v>
      </c>
      <c r="G5" s="23">
        <v>70</v>
      </c>
      <c r="H5" s="33">
        <v>0</v>
      </c>
      <c r="I5" s="23">
        <v>12.560379271624655</v>
      </c>
      <c r="J5" s="5">
        <v>833.57566083088386</v>
      </c>
      <c r="K5" s="31"/>
      <c r="L5" s="23">
        <v>43197.726450295471</v>
      </c>
      <c r="M5" s="33">
        <v>1.7357327919999079</v>
      </c>
      <c r="N5" s="5">
        <v>2</v>
      </c>
      <c r="O5" s="5">
        <v>60</v>
      </c>
      <c r="P5" s="33">
        <v>0</v>
      </c>
      <c r="Q5" s="5">
        <v>6.3059844848637967</v>
      </c>
      <c r="R5" s="5">
        <v>710.84180678316818</v>
      </c>
      <c r="S5" s="35"/>
      <c r="T5" s="23">
        <v>38286.371652681701</v>
      </c>
      <c r="U5" s="33">
        <v>1.704118250001557</v>
      </c>
      <c r="V5" s="5">
        <v>2</v>
      </c>
      <c r="W5" s="5">
        <v>70</v>
      </c>
      <c r="X5" s="33">
        <v>0</v>
      </c>
      <c r="Y5" s="5">
        <v>30.751622988147663</v>
      </c>
      <c r="Z5" s="5">
        <v>1264.4807939221184</v>
      </c>
      <c r="AA5" s="35"/>
    </row>
    <row r="6" spans="2:27" x14ac:dyDescent="0.2">
      <c r="B6" s="4">
        <v>3</v>
      </c>
      <c r="C6" s="4">
        <v>346</v>
      </c>
      <c r="D6" s="23">
        <v>38701.860619462619</v>
      </c>
      <c r="E6" s="33">
        <v>1.7410170829971321</v>
      </c>
      <c r="F6" s="5">
        <v>2</v>
      </c>
      <c r="G6" s="23">
        <v>70</v>
      </c>
      <c r="H6" s="33">
        <v>0</v>
      </c>
      <c r="I6" s="23">
        <v>12.560379271624655</v>
      </c>
      <c r="J6" s="5">
        <v>833.57566083088386</v>
      </c>
      <c r="K6" s="31"/>
      <c r="L6" s="23">
        <v>43197.726450295471</v>
      </c>
      <c r="M6" s="33">
        <v>1.736756625001362</v>
      </c>
      <c r="N6" s="5">
        <v>2</v>
      </c>
      <c r="O6" s="5">
        <v>60</v>
      </c>
      <c r="P6" s="33">
        <v>0</v>
      </c>
      <c r="Q6" s="5">
        <v>6.3059844848637967</v>
      </c>
      <c r="R6" s="5">
        <v>710.84180678316818</v>
      </c>
      <c r="S6" s="35"/>
      <c r="T6" s="23">
        <v>38286.371652681701</v>
      </c>
      <c r="U6" s="33">
        <v>1.6953660409999429</v>
      </c>
      <c r="V6" s="5">
        <v>2</v>
      </c>
      <c r="W6" s="5">
        <v>70</v>
      </c>
      <c r="X6" s="33">
        <v>0</v>
      </c>
      <c r="Y6" s="5">
        <v>30.751622988147663</v>
      </c>
      <c r="Z6" s="5">
        <v>1264.4807939221184</v>
      </c>
      <c r="AA6" s="35"/>
    </row>
    <row r="7" spans="2:27" x14ac:dyDescent="0.2">
      <c r="B7" s="4">
        <v>4</v>
      </c>
      <c r="C7" s="4">
        <v>347</v>
      </c>
      <c r="D7" s="23">
        <v>38712.405645893326</v>
      </c>
      <c r="E7" s="33">
        <v>1.56040658299753</v>
      </c>
      <c r="F7" s="5">
        <v>2</v>
      </c>
      <c r="G7" s="23">
        <v>70</v>
      </c>
      <c r="H7" s="33">
        <v>0</v>
      </c>
      <c r="I7" s="23">
        <v>8.1996273402523414</v>
      </c>
      <c r="J7" s="5">
        <v>717.9690598662645</v>
      </c>
      <c r="K7" s="31"/>
      <c r="L7" s="23">
        <v>42752.620828207771</v>
      </c>
      <c r="M7" s="33">
        <v>1.636991332999969</v>
      </c>
      <c r="N7" s="5">
        <v>2</v>
      </c>
      <c r="O7" s="5">
        <v>60</v>
      </c>
      <c r="P7" s="33">
        <v>0</v>
      </c>
      <c r="Q7" s="5">
        <v>6.8323603479853503</v>
      </c>
      <c r="R7" s="5">
        <v>657.24078951764989</v>
      </c>
      <c r="S7" s="35"/>
      <c r="T7" s="23">
        <v>39074.643919571638</v>
      </c>
      <c r="U7" s="33">
        <v>1.7291541249996949</v>
      </c>
      <c r="V7" s="5">
        <v>2</v>
      </c>
      <c r="W7" s="5">
        <v>70</v>
      </c>
      <c r="X7" s="33">
        <v>0</v>
      </c>
      <c r="Y7" s="5">
        <v>28.361938340115376</v>
      </c>
      <c r="Z7" s="5">
        <v>1306.4369008103756</v>
      </c>
      <c r="AA7" s="35"/>
    </row>
    <row r="8" spans="2:27" x14ac:dyDescent="0.2">
      <c r="B8" s="4">
        <v>5</v>
      </c>
      <c r="C8" s="4">
        <v>376</v>
      </c>
      <c r="D8" s="23">
        <v>39157.511267981034</v>
      </c>
      <c r="E8" s="33">
        <v>1.757368083002802</v>
      </c>
      <c r="F8" s="5">
        <v>2</v>
      </c>
      <c r="G8" s="23">
        <v>70</v>
      </c>
      <c r="H8" s="33">
        <v>0</v>
      </c>
      <c r="I8" s="23">
        <v>7.6732514771307878</v>
      </c>
      <c r="J8" s="5">
        <v>763.91278895099435</v>
      </c>
      <c r="K8" s="31"/>
      <c r="L8" s="23">
        <v>43197.726450295471</v>
      </c>
      <c r="M8" s="33">
        <v>1.7367818339989749</v>
      </c>
      <c r="N8" s="5">
        <v>2</v>
      </c>
      <c r="O8" s="5">
        <v>60</v>
      </c>
      <c r="P8" s="33">
        <v>0</v>
      </c>
      <c r="Q8" s="5">
        <v>6.3059844848637967</v>
      </c>
      <c r="R8" s="5">
        <v>710.84180678316818</v>
      </c>
      <c r="S8" s="35"/>
      <c r="T8" s="23">
        <v>39948.33904386995</v>
      </c>
      <c r="U8" s="33">
        <v>1.710986709000281</v>
      </c>
      <c r="V8" s="5">
        <v>2</v>
      </c>
      <c r="W8" s="5">
        <v>70</v>
      </c>
      <c r="X8" s="33">
        <v>0</v>
      </c>
      <c r="Y8" s="5">
        <v>17.535551881193836</v>
      </c>
      <c r="Z8" s="5">
        <v>1133.4732064451471</v>
      </c>
      <c r="AA8" s="35"/>
    </row>
    <row r="9" spans="2:27" x14ac:dyDescent="0.2">
      <c r="B9" s="4">
        <v>6</v>
      </c>
      <c r="C9" s="4">
        <v>463</v>
      </c>
      <c r="D9" s="23">
        <v>38701.860619462619</v>
      </c>
      <c r="E9" s="33">
        <v>1.737785541998164</v>
      </c>
      <c r="F9" s="5">
        <v>2</v>
      </c>
      <c r="G9" s="23">
        <v>70</v>
      </c>
      <c r="H9" s="33">
        <v>0</v>
      </c>
      <c r="I9" s="23">
        <v>12.560379271624655</v>
      </c>
      <c r="J9" s="5">
        <v>833.57566083088386</v>
      </c>
      <c r="K9" s="31"/>
      <c r="L9" s="23">
        <v>43197.726450295471</v>
      </c>
      <c r="M9" s="33">
        <v>1.743989124999644</v>
      </c>
      <c r="N9" s="5">
        <v>2</v>
      </c>
      <c r="O9" s="5">
        <v>60</v>
      </c>
      <c r="P9" s="33">
        <v>0</v>
      </c>
      <c r="Q9" s="5">
        <v>6.3059844848637967</v>
      </c>
      <c r="R9" s="5">
        <v>710.84180678316818</v>
      </c>
      <c r="S9" s="35"/>
      <c r="T9" s="23">
        <v>38286.371652681701</v>
      </c>
      <c r="U9" s="33">
        <v>1.71764683299989</v>
      </c>
      <c r="V9" s="5">
        <v>2</v>
      </c>
      <c r="W9" s="5">
        <v>70</v>
      </c>
      <c r="X9" s="33">
        <v>0</v>
      </c>
      <c r="Y9" s="5">
        <v>30.751622988147663</v>
      </c>
      <c r="Z9" s="5">
        <v>1264.4807939221184</v>
      </c>
      <c r="AA9" s="35"/>
    </row>
    <row r="10" spans="2:27" x14ac:dyDescent="0.2">
      <c r="B10" s="4">
        <v>7</v>
      </c>
      <c r="C10" s="4">
        <v>528</v>
      </c>
      <c r="D10" s="23">
        <v>38712.405645893326</v>
      </c>
      <c r="E10" s="33">
        <v>1.7837564170040421</v>
      </c>
      <c r="F10" s="5">
        <v>2</v>
      </c>
      <c r="G10" s="23">
        <v>70</v>
      </c>
      <c r="H10" s="33">
        <v>0</v>
      </c>
      <c r="I10" s="23">
        <v>8.1996273402523414</v>
      </c>
      <c r="J10" s="5">
        <v>717.9690598662645</v>
      </c>
      <c r="K10" s="31"/>
      <c r="L10" s="23">
        <v>42752.620828207771</v>
      </c>
      <c r="M10" s="33">
        <v>1.6308394589996169</v>
      </c>
      <c r="N10" s="5">
        <v>2</v>
      </c>
      <c r="O10" s="5">
        <v>60</v>
      </c>
      <c r="P10" s="33">
        <v>0</v>
      </c>
      <c r="Q10" s="5">
        <v>6.8323603479853503</v>
      </c>
      <c r="R10" s="5">
        <v>657.24078951764989</v>
      </c>
      <c r="S10" s="35"/>
      <c r="T10" s="23">
        <v>39074.643919571638</v>
      </c>
      <c r="U10" s="33">
        <v>1.7986874580001311</v>
      </c>
      <c r="V10" s="5">
        <v>2</v>
      </c>
      <c r="W10" s="5">
        <v>70</v>
      </c>
      <c r="X10" s="33">
        <v>0</v>
      </c>
      <c r="Y10" s="5">
        <v>28.361938340115376</v>
      </c>
      <c r="Z10" s="5">
        <v>1306.4369008103756</v>
      </c>
      <c r="AA10" s="35"/>
    </row>
    <row r="11" spans="2:27" x14ac:dyDescent="0.2">
      <c r="B11" s="4">
        <v>8</v>
      </c>
      <c r="C11" s="4">
        <v>762</v>
      </c>
      <c r="D11" s="23">
        <v>38701.860619462619</v>
      </c>
      <c r="E11" s="33">
        <v>1.656415417004609</v>
      </c>
      <c r="F11" s="5">
        <v>2</v>
      </c>
      <c r="G11" s="23">
        <v>70</v>
      </c>
      <c r="H11" s="33">
        <v>0</v>
      </c>
      <c r="I11" s="23">
        <v>12.560379271624655</v>
      </c>
      <c r="J11" s="5">
        <v>833.57566083088386</v>
      </c>
      <c r="K11" s="31"/>
      <c r="L11" s="23">
        <v>47009.133561713446</v>
      </c>
      <c r="M11" s="33">
        <v>1.744119707998834</v>
      </c>
      <c r="N11" s="5">
        <v>2</v>
      </c>
      <c r="O11" s="5">
        <v>50</v>
      </c>
      <c r="P11" s="33">
        <v>0</v>
      </c>
      <c r="Q11" s="5">
        <v>9.1855918566586698</v>
      </c>
      <c r="R11" s="5">
        <v>745.64929920699137</v>
      </c>
      <c r="S11" s="35"/>
      <c r="T11" s="23">
        <v>38286.371652681701</v>
      </c>
      <c r="U11" s="33">
        <v>1.7111398750002991</v>
      </c>
      <c r="V11" s="5">
        <v>2</v>
      </c>
      <c r="W11" s="5">
        <v>70</v>
      </c>
      <c r="X11" s="33">
        <v>0</v>
      </c>
      <c r="Y11" s="5">
        <v>30.751622988147663</v>
      </c>
      <c r="Z11" s="5">
        <v>1264.4807939221184</v>
      </c>
      <c r="AA11" s="35"/>
    </row>
    <row r="12" spans="2:27" x14ac:dyDescent="0.2">
      <c r="B12" s="4">
        <v>9</v>
      </c>
      <c r="C12" s="4">
        <v>818</v>
      </c>
      <c r="D12" s="23">
        <v>38712.405645893326</v>
      </c>
      <c r="E12" s="33">
        <v>1.5858919590027649</v>
      </c>
      <c r="F12" s="5">
        <v>2</v>
      </c>
      <c r="G12" s="23">
        <v>70</v>
      </c>
      <c r="H12" s="33">
        <v>0</v>
      </c>
      <c r="I12" s="23">
        <v>8.1996273402523414</v>
      </c>
      <c r="J12" s="5">
        <v>717.9690598662645</v>
      </c>
      <c r="K12" s="31"/>
      <c r="L12" s="23">
        <v>42752.620828207771</v>
      </c>
      <c r="M12" s="33">
        <v>1.487120041998423</v>
      </c>
      <c r="N12" s="5">
        <v>2</v>
      </c>
      <c r="O12" s="5">
        <v>60</v>
      </c>
      <c r="P12" s="33">
        <v>0</v>
      </c>
      <c r="Q12" s="5">
        <v>6.8323603479853503</v>
      </c>
      <c r="R12" s="5">
        <v>657.24078951764989</v>
      </c>
      <c r="S12" s="35"/>
      <c r="T12" s="23">
        <v>39074.643919571638</v>
      </c>
      <c r="U12" s="33">
        <v>1.7412889999995971</v>
      </c>
      <c r="V12" s="5">
        <v>2</v>
      </c>
      <c r="W12" s="5">
        <v>70</v>
      </c>
      <c r="X12" s="33">
        <v>0</v>
      </c>
      <c r="Y12" s="5">
        <v>28.361938340115376</v>
      </c>
      <c r="Z12" s="5">
        <v>1306.4369008103756</v>
      </c>
      <c r="AA12" s="35"/>
    </row>
    <row r="13" spans="2:27" x14ac:dyDescent="0.2">
      <c r="B13" s="4">
        <v>10</v>
      </c>
      <c r="C13" s="4">
        <v>972</v>
      </c>
      <c r="D13" s="23">
        <v>38712.405645893326</v>
      </c>
      <c r="E13" s="33">
        <v>1.7749845830039701</v>
      </c>
      <c r="F13" s="5">
        <v>2</v>
      </c>
      <c r="G13" s="23">
        <v>70</v>
      </c>
      <c r="H13" s="33">
        <v>0</v>
      </c>
      <c r="I13" s="23">
        <v>8.1996273402523414</v>
      </c>
      <c r="J13" s="5">
        <v>717.9690598662645</v>
      </c>
      <c r="K13" s="31"/>
      <c r="L13" s="23">
        <v>42752.620828207771</v>
      </c>
      <c r="M13" s="33">
        <v>1.6347902079996861</v>
      </c>
      <c r="N13" s="5">
        <v>2</v>
      </c>
      <c r="O13" s="5">
        <v>60</v>
      </c>
      <c r="P13" s="33">
        <v>0</v>
      </c>
      <c r="Q13" s="5">
        <v>6.8323603479853503</v>
      </c>
      <c r="R13" s="5">
        <v>657.24078951764989</v>
      </c>
      <c r="S13" s="35"/>
      <c r="T13" s="23">
        <v>39074.643919571638</v>
      </c>
      <c r="U13" s="33">
        <v>1.738948209000228</v>
      </c>
      <c r="V13" s="5">
        <v>2</v>
      </c>
      <c r="W13" s="5">
        <v>70</v>
      </c>
      <c r="X13" s="33">
        <v>0</v>
      </c>
      <c r="Y13" s="5">
        <v>28.361938340115376</v>
      </c>
      <c r="Z13" s="5">
        <v>1306.4369008103756</v>
      </c>
      <c r="AA13" s="35"/>
    </row>
    <row r="14" spans="2:27" x14ac:dyDescent="0.2">
      <c r="B14" s="46" t="s">
        <v>3</v>
      </c>
      <c r="C14" s="47"/>
      <c r="D14" s="9">
        <f>MIN(D4:D13)</f>
        <v>38701.860619462619</v>
      </c>
      <c r="E14" s="22">
        <f>INDEX(E4:E13, MATCH($D$14, D4:D13, 0))</f>
        <v>1.7341949170004229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12.560379271624655</v>
      </c>
      <c r="J14" s="22">
        <f>INDEX(J4:J13, MATCH($D$14, D4:D13, 0))</f>
        <v>833.57566083088386</v>
      </c>
      <c r="K14" s="32"/>
      <c r="L14" s="16">
        <f>MIN(L4:L13)</f>
        <v>42752.620828207771</v>
      </c>
      <c r="M14" s="21">
        <f>INDEX(M4:M13, MATCH($L$14, L4:L13, 0))</f>
        <v>1.636991332999969</v>
      </c>
      <c r="N14" s="16">
        <f>INDEX(N4:N13, MATCH($L$14, L4:L13, 0))</f>
        <v>2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6.8323603479853503</v>
      </c>
      <c r="R14" s="21">
        <f>INDEX(R4:R13, MATCH($L$14, L4:L13, 0))</f>
        <v>657.24078951764989</v>
      </c>
      <c r="S14" s="36" t="e">
        <f>(L14-$D$15)/$D$15</f>
        <v>#DIV/0!</v>
      </c>
      <c r="T14" s="38">
        <f>MIN(T4:T13)</f>
        <v>38286.371652681701</v>
      </c>
      <c r="U14" s="39">
        <f>INDEX(U4:U13, MATCH($T$14, T4:T13, 0))</f>
        <v>1.7052975829992649</v>
      </c>
      <c r="V14" s="38">
        <f>INDEX(V4:V13, MATCH($T$14, T4:T13, 0))</f>
        <v>2</v>
      </c>
      <c r="W14" s="38">
        <f>INDEX(W4:W13, MATCH($T$14, T4:T13, 0))</f>
        <v>70</v>
      </c>
      <c r="X14" s="39">
        <f>INDEX(X4:X13, MATCH($T$14, T4:T13, 0))</f>
        <v>0</v>
      </c>
      <c r="Y14" s="39">
        <f>INDEX(Y4:Y13, MATCH($T$14, T4:T13, 0))</f>
        <v>30.751622988147663</v>
      </c>
      <c r="Z14" s="39">
        <f>INDEX(Z4:Z13, MATCH($T$14, T4:T13, 0))</f>
        <v>1264.4807939221184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5:C1048576 C3:C13">
    <cfRule type="duplicateValues" dxfId="61" priority="7"/>
    <cfRule type="duplicateValues" dxfId="60" priority="8"/>
  </conditionalFormatting>
  <conditionalFormatting sqref="C14">
    <cfRule type="duplicateValues" dxfId="59" priority="3"/>
    <cfRule type="duplicateValues" dxfId="58" priority="4"/>
  </conditionalFormatting>
  <conditionalFormatting sqref="C2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EC5C0-7D52-A44E-AEBF-33CA53F30221}">
  <dimension ref="B1:AA17"/>
  <sheetViews>
    <sheetView zoomScale="118" zoomScaleNormal="120" workbookViewId="0">
      <selection activeCell="A2" sqref="A2:XFD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R2" s="1">
        <f>(R14-J14)/J14</f>
        <v>0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144</v>
      </c>
      <c r="D4" s="23">
        <v>35292.740544844681</v>
      </c>
      <c r="E4" s="33">
        <v>2.156270749999976</v>
      </c>
      <c r="F4" s="5">
        <v>3</v>
      </c>
      <c r="G4" s="23">
        <v>100</v>
      </c>
      <c r="H4" s="33">
        <v>0</v>
      </c>
      <c r="I4" s="23">
        <v>10.987230587767863</v>
      </c>
      <c r="J4" s="5">
        <v>858.11774828434932</v>
      </c>
      <c r="K4" s="31"/>
      <c r="L4" s="23">
        <v>35292.740544844681</v>
      </c>
      <c r="M4" s="33">
        <v>1.9364705840016541</v>
      </c>
      <c r="N4" s="5">
        <v>3</v>
      </c>
      <c r="O4" s="5">
        <v>100</v>
      </c>
      <c r="P4" s="33">
        <v>0</v>
      </c>
      <c r="Q4" s="5">
        <v>10.987230587767863</v>
      </c>
      <c r="R4" s="5">
        <v>858.11774828434932</v>
      </c>
      <c r="S4" s="35"/>
      <c r="T4" s="23">
        <v>34757.182514669403</v>
      </c>
      <c r="U4" s="33">
        <v>1.7414098750014091</v>
      </c>
      <c r="V4" s="5">
        <v>3</v>
      </c>
      <c r="W4" s="5">
        <v>100</v>
      </c>
      <c r="X4" s="33">
        <v>0</v>
      </c>
      <c r="Y4" s="5">
        <v>25.435833387794471</v>
      </c>
      <c r="Z4" s="5">
        <v>1260.8654221900638</v>
      </c>
      <c r="AA4" s="35"/>
    </row>
    <row r="5" spans="2:27" x14ac:dyDescent="0.2">
      <c r="B5" s="4">
        <v>2</v>
      </c>
      <c r="C5" s="4">
        <v>161</v>
      </c>
      <c r="D5" s="23">
        <v>35292.740544844681</v>
      </c>
      <c r="E5" s="33">
        <v>2.0441744159999189</v>
      </c>
      <c r="F5" s="5">
        <v>3</v>
      </c>
      <c r="G5" s="23">
        <v>100</v>
      </c>
      <c r="H5" s="33">
        <v>0</v>
      </c>
      <c r="I5" s="23">
        <v>10.987230587767863</v>
      </c>
      <c r="J5" s="5">
        <v>858.11774828434932</v>
      </c>
      <c r="K5" s="31"/>
      <c r="L5" s="23">
        <v>35292.740544844681</v>
      </c>
      <c r="M5" s="33">
        <v>1.9777334999998859</v>
      </c>
      <c r="N5" s="5">
        <v>3</v>
      </c>
      <c r="O5" s="5">
        <v>100</v>
      </c>
      <c r="P5" s="33">
        <v>0</v>
      </c>
      <c r="Q5" s="5">
        <v>10.987230587767863</v>
      </c>
      <c r="R5" s="5">
        <v>858.11774828434932</v>
      </c>
      <c r="S5" s="35"/>
      <c r="T5" s="23">
        <v>34757.182514669403</v>
      </c>
      <c r="U5" s="33">
        <v>1.927169125001456</v>
      </c>
      <c r="V5" s="5">
        <v>3</v>
      </c>
      <c r="W5" s="5">
        <v>100</v>
      </c>
      <c r="X5" s="33">
        <v>0</v>
      </c>
      <c r="Y5" s="5">
        <v>25.435833387794471</v>
      </c>
      <c r="Z5" s="5">
        <v>1260.8654221900638</v>
      </c>
      <c r="AA5" s="35"/>
    </row>
    <row r="6" spans="2:27" x14ac:dyDescent="0.2">
      <c r="B6" s="4">
        <v>3</v>
      </c>
      <c r="C6" s="4">
        <v>198</v>
      </c>
      <c r="D6" s="23">
        <v>35292.740544844681</v>
      </c>
      <c r="E6" s="33">
        <v>1.8448302909999941</v>
      </c>
      <c r="F6" s="5">
        <v>3</v>
      </c>
      <c r="G6" s="23">
        <v>100</v>
      </c>
      <c r="H6" s="33">
        <v>0</v>
      </c>
      <c r="I6" s="23">
        <v>10.987230587767863</v>
      </c>
      <c r="J6" s="5">
        <v>858.11774828434932</v>
      </c>
      <c r="K6" s="31"/>
      <c r="L6" s="23">
        <v>35292.740544844681</v>
      </c>
      <c r="M6" s="33">
        <v>1.791879665999659</v>
      </c>
      <c r="N6" s="5">
        <v>3</v>
      </c>
      <c r="O6" s="5">
        <v>100</v>
      </c>
      <c r="P6" s="33">
        <v>0</v>
      </c>
      <c r="Q6" s="5">
        <v>10.987230587767863</v>
      </c>
      <c r="R6" s="5">
        <v>858.11774828434932</v>
      </c>
      <c r="S6" s="35"/>
      <c r="T6" s="23">
        <v>34757.182514669403</v>
      </c>
      <c r="U6" s="33">
        <v>1.958469584000341</v>
      </c>
      <c r="V6" s="5">
        <v>3</v>
      </c>
      <c r="W6" s="5">
        <v>100</v>
      </c>
      <c r="X6" s="33">
        <v>0</v>
      </c>
      <c r="Y6" s="5">
        <v>25.435833387794471</v>
      </c>
      <c r="Z6" s="5">
        <v>1260.8654221900638</v>
      </c>
      <c r="AA6" s="35"/>
    </row>
    <row r="7" spans="2:27" x14ac:dyDescent="0.2">
      <c r="B7" s="4">
        <v>4</v>
      </c>
      <c r="C7" s="4">
        <v>846</v>
      </c>
      <c r="D7" s="23">
        <v>35292.740544844681</v>
      </c>
      <c r="E7" s="33">
        <v>2.0237462500000452</v>
      </c>
      <c r="F7" s="5">
        <v>3</v>
      </c>
      <c r="G7" s="23">
        <v>100</v>
      </c>
      <c r="H7" s="33">
        <v>0</v>
      </c>
      <c r="I7" s="23">
        <v>10.987230587767863</v>
      </c>
      <c r="J7" s="5">
        <v>858.11774828434932</v>
      </c>
      <c r="K7" s="31"/>
      <c r="L7" s="23">
        <v>35292.740544844681</v>
      </c>
      <c r="M7" s="33">
        <v>1.9984147089999169</v>
      </c>
      <c r="N7" s="5">
        <v>3</v>
      </c>
      <c r="O7" s="5">
        <v>100</v>
      </c>
      <c r="P7" s="33">
        <v>0</v>
      </c>
      <c r="Q7" s="5">
        <v>10.987230587767863</v>
      </c>
      <c r="R7" s="5">
        <v>858.11774828434932</v>
      </c>
      <c r="S7" s="35"/>
      <c r="T7" s="23">
        <v>34757.182514669403</v>
      </c>
      <c r="U7" s="33">
        <v>1.938735208999788</v>
      </c>
      <c r="V7" s="5">
        <v>3</v>
      </c>
      <c r="W7" s="5">
        <v>100</v>
      </c>
      <c r="X7" s="33">
        <v>0</v>
      </c>
      <c r="Y7" s="5">
        <v>25.435833387794471</v>
      </c>
      <c r="Z7" s="5">
        <v>1260.8654221900638</v>
      </c>
      <c r="AA7" s="35"/>
    </row>
    <row r="8" spans="2:27" x14ac:dyDescent="0.2">
      <c r="B8" s="4">
        <v>5</v>
      </c>
      <c r="C8" s="4">
        <v>428</v>
      </c>
      <c r="D8" s="23">
        <v>35292.740544844681</v>
      </c>
      <c r="E8" s="33">
        <v>1.8699890830000641</v>
      </c>
      <c r="F8" s="5">
        <v>3</v>
      </c>
      <c r="G8" s="23">
        <v>100</v>
      </c>
      <c r="H8" s="33">
        <v>0</v>
      </c>
      <c r="I8" s="23">
        <v>10.987230587767863</v>
      </c>
      <c r="J8" s="5">
        <v>858.11774828434932</v>
      </c>
      <c r="K8" s="31"/>
      <c r="L8" s="23">
        <v>35292.740544844681</v>
      </c>
      <c r="M8" s="33">
        <v>1.806914208000308</v>
      </c>
      <c r="N8" s="5">
        <v>3</v>
      </c>
      <c r="O8" s="5">
        <v>100</v>
      </c>
      <c r="P8" s="33">
        <v>0</v>
      </c>
      <c r="Q8" s="5">
        <v>10.987230587767863</v>
      </c>
      <c r="R8" s="5">
        <v>858.11774828434932</v>
      </c>
      <c r="S8" s="35"/>
      <c r="T8" s="23">
        <v>34757.182514669403</v>
      </c>
      <c r="U8" s="33">
        <v>1.9482117910010861</v>
      </c>
      <c r="V8" s="5">
        <v>3</v>
      </c>
      <c r="W8" s="5">
        <v>100</v>
      </c>
      <c r="X8" s="33">
        <v>0</v>
      </c>
      <c r="Y8" s="5">
        <v>25.435833387794471</v>
      </c>
      <c r="Z8" s="5">
        <v>1260.8654221900638</v>
      </c>
      <c r="AA8" s="35"/>
    </row>
    <row r="9" spans="2:27" x14ac:dyDescent="0.2">
      <c r="B9" s="4">
        <v>6</v>
      </c>
      <c r="C9" s="4">
        <v>506</v>
      </c>
      <c r="D9" s="23">
        <v>35292.740544844681</v>
      </c>
      <c r="E9" s="33">
        <v>1.8063455830000521</v>
      </c>
      <c r="F9" s="5">
        <v>3</v>
      </c>
      <c r="G9" s="23">
        <v>100</v>
      </c>
      <c r="H9" s="33">
        <v>0</v>
      </c>
      <c r="I9" s="23">
        <v>10.987230587767863</v>
      </c>
      <c r="J9" s="5">
        <v>858.11774828434932</v>
      </c>
      <c r="K9" s="31"/>
      <c r="L9" s="23">
        <v>35292.740544844681</v>
      </c>
      <c r="M9" s="33">
        <v>1.810523500000272</v>
      </c>
      <c r="N9" s="5">
        <v>3</v>
      </c>
      <c r="O9" s="5">
        <v>100</v>
      </c>
      <c r="P9" s="33">
        <v>0</v>
      </c>
      <c r="Q9" s="5">
        <v>10.987230587767863</v>
      </c>
      <c r="R9" s="5">
        <v>858.11774828434932</v>
      </c>
      <c r="S9" s="35"/>
      <c r="T9" s="23">
        <v>34757.182514669403</v>
      </c>
      <c r="U9" s="33">
        <v>1.934565875000771</v>
      </c>
      <c r="V9" s="5">
        <v>3</v>
      </c>
      <c r="W9" s="5">
        <v>100</v>
      </c>
      <c r="X9" s="33">
        <v>0</v>
      </c>
      <c r="Y9" s="5">
        <v>25.435833387794471</v>
      </c>
      <c r="Z9" s="5">
        <v>1260.8654221900638</v>
      </c>
      <c r="AA9" s="35"/>
    </row>
    <row r="10" spans="2:27" x14ac:dyDescent="0.2">
      <c r="B10" s="4">
        <v>7</v>
      </c>
      <c r="C10" s="4">
        <v>549</v>
      </c>
      <c r="D10" s="23">
        <v>35292.740544844681</v>
      </c>
      <c r="E10" s="33">
        <v>1.9762791250000189</v>
      </c>
      <c r="F10" s="5">
        <v>3</v>
      </c>
      <c r="G10" s="23">
        <v>100</v>
      </c>
      <c r="H10" s="33">
        <v>0</v>
      </c>
      <c r="I10" s="23">
        <v>10.987230587767863</v>
      </c>
      <c r="J10" s="5">
        <v>858.11774828434932</v>
      </c>
      <c r="K10" s="31"/>
      <c r="L10" s="23">
        <v>35292.740544844681</v>
      </c>
      <c r="M10" s="33">
        <v>1.999725374998889</v>
      </c>
      <c r="N10" s="5">
        <v>3</v>
      </c>
      <c r="O10" s="5">
        <v>100</v>
      </c>
      <c r="P10" s="33">
        <v>0</v>
      </c>
      <c r="Q10" s="5">
        <v>10.987230587767863</v>
      </c>
      <c r="R10" s="5">
        <v>858.11774828434932</v>
      </c>
      <c r="S10" s="35"/>
      <c r="T10" s="23">
        <v>34757.182514669403</v>
      </c>
      <c r="U10" s="33">
        <v>1.7934346660003939</v>
      </c>
      <c r="V10" s="5">
        <v>3</v>
      </c>
      <c r="W10" s="5">
        <v>100</v>
      </c>
      <c r="X10" s="33">
        <v>0</v>
      </c>
      <c r="Y10" s="5">
        <v>25.435833387794471</v>
      </c>
      <c r="Z10" s="5">
        <v>1260.8654221900638</v>
      </c>
      <c r="AA10" s="35"/>
    </row>
    <row r="11" spans="2:27" x14ac:dyDescent="0.2">
      <c r="B11" s="4">
        <v>8</v>
      </c>
      <c r="C11" s="4">
        <v>569</v>
      </c>
      <c r="D11" s="23">
        <v>35292.740544844681</v>
      </c>
      <c r="E11" s="33">
        <v>2.026755125000022</v>
      </c>
      <c r="F11" s="5">
        <v>3</v>
      </c>
      <c r="G11" s="23">
        <v>100</v>
      </c>
      <c r="H11" s="33">
        <v>0</v>
      </c>
      <c r="I11" s="23">
        <v>10.987230587767863</v>
      </c>
      <c r="J11" s="5">
        <v>858.11774828434932</v>
      </c>
      <c r="K11" s="31"/>
      <c r="L11" s="23">
        <v>35292.740544844681</v>
      </c>
      <c r="M11" s="33">
        <v>2.0240437089996699</v>
      </c>
      <c r="N11" s="5">
        <v>3</v>
      </c>
      <c r="O11" s="5">
        <v>100</v>
      </c>
      <c r="P11" s="33">
        <v>0</v>
      </c>
      <c r="Q11" s="5">
        <v>10.987230587767863</v>
      </c>
      <c r="R11" s="5">
        <v>858.11774828434932</v>
      </c>
      <c r="S11" s="35"/>
      <c r="T11" s="23">
        <v>34757.182514669403</v>
      </c>
      <c r="U11" s="33">
        <v>1.9604537499999419</v>
      </c>
      <c r="V11" s="5">
        <v>3</v>
      </c>
      <c r="W11" s="5">
        <v>100</v>
      </c>
      <c r="X11" s="33">
        <v>0</v>
      </c>
      <c r="Y11" s="5">
        <v>25.435833387794471</v>
      </c>
      <c r="Z11" s="5">
        <v>1260.8654221900638</v>
      </c>
      <c r="AA11" s="35"/>
    </row>
    <row r="12" spans="2:27" x14ac:dyDescent="0.2">
      <c r="B12" s="4">
        <v>9</v>
      </c>
      <c r="C12" s="4">
        <v>984</v>
      </c>
      <c r="D12" s="23">
        <v>35292.740544844681</v>
      </c>
      <c r="E12" s="33">
        <v>2.020455250000055</v>
      </c>
      <c r="F12" s="5">
        <v>3</v>
      </c>
      <c r="G12" s="23">
        <v>100</v>
      </c>
      <c r="H12" s="33">
        <v>0</v>
      </c>
      <c r="I12" s="23">
        <v>10.987230587767863</v>
      </c>
      <c r="J12" s="5">
        <v>858.11774828434932</v>
      </c>
      <c r="K12" s="31"/>
      <c r="L12" s="23">
        <v>35292.740544844681</v>
      </c>
      <c r="M12" s="33">
        <v>2.0133822090010649</v>
      </c>
      <c r="N12" s="5">
        <v>3</v>
      </c>
      <c r="O12" s="5">
        <v>100</v>
      </c>
      <c r="P12" s="33">
        <v>0</v>
      </c>
      <c r="Q12" s="5">
        <v>10.987230587767863</v>
      </c>
      <c r="R12" s="5">
        <v>858.11774828434932</v>
      </c>
      <c r="S12" s="35"/>
      <c r="T12" s="23">
        <v>34757.182514669403</v>
      </c>
      <c r="U12" s="33">
        <v>1.946375167000951</v>
      </c>
      <c r="V12" s="5">
        <v>3</v>
      </c>
      <c r="W12" s="5">
        <v>100</v>
      </c>
      <c r="X12" s="33">
        <v>0</v>
      </c>
      <c r="Y12" s="5">
        <v>25.435833387794471</v>
      </c>
      <c r="Z12" s="5">
        <v>1260.8654221900638</v>
      </c>
      <c r="AA12" s="35"/>
    </row>
    <row r="13" spans="2:27" x14ac:dyDescent="0.2">
      <c r="B13" s="4">
        <v>10</v>
      </c>
      <c r="C13" s="4">
        <v>781</v>
      </c>
      <c r="D13" s="23">
        <v>35292.740544844681</v>
      </c>
      <c r="E13" s="33">
        <v>1.9808759580000701</v>
      </c>
      <c r="F13" s="5">
        <v>3</v>
      </c>
      <c r="G13" s="23">
        <v>100</v>
      </c>
      <c r="H13" s="33">
        <v>0</v>
      </c>
      <c r="I13" s="23">
        <v>10.987230587767863</v>
      </c>
      <c r="J13" s="5">
        <v>858.11774828434932</v>
      </c>
      <c r="K13" s="31"/>
      <c r="L13" s="23">
        <v>35292.740544844681</v>
      </c>
      <c r="M13" s="33">
        <v>1.8237815830016191</v>
      </c>
      <c r="N13" s="5">
        <v>3</v>
      </c>
      <c r="O13" s="5">
        <v>100</v>
      </c>
      <c r="P13" s="33">
        <v>0</v>
      </c>
      <c r="Q13" s="5">
        <v>10.987230587767863</v>
      </c>
      <c r="R13" s="5">
        <v>858.11774828434932</v>
      </c>
      <c r="S13" s="35"/>
      <c r="T13" s="23">
        <v>34757.182514669403</v>
      </c>
      <c r="U13" s="33">
        <v>1.959228875000917</v>
      </c>
      <c r="V13" s="5">
        <v>3</v>
      </c>
      <c r="W13" s="5">
        <v>100</v>
      </c>
      <c r="X13" s="33">
        <v>0</v>
      </c>
      <c r="Y13" s="5">
        <v>25.435833387794471</v>
      </c>
      <c r="Z13" s="5">
        <v>1260.8654221900638</v>
      </c>
      <c r="AA13" s="35"/>
    </row>
    <row r="14" spans="2:27" x14ac:dyDescent="0.2">
      <c r="B14" s="46" t="s">
        <v>3</v>
      </c>
      <c r="C14" s="47"/>
      <c r="D14" s="9">
        <f>MIN(D4:D13)</f>
        <v>35292.740544844681</v>
      </c>
      <c r="E14" s="22">
        <f>INDEX(E4:E13, MATCH($D$14, D4:D13, 0))</f>
        <v>2.156270749999976</v>
      </c>
      <c r="F14" s="9">
        <f>INDEX(F4:F13, MATCH($D$14, D4:D13, 0))</f>
        <v>3</v>
      </c>
      <c r="G14" s="9">
        <f>INDEX(G4:G13, MATCH($D$14, D4:D13, 0))</f>
        <v>100</v>
      </c>
      <c r="H14" s="22">
        <f>INDEX(H4:H13, MATCH($D$14, D4:D13, 0))</f>
        <v>0</v>
      </c>
      <c r="I14" s="22">
        <f>INDEX(I4:I13, MATCH($D$14, D4:D13, 0))</f>
        <v>10.987230587767863</v>
      </c>
      <c r="J14" s="22">
        <f>INDEX(J4:J13, MATCH($D$14, D4:D13, 0))</f>
        <v>858.11774828434932</v>
      </c>
      <c r="K14" s="32"/>
      <c r="L14" s="16">
        <f>MIN(L4:L13)</f>
        <v>35292.740544844681</v>
      </c>
      <c r="M14" s="21">
        <f>INDEX(M4:M13, MATCH($L$14, L4:L13, 0))</f>
        <v>1.9364705840016541</v>
      </c>
      <c r="N14" s="16">
        <f>INDEX(N4:N13, MATCH($L$14, L4:L13, 0))</f>
        <v>3</v>
      </c>
      <c r="O14" s="16">
        <f>INDEX(O4:O13, MATCH($L$14, L4:L13, 0))</f>
        <v>100</v>
      </c>
      <c r="P14" s="21">
        <f>INDEX(P4:P13, MATCH($L$14, L4:L13, 0))</f>
        <v>0</v>
      </c>
      <c r="Q14" s="21">
        <f>INDEX(Q4:Q13, MATCH($L$14, L4:L13, 0))</f>
        <v>10.987230587767863</v>
      </c>
      <c r="R14" s="21">
        <f>INDEX(R4:R13, MATCH($L$14, L4:L13, 0))</f>
        <v>858.11774828434932</v>
      </c>
      <c r="S14" s="36" t="e">
        <f>(L14-$D$15)/$D$15</f>
        <v>#DIV/0!</v>
      </c>
      <c r="T14" s="38">
        <f>MIN(T4:T13)</f>
        <v>34757.182514669403</v>
      </c>
      <c r="U14" s="39">
        <f>INDEX(U4:U13, MATCH($T$14, T4:T13, 0))</f>
        <v>1.7414098750014091</v>
      </c>
      <c r="V14" s="38">
        <f>INDEX(V4:V13, MATCH($T$14, T4:T13, 0))</f>
        <v>3</v>
      </c>
      <c r="W14" s="38">
        <f>INDEX(W4:W13, MATCH($T$14, T4:T13, 0))</f>
        <v>100</v>
      </c>
      <c r="X14" s="39">
        <f>INDEX(X4:X13, MATCH($T$14, T4:T13, 0))</f>
        <v>0</v>
      </c>
      <c r="Y14" s="39">
        <f>INDEX(Y4:Y13, MATCH($T$14, T4:T13, 0))</f>
        <v>25.435833387794471</v>
      </c>
      <c r="Z14" s="39">
        <f>INDEX(Z4:Z13, MATCH($T$14, T4:T13, 0))</f>
        <v>1260.8654221900638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5:C1048576 C3:C13">
    <cfRule type="duplicateValues" dxfId="57" priority="7"/>
    <cfRule type="duplicateValues" dxfId="56" priority="8"/>
  </conditionalFormatting>
  <conditionalFormatting sqref="C14">
    <cfRule type="duplicateValues" dxfId="55" priority="3"/>
    <cfRule type="duplicateValues" dxfId="54" priority="4"/>
  </conditionalFormatting>
  <conditionalFormatting sqref="C2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5649-EE28-9148-B54E-612B05F5B42C}">
  <dimension ref="B1:AA17"/>
  <sheetViews>
    <sheetView zoomScale="118" zoomScaleNormal="120" workbookViewId="0">
      <selection activeCell="A2" sqref="A2:XFD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R2" s="1">
        <f>(R14-J14)/J14</f>
        <v>-1.6276789905930945E-2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414</v>
      </c>
      <c r="D4" s="23">
        <v>35940.295819452047</v>
      </c>
      <c r="E4" s="33">
        <v>2.019750417000068</v>
      </c>
      <c r="F4" s="5">
        <v>3</v>
      </c>
      <c r="G4" s="23">
        <v>100</v>
      </c>
      <c r="H4" s="33">
        <v>0</v>
      </c>
      <c r="I4" s="23">
        <v>10.306385978211763</v>
      </c>
      <c r="J4" s="5">
        <v>860.19753575560446</v>
      </c>
      <c r="K4" s="31"/>
      <c r="L4" s="23">
        <v>40291.252987146901</v>
      </c>
      <c r="M4" s="33">
        <v>2.1680942909988521</v>
      </c>
      <c r="N4" s="5">
        <v>3</v>
      </c>
      <c r="O4" s="5">
        <v>90</v>
      </c>
      <c r="P4" s="33">
        <v>0</v>
      </c>
      <c r="Q4" s="5">
        <v>8.6791481124417889</v>
      </c>
      <c r="R4" s="5">
        <v>846.19628118851097</v>
      </c>
      <c r="S4" s="35"/>
      <c r="T4" s="23">
        <v>36282.392983330908</v>
      </c>
      <c r="U4" s="33">
        <v>1.8131232499999901</v>
      </c>
      <c r="V4" s="5">
        <v>3</v>
      </c>
      <c r="W4" s="5">
        <v>100</v>
      </c>
      <c r="X4" s="33">
        <v>0</v>
      </c>
      <c r="Y4" s="5">
        <v>22.314357225309703</v>
      </c>
      <c r="Z4" s="5">
        <v>1237.9888633333449</v>
      </c>
      <c r="AA4" s="35"/>
    </row>
    <row r="5" spans="2:27" x14ac:dyDescent="0.2">
      <c r="B5" s="4">
        <v>2</v>
      </c>
      <c r="C5" s="4">
        <v>315</v>
      </c>
      <c r="D5" s="23">
        <v>35940.295819452047</v>
      </c>
      <c r="E5" s="33">
        <v>2.047769458000062</v>
      </c>
      <c r="F5" s="5">
        <v>3</v>
      </c>
      <c r="G5" s="23">
        <v>100</v>
      </c>
      <c r="H5" s="33">
        <v>0</v>
      </c>
      <c r="I5" s="23">
        <v>10.306385978211763</v>
      </c>
      <c r="J5" s="5">
        <v>860.19753575560446</v>
      </c>
      <c r="K5" s="31"/>
      <c r="L5" s="23">
        <v>40675.063547974547</v>
      </c>
      <c r="M5" s="33">
        <v>1.99313500000062</v>
      </c>
      <c r="N5" s="5">
        <v>2</v>
      </c>
      <c r="O5" s="5">
        <v>70</v>
      </c>
      <c r="P5" s="33">
        <v>0</v>
      </c>
      <c r="Q5" s="5">
        <v>9.2699827221036415</v>
      </c>
      <c r="R5" s="5">
        <v>1038.3595764809595</v>
      </c>
      <c r="S5" s="35"/>
      <c r="T5" s="23">
        <v>36282.392983330908</v>
      </c>
      <c r="U5" s="33">
        <v>2.0222726660013</v>
      </c>
      <c r="V5" s="5">
        <v>3</v>
      </c>
      <c r="W5" s="5">
        <v>100</v>
      </c>
      <c r="X5" s="33">
        <v>0</v>
      </c>
      <c r="Y5" s="5">
        <v>22.314357225309703</v>
      </c>
      <c r="Z5" s="5">
        <v>1237.9888633333449</v>
      </c>
      <c r="AA5" s="35"/>
    </row>
    <row r="6" spans="2:27" x14ac:dyDescent="0.2">
      <c r="B6" s="4">
        <v>3</v>
      </c>
      <c r="C6" s="4">
        <v>640</v>
      </c>
      <c r="D6" s="23">
        <v>35940.295819452047</v>
      </c>
      <c r="E6" s="33">
        <v>2.050392459000022</v>
      </c>
      <c r="F6" s="5">
        <v>3</v>
      </c>
      <c r="G6" s="23">
        <v>100</v>
      </c>
      <c r="H6" s="33">
        <v>0</v>
      </c>
      <c r="I6" s="23">
        <v>10.306385978211763</v>
      </c>
      <c r="J6" s="5">
        <v>860.19753575560446</v>
      </c>
      <c r="K6" s="31"/>
      <c r="L6" s="23">
        <v>40675.063547974547</v>
      </c>
      <c r="M6" s="33">
        <v>2.3255964999989369</v>
      </c>
      <c r="N6" s="5">
        <v>2</v>
      </c>
      <c r="O6" s="5">
        <v>70</v>
      </c>
      <c r="P6" s="33">
        <v>0</v>
      </c>
      <c r="Q6" s="5">
        <v>9.2699827221036415</v>
      </c>
      <c r="R6" s="5">
        <v>1038.3595764809595</v>
      </c>
      <c r="S6" s="35"/>
      <c r="T6" s="23">
        <v>36282.392983330908</v>
      </c>
      <c r="U6" s="33">
        <v>1.9867920000015149</v>
      </c>
      <c r="V6" s="5">
        <v>3</v>
      </c>
      <c r="W6" s="5">
        <v>100</v>
      </c>
      <c r="X6" s="33">
        <v>0</v>
      </c>
      <c r="Y6" s="5">
        <v>22.314357225309703</v>
      </c>
      <c r="Z6" s="5">
        <v>1237.9888633333449</v>
      </c>
      <c r="AA6" s="35"/>
    </row>
    <row r="7" spans="2:27" x14ac:dyDescent="0.2">
      <c r="B7" s="4">
        <v>4</v>
      </c>
      <c r="C7" s="4">
        <v>737</v>
      </c>
      <c r="D7" s="23">
        <v>35940.295819452047</v>
      </c>
      <c r="E7" s="33">
        <v>1.860013249999952</v>
      </c>
      <c r="F7" s="5">
        <v>3</v>
      </c>
      <c r="G7" s="23">
        <v>100</v>
      </c>
      <c r="H7" s="33">
        <v>0</v>
      </c>
      <c r="I7" s="23">
        <v>10.306385978211763</v>
      </c>
      <c r="J7" s="5">
        <v>860.19753575560446</v>
      </c>
      <c r="K7" s="31"/>
      <c r="L7" s="23">
        <v>40291.252987146901</v>
      </c>
      <c r="M7" s="33">
        <v>2.1792161670000501</v>
      </c>
      <c r="N7" s="5">
        <v>3</v>
      </c>
      <c r="O7" s="5">
        <v>90</v>
      </c>
      <c r="P7" s="33">
        <v>0</v>
      </c>
      <c r="Q7" s="5">
        <v>8.6791481124417889</v>
      </c>
      <c r="R7" s="5">
        <v>846.19628118851097</v>
      </c>
      <c r="S7" s="35"/>
      <c r="T7" s="23">
        <v>36282.392983330908</v>
      </c>
      <c r="U7" s="33">
        <v>2.0148400830003079</v>
      </c>
      <c r="V7" s="5">
        <v>3</v>
      </c>
      <c r="W7" s="5">
        <v>100</v>
      </c>
      <c r="X7" s="33">
        <v>0</v>
      </c>
      <c r="Y7" s="5">
        <v>22.314357225309703</v>
      </c>
      <c r="Z7" s="5">
        <v>1237.9888633333449</v>
      </c>
      <c r="AA7" s="35"/>
    </row>
    <row r="8" spans="2:27" x14ac:dyDescent="0.2">
      <c r="B8" s="4">
        <v>5</v>
      </c>
      <c r="C8" s="4">
        <v>853</v>
      </c>
      <c r="D8" s="23">
        <v>35940.295819452047</v>
      </c>
      <c r="E8" s="33">
        <v>2.0312361250000781</v>
      </c>
      <c r="F8" s="5">
        <v>3</v>
      </c>
      <c r="G8" s="23">
        <v>100</v>
      </c>
      <c r="H8" s="33">
        <v>0</v>
      </c>
      <c r="I8" s="23">
        <v>10.306385978211763</v>
      </c>
      <c r="J8" s="5">
        <v>860.19753575560446</v>
      </c>
      <c r="K8" s="31"/>
      <c r="L8" s="23">
        <v>41886.158470040536</v>
      </c>
      <c r="M8" s="33">
        <v>1.61506054200072</v>
      </c>
      <c r="N8" s="5">
        <v>3</v>
      </c>
      <c r="O8" s="5">
        <v>90</v>
      </c>
      <c r="P8" s="33">
        <v>0</v>
      </c>
      <c r="Q8" s="5">
        <v>8.5938645490479377</v>
      </c>
      <c r="R8" s="5">
        <v>1014.3713097372893</v>
      </c>
      <c r="S8" s="35"/>
      <c r="T8" s="23">
        <v>36282.392983330908</v>
      </c>
      <c r="U8" s="33">
        <v>1.984616040999754</v>
      </c>
      <c r="V8" s="5">
        <v>3</v>
      </c>
      <c r="W8" s="5">
        <v>100</v>
      </c>
      <c r="X8" s="33">
        <v>0</v>
      </c>
      <c r="Y8" s="5">
        <v>22.314357225309703</v>
      </c>
      <c r="Z8" s="5">
        <v>1237.9888633333449</v>
      </c>
      <c r="AA8" s="35"/>
    </row>
    <row r="9" spans="2:27" x14ac:dyDescent="0.2">
      <c r="B9" s="4">
        <v>6</v>
      </c>
      <c r="C9" s="4">
        <v>221</v>
      </c>
      <c r="D9" s="23">
        <v>35940.295819452047</v>
      </c>
      <c r="E9" s="33">
        <v>1.8286819160002781</v>
      </c>
      <c r="F9" s="5">
        <v>3</v>
      </c>
      <c r="G9" s="23">
        <v>100</v>
      </c>
      <c r="H9" s="33">
        <v>0</v>
      </c>
      <c r="I9" s="23">
        <v>10.306385978211763</v>
      </c>
      <c r="J9" s="5">
        <v>860.19753575560446</v>
      </c>
      <c r="K9" s="31"/>
      <c r="L9" s="23">
        <v>40291.252987146901</v>
      </c>
      <c r="M9" s="33">
        <v>2.2046652499993802</v>
      </c>
      <c r="N9" s="5">
        <v>3</v>
      </c>
      <c r="O9" s="5">
        <v>90</v>
      </c>
      <c r="P9" s="33">
        <v>0</v>
      </c>
      <c r="Q9" s="5">
        <v>8.6791481124417889</v>
      </c>
      <c r="R9" s="5">
        <v>846.19628118851097</v>
      </c>
      <c r="S9" s="35"/>
      <c r="T9" s="23">
        <v>36282.392983330908</v>
      </c>
      <c r="U9" s="33">
        <v>1.990641333000895</v>
      </c>
      <c r="V9" s="5">
        <v>3</v>
      </c>
      <c r="W9" s="5">
        <v>100</v>
      </c>
      <c r="X9" s="33">
        <v>0</v>
      </c>
      <c r="Y9" s="5">
        <v>22.314357225309703</v>
      </c>
      <c r="Z9" s="5">
        <v>1237.9888633333449</v>
      </c>
      <c r="AA9" s="35"/>
    </row>
    <row r="10" spans="2:27" x14ac:dyDescent="0.2">
      <c r="B10" s="4">
        <v>7</v>
      </c>
      <c r="C10" s="4">
        <v>928</v>
      </c>
      <c r="D10" s="23">
        <v>35940.295819452047</v>
      </c>
      <c r="E10" s="33">
        <v>1.839662917000169</v>
      </c>
      <c r="F10" s="5">
        <v>3</v>
      </c>
      <c r="G10" s="23">
        <v>100</v>
      </c>
      <c r="H10" s="33">
        <v>0</v>
      </c>
      <c r="I10" s="23">
        <v>10.306385978211763</v>
      </c>
      <c r="J10" s="5">
        <v>860.19753575560446</v>
      </c>
      <c r="K10" s="31"/>
      <c r="L10" s="23">
        <v>40291.252987146901</v>
      </c>
      <c r="M10" s="33">
        <v>1.958357416999206</v>
      </c>
      <c r="N10" s="5">
        <v>3</v>
      </c>
      <c r="O10" s="5">
        <v>90</v>
      </c>
      <c r="P10" s="33">
        <v>0</v>
      </c>
      <c r="Q10" s="5">
        <v>8.6791481124417889</v>
      </c>
      <c r="R10" s="5">
        <v>846.19628118851097</v>
      </c>
      <c r="S10" s="35"/>
      <c r="T10" s="23">
        <v>36282.392983330908</v>
      </c>
      <c r="U10" s="33">
        <v>1.981212917000448</v>
      </c>
      <c r="V10" s="5">
        <v>3</v>
      </c>
      <c r="W10" s="5">
        <v>100</v>
      </c>
      <c r="X10" s="33">
        <v>0</v>
      </c>
      <c r="Y10" s="5">
        <v>22.314357225309703</v>
      </c>
      <c r="Z10" s="5">
        <v>1237.9888633333449</v>
      </c>
      <c r="AA10" s="35"/>
    </row>
    <row r="11" spans="2:27" x14ac:dyDescent="0.2">
      <c r="B11" s="4">
        <v>8</v>
      </c>
      <c r="C11" s="4">
        <v>864</v>
      </c>
      <c r="D11" s="23">
        <v>35940.295819452047</v>
      </c>
      <c r="E11" s="33">
        <v>1.9922154170003521</v>
      </c>
      <c r="F11" s="5">
        <v>3</v>
      </c>
      <c r="G11" s="23">
        <v>100</v>
      </c>
      <c r="H11" s="33">
        <v>0</v>
      </c>
      <c r="I11" s="23">
        <v>10.306385978211763</v>
      </c>
      <c r="J11" s="5">
        <v>860.19753575560446</v>
      </c>
      <c r="K11" s="31"/>
      <c r="L11" s="23">
        <v>43895.791728931523</v>
      </c>
      <c r="M11" s="33">
        <v>1.7662978339994879</v>
      </c>
      <c r="N11" s="5">
        <v>2</v>
      </c>
      <c r="O11" s="5">
        <v>60</v>
      </c>
      <c r="P11" s="33">
        <v>0</v>
      </c>
      <c r="Q11" s="5">
        <v>8.2499012219931629</v>
      </c>
      <c r="R11" s="5">
        <v>890.38709153288244</v>
      </c>
      <c r="S11" s="35"/>
      <c r="T11" s="23">
        <v>36282.392983330908</v>
      </c>
      <c r="U11" s="33">
        <v>2.0046666660000478</v>
      </c>
      <c r="V11" s="5">
        <v>3</v>
      </c>
      <c r="W11" s="5">
        <v>100</v>
      </c>
      <c r="X11" s="33">
        <v>0</v>
      </c>
      <c r="Y11" s="5">
        <v>22.314357225309703</v>
      </c>
      <c r="Z11" s="5">
        <v>1237.9888633333449</v>
      </c>
      <c r="AA11" s="35"/>
    </row>
    <row r="12" spans="2:27" x14ac:dyDescent="0.2">
      <c r="B12" s="4">
        <v>9</v>
      </c>
      <c r="C12" s="4">
        <v>73</v>
      </c>
      <c r="D12" s="23">
        <v>35940.295819452047</v>
      </c>
      <c r="E12" s="33">
        <v>2.002555124999617</v>
      </c>
      <c r="F12" s="5">
        <v>3</v>
      </c>
      <c r="G12" s="23">
        <v>100</v>
      </c>
      <c r="H12" s="33">
        <v>0</v>
      </c>
      <c r="I12" s="23">
        <v>10.306385978211763</v>
      </c>
      <c r="J12" s="5">
        <v>860.19753575560446</v>
      </c>
      <c r="K12" s="31"/>
      <c r="L12" s="23">
        <v>40675.063547974547</v>
      </c>
      <c r="M12" s="33">
        <v>2.6753179169991199</v>
      </c>
      <c r="N12" s="5">
        <v>2</v>
      </c>
      <c r="O12" s="5">
        <v>70</v>
      </c>
      <c r="P12" s="33">
        <v>0</v>
      </c>
      <c r="Q12" s="5">
        <v>9.2699827221036415</v>
      </c>
      <c r="R12" s="5">
        <v>1038.3595764809595</v>
      </c>
      <c r="S12" s="35"/>
      <c r="T12" s="23">
        <v>36282.392983330908</v>
      </c>
      <c r="U12" s="33">
        <v>1.990855209000074</v>
      </c>
      <c r="V12" s="5">
        <v>3</v>
      </c>
      <c r="W12" s="5">
        <v>100</v>
      </c>
      <c r="X12" s="33">
        <v>0</v>
      </c>
      <c r="Y12" s="5">
        <v>22.314357225309703</v>
      </c>
      <c r="Z12" s="5">
        <v>1237.9888633333449</v>
      </c>
      <c r="AA12" s="35"/>
    </row>
    <row r="13" spans="2:27" x14ac:dyDescent="0.2">
      <c r="B13" s="4">
        <v>10</v>
      </c>
      <c r="C13" s="4">
        <v>958</v>
      </c>
      <c r="D13" s="23">
        <v>35940.295819452047</v>
      </c>
      <c r="E13" s="33">
        <v>2.004741040999761</v>
      </c>
      <c r="F13" s="5">
        <v>3</v>
      </c>
      <c r="G13" s="23">
        <v>100</v>
      </c>
      <c r="H13" s="33">
        <v>0</v>
      </c>
      <c r="I13" s="23">
        <v>10.306385978211763</v>
      </c>
      <c r="J13" s="5">
        <v>860.19753575560446</v>
      </c>
      <c r="K13" s="31"/>
      <c r="L13" s="23">
        <v>40675.063547974547</v>
      </c>
      <c r="M13" s="33">
        <v>1.5028409999995349</v>
      </c>
      <c r="N13" s="5">
        <v>2</v>
      </c>
      <c r="O13" s="5">
        <v>70</v>
      </c>
      <c r="P13" s="33">
        <v>0</v>
      </c>
      <c r="Q13" s="5">
        <v>9.2699827221036415</v>
      </c>
      <c r="R13" s="5">
        <v>1038.3595764809595</v>
      </c>
      <c r="S13" s="35"/>
      <c r="T13" s="23">
        <v>36282.392983330908</v>
      </c>
      <c r="U13" s="33">
        <v>1.9906131249990719</v>
      </c>
      <c r="V13" s="5">
        <v>3</v>
      </c>
      <c r="W13" s="5">
        <v>100</v>
      </c>
      <c r="X13" s="33">
        <v>0</v>
      </c>
      <c r="Y13" s="5">
        <v>22.314357225309703</v>
      </c>
      <c r="Z13" s="5">
        <v>1237.9888633333449</v>
      </c>
      <c r="AA13" s="35"/>
    </row>
    <row r="14" spans="2:27" x14ac:dyDescent="0.2">
      <c r="B14" s="46" t="s">
        <v>3</v>
      </c>
      <c r="C14" s="47"/>
      <c r="D14" s="9">
        <f>MIN(D4:D13)</f>
        <v>35940.295819452047</v>
      </c>
      <c r="E14" s="22">
        <f>INDEX(E4:E13, MATCH($D$14, D4:D13, 0))</f>
        <v>2.019750417000068</v>
      </c>
      <c r="F14" s="9">
        <f>INDEX(F4:F13, MATCH($D$14, D4:D13, 0))</f>
        <v>3</v>
      </c>
      <c r="G14" s="9">
        <f>INDEX(G4:G13, MATCH($D$14, D4:D13, 0))</f>
        <v>100</v>
      </c>
      <c r="H14" s="22">
        <f>INDEX(H4:H13, MATCH($D$14, D4:D13, 0))</f>
        <v>0</v>
      </c>
      <c r="I14" s="22">
        <f>INDEX(I4:I13, MATCH($D$14, D4:D13, 0))</f>
        <v>10.306385978211763</v>
      </c>
      <c r="J14" s="22">
        <f>INDEX(J4:J13, MATCH($D$14, D4:D13, 0))</f>
        <v>860.19753575560446</v>
      </c>
      <c r="K14" s="32"/>
      <c r="L14" s="16">
        <f>MIN(L4:L13)</f>
        <v>40291.252987146901</v>
      </c>
      <c r="M14" s="21">
        <f>INDEX(M4:M13, MATCH($L$14, L4:L13, 0))</f>
        <v>2.1680942909988521</v>
      </c>
      <c r="N14" s="16">
        <f>INDEX(N4:N13, MATCH($L$14, L4:L13, 0))</f>
        <v>3</v>
      </c>
      <c r="O14" s="16">
        <f>INDEX(O4:O13, MATCH($L$14, L4:L13, 0))</f>
        <v>90</v>
      </c>
      <c r="P14" s="21">
        <f>INDEX(P4:P13, MATCH($L$14, L4:L13, 0))</f>
        <v>0</v>
      </c>
      <c r="Q14" s="21">
        <f>INDEX(Q4:Q13, MATCH($L$14, L4:L13, 0))</f>
        <v>8.6791481124417889</v>
      </c>
      <c r="R14" s="21">
        <f>INDEX(R4:R13, MATCH($L$14, L4:L13, 0))</f>
        <v>846.19628118851097</v>
      </c>
      <c r="S14" s="36" t="e">
        <f>(L14-$D$15)/$D$15</f>
        <v>#DIV/0!</v>
      </c>
      <c r="T14" s="38">
        <f>MIN(T4:T13)</f>
        <v>36282.392983330908</v>
      </c>
      <c r="U14" s="39">
        <f>INDEX(U4:U13, MATCH($T$14, T4:T13, 0))</f>
        <v>1.8131232499999901</v>
      </c>
      <c r="V14" s="38">
        <f>INDEX(V4:V13, MATCH($T$14, T4:T13, 0))</f>
        <v>3</v>
      </c>
      <c r="W14" s="38">
        <f>INDEX(W4:W13, MATCH($T$14, T4:T13, 0))</f>
        <v>100</v>
      </c>
      <c r="X14" s="39">
        <f>INDEX(X4:X13, MATCH($T$14, T4:T13, 0))</f>
        <v>0</v>
      </c>
      <c r="Y14" s="39">
        <f>INDEX(Y4:Y13, MATCH($T$14, T4:T13, 0))</f>
        <v>22.314357225309703</v>
      </c>
      <c r="Z14" s="39">
        <f>INDEX(Z4:Z13, MATCH($T$14, T4:T13, 0))</f>
        <v>1237.9888633333449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53" priority="3"/>
    <cfRule type="duplicateValues" dxfId="52" priority="4"/>
  </conditionalFormatting>
  <conditionalFormatting sqref="C15:C1048576 C1 C3:C13">
    <cfRule type="duplicateValues" dxfId="51" priority="7"/>
    <cfRule type="duplicateValues" dxfId="50" priority="8"/>
  </conditionalFormatting>
  <conditionalFormatting sqref="C2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results42</vt:lpstr>
      <vt:lpstr>results43</vt:lpstr>
      <vt:lpstr>results456</vt:lpstr>
      <vt:lpstr>results464</vt:lpstr>
      <vt:lpstr>results619</vt:lpstr>
      <vt:lpstr>results684</vt:lpstr>
      <vt:lpstr>results690</vt:lpstr>
      <vt:lpstr>results702</vt:lpstr>
      <vt:lpstr>results810</vt:lpstr>
      <vt:lpstr>results959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2026-10-15T21:24:07Z</dcterms:modified>
</cp:coreProperties>
</file>