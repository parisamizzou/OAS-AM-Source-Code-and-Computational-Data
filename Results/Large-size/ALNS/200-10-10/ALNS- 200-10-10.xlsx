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ALNS/200-10-10/"/>
    </mc:Choice>
  </mc:AlternateContent>
  <xr:revisionPtr revIDLastSave="0" documentId="13_ncr:1_{52F61435-FF3B-5B43-B7D5-94CF322D2BE3}" xr6:coauthVersionLast="47" xr6:coauthVersionMax="47" xr10:uidLastSave="{00000000-0000-0000-0000-000000000000}"/>
  <bookViews>
    <workbookView xWindow="0" yWindow="740" windowWidth="34560" windowHeight="21600" tabRatio="858" activeTab="10" xr2:uid="{41E620E7-D6DF-9342-B452-EA60AB3B07C5}"/>
  </bookViews>
  <sheets>
    <sheet name="Summary" sheetId="68" r:id="rId1"/>
    <sheet name="results98" sheetId="58" r:id="rId2"/>
    <sheet name="results199" sheetId="69" r:id="rId3"/>
    <sheet name="results364" sheetId="70" r:id="rId4"/>
    <sheet name="results515" sheetId="71" r:id="rId5"/>
    <sheet name="results526" sheetId="72" r:id="rId6"/>
    <sheet name="results582" sheetId="76" r:id="rId7"/>
    <sheet name="results600" sheetId="77" r:id="rId8"/>
    <sheet name="results664" sheetId="73" r:id="rId9"/>
    <sheet name="results890" sheetId="74" r:id="rId10"/>
    <sheet name="results989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75" l="1"/>
  <c r="J14" i="75"/>
  <c r="I14" i="75"/>
  <c r="H14" i="75"/>
  <c r="D14" i="75"/>
  <c r="G14" i="75" s="1"/>
  <c r="D14" i="74"/>
  <c r="G14" i="74" s="1"/>
  <c r="K14" i="73"/>
  <c r="J14" i="73"/>
  <c r="I14" i="73"/>
  <c r="H14" i="73"/>
  <c r="G14" i="73"/>
  <c r="D14" i="73"/>
  <c r="F14" i="73" s="1"/>
  <c r="K14" i="77"/>
  <c r="J14" i="77"/>
  <c r="I14" i="77"/>
  <c r="H14" i="77"/>
  <c r="D14" i="77"/>
  <c r="G14" i="77" s="1"/>
  <c r="K14" i="76"/>
  <c r="J14" i="76"/>
  <c r="I14" i="76"/>
  <c r="H14" i="76"/>
  <c r="D14" i="76"/>
  <c r="G14" i="76" s="1"/>
  <c r="K14" i="72"/>
  <c r="J14" i="72"/>
  <c r="I14" i="72"/>
  <c r="H14" i="72"/>
  <c r="D14" i="72"/>
  <c r="G14" i="72" s="1"/>
  <c r="K14" i="71"/>
  <c r="J14" i="71"/>
  <c r="I14" i="71"/>
  <c r="H14" i="71"/>
  <c r="D14" i="71"/>
  <c r="G14" i="71" s="1"/>
  <c r="K14" i="70"/>
  <c r="J14" i="70"/>
  <c r="I14" i="70"/>
  <c r="H14" i="70"/>
  <c r="D14" i="70"/>
  <c r="G14" i="70" s="1"/>
  <c r="K14" i="69"/>
  <c r="J14" i="69"/>
  <c r="I14" i="69"/>
  <c r="H14" i="69"/>
  <c r="D14" i="69"/>
  <c r="G14" i="69" s="1"/>
  <c r="T14" i="58"/>
  <c r="AA14" i="58" s="1"/>
  <c r="D14" i="58"/>
  <c r="G14" i="58" s="1"/>
  <c r="E14" i="75" l="1"/>
  <c r="F14" i="75"/>
  <c r="H14" i="74"/>
  <c r="I14" i="74"/>
  <c r="J14" i="74"/>
  <c r="K14" i="74"/>
  <c r="E14" i="74"/>
  <c r="F14" i="74"/>
  <c r="E14" i="73"/>
  <c r="E14" i="77"/>
  <c r="F14" i="77"/>
  <c r="E14" i="76"/>
  <c r="F14" i="76"/>
  <c r="E14" i="72"/>
  <c r="F14" i="72"/>
  <c r="E14" i="71"/>
  <c r="F14" i="71"/>
  <c r="E14" i="70"/>
  <c r="F14" i="70"/>
  <c r="E14" i="69"/>
  <c r="F14" i="69"/>
  <c r="V14" i="58"/>
  <c r="W14" i="58"/>
  <c r="H14" i="58"/>
  <c r="I14" i="58"/>
  <c r="J14" i="58"/>
  <c r="K14" i="58"/>
  <c r="Y14" i="58"/>
  <c r="F14" i="58"/>
  <c r="Z14" i="58"/>
  <c r="U14" i="58"/>
  <c r="X14" i="58"/>
  <c r="E14" i="58"/>
  <c r="V10" i="68" a="1"/>
  <c r="W3" i="68" a="1"/>
  <c r="G5" i="68" a="1"/>
  <c r="H8" i="68" a="1"/>
  <c r="H10" i="68" a="1"/>
  <c r="H12" i="68" a="1"/>
  <c r="I9" i="68" a="1"/>
  <c r="G8" i="68" a="1"/>
  <c r="C6" i="68" a="1"/>
  <c r="G11" i="68" a="1"/>
  <c r="Y3" i="68" a="1"/>
  <c r="D7" i="68" a="1"/>
  <c r="F4" i="68" a="1"/>
  <c r="D4" i="68" a="1"/>
  <c r="I12" i="68" a="1"/>
  <c r="F9" i="68" a="1"/>
  <c r="E3" i="68" a="1"/>
  <c r="U11" i="68" a="1"/>
  <c r="X4" i="68" a="1"/>
  <c r="Y4" i="68" a="1"/>
  <c r="X10" i="68" a="1"/>
  <c r="D11" i="68" a="1"/>
  <c r="H11" i="68" a="1"/>
  <c r="V7" i="68" a="1"/>
  <c r="X9" i="68" a="1"/>
  <c r="I5" i="68" a="1"/>
  <c r="E8" i="68" a="1"/>
  <c r="T3" i="68" a="1"/>
  <c r="C12" i="68" a="1"/>
  <c r="F6" i="68" a="1"/>
  <c r="I8" i="68" a="1"/>
  <c r="I6" i="68" a="1"/>
  <c r="Y10" i="68" a="1"/>
  <c r="C10" i="68" a="1"/>
  <c r="H6" i="68" a="1"/>
  <c r="F3" i="68" a="1"/>
  <c r="W7" i="68" a="1"/>
  <c r="C3" i="68" a="1"/>
  <c r="I3" i="68" a="1"/>
  <c r="I11" i="68" a="1"/>
  <c r="E6" i="68" a="1"/>
  <c r="E9" i="68" a="1"/>
  <c r="G7" i="68" a="1"/>
  <c r="H7" i="68" a="1"/>
  <c r="F8" i="68" a="1"/>
  <c r="I7" i="68" a="1"/>
  <c r="G12" i="68" a="1"/>
  <c r="S12" i="68" a="1"/>
  <c r="G6" i="68" a="1"/>
  <c r="X11" i="68" a="1"/>
  <c r="Y11" i="68" a="1"/>
  <c r="X12" i="68" a="1"/>
  <c r="X6" i="68" a="1"/>
  <c r="V3" i="68" a="1"/>
  <c r="W9" i="68" a="1"/>
  <c r="E7" i="68" a="1"/>
  <c r="V12" i="68" a="1"/>
  <c r="F7" i="68" a="1"/>
  <c r="W6" i="68" a="1"/>
  <c r="D5" i="68" a="1"/>
  <c r="E11" i="68" a="1"/>
  <c r="S7" i="68" a="1"/>
  <c r="H4" i="68" a="1"/>
  <c r="D10" i="68" a="1"/>
  <c r="W8" i="68" a="1"/>
  <c r="V4" i="68" a="1"/>
  <c r="Y9" i="68" a="1"/>
  <c r="S9" i="68" a="1"/>
  <c r="Y8" i="68" a="1"/>
  <c r="D12" i="68" a="1"/>
  <c r="G9" i="68" a="1"/>
  <c r="E4" i="68" a="1"/>
  <c r="U4" i="68" a="1"/>
  <c r="G3" i="68" a="1"/>
  <c r="D8" i="68" a="1"/>
  <c r="E10" i="68" a="1"/>
  <c r="C8" i="68" a="1"/>
  <c r="U8" i="68" a="1"/>
  <c r="F11" i="68" a="1"/>
  <c r="F5" i="68" a="1"/>
  <c r="E5" i="68" a="1"/>
  <c r="Y6" i="68" a="1"/>
  <c r="C7" i="68" a="1"/>
  <c r="S11" i="68" a="1"/>
  <c r="Y7" i="68" a="1"/>
  <c r="V8" i="68" a="1"/>
  <c r="C4" i="68" a="1"/>
  <c r="W10" i="68" a="1"/>
  <c r="H5" i="68" a="1"/>
  <c r="W4" i="68" a="1"/>
  <c r="U12" i="68" a="1"/>
  <c r="S3" i="68" a="1"/>
  <c r="I4" i="68" a="1"/>
  <c r="U10" i="68" a="1"/>
  <c r="F10" i="68" a="1"/>
  <c r="D9" i="68" a="1"/>
  <c r="S10" i="68" a="1"/>
  <c r="V6" i="68" a="1"/>
  <c r="C5" i="68" a="1"/>
  <c r="S8" i="68" a="1"/>
  <c r="V9" i="68" a="1"/>
  <c r="C9" i="68" a="1"/>
  <c r="E12" i="68" a="1"/>
  <c r="S4" i="68" a="1"/>
  <c r="D6" i="68" a="1"/>
  <c r="G4" i="68" a="1"/>
  <c r="H9" i="68" a="1"/>
  <c r="G10" i="68" a="1"/>
  <c r="H3" i="68" a="1"/>
  <c r="X3" i="68" a="1"/>
  <c r="U3" i="68" a="1"/>
  <c r="X8" i="68" a="1"/>
  <c r="U7" i="68" a="1"/>
  <c r="U6" i="68" a="1"/>
  <c r="V11" i="68" a="1"/>
  <c r="X7" i="68" a="1"/>
  <c r="D3" i="68" a="1"/>
  <c r="S6" i="68" a="1"/>
  <c r="I10" i="68" a="1"/>
  <c r="W12" i="68" a="1"/>
  <c r="C11" i="68" a="1"/>
  <c r="Y12" i="68" a="1"/>
  <c r="F12" i="68" a="1"/>
  <c r="U9" i="68" a="1"/>
  <c r="W11" i="68" a="1"/>
  <c r="U7" i="68" l="1"/>
  <c r="U10" i="68"/>
  <c r="D10" i="68"/>
  <c r="U12" i="68"/>
  <c r="H3" i="68"/>
  <c r="E7" i="68"/>
  <c r="G9" i="68"/>
  <c r="U11" i="68"/>
  <c r="F10" i="68"/>
  <c r="Y7" i="68"/>
  <c r="W4" i="68"/>
  <c r="C6" i="68"/>
  <c r="V11" i="68"/>
  <c r="U9" i="68"/>
  <c r="H9" i="68"/>
  <c r="V9" i="68"/>
  <c r="C9" i="68"/>
  <c r="F9" i="68"/>
  <c r="X8" i="68"/>
  <c r="Y9" i="68"/>
  <c r="G11" i="68"/>
  <c r="U8" i="68"/>
  <c r="X6" i="68"/>
  <c r="V12" i="68"/>
  <c r="D8" i="68"/>
  <c r="H11" i="68"/>
  <c r="G4" i="68"/>
  <c r="C4" i="68"/>
  <c r="Y4" i="68"/>
  <c r="X12" i="68"/>
  <c r="G6" i="68"/>
  <c r="D9" i="68"/>
  <c r="V8" i="68"/>
  <c r="I6" i="68"/>
  <c r="E12" i="68"/>
  <c r="E4" i="68"/>
  <c r="C11" i="68"/>
  <c r="X10" i="68"/>
  <c r="H4" i="68"/>
  <c r="S4" i="68"/>
  <c r="F4" i="68"/>
  <c r="I11" i="68"/>
  <c r="F3" i="68"/>
  <c r="D12" i="68"/>
  <c r="H10" i="68"/>
  <c r="V3" i="68"/>
  <c r="S6" i="68"/>
  <c r="D3" i="68"/>
  <c r="Y12" i="68"/>
  <c r="E6" i="68"/>
  <c r="I5" i="68"/>
  <c r="W11" i="68"/>
  <c r="I3" i="68"/>
  <c r="I10" i="68"/>
  <c r="G7" i="68"/>
  <c r="Y11" i="68"/>
  <c r="G5" i="68"/>
  <c r="Y3" i="68"/>
  <c r="S12" i="68"/>
  <c r="I4" i="68"/>
  <c r="Y6" i="68"/>
  <c r="U4" i="68"/>
  <c r="H8" i="68"/>
  <c r="E9" i="68"/>
  <c r="D5" i="68"/>
  <c r="W10" i="68"/>
  <c r="H7" i="68"/>
  <c r="F7" i="68"/>
  <c r="V7" i="68"/>
  <c r="F12" i="68"/>
  <c r="W3" i="68"/>
  <c r="I12" i="68"/>
  <c r="S7" i="68"/>
  <c r="U6" i="68"/>
  <c r="I9" i="68"/>
  <c r="V4" i="68"/>
  <c r="X7" i="68"/>
  <c r="W9" i="68"/>
  <c r="S11" i="68"/>
  <c r="S3" i="68"/>
  <c r="C12" i="68"/>
  <c r="I8" i="68"/>
  <c r="H6" i="68"/>
  <c r="E5" i="68"/>
  <c r="G3" i="68"/>
  <c r="E8" i="68"/>
  <c r="C5" i="68"/>
  <c r="G10" i="68"/>
  <c r="X4" i="68"/>
  <c r="E10" i="68"/>
  <c r="S10" i="68"/>
  <c r="D7" i="68"/>
  <c r="Y10" i="68"/>
  <c r="G8" i="68"/>
  <c r="C3" i="68"/>
  <c r="T3" i="68"/>
  <c r="W8" i="68"/>
  <c r="W7" i="68"/>
  <c r="X3" i="68"/>
  <c r="V6" i="68"/>
  <c r="D4" i="68"/>
  <c r="G12" i="68"/>
  <c r="X9" i="68"/>
  <c r="H5" i="68"/>
  <c r="H12" i="68"/>
  <c r="S9" i="68"/>
  <c r="E3" i="68"/>
  <c r="V10" i="68"/>
  <c r="C7" i="68"/>
  <c r="S8" i="68"/>
  <c r="C10" i="68"/>
  <c r="I7" i="68"/>
  <c r="W6" i="68"/>
  <c r="F6" i="68"/>
  <c r="U3" i="68"/>
  <c r="F5" i="68"/>
  <c r="D6" i="68"/>
  <c r="E11" i="68"/>
  <c r="X11" i="68"/>
  <c r="D11" i="68"/>
  <c r="Y8" i="68"/>
  <c r="W12" i="68"/>
  <c r="F11" i="68"/>
  <c r="C8" i="68"/>
  <c r="F8" i="68"/>
  <c r="C16" i="68" l="1"/>
  <c r="L14" i="75"/>
  <c r="R14" i="75" s="1"/>
  <c r="L14" i="74"/>
  <c r="R14" i="74" s="1"/>
  <c r="L14" i="77"/>
  <c r="S14" i="77" s="1"/>
  <c r="J2" i="77" s="1"/>
  <c r="L14" i="76"/>
  <c r="S14" i="76" s="1"/>
  <c r="J2" i="76" s="1"/>
  <c r="L14" i="72"/>
  <c r="Q14" i="72" s="1"/>
  <c r="L14" i="71"/>
  <c r="L14" i="70"/>
  <c r="L14" i="69"/>
  <c r="Q14" i="69" s="1"/>
  <c r="L14" i="58"/>
  <c r="L14" i="73"/>
  <c r="S14" i="73" s="1"/>
  <c r="J2" i="73" s="1"/>
  <c r="T14" i="70"/>
  <c r="AA14" i="70" s="1"/>
  <c r="F13" i="68"/>
  <c r="E13" i="68"/>
  <c r="I13" i="68"/>
  <c r="D13" i="68"/>
  <c r="D16" i="68" s="1"/>
  <c r="H13" i="68"/>
  <c r="G13" i="68"/>
  <c r="C13" i="68"/>
  <c r="J13" i="68" s="1"/>
  <c r="T14" i="75"/>
  <c r="U14" i="75" s="1"/>
  <c r="T14" i="74"/>
  <c r="X14" i="74" s="1"/>
  <c r="T14" i="73"/>
  <c r="T14" i="77"/>
  <c r="T14" i="76"/>
  <c r="T14" i="72"/>
  <c r="U14" i="72" s="1"/>
  <c r="T14" i="71"/>
  <c r="T14" i="69"/>
  <c r="X14" i="69" s="1"/>
  <c r="U14" i="74"/>
  <c r="W14" i="74"/>
  <c r="V14" i="74"/>
  <c r="Z14" i="73"/>
  <c r="Y14" i="73"/>
  <c r="X14" i="73"/>
  <c r="W14" i="73"/>
  <c r="V14" i="73"/>
  <c r="U14" i="73"/>
  <c r="AA14" i="73"/>
  <c r="R14" i="73"/>
  <c r="Q14" i="73"/>
  <c r="P14" i="73"/>
  <c r="N14" i="73"/>
  <c r="M14" i="73"/>
  <c r="AA14" i="77"/>
  <c r="Z14" i="77"/>
  <c r="Y14" i="77"/>
  <c r="X14" i="77"/>
  <c r="W14" i="77"/>
  <c r="V14" i="77"/>
  <c r="U14" i="77"/>
  <c r="AA14" i="76"/>
  <c r="W14" i="76"/>
  <c r="U14" i="76"/>
  <c r="Z14" i="76"/>
  <c r="Y14" i="76"/>
  <c r="X14" i="76"/>
  <c r="V14" i="76"/>
  <c r="S14" i="71"/>
  <c r="J2" i="71" s="1"/>
  <c r="R14" i="71"/>
  <c r="Q14" i="71"/>
  <c r="P14" i="71"/>
  <c r="O14" i="71"/>
  <c r="N14" i="71"/>
  <c r="M14" i="71"/>
  <c r="AA14" i="71"/>
  <c r="Z14" i="71"/>
  <c r="Y14" i="71"/>
  <c r="X14" i="71"/>
  <c r="W14" i="71"/>
  <c r="V14" i="71"/>
  <c r="U14" i="71"/>
  <c r="S14" i="70"/>
  <c r="J2" i="70" s="1"/>
  <c r="R14" i="70"/>
  <c r="Q14" i="70"/>
  <c r="P14" i="70"/>
  <c r="O14" i="70"/>
  <c r="N14" i="70"/>
  <c r="M14" i="70"/>
  <c r="S14" i="58"/>
  <c r="Q14" i="58"/>
  <c r="N14" i="58"/>
  <c r="M14" i="58"/>
  <c r="P14" i="58"/>
  <c r="O14" i="58"/>
  <c r="R14" i="58"/>
  <c r="T12" i="68" a="1"/>
  <c r="T11" i="68" a="1"/>
  <c r="T10" i="68" a="1"/>
  <c r="T9" i="68" a="1"/>
  <c r="T8" i="68" a="1"/>
  <c r="T7" i="68" a="1"/>
  <c r="T6" i="68" a="1"/>
  <c r="K11" i="68" a="1"/>
  <c r="M5" i="68" a="1"/>
  <c r="P7" i="68" a="1"/>
  <c r="L10" i="68" a="1"/>
  <c r="L3" i="68" a="1"/>
  <c r="K10" i="68" a="1"/>
  <c r="Q3" i="68" a="1"/>
  <c r="K6" i="68" a="1"/>
  <c r="M3" i="68" a="1"/>
  <c r="O3" i="68" a="1"/>
  <c r="K8" i="68" a="1"/>
  <c r="N6" i="68" a="1"/>
  <c r="P5" i="68" a="1"/>
  <c r="Q5" i="68" a="1"/>
  <c r="Q11" i="68" a="1"/>
  <c r="Q10" i="68" a="1"/>
  <c r="L6" i="68" a="1"/>
  <c r="P6" i="68" a="1"/>
  <c r="M6" i="68" a="1"/>
  <c r="K12" i="68" a="1"/>
  <c r="P10" i="68" a="1"/>
  <c r="N3" i="68" a="1"/>
  <c r="P4" i="68" a="1"/>
  <c r="M10" i="68" a="1"/>
  <c r="Q12" i="68" a="1"/>
  <c r="K4" i="68" a="1"/>
  <c r="N5" i="68" a="1"/>
  <c r="K3" i="68" a="1"/>
  <c r="S5" i="68" a="1"/>
  <c r="K9" i="68" a="1"/>
  <c r="Q6" i="68" a="1"/>
  <c r="P3" i="68" a="1"/>
  <c r="O6" i="68" a="1"/>
  <c r="K7" i="68" a="1"/>
  <c r="O10" i="68" a="1"/>
  <c r="O5" i="68" a="1"/>
  <c r="L5" i="68" a="1"/>
  <c r="K5" i="68" a="1"/>
  <c r="T12" i="68" l="1"/>
  <c r="T11" i="68"/>
  <c r="T10" i="68"/>
  <c r="T9" i="68"/>
  <c r="T8" i="68"/>
  <c r="T7" i="68"/>
  <c r="T6" i="68"/>
  <c r="P14" i="75"/>
  <c r="P2" i="75" s="1"/>
  <c r="O14" i="75"/>
  <c r="S14" i="75"/>
  <c r="J2" i="75" s="1"/>
  <c r="M14" i="75"/>
  <c r="N14" i="75"/>
  <c r="Q14" i="75"/>
  <c r="H2" i="75" s="1"/>
  <c r="K12" i="68"/>
  <c r="M14" i="74"/>
  <c r="N14" i="74"/>
  <c r="P14" i="74"/>
  <c r="X2" i="74" s="1"/>
  <c r="Q14" i="74"/>
  <c r="S14" i="74"/>
  <c r="J2" i="74" s="1"/>
  <c r="O14" i="74"/>
  <c r="K11" i="68"/>
  <c r="P14" i="77"/>
  <c r="X2" i="77" s="1"/>
  <c r="M14" i="77"/>
  <c r="N14" i="77"/>
  <c r="O14" i="77"/>
  <c r="Q14" i="77"/>
  <c r="R14" i="77"/>
  <c r="Z2" i="77" s="1"/>
  <c r="K9" i="68"/>
  <c r="K8" i="68"/>
  <c r="N14" i="76"/>
  <c r="P14" i="76"/>
  <c r="P2" i="76" s="1"/>
  <c r="Q14" i="76"/>
  <c r="M14" i="76"/>
  <c r="R14" i="76"/>
  <c r="O14" i="76"/>
  <c r="P14" i="72"/>
  <c r="P2" i="72" s="1"/>
  <c r="M14" i="72"/>
  <c r="R14" i="72"/>
  <c r="R2" i="72" s="1"/>
  <c r="N14" i="72"/>
  <c r="O14" i="72"/>
  <c r="S14" i="72"/>
  <c r="J2" i="72" s="1"/>
  <c r="K7" i="68"/>
  <c r="K6" i="68"/>
  <c r="K5" i="68"/>
  <c r="R14" i="69"/>
  <c r="S14" i="69"/>
  <c r="J2" i="69" s="1"/>
  <c r="P14" i="69"/>
  <c r="N14" i="69"/>
  <c r="O14" i="69"/>
  <c r="M14" i="69"/>
  <c r="K4" i="68"/>
  <c r="K3" i="68"/>
  <c r="O14" i="73"/>
  <c r="K10" i="68"/>
  <c r="U14" i="70"/>
  <c r="Y14" i="70"/>
  <c r="V14" i="70"/>
  <c r="Z14" i="70"/>
  <c r="Z2" i="70" s="1"/>
  <c r="X14" i="70"/>
  <c r="W14" i="70"/>
  <c r="S5" i="68"/>
  <c r="Q10" i="68"/>
  <c r="P3" i="68"/>
  <c r="O3" i="68"/>
  <c r="L5" i="68"/>
  <c r="Q12" i="68"/>
  <c r="N5" i="68"/>
  <c r="Q11" i="68"/>
  <c r="M3" i="68"/>
  <c r="O5" i="68"/>
  <c r="N6" i="68"/>
  <c r="L10" i="68"/>
  <c r="P4" i="68"/>
  <c r="P5" i="68"/>
  <c r="M10" i="68"/>
  <c r="P7" i="68"/>
  <c r="L6" i="68"/>
  <c r="Q5" i="68"/>
  <c r="P6" i="68"/>
  <c r="N3" i="68"/>
  <c r="P10" i="68"/>
  <c r="L3" i="68"/>
  <c r="M5" i="68"/>
  <c r="M6" i="68"/>
  <c r="O6" i="68"/>
  <c r="Q3" i="68"/>
  <c r="Q6" i="68"/>
  <c r="O10" i="68"/>
  <c r="R2" i="69"/>
  <c r="R2" i="74"/>
  <c r="P2" i="70"/>
  <c r="H2" i="69"/>
  <c r="H2" i="70"/>
  <c r="R2" i="70"/>
  <c r="H2" i="73"/>
  <c r="R2" i="71"/>
  <c r="H2" i="76"/>
  <c r="P2" i="73"/>
  <c r="X14" i="75"/>
  <c r="V14" i="75"/>
  <c r="W14" i="75"/>
  <c r="Y14" i="75"/>
  <c r="Z14" i="75"/>
  <c r="AA14" i="75"/>
  <c r="AA14" i="74"/>
  <c r="Y14" i="74"/>
  <c r="Z14" i="74"/>
  <c r="Z2" i="74" s="1"/>
  <c r="AA14" i="72"/>
  <c r="X14" i="72"/>
  <c r="V14" i="72"/>
  <c r="Y14" i="72"/>
  <c r="Z14" i="72"/>
  <c r="W14" i="72"/>
  <c r="Y14" i="69"/>
  <c r="W14" i="69"/>
  <c r="V14" i="69"/>
  <c r="Z14" i="69"/>
  <c r="AA14" i="69"/>
  <c r="U14" i="69"/>
  <c r="H2" i="71"/>
  <c r="Z2" i="76"/>
  <c r="H2" i="74"/>
  <c r="Z2" i="73"/>
  <c r="X2" i="71"/>
  <c r="X2" i="76"/>
  <c r="H2" i="72"/>
  <c r="P2" i="74"/>
  <c r="X2" i="73"/>
  <c r="R2" i="73"/>
  <c r="H2" i="77"/>
  <c r="P2" i="77"/>
  <c r="Z2" i="71"/>
  <c r="P2" i="71"/>
  <c r="X2" i="69"/>
  <c r="P2" i="69"/>
  <c r="Z2" i="69"/>
  <c r="Z2" i="75"/>
  <c r="R2" i="75"/>
  <c r="J2" i="58"/>
  <c r="T4" i="68" a="1"/>
  <c r="O12" i="68" a="1"/>
  <c r="N9" i="68" a="1"/>
  <c r="N4" i="68" a="1"/>
  <c r="T5" i="68" a="1"/>
  <c r="P11" i="68" a="1"/>
  <c r="N10" i="68" a="1"/>
  <c r="O9" i="68" a="1"/>
  <c r="L12" i="68" a="1"/>
  <c r="L9" i="68" a="1"/>
  <c r="Q9" i="68" a="1"/>
  <c r="M12" i="68" a="1"/>
  <c r="L11" i="68" a="1"/>
  <c r="M4" i="68" a="1"/>
  <c r="L7" i="68" a="1"/>
  <c r="M11" i="68" a="1"/>
  <c r="M9" i="68" a="1"/>
  <c r="P8" i="68" a="1"/>
  <c r="W5" i="68" a="1"/>
  <c r="L8" i="68" a="1"/>
  <c r="N11" i="68" a="1"/>
  <c r="N12" i="68" a="1"/>
  <c r="Q7" i="68" a="1"/>
  <c r="O7" i="68" a="1"/>
  <c r="N8" i="68" a="1"/>
  <c r="Y5" i="68" a="1"/>
  <c r="U5" i="68" a="1"/>
  <c r="M8" i="68" a="1"/>
  <c r="O8" i="68" a="1"/>
  <c r="P12" i="68" a="1"/>
  <c r="Q4" i="68" a="1"/>
  <c r="Q8" i="68" a="1"/>
  <c r="N7" i="68" a="1"/>
  <c r="M7" i="68" a="1"/>
  <c r="V5" i="68" a="1"/>
  <c r="L4" i="68" a="1"/>
  <c r="P9" i="68" a="1"/>
  <c r="O4" i="68" a="1"/>
  <c r="O11" i="68" a="1"/>
  <c r="X5" i="68" a="1"/>
  <c r="T4" i="68" l="1"/>
  <c r="K16" i="68"/>
  <c r="S13" i="68"/>
  <c r="Z13" i="68" s="1"/>
  <c r="S16" i="68"/>
  <c r="X2" i="75"/>
  <c r="M12" i="68"/>
  <c r="P12" i="68"/>
  <c r="L12" i="68"/>
  <c r="N12" i="68"/>
  <c r="O12" i="68"/>
  <c r="M11" i="68"/>
  <c r="L11" i="68"/>
  <c r="N11" i="68"/>
  <c r="P11" i="68"/>
  <c r="O11" i="68"/>
  <c r="R2" i="77"/>
  <c r="P9" i="68"/>
  <c r="Q9" i="68"/>
  <c r="N9" i="68"/>
  <c r="M9" i="68"/>
  <c r="L9" i="68"/>
  <c r="O9" i="68"/>
  <c r="Q8" i="68"/>
  <c r="N8" i="68"/>
  <c r="O8" i="68"/>
  <c r="L8" i="68"/>
  <c r="M8" i="68"/>
  <c r="P8" i="68"/>
  <c r="R2" i="76"/>
  <c r="X2" i="72"/>
  <c r="L7" i="68"/>
  <c r="O7" i="68"/>
  <c r="M7" i="68"/>
  <c r="N7" i="68"/>
  <c r="Q7" i="68"/>
  <c r="Z2" i="72"/>
  <c r="K13" i="68"/>
  <c r="N4" i="68"/>
  <c r="M4" i="68"/>
  <c r="O4" i="68"/>
  <c r="L4" i="68"/>
  <c r="Q4" i="68"/>
  <c r="N10" i="68"/>
  <c r="W5" i="68"/>
  <c r="W13" i="68" s="1"/>
  <c r="W14" i="68" s="1"/>
  <c r="V5" i="68"/>
  <c r="V13" i="68" s="1"/>
  <c r="V14" i="68" s="1"/>
  <c r="Y5" i="68"/>
  <c r="Y13" i="68" s="1"/>
  <c r="Y14" i="68" s="1"/>
  <c r="U5" i="68"/>
  <c r="U13" i="68" s="1"/>
  <c r="U14" i="68" s="1"/>
  <c r="X5" i="68"/>
  <c r="X13" i="68" s="1"/>
  <c r="X14" i="68" s="1"/>
  <c r="T5" i="68"/>
  <c r="T13" i="68" s="1"/>
  <c r="T16" i="68" s="1"/>
  <c r="X2" i="70"/>
  <c r="R2" i="58"/>
  <c r="H2" i="58"/>
  <c r="Z2" i="58"/>
  <c r="P2" i="58"/>
  <c r="X2" i="58"/>
  <c r="T14" i="68" l="1"/>
  <c r="S14" i="68"/>
  <c r="P13" i="68"/>
  <c r="P14" i="68" s="1"/>
  <c r="O13" i="68"/>
  <c r="O14" i="68" s="1"/>
  <c r="Q13" i="68"/>
  <c r="Q14" i="68" s="1"/>
  <c r="L13" i="68"/>
  <c r="L16" i="68" s="1"/>
  <c r="N13" i="68"/>
  <c r="N14" i="68" s="1"/>
  <c r="M13" i="68"/>
  <c r="M14" i="68" s="1"/>
  <c r="R13" i="68"/>
  <c r="K14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L14" i="68" l="1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P14" i="42" l="1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I4" i="23" a="1"/>
  <c r="H4" i="23" a="1"/>
  <c r="H4" i="23" l="1"/>
  <c r="I4" i="23"/>
  <c r="D7" i="23" a="1"/>
  <c r="F13" i="23" a="1"/>
  <c r="E6" i="23" a="1"/>
  <c r="D12" i="23" a="1"/>
  <c r="G13" i="23" a="1"/>
  <c r="G5" i="23" a="1"/>
  <c r="D9" i="23" a="1"/>
  <c r="F6" i="23" a="1"/>
  <c r="G6" i="23" a="1"/>
  <c r="G10" i="23" a="1"/>
  <c r="E8" i="23" a="1"/>
  <c r="G9" i="23" a="1"/>
  <c r="E11" i="23" a="1"/>
  <c r="G11" i="23" a="1"/>
  <c r="E13" i="23" a="1"/>
  <c r="G7" i="23" a="1"/>
  <c r="F7" i="23" a="1"/>
  <c r="E12" i="23" a="1"/>
  <c r="E4" i="23" a="1"/>
  <c r="E5" i="23" a="1"/>
  <c r="F9" i="23" a="1"/>
  <c r="G4" i="23" a="1"/>
  <c r="F10" i="23" a="1"/>
  <c r="E7" i="23" a="1"/>
  <c r="G12" i="23" a="1"/>
  <c r="F8" i="23" a="1"/>
  <c r="F5" i="23" a="1"/>
  <c r="E10" i="23" a="1"/>
  <c r="D11" i="23" a="1"/>
  <c r="D4" i="23" a="1"/>
  <c r="D10" i="23" a="1"/>
  <c r="D8" i="23" a="1"/>
  <c r="F12" i="23" a="1"/>
  <c r="F4" i="23" a="1"/>
  <c r="D5" i="23" a="1"/>
  <c r="D6" i="23" a="1"/>
  <c r="E9" i="23" a="1"/>
  <c r="G8" i="23" a="1"/>
  <c r="F11" i="23" a="1"/>
  <c r="D13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<sst xmlns="http://schemas.openxmlformats.org/spreadsheetml/2006/main" count="677" uniqueCount="22">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</sst>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6"/>
  <sheetViews>
    <sheetView topLeftCell="N1" zoomScale="85" zoomScaleNormal="85" workbookViewId="0">
      <selection activeCell="U13" sqref="U13:Y13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98</v>
      </c>
      <c r="C3" s="5" cm="1">
        <f t="array" aca="1" ref="C3" ca="1">INDIRECT("'results" &amp; $B3 &amp; "'!D$14")</f>
        <v>174</v>
      </c>
      <c r="D3" s="33" cm="1">
        <f t="array" aca="1" ref="D3" ca="1">INDIRECT("'results" &amp; $B3 &amp; "'!E$14")</f>
        <v>137.69230769230768</v>
      </c>
      <c r="E3" s="5" cm="1">
        <f t="array" aca="1" ref="E3" ca="1">INDIRECT("'results" &amp; $B3 &amp; "'!F$14")</f>
        <v>392</v>
      </c>
      <c r="F3" s="5" cm="1">
        <f t="array" aca="1" ref="F3" ca="1">INDIRECT("'results" &amp; $B3 &amp; "'!G$14")</f>
        <v>414</v>
      </c>
      <c r="G3" s="5" cm="1">
        <f t="array" aca="1" ref="G3" ca="1">INDIRECT("'results" &amp; $B3 &amp; "'!H$14")</f>
        <v>464</v>
      </c>
      <c r="H3" s="33" cm="1">
        <f t="array" aca="1" ref="H3" ca="1">INDIRECT("'results" &amp; $B3 &amp; "'!I$14")</f>
        <v>605</v>
      </c>
      <c r="I3" s="5" cm="1">
        <f t="array" aca="1" ref="I3" ca="1">INDIRECT("'results" &amp; $B3 &amp; "'!J$14")</f>
        <v>855</v>
      </c>
      <c r="J3" s="5"/>
      <c r="K3" s="5" cm="1">
        <f t="array" aca="1" ref="K3" ca="1">INDIRECT("'results" &amp; $B3 &amp; "'!L$14")</f>
        <v>876</v>
      </c>
      <c r="L3" s="5" cm="1">
        <f t="array" aca="1" ref="L3" ca="1">INDIRECT("'results" &amp; $B3 &amp; "'!M$14")</f>
        <v>439.58538461539229</v>
      </c>
      <c r="M3" s="5" cm="1">
        <f t="array" aca="1" ref="M3" ca="1">INDIRECT("'results" &amp; $B3 &amp; "'!N$14")</f>
        <v>27</v>
      </c>
      <c r="N3" s="5" cm="1">
        <f t="array" aca="1" ref="N3" ca="1">INDIRECT("'results" &amp; $B3 &amp; "'!O$14")</f>
        <v>65</v>
      </c>
      <c r="O3" s="5" cm="1">
        <f t="array" aca="1" ref="O3" ca="1">INDIRECT("'results" &amp; $B3 &amp; "'!P$14")</f>
        <v>771.62661459395974</v>
      </c>
      <c r="P3" s="5" cm="1">
        <f t="array" aca="1" ref="P3" ca="1">INDIRECT("'results" &amp; $B3 &amp; "'!Q$14")</f>
        <v>16.298275319101734</v>
      </c>
      <c r="Q3" s="5" cm="1">
        <f t="array" aca="1" ref="Q3" ca="1">INDIRECT("'results" &amp; $B3 &amp; "'!R$14")</f>
        <v>5499.435795817556</v>
      </c>
      <c r="R3" s="5"/>
      <c r="S3" s="5" cm="1">
        <f t="array" aca="1" ref="S3" ca="1">INDIRECT("'results" &amp; $B3 &amp; "'!T$14")</f>
        <v>2433069.6818157658</v>
      </c>
      <c r="T3" s="5" cm="1">
        <f t="array" aca="1" ref="T3" ca="1">INDIRECT("'results" &amp; $B3 &amp; "'!U$14")</f>
        <v>325.75730769227869</v>
      </c>
      <c r="U3" s="5" cm="1">
        <f t="array" aca="1" ref="U3" ca="1">INDIRECT("'results" &amp; $B3 &amp; "'!V$14")</f>
        <v>12</v>
      </c>
      <c r="V3" s="5" cm="1">
        <f t="array" aca="1" ref="V3" ca="1">INDIRECT("'results" &amp; $B3 &amp; "'!W$14")</f>
        <v>67.5</v>
      </c>
      <c r="W3" s="5" cm="1">
        <f t="array" aca="1" ref="W3" ca="1">INDIRECT("'results" &amp; $B3 &amp; "'!X$14")</f>
        <v>1029.7750475280652</v>
      </c>
      <c r="X3" s="5" cm="1">
        <f t="array" aca="1" ref="X3" ca="1">INDIRECT("'results" &amp; $B3 &amp; "'!Y$14")</f>
        <v>59.669647940666387</v>
      </c>
      <c r="Y3" s="5" cm="1">
        <f t="array" aca="1" ref="Y3" ca="1">INDIRECT("'results" &amp; $B3 &amp; "'!Z$14")</f>
        <v>6676.6400521795485</v>
      </c>
      <c r="Z3" s="5"/>
    </row>
    <row r="4" spans="2:26" x14ac:dyDescent="0.2">
      <c r="B4" s="4">
        <v>199</v>
      </c>
      <c r="C4" s="5" cm="1">
        <f t="array" aca="1" ref="C4" ca="1">INDIRECT("'results" &amp; $B4 &amp; "'!D$14")</f>
        <v>1973635.2575542589</v>
      </c>
      <c r="D4" s="33" cm="1">
        <f t="array" aca="1" ref="D4" ca="1">INDIRECT("'results" &amp; $B4 &amp; "'!E$14")</f>
        <v>607.72807692307424</v>
      </c>
      <c r="E4" s="5" cm="1">
        <f t="array" aca="1" ref="E4" ca="1">INDIRECT("'results" &amp; $B4 &amp; "'!F$14")</f>
        <v>15</v>
      </c>
      <c r="F4" s="5" cm="1">
        <f t="array" aca="1" ref="F4" ca="1">INDIRECT("'results" &amp; $B4 &amp; "'!G$14")</f>
        <v>95</v>
      </c>
      <c r="G4" s="5" cm="1">
        <f t="array" aca="1" ref="G4" ca="1">INDIRECT("'results" &amp; $B4 &amp; "'!H$14")</f>
        <v>1538.1896523288513</v>
      </c>
      <c r="H4" s="33" cm="1">
        <f t="array" aca="1" ref="H4" ca="1">INDIRECT("'results" &amp; $B4 &amp; "'!I$14")</f>
        <v>52.963367716666866</v>
      </c>
      <c r="I4" s="5" cm="1">
        <f t="array" aca="1" ref="I4" ca="1">INDIRECT("'results" &amp; $B4 &amp; "'!J$14")</f>
        <v>7183.1118537115235</v>
      </c>
      <c r="J4" s="5"/>
      <c r="K4" s="5" cm="1">
        <f t="array" aca="1" ref="K4" ca="1">INDIRECT("'results" &amp; $B4 &amp; "'!L$14")</f>
        <v>2555632.9777260758</v>
      </c>
      <c r="L4" s="5" cm="1">
        <f t="array" aca="1" ref="L4" ca="1">INDIRECT("'results" &amp; $B4 &amp; "'!M$14")</f>
        <v>501.20807692305578</v>
      </c>
      <c r="M4" s="5" cm="1">
        <f t="array" aca="1" ref="M4" ca="1">INDIRECT("'results" &amp; $B4 &amp; "'!N$14")</f>
        <v>30</v>
      </c>
      <c r="N4" s="5" cm="1">
        <f t="array" aca="1" ref="N4" ca="1">INDIRECT("'results" &amp; $B4 &amp; "'!O$14")</f>
        <v>73</v>
      </c>
      <c r="O4" s="5" cm="1">
        <f t="array" aca="1" ref="O4" ca="1">INDIRECT("'results" &amp; $B4 &amp; "'!P$14")</f>
        <v>1066.4733241591837</v>
      </c>
      <c r="P4" s="5" cm="1">
        <f t="array" aca="1" ref="P4" ca="1">INDIRECT("'results" &amp; $B4 &amp; "'!Q$14")</f>
        <v>18.99377457257766</v>
      </c>
      <c r="Q4" s="5" cm="1">
        <f t="array" aca="1" ref="Q4" ca="1">INDIRECT("'results" &amp; $B4 &amp; "'!R$14")</f>
        <v>5823.8427420639719</v>
      </c>
      <c r="R4" s="5"/>
      <c r="S4" s="5" cm="1">
        <f t="array" aca="1" ref="S4" ca="1">INDIRECT("'results" &amp; $B4 &amp; "'!T$14")</f>
        <v>2463954.4310795199</v>
      </c>
      <c r="T4" s="5" cm="1">
        <f t="array" aca="1" ref="T4" ca="1">INDIRECT("'results" &amp; $B4 &amp; "'!U$14")</f>
        <v>266.80884615383826</v>
      </c>
      <c r="U4" s="5" cm="1">
        <f t="array" aca="1" ref="U4" ca="1">INDIRECT("'results" &amp; $B4 &amp; "'!V$14")</f>
        <v>12</v>
      </c>
      <c r="V4" s="5" cm="1">
        <f t="array" aca="1" ref="V4" ca="1">INDIRECT("'results" &amp; $B4 &amp; "'!W$14")</f>
        <v>67.5</v>
      </c>
      <c r="W4" s="5" cm="1">
        <f t="array" aca="1" ref="W4" ca="1">INDIRECT("'results" &amp; $B4 &amp; "'!X$14")</f>
        <v>1308.9855438318825</v>
      </c>
      <c r="X4" s="5" cm="1">
        <f t="array" aca="1" ref="X4" ca="1">INDIRECT("'results" &amp; $B4 &amp; "'!Y$14")</f>
        <v>64.858912959512864</v>
      </c>
      <c r="Y4" s="5" cm="1">
        <f t="array" aca="1" ref="Y4" ca="1">INDIRECT("'results" &amp; $B4 &amp; "'!Z$14")</f>
        <v>6875.8659876668808</v>
      </c>
      <c r="Z4" s="5"/>
    </row>
    <row r="5" spans="2:26" x14ac:dyDescent="0.2">
      <c r="B5" s="4">
        <v>364</v>
      </c>
      <c r="C5" s="5" cm="1">
        <f t="array" aca="1" ref="C5" ca="1">INDIRECT("'results" &amp; $B5 &amp; "'!D$14")</f>
        <v>1711945.0979188471</v>
      </c>
      <c r="D5" s="33" cm="1">
        <f t="array" aca="1" ref="D5" ca="1">INDIRECT("'results" &amp; $B5 &amp; "'!E$14")</f>
        <v>738.88230769232348</v>
      </c>
      <c r="E5" s="5" cm="1">
        <f t="array" aca="1" ref="E5" ca="1">INDIRECT("'results" &amp; $B5 &amp; "'!F$14")</f>
        <v>16</v>
      </c>
      <c r="F5" s="5" cm="1">
        <f t="array" aca="1" ref="F5" ca="1">INDIRECT("'results" &amp; $B5 &amp; "'!G$14")</f>
        <v>96</v>
      </c>
      <c r="G5" s="5" cm="1">
        <f t="array" aca="1" ref="G5" ca="1">INDIRECT("'results" &amp; $B5 &amp; "'!H$14")</f>
        <v>912.50476824843815</v>
      </c>
      <c r="H5" s="33" cm="1">
        <f t="array" aca="1" ref="H5" ca="1">INDIRECT("'results" &amp; $B5 &amp; "'!I$14")</f>
        <v>43.170037164592685</v>
      </c>
      <c r="I5" s="5" cm="1">
        <f t="array" aca="1" ref="I5" ca="1">INDIRECT("'results" &amp; $B5 &amp; "'!J$14")</f>
        <v>6237.6942453992842</v>
      </c>
      <c r="J5" s="5"/>
      <c r="K5" s="5" cm="1">
        <f t="array" aca="1" ref="K5" ca="1">INDIRECT("'results" &amp; $B5 &amp; "'!L$14")</f>
        <v>2384837.133601483</v>
      </c>
      <c r="L5" s="5" cm="1">
        <f t="array" aca="1" ref="L5" ca="1">INDIRECT("'results" &amp; $B5 &amp; "'!M$14")</f>
        <v>814.41692307694416</v>
      </c>
      <c r="M5" s="5" cm="1">
        <f t="array" aca="1" ref="M5" ca="1">INDIRECT("'results" &amp; $B5 &amp; "'!N$14")</f>
        <v>26</v>
      </c>
      <c r="N5" s="5" cm="1">
        <f t="array" aca="1" ref="N5" ca="1">INDIRECT("'results" &amp; $B5 &amp; "'!O$14")</f>
        <v>73</v>
      </c>
      <c r="O5" s="5" cm="1">
        <f t="array" aca="1" ref="O5" ca="1">INDIRECT("'results" &amp; $B5 &amp; "'!P$14")</f>
        <v>854.11542400914243</v>
      </c>
      <c r="P5" s="5" cm="1">
        <f t="array" aca="1" ref="P5" ca="1">INDIRECT("'results" &amp; $B5 &amp; "'!Q$14")</f>
        <v>19.353709445226563</v>
      </c>
      <c r="Q5" s="5" cm="1">
        <f t="array" aca="1" ref="Q5" ca="1">INDIRECT("'results" &amp; $B5 &amp; "'!R$14")</f>
        <v>5365.5456116336854</v>
      </c>
      <c r="R5" s="5"/>
      <c r="S5" s="5" cm="1">
        <f t="array" aca="1" ref="S5" ca="1">INDIRECT("'results" &amp; $B5 &amp; "'!T$14")</f>
        <v>2233986.899791684</v>
      </c>
      <c r="T5" s="5" cm="1">
        <f t="array" aca="1" ref="T5" ca="1">INDIRECT("'results" &amp; $B5 &amp; "'!U$14")</f>
        <v>1226.9469230769362</v>
      </c>
      <c r="U5" s="5" cm="1">
        <f t="array" aca="1" ref="U5" ca="1">INDIRECT("'results" &amp; $B5 &amp; "'!V$14")</f>
        <v>14</v>
      </c>
      <c r="V5" s="5" cm="1">
        <f t="array" aca="1" ref="V5" ca="1">INDIRECT("'results" &amp; $B5 &amp; "'!W$14")</f>
        <v>76</v>
      </c>
      <c r="W5" s="5" cm="1">
        <f t="array" aca="1" ref="W5" ca="1">INDIRECT("'results" &amp; $B5 &amp; "'!X$14")</f>
        <v>1132.7942348345525</v>
      </c>
      <c r="X5" s="5" cm="1">
        <f t="array" aca="1" ref="X5" ca="1">INDIRECT("'results" &amp; $B5 &amp; "'!Y$14")</f>
        <v>61.90358791505016</v>
      </c>
      <c r="Y5" s="5" cm="1">
        <f t="array" aca="1" ref="Y5" ca="1">INDIRECT("'results" &amp; $B5 &amp; "'!Z$14")</f>
        <v>6677.0397871390678</v>
      </c>
      <c r="Z5" s="5"/>
    </row>
    <row r="6" spans="2:26" x14ac:dyDescent="0.2">
      <c r="B6" s="4">
        <v>515</v>
      </c>
      <c r="C6" s="5" cm="1">
        <f t="array" aca="1" ref="C6" ca="1">INDIRECT("'results" &amp; $B6 &amp; "'!D$14")</f>
        <v>1639323.0976486651</v>
      </c>
      <c r="D6" s="33" cm="1">
        <f t="array" aca="1" ref="D6" ca="1">INDIRECT("'results" &amp; $B6 &amp; "'!E$14")</f>
        <v>478.53346153843</v>
      </c>
      <c r="E6" s="5" cm="1">
        <f t="array" aca="1" ref="E6" ca="1">INDIRECT("'results" &amp; $B6 &amp; "'!F$14")</f>
        <v>15</v>
      </c>
      <c r="F6" s="5" cm="1">
        <f t="array" aca="1" ref="F6" ca="1">INDIRECT("'results" &amp; $B6 &amp; "'!G$14")</f>
        <v>96</v>
      </c>
      <c r="G6" s="5" cm="1">
        <f t="array" aca="1" ref="G6" ca="1">INDIRECT("'results" &amp; $B6 &amp; "'!H$14")</f>
        <v>840.06789768367707</v>
      </c>
      <c r="H6" s="33" cm="1">
        <f t="array" aca="1" ref="H6" ca="1">INDIRECT("'results" &amp; $B6 &amp; "'!I$14")</f>
        <v>50.627962591207002</v>
      </c>
      <c r="I6" s="5" cm="1">
        <f t="array" aca="1" ref="I6" ca="1">INDIRECT("'results" &amp; $B6 &amp; "'!J$14")</f>
        <v>6056.0906319164724</v>
      </c>
      <c r="J6" s="5"/>
      <c r="K6" s="5" cm="1">
        <f t="array" aca="1" ref="K6" ca="1">INDIRECT("'results" &amp; $B6 &amp; "'!L$14")</f>
        <v>2538658.894220443</v>
      </c>
      <c r="L6" s="5" cm="1">
        <f t="array" aca="1" ref="L6" ca="1">INDIRECT("'results" &amp; $B6 &amp; "'!M$14")</f>
        <v>586.08769230768462</v>
      </c>
      <c r="M6" s="5" cm="1">
        <f t="array" aca="1" ref="M6" ca="1">INDIRECT("'results" &amp; $B6 &amp; "'!N$14")</f>
        <v>30</v>
      </c>
      <c r="N6" s="5" cm="1">
        <f t="array" aca="1" ref="N6" ca="1">INDIRECT("'results" &amp; $B6 &amp; "'!O$14")</f>
        <v>73</v>
      </c>
      <c r="O6" s="5" cm="1">
        <f t="array" aca="1" ref="O6" ca="1">INDIRECT("'results" &amp; $B6 &amp; "'!P$14")</f>
        <v>923.24925170607241</v>
      </c>
      <c r="P6" s="5" cm="1">
        <f t="array" aca="1" ref="P6" ca="1">INDIRECT("'results" &amp; $B6 &amp; "'!Q$14")</f>
        <v>17.709221937731545</v>
      </c>
      <c r="Q6" s="5" cm="1">
        <f t="array" aca="1" ref="Q6" ca="1">INDIRECT("'results" &amp; $B6 &amp; "'!R$14")</f>
        <v>5647.8094491564179</v>
      </c>
      <c r="R6" s="5"/>
      <c r="S6" s="5" cm="1">
        <f t="array" aca="1" ref="S6" ca="1">INDIRECT("'results" &amp; $B6 &amp; "'!T$14")</f>
        <v>2366051.5655329339</v>
      </c>
      <c r="T6" s="5" cm="1">
        <f t="array" aca="1" ref="T6" ca="1">INDIRECT("'results" &amp; $B6 &amp; "'!U$14")</f>
        <v>575.78115384618263</v>
      </c>
      <c r="U6" s="5" cm="1">
        <f t="array" aca="1" ref="U6" ca="1">INDIRECT("'results" &amp; $B6 &amp; "'!V$14")</f>
        <v>16</v>
      </c>
      <c r="V6" s="5" cm="1">
        <f t="array" aca="1" ref="V6" ca="1">INDIRECT("'results" &amp; $B6 &amp; "'!W$14")</f>
        <v>74</v>
      </c>
      <c r="W6" s="5" cm="1">
        <f t="array" aca="1" ref="W6" ca="1">INDIRECT("'results" &amp; $B6 &amp; "'!X$14")</f>
        <v>1392.0377217821219</v>
      </c>
      <c r="X6" s="5" cm="1">
        <f t="array" aca="1" ref="X6" ca="1">INDIRECT("'results" &amp; $B6 &amp; "'!Y$14")</f>
        <v>62.299010331646606</v>
      </c>
      <c r="Y6" s="5" cm="1">
        <f t="array" aca="1" ref="Y6" ca="1">INDIRECT("'results" &amp; $B6 &amp; "'!Z$14")</f>
        <v>6855.9836860720898</v>
      </c>
      <c r="Z6" s="5"/>
    </row>
    <row r="7" spans="2:26" x14ac:dyDescent="0.2">
      <c r="B7" s="4">
        <v>526</v>
      </c>
      <c r="C7" s="5" cm="1">
        <f t="array" aca="1" ref="C7" ca="1">INDIRECT("'results" &amp; $B7 &amp; "'!D$14")</f>
        <v>1898736.7093387421</v>
      </c>
      <c r="D7" s="33" cm="1">
        <f t="array" aca="1" ref="D7" ca="1">INDIRECT("'results" &amp; $B7 &amp; "'!E$14")</f>
        <v>323.08307692305578</v>
      </c>
      <c r="E7" s="5" cm="1">
        <f t="array" aca="1" ref="E7" ca="1">INDIRECT("'results" &amp; $B7 &amp; "'!F$14")</f>
        <v>12</v>
      </c>
      <c r="F7" s="5" cm="1">
        <f t="array" aca="1" ref="F7" ca="1">INDIRECT("'results" &amp; $B7 &amp; "'!G$14")</f>
        <v>91</v>
      </c>
      <c r="G7" s="5" cm="1">
        <f t="array" aca="1" ref="G7" ca="1">INDIRECT("'results" &amp; $B7 &amp; "'!H$14")</f>
        <v>1113.6893861377991</v>
      </c>
      <c r="H7" s="33" cm="1">
        <f t="array" aca="1" ref="H7" ca="1">INDIRECT("'results" &amp; $B7 &amp; "'!I$14")</f>
        <v>53.440773242458953</v>
      </c>
      <c r="I7" s="5" cm="1">
        <f t="array" aca="1" ref="I7" ca="1">INDIRECT("'results" &amp; $B7 &amp; "'!J$14")</f>
        <v>6684.6723930501994</v>
      </c>
      <c r="J7" s="5"/>
      <c r="K7" s="5" cm="1">
        <f t="array" aca="1" ref="K7" ca="1">INDIRECT("'results" &amp; $B7 &amp; "'!L$14")</f>
        <v>2646635.8017710419</v>
      </c>
      <c r="L7" s="5" cm="1">
        <f t="array" aca="1" ref="L7" ca="1">INDIRECT("'results" &amp; $B7 &amp; "'!M$14")</f>
        <v>1662.6023076922866</v>
      </c>
      <c r="M7" s="5" cm="1">
        <f t="array" aca="1" ref="M7" ca="1">INDIRECT("'results" &amp; $B7 &amp; "'!N$14")</f>
        <v>19</v>
      </c>
      <c r="N7" s="5" cm="1">
        <f t="array" aca="1" ref="N7" ca="1">INDIRECT("'results" &amp; $B7 &amp; "'!O$14")</f>
        <v>57.5</v>
      </c>
      <c r="O7" s="5" cm="1">
        <f t="array" aca="1" ref="O7" ca="1">INDIRECT("'results" &amp; $B7 &amp; "'!P$14")</f>
        <v>499.70484830103771</v>
      </c>
      <c r="P7" s="5" cm="1">
        <f t="array" aca="1" ref="P7" ca="1">INDIRECT("'results" &amp; $B7 &amp; "'!Q$14")</f>
        <v>19.698385366185885</v>
      </c>
      <c r="Q7" s="5" cm="1">
        <f t="array" aca="1" ref="Q7" ca="1">INDIRECT("'results" &amp; $B7 &amp; "'!R$14")</f>
        <v>5067.3284284785886</v>
      </c>
      <c r="R7" s="5"/>
      <c r="S7" s="5" cm="1">
        <f t="array" aca="1" ref="S7" ca="1">INDIRECT("'results" &amp; $B7 &amp; "'!T$14")</f>
        <v>2677454.8280058419</v>
      </c>
      <c r="T7" s="5" cm="1">
        <f t="array" aca="1" ref="T7" ca="1">INDIRECT("'results" &amp; $B7 &amp; "'!U$14")</f>
        <v>570.46884615386193</v>
      </c>
      <c r="U7" s="5" cm="1">
        <f t="array" aca="1" ref="U7" ca="1">INDIRECT("'results" &amp; $B7 &amp; "'!V$14")</f>
        <v>10</v>
      </c>
      <c r="V7" s="5" cm="1">
        <f t="array" aca="1" ref="V7" ca="1">INDIRECT("'results" &amp; $B7 &amp; "'!W$14")</f>
        <v>56</v>
      </c>
      <c r="W7" s="5" cm="1">
        <f t="array" aca="1" ref="W7" ca="1">INDIRECT("'results" &amp; $B7 &amp; "'!X$14")</f>
        <v>820.17489554919644</v>
      </c>
      <c r="X7" s="5" cm="1">
        <f t="array" aca="1" ref="X7" ca="1">INDIRECT("'results" &amp; $B7 &amp; "'!Y$14")</f>
        <v>60.817998849457481</v>
      </c>
      <c r="Y7" s="5" cm="1">
        <f t="array" aca="1" ref="Y7" ca="1">INDIRECT("'results" &amp; $B7 &amp; "'!Z$14")</f>
        <v>6577.0643367867651</v>
      </c>
      <c r="Z7" s="5"/>
    </row>
    <row r="8" spans="2:26" x14ac:dyDescent="0.2">
      <c r="B8" s="4">
        <v>582</v>
      </c>
      <c r="C8" s="5" cm="1">
        <f t="array" aca="1" ref="C8" ca="1">INDIRECT("'results" &amp; $B8 &amp; "'!D$14")</f>
        <v>1741471.879313536</v>
      </c>
      <c r="D8" s="33" cm="1">
        <f t="array" aca="1" ref="D8" ca="1">INDIRECT("'results" &amp; $B8 &amp; "'!E$14")</f>
        <v>507.29576923074035</v>
      </c>
      <c r="E8" s="5" cm="1">
        <f t="array" aca="1" ref="E8" ca="1">INDIRECT("'results" &amp; $B8 &amp; "'!F$14")</f>
        <v>14</v>
      </c>
      <c r="F8" s="5" cm="1">
        <f t="array" aca="1" ref="F8" ca="1">INDIRECT("'results" &amp; $B8 &amp; "'!G$14")</f>
        <v>95.5</v>
      </c>
      <c r="G8" s="5" cm="1">
        <f t="array" aca="1" ref="G8" ca="1">INDIRECT("'results" &amp; $B8 &amp; "'!H$14")</f>
        <v>1066.2530873405399</v>
      </c>
      <c r="H8" s="33" cm="1">
        <f t="array" aca="1" ref="H8" ca="1">INDIRECT("'results" &amp; $B8 &amp; "'!I$14")</f>
        <v>45.304395972428111</v>
      </c>
      <c r="I8" s="5" cm="1">
        <f t="array" aca="1" ref="I8" ca="1">INDIRECT("'results" &amp; $B8 &amp; "'!J$14")</f>
        <v>6300.5610990833175</v>
      </c>
      <c r="J8" s="5"/>
      <c r="K8" s="5" cm="1">
        <f t="array" aca="1" ref="K8" ca="1">INDIRECT("'results" &amp; $B8 &amp; "'!L$14")</f>
        <v>2417189.1915104231</v>
      </c>
      <c r="L8" s="5" cm="1">
        <f t="array" aca="1" ref="L8" ca="1">INDIRECT("'results" &amp; $B8 &amp; "'!M$14")</f>
        <v>1271.5623076923207</v>
      </c>
      <c r="M8" s="5" cm="1">
        <f t="array" aca="1" ref="M8" ca="1">INDIRECT("'results" &amp; $B8 &amp; "'!N$14")</f>
        <v>26</v>
      </c>
      <c r="N8" s="5" cm="1">
        <f t="array" aca="1" ref="N8" ca="1">INDIRECT("'results" &amp; $B8 &amp; "'!O$14")</f>
        <v>70.5</v>
      </c>
      <c r="O8" s="5" cm="1">
        <f t="array" aca="1" ref="O8" ca="1">INDIRECT("'results" &amp; $B8 &amp; "'!P$14")</f>
        <v>435.05182416919013</v>
      </c>
      <c r="P8" s="5" cm="1">
        <f t="array" aca="1" ref="P8" ca="1">INDIRECT("'results" &amp; $B8 &amp; "'!Q$14")</f>
        <v>16.020423525221609</v>
      </c>
      <c r="Q8" s="5" cm="1">
        <f t="array" aca="1" ref="Q8" ca="1">INDIRECT("'results" &amp; $B8 &amp; "'!R$14")</f>
        <v>5128.1256070999261</v>
      </c>
      <c r="R8" s="5"/>
      <c r="S8" s="5" cm="1">
        <f t="array" aca="1" ref="S8" ca="1">INDIRECT("'results" &amp; $B8 &amp; "'!T$14")</f>
        <v>2533058.0437770542</v>
      </c>
      <c r="T8" s="5" cm="1">
        <f t="array" aca="1" ref="T8" ca="1">INDIRECT("'results" &amp; $B8 &amp; "'!U$14")</f>
        <v>955.28269230768694</v>
      </c>
      <c r="U8" s="5" cm="1">
        <f t="array" aca="1" ref="U8" ca="1">INDIRECT("'results" &amp; $B8 &amp; "'!V$14")</f>
        <v>13</v>
      </c>
      <c r="V8" s="5" cm="1">
        <f t="array" aca="1" ref="V8" ca="1">INDIRECT("'results" &amp; $B8 &amp; "'!W$14")</f>
        <v>64</v>
      </c>
      <c r="W8" s="5" cm="1">
        <f t="array" aca="1" ref="W8" ca="1">INDIRECT("'results" &amp; $B8 &amp; "'!X$14")</f>
        <v>1130.6573828536971</v>
      </c>
      <c r="X8" s="5" cm="1">
        <f t="array" aca="1" ref="X8" ca="1">INDIRECT("'results" &amp; $B8 &amp; "'!Y$14")</f>
        <v>47.39851254936319</v>
      </c>
      <c r="Y8" s="5" cm="1">
        <f t="array" aca="1" ref="Y8" ca="1">INDIRECT("'results" &amp; $B8 &amp; "'!Z$14")</f>
        <v>6494.3650096871997</v>
      </c>
      <c r="Z8" s="5"/>
    </row>
    <row r="9" spans="2:26" x14ac:dyDescent="0.2">
      <c r="B9" s="4">
        <v>600</v>
      </c>
      <c r="C9" s="5" cm="1">
        <f t="array" aca="1" ref="C9" ca="1">INDIRECT("'results" &amp; $B9 &amp; "'!D$14")</f>
        <v>1600314.5375999189</v>
      </c>
      <c r="D9" s="33" cm="1">
        <f t="array" aca="1" ref="D9" ca="1">INDIRECT("'results" &amp; $B9 &amp; "'!E$14")</f>
        <v>479.6515384615542</v>
      </c>
      <c r="E9" s="5" cm="1">
        <f t="array" aca="1" ref="E9" ca="1">INDIRECT("'results" &amp; $B9 &amp; "'!F$14")</f>
        <v>15</v>
      </c>
      <c r="F9" s="5" cm="1">
        <f t="array" aca="1" ref="F9" ca="1">INDIRECT("'results" &amp; $B9 &amp; "'!G$14")</f>
        <v>97</v>
      </c>
      <c r="G9" s="5" cm="1">
        <f t="array" aca="1" ref="G9" ca="1">INDIRECT("'results" &amp; $B9 &amp; "'!H$14")</f>
        <v>957.87388065348966</v>
      </c>
      <c r="H9" s="33" cm="1">
        <f t="array" aca="1" ref="H9" ca="1">INDIRECT("'results" &amp; $B9 &amp; "'!I$14")</f>
        <v>54.779353816529962</v>
      </c>
      <c r="I9" s="5" cm="1">
        <f t="array" aca="1" ref="I9" ca="1">INDIRECT("'results" &amp; $B9 &amp; "'!J$14")</f>
        <v>5965.9776021142106</v>
      </c>
      <c r="J9" s="5"/>
      <c r="K9" s="5" cm="1">
        <f t="array" aca="1" ref="K9" ca="1">INDIRECT("'results" &amp; $B9 &amp; "'!L$14")</f>
        <v>2631791.6582626412</v>
      </c>
      <c r="L9" s="5" cm="1">
        <f t="array" aca="1" ref="L9" ca="1">INDIRECT("'results" &amp; $B9 &amp; "'!M$14")</f>
        <v>813.26307692309808</v>
      </c>
      <c r="M9" s="5" cm="1">
        <f t="array" aca="1" ref="M9" ca="1">INDIRECT("'results" &amp; $B9 &amp; "'!N$14")</f>
        <v>28</v>
      </c>
      <c r="N9" s="5" cm="1">
        <f t="array" aca="1" ref="N9" ca="1">INDIRECT("'results" &amp; $B9 &amp; "'!O$14")</f>
        <v>62.5</v>
      </c>
      <c r="O9" s="5" cm="1">
        <f t="array" aca="1" ref="O9" ca="1">INDIRECT("'results" &amp; $B9 &amp; "'!P$14")</f>
        <v>484.26817241088094</v>
      </c>
      <c r="P9" s="5" cm="1">
        <f t="array" aca="1" ref="P9" ca="1">INDIRECT("'results" &amp; $B9 &amp; "'!Q$14")</f>
        <v>16.686963388243576</v>
      </c>
      <c r="Q9" s="5" cm="1">
        <f t="array" aca="1" ref="Q9" ca="1">INDIRECT("'results" &amp; $B9 &amp; "'!R$14")</f>
        <v>4786.6676666156909</v>
      </c>
      <c r="R9" s="5"/>
      <c r="S9" s="5" cm="1">
        <f t="array" aca="1" ref="S9" ca="1">INDIRECT("'results" &amp; $B9 &amp; "'!T$14")</f>
        <v>2348492.4614372761</v>
      </c>
      <c r="T9" s="5" cm="1">
        <f t="array" aca="1" ref="T9" ca="1">INDIRECT("'results" &amp; $B9 &amp; "'!U$14")</f>
        <v>476.05769230769226</v>
      </c>
      <c r="U9" s="5" cm="1">
        <f t="array" aca="1" ref="U9" ca="1">INDIRECT("'results" &amp; $B9 &amp; "'!V$14")</f>
        <v>12</v>
      </c>
      <c r="V9" s="5" cm="1">
        <f t="array" aca="1" ref="V9" ca="1">INDIRECT("'results" &amp; $B9 &amp; "'!W$14")</f>
        <v>68.5</v>
      </c>
      <c r="W9" s="5" cm="1">
        <f t="array" aca="1" ref="W9" ca="1">INDIRECT("'results" &amp; $B9 &amp; "'!X$14")</f>
        <v>1115.4847201167113</v>
      </c>
      <c r="X9" s="5" cm="1">
        <f t="array" aca="1" ref="X9" ca="1">INDIRECT("'results" &amp; $B9 &amp; "'!Y$14")</f>
        <v>79.100403680185465</v>
      </c>
      <c r="Y9" s="5" cm="1">
        <f t="array" aca="1" ref="Y9" ca="1">INDIRECT("'results" &amp; $B9 &amp; "'!Z$14")</f>
        <v>6534.1082108413984</v>
      </c>
      <c r="Z9" s="5"/>
    </row>
    <row r="10" spans="2:26" x14ac:dyDescent="0.2">
      <c r="B10" s="4">
        <v>664</v>
      </c>
      <c r="C10" s="5" cm="1">
        <f t="array" aca="1" ref="C10" ca="1">INDIRECT("'results" &amp; $B10 &amp; "'!D$14")</f>
        <v>1930417.822114706</v>
      </c>
      <c r="D10" s="33" cm="1">
        <f t="array" aca="1" ref="D10" ca="1">INDIRECT("'results" &amp; $B10 &amp; "'!E$14")</f>
        <v>782.04346153844847</v>
      </c>
      <c r="E10" s="5" cm="1">
        <f t="array" aca="1" ref="E10" ca="1">INDIRECT("'results" &amp; $B10 &amp; "'!F$14")</f>
        <v>15</v>
      </c>
      <c r="F10" s="5" cm="1">
        <f t="array" aca="1" ref="F10" ca="1">INDIRECT("'results" &amp; $B10 &amp; "'!G$14")</f>
        <v>91.5</v>
      </c>
      <c r="G10" s="5" cm="1">
        <f t="array" aca="1" ref="G10" ca="1">INDIRECT("'results" &amp; $B10 &amp; "'!H$14")</f>
        <v>1109.7169625482968</v>
      </c>
      <c r="H10" s="33" cm="1">
        <f t="array" aca="1" ref="H10" ca="1">INDIRECT("'results" &amp; $B10 &amp; "'!I$14")</f>
        <v>43.455164195810745</v>
      </c>
      <c r="I10" s="5" cm="1">
        <f t="array" aca="1" ref="I10" ca="1">INDIRECT("'results" &amp; $B10 &amp; "'!J$14")</f>
        <v>6473.5433626006197</v>
      </c>
      <c r="J10" s="5"/>
      <c r="K10" s="5" cm="1">
        <f t="array" aca="1" ref="K10" ca="1">INDIRECT("'results" &amp; $B10 &amp; "'!L$14")</f>
        <v>2469911.9562534718</v>
      </c>
      <c r="L10" s="5" cm="1">
        <f t="array" aca="1" ref="L10" ca="1">INDIRECT("'results" &amp; $B10 &amp; "'!M$14")</f>
        <v>451.22615384614073</v>
      </c>
      <c r="M10" s="5" cm="1">
        <f t="array" aca="1" ref="M10" ca="1">INDIRECT("'results" &amp; $B10 &amp; "'!N$14")</f>
        <v>19</v>
      </c>
      <c r="N10" s="5" cm="1">
        <f t="array" aca="1" ref="N10" ca="1">INDIRECT("'results" &amp; $B10 &amp; "'!O$14")</f>
        <v>65.5</v>
      </c>
      <c r="O10" s="5" cm="1">
        <f t="array" aca="1" ref="O10" ca="1">INDIRECT("'results" &amp; $B10 &amp; "'!P$14")</f>
        <v>574.24973155890132</v>
      </c>
      <c r="P10" s="5" cm="1">
        <f t="array" aca="1" ref="P10" ca="1">INDIRECT("'results" &amp; $B10 &amp; "'!Q$14")</f>
        <v>22.026451086169597</v>
      </c>
      <c r="Q10" s="5" cm="1">
        <f t="array" aca="1" ref="Q10" ca="1">INDIRECT("'results" &amp; $B10 &amp; "'!R$14")</f>
        <v>5267.4032207953196</v>
      </c>
      <c r="R10" s="5"/>
      <c r="S10" s="5" cm="1">
        <f t="array" aca="1" ref="S10" ca="1">INDIRECT("'results" &amp; $B10 &amp; "'!T$14")</f>
        <v>2466757.572181772</v>
      </c>
      <c r="T10" s="5" cm="1">
        <f t="array" aca="1" ref="T10" ca="1">INDIRECT("'results" &amp; $B10 &amp; "'!U$14")</f>
        <v>798.11307692309265</v>
      </c>
      <c r="U10" s="5" cm="1">
        <f t="array" aca="1" ref="U10" ca="1">INDIRECT("'results" &amp; $B10 &amp; "'!V$14")</f>
        <v>14</v>
      </c>
      <c r="V10" s="5" cm="1">
        <f t="array" aca="1" ref="V10" ca="1">INDIRECT("'results" &amp; $B10 &amp; "'!W$14")</f>
        <v>69</v>
      </c>
      <c r="W10" s="5" cm="1">
        <f t="array" aca="1" ref="W10" ca="1">INDIRECT("'results" &amp; $B10 &amp; "'!X$14")</f>
        <v>1091.6576286425345</v>
      </c>
      <c r="X10" s="5" cm="1">
        <f t="array" aca="1" ref="X10" ca="1">INDIRECT("'results" &amp; $B10 &amp; "'!Y$14")</f>
        <v>53.070270018639988</v>
      </c>
      <c r="Y10" s="5" cm="1">
        <f t="array" aca="1" ref="Y10" ca="1">INDIRECT("'results" &amp; $B10 &amp; "'!Z$14")</f>
        <v>6688.3770285905575</v>
      </c>
      <c r="Z10" s="5"/>
    </row>
    <row r="11" spans="2:26" x14ac:dyDescent="0.2">
      <c r="B11" s="4">
        <v>890</v>
      </c>
      <c r="C11" s="5" cm="1">
        <f t="array" aca="1" ref="C11" ca="1">INDIRECT("'results" &amp; $B11 &amp; "'!D$14")</f>
        <v>1922820.7471091941</v>
      </c>
      <c r="D11" s="33" cm="1">
        <f t="array" aca="1" ref="D11" ca="1">INDIRECT("'results" &amp; $B11 &amp; "'!E$14")</f>
        <v>588.49769230770801</v>
      </c>
      <c r="E11" s="5" cm="1">
        <f t="array" aca="1" ref="E11" ca="1">INDIRECT("'results" &amp; $B11 &amp; "'!F$14")</f>
        <v>16</v>
      </c>
      <c r="F11" s="5" cm="1">
        <f t="array" aca="1" ref="F11" ca="1">INDIRECT("'results" &amp; $B11 &amp; "'!G$14")</f>
        <v>94</v>
      </c>
      <c r="G11" s="5" cm="1">
        <f t="array" aca="1" ref="G11" ca="1">INDIRECT("'results" &amp; $B11 &amp; "'!H$14")</f>
        <v>1255.7332534239335</v>
      </c>
      <c r="H11" s="33" cm="1">
        <f t="array" aca="1" ref="H11" ca="1">INDIRECT("'results" &amp; $B11 &amp; "'!I$14")</f>
        <v>38.976905043975428</v>
      </c>
      <c r="I11" s="5" cm="1">
        <f t="array" aca="1" ref="I11" ca="1">INDIRECT("'results" &amp; $B11 &amp; "'!J$14")</f>
        <v>6644.7655841518017</v>
      </c>
      <c r="J11" s="5"/>
      <c r="K11" s="5" cm="1">
        <f t="array" aca="1" ref="K11" ca="1">INDIRECT("'results" &amp; $B11 &amp; "'!L$14")</f>
        <v>2492088.1483428841</v>
      </c>
      <c r="L11" s="5" cm="1">
        <f t="array" aca="1" ref="L11" ca="1">INDIRECT("'results" &amp; $B11 &amp; "'!M$14")</f>
        <v>661.37615384614617</v>
      </c>
      <c r="M11" s="5" cm="1">
        <f t="array" aca="1" ref="M11" ca="1">INDIRECT("'results" &amp; $B11 &amp; "'!N$14")</f>
        <v>22</v>
      </c>
      <c r="N11" s="5" cm="1">
        <f t="array" aca="1" ref="N11" ca="1">INDIRECT("'results" &amp; $B11 &amp; "'!O$14")</f>
        <v>71.5</v>
      </c>
      <c r="O11" s="5" cm="1">
        <f t="array" aca="1" ref="O11" ca="1">INDIRECT("'results" &amp; $B11 &amp; "'!P$14")</f>
        <v>1039.5037622388495</v>
      </c>
      <c r="P11" s="5" cm="1">
        <f t="array" aca="1" ref="P11" ca="1">INDIRECT("'results" &amp; $B11 &amp; "'!Q$14")</f>
        <v>20.606561047757548</v>
      </c>
      <c r="Q11" s="5" cm="1">
        <f t="array" aca="1" ref="Q11" ca="1">INDIRECT("'results" &amp; $B11 &amp; "'!R$14")</f>
        <v>6015.9028259848765</v>
      </c>
      <c r="R11" s="5"/>
      <c r="S11" s="5" cm="1">
        <f t="array" aca="1" ref="S11" ca="1">INDIRECT("'results" &amp; $B11 &amp; "'!T$14")</f>
        <v>2492265.8206883362</v>
      </c>
      <c r="T11" s="5" cm="1">
        <f t="array" aca="1" ref="T11" ca="1">INDIRECT("'results" &amp; $B11 &amp; "'!U$14")</f>
        <v>360.27038461537671</v>
      </c>
      <c r="U11" s="5" cm="1">
        <f t="array" aca="1" ref="U11" ca="1">INDIRECT("'results" &amp; $B11 &amp; "'!V$14")</f>
        <v>18</v>
      </c>
      <c r="V11" s="5" cm="1">
        <f t="array" aca="1" ref="V11" ca="1">INDIRECT("'results" &amp; $B11 &amp; "'!W$14")</f>
        <v>74.5</v>
      </c>
      <c r="W11" s="5" cm="1">
        <f t="array" aca="1" ref="W11" ca="1">INDIRECT("'results" &amp; $B11 &amp; "'!X$14")</f>
        <v>1577.0436763712912</v>
      </c>
      <c r="X11" s="5" cm="1">
        <f t="array" aca="1" ref="X11" ca="1">INDIRECT("'results" &amp; $B11 &amp; "'!Y$14")</f>
        <v>41.730974027595408</v>
      </c>
      <c r="Y11" s="5" cm="1">
        <f t="array" aca="1" ref="Y11" ca="1">INDIRECT("'results" &amp; $B11 &amp; "'!Z$14")</f>
        <v>6993.2988525117198</v>
      </c>
      <c r="Z11" s="5"/>
    </row>
    <row r="12" spans="2:26" x14ac:dyDescent="0.2">
      <c r="B12" s="4">
        <v>989</v>
      </c>
      <c r="C12" s="5" cm="1">
        <f t="array" aca="1" ref="C12" ca="1">INDIRECT("'results" &amp; $B12 &amp; "'!D$14")</f>
        <v>1672246.2803604491</v>
      </c>
      <c r="D12" s="33" cm="1">
        <f t="array" aca="1" ref="D12" ca="1">INDIRECT("'results" &amp; $B12 &amp; "'!E$14")</f>
        <v>507.56615384616151</v>
      </c>
      <c r="E12" s="5" cm="1">
        <f t="array" aca="1" ref="E12" ca="1">INDIRECT("'results" &amp; $B12 &amp; "'!F$14")</f>
        <v>17</v>
      </c>
      <c r="F12" s="5" cm="1">
        <f t="array" aca="1" ref="F12" ca="1">INDIRECT("'results" &amp; $B12 &amp; "'!G$14")</f>
        <v>93</v>
      </c>
      <c r="G12" s="5" cm="1">
        <f t="array" aca="1" ref="G12" ca="1">INDIRECT("'results" &amp; $B12 &amp; "'!H$14")</f>
        <v>693.06363787874716</v>
      </c>
      <c r="H12" s="33" cm="1">
        <f t="array" aca="1" ref="H12" ca="1">INDIRECT("'results" &amp; $B12 &amp; "'!I$14")</f>
        <v>41.387740423054154</v>
      </c>
      <c r="I12" s="5" cm="1">
        <f t="array" aca="1" ref="I12" ca="1">INDIRECT("'results" &amp; $B12 &amp; "'!J$14")</f>
        <v>5604.3470027842259</v>
      </c>
      <c r="J12" s="5"/>
      <c r="K12" s="5" cm="1">
        <f t="array" aca="1" ref="K12" ca="1">INDIRECT("'results" &amp; $B12 &amp; "'!L$14")</f>
        <v>2302331.5051668962</v>
      </c>
      <c r="L12" s="5" cm="1">
        <f t="array" aca="1" ref="L12" ca="1">INDIRECT("'results" &amp; $B12 &amp; "'!M$14")</f>
        <v>685.84153846156994</v>
      </c>
      <c r="M12" s="5" cm="1">
        <f t="array" aca="1" ref="M12" ca="1">INDIRECT("'results" &amp; $B12 &amp; "'!N$14")</f>
        <v>23</v>
      </c>
      <c r="N12" s="5" cm="1">
        <f t="array" aca="1" ref="N12" ca="1">INDIRECT("'results" &amp; $B12 &amp; "'!O$14")</f>
        <v>70.5</v>
      </c>
      <c r="O12" s="5" cm="1">
        <f t="array" aca="1" ref="O12" ca="1">INDIRECT("'results" &amp; $B12 &amp; "'!P$14")</f>
        <v>432.94147556707787</v>
      </c>
      <c r="P12" s="5" cm="1">
        <f t="array" aca="1" ref="P12" ca="1">INDIRECT("'results" &amp; $B12 &amp; "'!Q$14")</f>
        <v>20.461336763551696</v>
      </c>
      <c r="Q12" s="5" cm="1">
        <f t="array" aca="1" ref="Q12" ca="1">INDIRECT("'results" &amp; $B12 &amp; "'!R$14")</f>
        <v>4843.8563437237244</v>
      </c>
      <c r="R12" s="5"/>
      <c r="S12" s="5" cm="1">
        <f t="array" aca="1" ref="S12" ca="1">INDIRECT("'results" &amp; $B12 &amp; "'!T$14")</f>
        <v>2322380.6772455531</v>
      </c>
      <c r="T12" s="5" cm="1">
        <f t="array" aca="1" ref="T12" ca="1">INDIRECT("'results" &amp; $B12 &amp; "'!U$14")</f>
        <v>590.94923076922805</v>
      </c>
      <c r="U12" s="5" cm="1">
        <f t="array" aca="1" ref="U12" ca="1">INDIRECT("'results" &amp; $B12 &amp; "'!V$14")</f>
        <v>16</v>
      </c>
      <c r="V12" s="5" cm="1">
        <f t="array" aca="1" ref="V12" ca="1">INDIRECT("'results" &amp; $B12 &amp; "'!W$14")</f>
        <v>75.5</v>
      </c>
      <c r="W12" s="5" cm="1">
        <f t="array" aca="1" ref="W12" ca="1">INDIRECT("'results" &amp; $B12 &amp; "'!X$14")</f>
        <v>1380.2550010216112</v>
      </c>
      <c r="X12" s="5" cm="1">
        <f t="array" aca="1" ref="X12" ca="1">INDIRECT("'results" &amp; $B12 &amp; "'!Y$14")</f>
        <v>58.947900288967446</v>
      </c>
      <c r="Y12" s="5" cm="1">
        <f t="array" aca="1" ref="Y12" ca="1">INDIRECT("'results" &amp; $B12 &amp; "'!Z$14")</f>
        <v>6767.5402046508707</v>
      </c>
      <c r="Z12" s="5"/>
    </row>
    <row r="13" spans="2:26" x14ac:dyDescent="0.2">
      <c r="B13" s="8" t="s">
        <v>3</v>
      </c>
      <c r="C13" s="9">
        <f ca="1">AVERAGE(C3:C12)</f>
        <v>1609108.5428958316</v>
      </c>
      <c r="D13" s="10">
        <f t="shared" ref="D13:I13" ca="1" si="0">AVERAGE(D3:D12)</f>
        <v>515.09738461538041</v>
      </c>
      <c r="E13" s="9">
        <f t="shared" ca="1" si="0"/>
        <v>52.7</v>
      </c>
      <c r="F13" s="9">
        <f t="shared" ca="1" si="0"/>
        <v>126.3</v>
      </c>
      <c r="G13" s="9">
        <f t="shared" ca="1" si="0"/>
        <v>995.10925262437718</v>
      </c>
      <c r="H13" s="10">
        <f t="shared" ca="1" si="0"/>
        <v>102.91057001667238</v>
      </c>
      <c r="I13" s="9">
        <f t="shared" ca="1" si="0"/>
        <v>5800.5763774811649</v>
      </c>
      <c r="J13" s="32" t="e">
        <f ca="1">(C13-$D$15)/$D$15</f>
        <v>#DIV/0!</v>
      </c>
      <c r="K13" s="16">
        <f ca="1">AVERAGE(K3:K12)</f>
        <v>2243995.3266855362</v>
      </c>
      <c r="L13" s="41">
        <f t="shared" ref="L13:Q13" ca="1" si="1">AVERAGE(L3:L12)</f>
        <v>788.71696153846392</v>
      </c>
      <c r="M13" s="16">
        <f t="shared" ca="1" si="1"/>
        <v>25</v>
      </c>
      <c r="N13" s="16">
        <f ca="1">AVERAGE(N3:N12)</f>
        <v>68.2</v>
      </c>
      <c r="O13" s="16">
        <f t="shared" ca="1" si="1"/>
        <v>708.11844287142947</v>
      </c>
      <c r="P13" s="41">
        <f t="shared" ca="1" si="1"/>
        <v>18.785510245176742</v>
      </c>
      <c r="Q13" s="16">
        <f t="shared" ca="1" si="1"/>
        <v>5344.5917691369759</v>
      </c>
      <c r="R13" s="42" t="e">
        <f ca="1">(K13-$D$15)/$D$15</f>
        <v>#DIV/0!</v>
      </c>
      <c r="S13" s="38">
        <f ca="1">AVERAGE(S3:S12)</f>
        <v>2433747.1981555736</v>
      </c>
      <c r="T13" s="43">
        <f t="shared" ref="T13:Y13" ca="1" si="2">AVERAGE(T3:T12)</f>
        <v>614.64361538461731</v>
      </c>
      <c r="U13" s="38">
        <f t="shared" ca="1" si="2"/>
        <v>13.7</v>
      </c>
      <c r="V13" s="38">
        <f t="shared" ca="1" si="2"/>
        <v>69.25</v>
      </c>
      <c r="W13" s="38">
        <f t="shared" ca="1" si="2"/>
        <v>1197.8865852531665</v>
      </c>
      <c r="X13" s="43">
        <f t="shared" ca="1" si="2"/>
        <v>58.979721856108497</v>
      </c>
      <c r="Y13" s="38">
        <f t="shared" ca="1" si="2"/>
        <v>6714.0283156126097</v>
      </c>
      <c r="Z13" s="44" t="e">
        <f ca="1">(S13-$D$15)/$D$15</f>
        <v>#DIV/0!</v>
      </c>
    </row>
    <row r="14" spans="2:26" x14ac:dyDescent="0.2">
      <c r="K14" s="45">
        <f ca="1">(K13-C13)/C13</f>
        <v>0.39455808409737902</v>
      </c>
      <c r="L14" s="45">
        <f t="shared" ref="L14:Q14" ca="1" si="3">(L13-D13)/D13</f>
        <v>0.53119970144556905</v>
      </c>
      <c r="M14" s="45">
        <f t="shared" ca="1" si="3"/>
        <v>-0.52561669829222013</v>
      </c>
      <c r="N14" s="45">
        <f t="shared" ca="1" si="3"/>
        <v>-0.46001583531274737</v>
      </c>
      <c r="O14" s="45">
        <f t="shared" ca="1" si="3"/>
        <v>-0.28840130769166694</v>
      </c>
      <c r="P14" s="45">
        <f t="shared" ca="1" si="3"/>
        <v>-0.81745791280591173</v>
      </c>
      <c r="Q14" s="45">
        <f t="shared" ca="1" si="3"/>
        <v>-7.8610223996773768E-2</v>
      </c>
      <c r="S14" s="45">
        <f ca="1">(S13-C13)/C13</f>
        <v>0.51248168366298108</v>
      </c>
      <c r="T14" s="45">
        <f t="shared" ref="T14:Y14" ca="1" si="4">(T13-D13)/D13</f>
        <v>0.19325710776723778</v>
      </c>
      <c r="U14" s="45">
        <f t="shared" ca="1" si="4"/>
        <v>-0.74003795066413658</v>
      </c>
      <c r="V14" s="45">
        <f ca="1">(V13-F13)/F13</f>
        <v>-0.45170229612034835</v>
      </c>
      <c r="W14" s="45">
        <f t="shared" ca="1" si="4"/>
        <v>0.20377393948856329</v>
      </c>
      <c r="X14" s="45">
        <f t="shared" ca="1" si="4"/>
        <v>-0.42688373170459276</v>
      </c>
      <c r="Y14" s="45">
        <f t="shared" ca="1" si="4"/>
        <v>0.15747606421969071</v>
      </c>
    </row>
    <row r="16" spans="2:26" x14ac:dyDescent="0.2">
      <c r="B16" s="1" t="s">
        <v>21</v>
      </c>
      <c r="C16">
        <f ca="1">_xlfn.STDEV.S(C3:C12)</f>
        <v>581201.97306210583</v>
      </c>
      <c r="D16">
        <f ca="1">D13/2.6</f>
        <v>198.11437869822322</v>
      </c>
      <c r="J16" s="1" t="s">
        <v>21</v>
      </c>
      <c r="K16">
        <f ca="1">_xlfn.STDEV.S(K3:K12)</f>
        <v>795393.56541077211</v>
      </c>
      <c r="L16">
        <f ca="1">L13/2.6</f>
        <v>303.35267751479381</v>
      </c>
      <c r="R16" s="1" t="s">
        <v>21</v>
      </c>
      <c r="S16">
        <f ca="1">_xlfn.STDEV.S(S3:S12)</f>
        <v>124204.51343659891</v>
      </c>
      <c r="T16">
        <f ca="1">T13/2.6</f>
        <v>236.40139053254512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36"/>
  <sheetViews>
    <sheetView zoomScale="90" zoomScaleNormal="90" workbookViewId="0">
      <selection activeCell="U18" sqref="U18:U38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-0.96487440663986701</v>
      </c>
      <c r="J2" s="28" t="e">
        <f>(S14-J14)/J14</f>
        <v>#DIV/0!</v>
      </c>
      <c r="K2" s="28"/>
      <c r="L2" s="1" t="s">
        <v>19</v>
      </c>
      <c r="P2" s="1">
        <f>(P14-H14)/H14</f>
        <v>0.66298839352146499</v>
      </c>
      <c r="R2" s="1">
        <f>(R14-J14)/J14</f>
        <v>5.4320886500790131</v>
      </c>
      <c r="T2" s="1" t="s">
        <v>20</v>
      </c>
      <c r="X2" s="1">
        <f>(X14-P14)/P14</f>
        <v>0.33455097070484879</v>
      </c>
      <c r="Z2" s="1">
        <f>(Z14-R14)/R14</f>
        <v>0.21405909625443445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156</v>
      </c>
      <c r="D4" s="23">
        <v>174</v>
      </c>
      <c r="E4" s="33">
        <v>137.69230769230768</v>
      </c>
      <c r="F4" s="5">
        <v>392</v>
      </c>
      <c r="G4" s="23">
        <v>414</v>
      </c>
      <c r="H4" s="33">
        <v>464</v>
      </c>
      <c r="I4" s="23">
        <v>605</v>
      </c>
      <c r="J4" s="5">
        <v>855</v>
      </c>
      <c r="K4" s="31"/>
      <c r="L4" s="23">
        <v>876</v>
      </c>
      <c r="M4" s="33">
        <v>439.58538461539229</v>
      </c>
      <c r="N4" s="5">
        <v>27</v>
      </c>
      <c r="O4" s="5">
        <v>65</v>
      </c>
      <c r="P4" s="33">
        <v>771.62661459395974</v>
      </c>
      <c r="Q4" s="5">
        <v>16.298275319101734</v>
      </c>
      <c r="R4" s="5">
        <v>5499.435795817556</v>
      </c>
      <c r="S4" s="31"/>
      <c r="T4" s="23">
        <v>2433069.6818157658</v>
      </c>
      <c r="U4" s="33">
        <v>325.75730769227869</v>
      </c>
      <c r="V4" s="5">
        <v>12</v>
      </c>
      <c r="W4" s="5">
        <v>67.5</v>
      </c>
      <c r="X4" s="33">
        <v>1029.7750475280652</v>
      </c>
      <c r="Y4" s="5">
        <v>59.669647940666387</v>
      </c>
      <c r="Z4" s="5">
        <v>6676.6400521795485</v>
      </c>
      <c r="AA4" s="35"/>
    </row>
    <row r="5" spans="2:27" x14ac:dyDescent="0.2">
      <c r="B5" s="4">
        <v>2</v>
      </c>
      <c r="C5" s="4">
        <v>174</v>
      </c>
      <c r="D5" s="23">
        <v>1786730.984588352</v>
      </c>
      <c r="E5" s="33">
        <v>558.87038461537156</v>
      </c>
      <c r="F5" s="5">
        <v>14</v>
      </c>
      <c r="G5" s="23">
        <v>94.5</v>
      </c>
      <c r="H5" s="33">
        <v>910.54811392594979</v>
      </c>
      <c r="I5" s="23">
        <v>49.935782179910063</v>
      </c>
      <c r="J5" s="5">
        <v>6485.531114104424</v>
      </c>
      <c r="K5" s="31"/>
      <c r="L5" s="23">
        <v>2634770.9181192839</v>
      </c>
      <c r="M5" s="33">
        <v>814.93384615383843</v>
      </c>
      <c r="N5" s="5">
        <v>26</v>
      </c>
      <c r="O5" s="5">
        <v>63.5</v>
      </c>
      <c r="P5" s="33">
        <v>617.69737957848588</v>
      </c>
      <c r="Q5" s="5">
        <v>16.658499728991604</v>
      </c>
      <c r="R5" s="5">
        <v>5250.056017275775</v>
      </c>
      <c r="S5" s="31"/>
      <c r="T5" s="23">
        <v>2512912.8955736072</v>
      </c>
      <c r="U5" s="33">
        <v>721.67076923074035</v>
      </c>
      <c r="V5" s="5">
        <v>14</v>
      </c>
      <c r="W5" s="5">
        <v>68.5</v>
      </c>
      <c r="X5" s="33">
        <v>1298.0344091862007</v>
      </c>
      <c r="Y5" s="5">
        <v>55.108897722962546</v>
      </c>
      <c r="Z5" s="5">
        <v>6997.6906659816223</v>
      </c>
      <c r="AA5" s="35"/>
    </row>
    <row r="6" spans="2:27" x14ac:dyDescent="0.2">
      <c r="B6" s="4">
        <v>3</v>
      </c>
      <c r="C6" s="4">
        <v>358</v>
      </c>
      <c r="D6" s="23">
        <v>1856661.5884210069</v>
      </c>
      <c r="E6" s="33">
        <v>925.19230769230762</v>
      </c>
      <c r="F6" s="5">
        <v>14</v>
      </c>
      <c r="G6" s="23">
        <v>90.5</v>
      </c>
      <c r="H6" s="33">
        <v>912.27903723530005</v>
      </c>
      <c r="I6" s="23">
        <v>47.94089890573747</v>
      </c>
      <c r="J6" s="5">
        <v>6349.4582487037596</v>
      </c>
      <c r="K6" s="31"/>
      <c r="L6" s="23">
        <v>2792440.4027601411</v>
      </c>
      <c r="M6" s="33">
        <v>551.99499999996851</v>
      </c>
      <c r="N6" s="5">
        <v>23</v>
      </c>
      <c r="O6" s="5">
        <v>61</v>
      </c>
      <c r="P6" s="33">
        <v>958.39973198984433</v>
      </c>
      <c r="Q6" s="5">
        <v>18.095318293252816</v>
      </c>
      <c r="R6" s="5">
        <v>5902.8252302872679</v>
      </c>
      <c r="S6" s="31"/>
      <c r="T6" s="23">
        <v>2548528.6676427298</v>
      </c>
      <c r="U6" s="33">
        <v>342.08538461539246</v>
      </c>
      <c r="V6" s="5">
        <v>18</v>
      </c>
      <c r="W6" s="5">
        <v>75</v>
      </c>
      <c r="X6" s="33">
        <v>1879.3813243381492</v>
      </c>
      <c r="Y6" s="5">
        <v>54.58711837190085</v>
      </c>
      <c r="Z6" s="5">
        <v>7376.26669742997</v>
      </c>
      <c r="AA6" s="35"/>
    </row>
    <row r="7" spans="2:27" x14ac:dyDescent="0.2">
      <c r="B7" s="4">
        <v>4</v>
      </c>
      <c r="C7" s="4">
        <v>392</v>
      </c>
      <c r="D7" s="23">
        <v>1924685.458542902</v>
      </c>
      <c r="E7" s="33">
        <v>754.20692307691002</v>
      </c>
      <c r="F7" s="5">
        <v>17</v>
      </c>
      <c r="G7" s="23">
        <v>94.5</v>
      </c>
      <c r="H7" s="33">
        <v>1375.5981521232293</v>
      </c>
      <c r="I7" s="23">
        <v>40.762143867323594</v>
      </c>
      <c r="J7" s="5">
        <v>6604.0014163407113</v>
      </c>
      <c r="K7" s="31"/>
      <c r="L7" s="23">
        <v>2598392.086338019</v>
      </c>
      <c r="M7" s="33">
        <v>726.82076923079035</v>
      </c>
      <c r="N7" s="5">
        <v>33</v>
      </c>
      <c r="O7" s="5">
        <v>75</v>
      </c>
      <c r="P7" s="33">
        <v>1054.0228301400048</v>
      </c>
      <c r="Q7" s="5">
        <v>15.348853838478403</v>
      </c>
      <c r="R7" s="5">
        <v>5821.0428205821445</v>
      </c>
      <c r="S7" s="31"/>
      <c r="T7" s="23">
        <v>2530195.917558427</v>
      </c>
      <c r="U7" s="33">
        <v>601.70038461537422</v>
      </c>
      <c r="V7" s="5">
        <v>10</v>
      </c>
      <c r="W7" s="5">
        <v>59.5</v>
      </c>
      <c r="X7" s="33">
        <v>598.7258126879658</v>
      </c>
      <c r="Y7" s="5">
        <v>66.028043359758016</v>
      </c>
      <c r="Z7" s="5">
        <v>6285.9720973702661</v>
      </c>
      <c r="AA7" s="35"/>
    </row>
    <row r="8" spans="2:27" x14ac:dyDescent="0.2">
      <c r="B8" s="4">
        <v>5</v>
      </c>
      <c r="C8" s="4">
        <v>414</v>
      </c>
      <c r="D8" s="23">
        <v>2139951.4294132059</v>
      </c>
      <c r="E8" s="33">
        <v>775.29423076923615</v>
      </c>
      <c r="F8" s="5">
        <v>16</v>
      </c>
      <c r="G8" s="23">
        <v>91</v>
      </c>
      <c r="H8" s="33">
        <v>1713.8433400564722</v>
      </c>
      <c r="I8" s="23">
        <v>41.456047816447047</v>
      </c>
      <c r="J8" s="5">
        <v>7047.4953286132513</v>
      </c>
      <c r="K8" s="31"/>
      <c r="L8" s="23">
        <v>2738817.552940703</v>
      </c>
      <c r="M8" s="33">
        <v>1468.9361538461303</v>
      </c>
      <c r="N8" s="5">
        <v>34</v>
      </c>
      <c r="O8" s="5">
        <v>72</v>
      </c>
      <c r="P8" s="33">
        <v>1276.4178702303757</v>
      </c>
      <c r="Q8" s="5">
        <v>14.436493880147504</v>
      </c>
      <c r="R8" s="5">
        <v>6039.1444981941559</v>
      </c>
      <c r="S8" s="31"/>
      <c r="T8" s="23">
        <v>2666651.6536722542</v>
      </c>
      <c r="U8" s="33">
        <v>200.79923076922287</v>
      </c>
      <c r="V8" s="5">
        <v>18</v>
      </c>
      <c r="W8" s="5">
        <v>70</v>
      </c>
      <c r="X8" s="33">
        <v>1954.5677478748157</v>
      </c>
      <c r="Y8" s="5">
        <v>45.522567360578378</v>
      </c>
      <c r="Z8" s="5">
        <v>7459.3652570388131</v>
      </c>
      <c r="AA8" s="35"/>
    </row>
    <row r="9" spans="2:27" x14ac:dyDescent="0.2">
      <c r="B9" s="4">
        <v>6</v>
      </c>
      <c r="C9" s="4">
        <v>464</v>
      </c>
      <c r="D9" s="23">
        <v>2129607.9628413869</v>
      </c>
      <c r="E9" s="33">
        <v>471.32192307693612</v>
      </c>
      <c r="F9" s="5">
        <v>17</v>
      </c>
      <c r="G9" s="23">
        <v>96</v>
      </c>
      <c r="H9" s="33">
        <v>1936.7923288415359</v>
      </c>
      <c r="I9" s="23">
        <v>43.090118312943048</v>
      </c>
      <c r="J9" s="5">
        <v>7391.9849338476643</v>
      </c>
      <c r="K9" s="31"/>
      <c r="L9" s="23">
        <v>3240556.321786799</v>
      </c>
      <c r="M9" s="33">
        <v>512.7765384615542</v>
      </c>
      <c r="N9" s="5">
        <v>44</v>
      </c>
      <c r="O9" s="5">
        <v>83</v>
      </c>
      <c r="P9" s="33">
        <v>2970.852603720456</v>
      </c>
      <c r="Q9" s="5">
        <v>13.617036630118092</v>
      </c>
      <c r="R9" s="5">
        <v>8137.3472631138848</v>
      </c>
      <c r="S9" s="31"/>
      <c r="T9" s="23">
        <v>3122964.143527674</v>
      </c>
      <c r="U9" s="33">
        <v>728.32923076921497</v>
      </c>
      <c r="V9" s="5">
        <v>29</v>
      </c>
      <c r="W9" s="5">
        <v>86.5</v>
      </c>
      <c r="X9" s="33">
        <v>3958.1386894218076</v>
      </c>
      <c r="Y9" s="5">
        <v>44.830662556514355</v>
      </c>
      <c r="Z9" s="5">
        <v>9545.2234343783439</v>
      </c>
      <c r="AA9" s="35"/>
    </row>
    <row r="10" spans="2:27" x14ac:dyDescent="0.2">
      <c r="B10" s="4">
        <v>7</v>
      </c>
      <c r="C10" s="4">
        <v>605</v>
      </c>
      <c r="D10" s="23">
        <v>2125880.1710572718</v>
      </c>
      <c r="E10" s="33">
        <v>964.28461538462068</v>
      </c>
      <c r="F10" s="5">
        <v>16</v>
      </c>
      <c r="G10" s="23">
        <v>89</v>
      </c>
      <c r="H10" s="33">
        <v>1419.8764643585689</v>
      </c>
      <c r="I10" s="23">
        <v>39.555183779344489</v>
      </c>
      <c r="J10" s="5">
        <v>6966.3574777435824</v>
      </c>
      <c r="K10" s="31"/>
      <c r="L10" s="23">
        <v>2781985.3386823689</v>
      </c>
      <c r="M10" s="33">
        <v>783.7623076923104</v>
      </c>
      <c r="N10" s="5">
        <v>46</v>
      </c>
      <c r="O10" s="5">
        <v>89</v>
      </c>
      <c r="P10" s="33">
        <v>1908.2283387833115</v>
      </c>
      <c r="Q10" s="5">
        <v>14.111150391475325</v>
      </c>
      <c r="R10" s="5">
        <v>6859.842793034768</v>
      </c>
      <c r="S10" s="31"/>
      <c r="T10" s="23">
        <v>2668596.1762899342</v>
      </c>
      <c r="U10" s="33">
        <v>324.89192307693884</v>
      </c>
      <c r="V10" s="5">
        <v>24</v>
      </c>
      <c r="W10" s="5">
        <v>88.5</v>
      </c>
      <c r="X10" s="33">
        <v>2916.6216601262136</v>
      </c>
      <c r="Y10" s="5">
        <v>53.671111343523144</v>
      </c>
      <c r="Z10" s="5">
        <v>8551.3885276136953</v>
      </c>
      <c r="AA10" s="35"/>
    </row>
    <row r="11" spans="2:27" x14ac:dyDescent="0.2">
      <c r="B11" s="4">
        <v>8</v>
      </c>
      <c r="C11" s="4">
        <v>855</v>
      </c>
      <c r="D11" s="23">
        <v>1955223.591080039</v>
      </c>
      <c r="E11" s="33">
        <v>318.7442307692254</v>
      </c>
      <c r="F11" s="5">
        <v>16</v>
      </c>
      <c r="G11" s="23">
        <v>95</v>
      </c>
      <c r="H11" s="33">
        <v>1425.1864329022083</v>
      </c>
      <c r="I11" s="23">
        <v>46.006206997771393</v>
      </c>
      <c r="J11" s="5">
        <v>6903.1242338005368</v>
      </c>
      <c r="K11" s="31"/>
      <c r="L11" s="23">
        <v>2644513.162176372</v>
      </c>
      <c r="M11" s="33">
        <v>726.58076923076385</v>
      </c>
      <c r="N11" s="5">
        <v>25</v>
      </c>
      <c r="O11" s="5">
        <v>64</v>
      </c>
      <c r="P11" s="33">
        <v>625.16973598850677</v>
      </c>
      <c r="Q11" s="5">
        <v>17.701586043553647</v>
      </c>
      <c r="R11" s="5">
        <v>5428.4900126297598</v>
      </c>
      <c r="S11" s="31"/>
      <c r="T11" s="23">
        <v>2596134.764570422</v>
      </c>
      <c r="U11" s="33">
        <v>804.32076923079035</v>
      </c>
      <c r="V11" s="5">
        <v>14</v>
      </c>
      <c r="W11" s="5">
        <v>64.5</v>
      </c>
      <c r="X11" s="33">
        <v>1247.7714562987278</v>
      </c>
      <c r="Y11" s="5">
        <v>51.79388376757246</v>
      </c>
      <c r="Z11" s="5">
        <v>6880.6845895161814</v>
      </c>
      <c r="AA11" s="35"/>
    </row>
    <row r="12" spans="2:27" x14ac:dyDescent="0.2">
      <c r="B12" s="4">
        <v>9</v>
      </c>
      <c r="C12" s="4">
        <v>870</v>
      </c>
      <c r="D12" s="23">
        <v>1904053.500511643</v>
      </c>
      <c r="E12" s="33">
        <v>422.00730769232342</v>
      </c>
      <c r="F12" s="5">
        <v>17</v>
      </c>
      <c r="G12" s="23">
        <v>93</v>
      </c>
      <c r="H12" s="33">
        <v>1121.9727574143619</v>
      </c>
      <c r="I12" s="23">
        <v>40.152930583297326</v>
      </c>
      <c r="J12" s="5">
        <v>6465.9689355741893</v>
      </c>
      <c r="K12" s="31"/>
      <c r="L12" s="23">
        <v>2716698.0066241231</v>
      </c>
      <c r="M12" s="33">
        <v>1378.1788461538515</v>
      </c>
      <c r="N12" s="5">
        <v>24</v>
      </c>
      <c r="O12" s="5">
        <v>62.5</v>
      </c>
      <c r="P12" s="33">
        <v>762.05627522131078</v>
      </c>
      <c r="Q12" s="5">
        <v>17.398089986985855</v>
      </c>
      <c r="R12" s="5">
        <v>5648.1426180046565</v>
      </c>
      <c r="S12" s="31"/>
      <c r="T12" s="23">
        <v>2629330.1386336889</v>
      </c>
      <c r="U12" s="33">
        <v>799.6996153846311</v>
      </c>
      <c r="V12" s="5">
        <v>13</v>
      </c>
      <c r="W12" s="5">
        <v>60.5</v>
      </c>
      <c r="X12" s="33">
        <v>1009.8545009958666</v>
      </c>
      <c r="Y12" s="5">
        <v>54.183660497288933</v>
      </c>
      <c r="Z12" s="5">
        <v>6578.5328616238794</v>
      </c>
      <c r="AA12" s="35"/>
    </row>
    <row r="13" spans="2:27" x14ac:dyDescent="0.2">
      <c r="B13" s="4">
        <v>10</v>
      </c>
      <c r="C13" s="4">
        <v>876</v>
      </c>
      <c r="D13" s="23">
        <v>2019278.451535478</v>
      </c>
      <c r="E13" s="33">
        <v>364.56153846153308</v>
      </c>
      <c r="F13" s="5">
        <v>17</v>
      </c>
      <c r="G13" s="23">
        <v>92.5</v>
      </c>
      <c r="H13" s="33">
        <v>1357.697418159373</v>
      </c>
      <c r="I13" s="23">
        <v>39.548278201191842</v>
      </c>
      <c r="J13" s="5">
        <v>6765.8069701648383</v>
      </c>
      <c r="K13" s="31"/>
      <c r="L13" s="23">
        <v>2931386.7987860679</v>
      </c>
      <c r="M13" s="33">
        <v>488.64192307693884</v>
      </c>
      <c r="N13" s="5">
        <v>32</v>
      </c>
      <c r="O13" s="5">
        <v>61</v>
      </c>
      <c r="P13" s="33">
        <v>834.84724863732845</v>
      </c>
      <c r="Q13" s="5">
        <v>12.419641507110704</v>
      </c>
      <c r="R13" s="5">
        <v>5643.7025590384055</v>
      </c>
      <c r="S13" s="31"/>
      <c r="T13" s="23">
        <v>2791293.3241291968</v>
      </c>
      <c r="U13" s="33">
        <v>386.12384615385383</v>
      </c>
      <c r="V13" s="5">
        <v>14</v>
      </c>
      <c r="W13" s="5">
        <v>59.5</v>
      </c>
      <c r="X13" s="33">
        <v>1647.1830851730904</v>
      </c>
      <c r="Y13" s="5">
        <v>49.034672162475708</v>
      </c>
      <c r="Z13" s="5">
        <v>7172.7386093803261</v>
      </c>
      <c r="AA13" s="35"/>
    </row>
    <row r="14" spans="2:27" x14ac:dyDescent="0.2">
      <c r="B14" s="46" t="s">
        <v>3</v>
      </c>
      <c r="C14" s="47"/>
      <c r="D14" s="9">
        <f>MIN(D4:D13)</f>
        <v>174</v>
      </c>
      <c r="E14" s="22">
        <f>INDEX(E4:E13, MATCH($D$14, D4:D13, 0))</f>
        <v>137.69230769230768</v>
      </c>
      <c r="F14" s="9">
        <f>INDEX(F4:F13, MATCH($D$14, D4:D13, 0))</f>
        <v>392</v>
      </c>
      <c r="G14" s="9">
        <f>INDEX(G4:G13, MATCH($D$14, D4:D13, 0))</f>
        <v>414</v>
      </c>
      <c r="H14" s="22">
        <f>INDEX(H4:H13, MATCH($D$14, D4:D13, 0))</f>
        <v>464</v>
      </c>
      <c r="I14" s="22">
        <f>INDEX(I4:I13, MATCH($D$14, D4:D13, 0))</f>
        <v>605</v>
      </c>
      <c r="J14" s="22">
        <f>INDEX(J4:J13, MATCH($D$14, D4:D13, 0))</f>
        <v>855</v>
      </c>
      <c r="K14" s="32" t="e">
        <f>(D14-$D$15)/$D$15</f>
        <v>#DIV/0!</v>
      </c>
      <c r="L14" s="16">
        <f>MIN(L4:L13)</f>
        <v>876</v>
      </c>
      <c r="M14" s="21">
        <f>INDEX(M4:M13, MATCH($L$14, L4:L13, 0))</f>
        <v>439.58538461539229</v>
      </c>
      <c r="N14" s="16">
        <f>INDEX(N4:N13, MATCH($L$14, L4:L13, 0))</f>
        <v>27</v>
      </c>
      <c r="O14" s="16">
        <f>INDEX(O4:O13, MATCH($L$14, L4:L13, 0))</f>
        <v>65</v>
      </c>
      <c r="P14" s="21">
        <f>INDEX(P4:P13, MATCH($L$14, L4:L13, 0))</f>
        <v>771.62661459395974</v>
      </c>
      <c r="Q14" s="21">
        <f>INDEX(Q4:Q13, MATCH($L$14, L4:L13, 0))</f>
        <v>16.298275319101734</v>
      </c>
      <c r="R14" s="21">
        <f>INDEX(R4:R13, MATCH($L$14, L4:L13, 0))</f>
        <v>5499.435795817556</v>
      </c>
      <c r="S14" s="36" t="e">
        <f>(L14-$D$15)/$D$15</f>
        <v>#DIV/0!</v>
      </c>
      <c r="T14" s="38">
        <f>MIN(T4:T13)</f>
        <v>2433069.6818157658</v>
      </c>
      <c r="U14" s="39">
        <f>INDEX(U4:U13, MATCH($T$14, T4:T13, 0))</f>
        <v>325.75730769227869</v>
      </c>
      <c r="V14" s="38">
        <f>INDEX(V4:V13, MATCH($T$14, T4:T13, 0))</f>
        <v>12</v>
      </c>
      <c r="W14" s="38">
        <f>INDEX(W4:W13, MATCH($T$14, T4:T13, 0))</f>
        <v>67.5</v>
      </c>
      <c r="X14" s="39">
        <f>INDEX(X4:X13, MATCH($T$14, T4:T13, 0))</f>
        <v>1029.7750475280652</v>
      </c>
      <c r="Y14" s="39">
        <f>INDEX(Y4:Y13, MATCH($T$14, T4:T13, 0))</f>
        <v>59.669647940666387</v>
      </c>
      <c r="Z14" s="39">
        <f>INDEX(Z4:Z13, MATCH($T$14, T4:T13, 0))</f>
        <v>6676.6400521795485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</sheetData>
  <mergeCells count="1">
    <mergeCell ref="B14:C14"/>
  </mergeCells>
  <conditionalFormatting sqref="C1:C13 C15:C1048576">
    <cfRule type="duplicateValues" dxfId="89" priority="5"/>
    <cfRule type="duplicateValues" dxfId="88" priority="6"/>
  </conditionalFormatting>
  <conditionalFormatting sqref="C14">
    <cfRule type="duplicateValues" dxfId="87" priority="1"/>
    <cfRule type="duplicateValues" dxfId="86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6B5C-0DAA-4B4F-9CBA-D023EABF508E}">
  <dimension ref="B1:AA36"/>
  <sheetViews>
    <sheetView zoomScale="90" zoomScaleNormal="90" workbookViewId="0">
      <selection activeCell="U19" sqref="U19:U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-0.98765186429136309</v>
      </c>
      <c r="J2" s="28" t="e">
        <f>(S14-J14)/J14</f>
        <v>#DIV/0!</v>
      </c>
      <c r="K2" s="28"/>
      <c r="L2" s="1" t="s">
        <v>19</v>
      </c>
      <c r="P2" s="1">
        <f>(P14-H14)/H14</f>
        <v>-0.30666980983487907</v>
      </c>
      <c r="R2" s="1">
        <f>(R14-J14)/J14</f>
        <v>-0.18923123283193974</v>
      </c>
      <c r="T2" s="1" t="s">
        <v>20</v>
      </c>
      <c r="X2" s="1">
        <f>(X14-P14)/P14</f>
        <v>0.22739642350069794</v>
      </c>
      <c r="Z2" s="1">
        <f>(Z14-R14)/R14</f>
        <v>0.18064073708660469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28</v>
      </c>
      <c r="D4" s="23">
        <v>2033490.817624395</v>
      </c>
      <c r="E4" s="33">
        <v>511.85692307691534</v>
      </c>
      <c r="F4" s="5">
        <v>15</v>
      </c>
      <c r="G4" s="23">
        <v>90</v>
      </c>
      <c r="H4" s="33">
        <v>1485.9084794541775</v>
      </c>
      <c r="I4" s="23">
        <v>47.79747959186993</v>
      </c>
      <c r="J4" s="5">
        <v>6936.911689528335</v>
      </c>
      <c r="K4" s="31"/>
      <c r="L4" s="23">
        <v>2693790.523423309</v>
      </c>
      <c r="M4" s="33">
        <v>827.8246153846311</v>
      </c>
      <c r="N4" s="5">
        <v>21</v>
      </c>
      <c r="O4" s="5">
        <v>61</v>
      </c>
      <c r="P4" s="33">
        <v>817.73576683839701</v>
      </c>
      <c r="Q4" s="5">
        <v>21.593146055094589</v>
      </c>
      <c r="R4" s="5">
        <v>5768.2163053639797</v>
      </c>
      <c r="S4" s="31"/>
      <c r="T4" s="23">
        <v>2463954.4310795199</v>
      </c>
      <c r="U4" s="33">
        <v>266.80884615383826</v>
      </c>
      <c r="V4" s="5">
        <v>12</v>
      </c>
      <c r="W4" s="5">
        <v>67.5</v>
      </c>
      <c r="X4" s="33">
        <v>1308.9855438318825</v>
      </c>
      <c r="Y4" s="5">
        <v>64.858912959512864</v>
      </c>
      <c r="Z4" s="5">
        <v>6875.8659876668808</v>
      </c>
      <c r="AA4" s="35"/>
    </row>
    <row r="5" spans="2:27" x14ac:dyDescent="0.2">
      <c r="B5" s="4">
        <v>2</v>
      </c>
      <c r="C5" s="4">
        <v>665</v>
      </c>
      <c r="D5" s="23">
        <v>2005353.801486044</v>
      </c>
      <c r="E5" s="33">
        <v>327.7284615384325</v>
      </c>
      <c r="F5" s="5">
        <v>16</v>
      </c>
      <c r="G5" s="23">
        <v>90</v>
      </c>
      <c r="H5" s="33">
        <v>1354.1745117827504</v>
      </c>
      <c r="I5" s="23">
        <v>47.122467528761511</v>
      </c>
      <c r="J5" s="5">
        <v>6843.6357453803303</v>
      </c>
      <c r="K5" s="31"/>
      <c r="L5" s="23">
        <v>2682458.136321893</v>
      </c>
      <c r="M5" s="33">
        <v>768.32346153844037</v>
      </c>
      <c r="N5" s="5">
        <v>25</v>
      </c>
      <c r="O5" s="5">
        <v>66</v>
      </c>
      <c r="P5" s="33">
        <v>1073.2003723314904</v>
      </c>
      <c r="Q5" s="5">
        <v>20.897091243296504</v>
      </c>
      <c r="R5" s="5">
        <v>6029.3516763231164</v>
      </c>
      <c r="S5" s="31"/>
      <c r="T5" s="23">
        <v>2731477.2830974432</v>
      </c>
      <c r="U5" s="33">
        <v>275.58307692305578</v>
      </c>
      <c r="V5" s="5">
        <v>14</v>
      </c>
      <c r="W5" s="5">
        <v>60.5</v>
      </c>
      <c r="X5" s="33">
        <v>1453.6923041061968</v>
      </c>
      <c r="Y5" s="5">
        <v>51.264197910628148</v>
      </c>
      <c r="Z5" s="5">
        <v>7087.8062154493091</v>
      </c>
      <c r="AA5" s="35"/>
    </row>
    <row r="6" spans="2:27" x14ac:dyDescent="0.2">
      <c r="B6" s="4">
        <v>3</v>
      </c>
      <c r="C6" s="4">
        <v>510</v>
      </c>
      <c r="D6" s="23">
        <v>2357047.322800369</v>
      </c>
      <c r="E6" s="33">
        <v>1005.9615384615385</v>
      </c>
      <c r="F6" s="5">
        <v>15</v>
      </c>
      <c r="G6" s="23">
        <v>83.5</v>
      </c>
      <c r="H6" s="33">
        <v>1946.8388696353556</v>
      </c>
      <c r="I6" s="23">
        <v>43.531225699929344</v>
      </c>
      <c r="J6" s="5">
        <v>7553.688873381011</v>
      </c>
      <c r="K6" s="31"/>
      <c r="L6" s="23">
        <v>2917823.1889737821</v>
      </c>
      <c r="M6" s="33">
        <v>407.60807692306116</v>
      </c>
      <c r="N6" s="5">
        <v>21</v>
      </c>
      <c r="O6" s="5">
        <v>53.5</v>
      </c>
      <c r="P6" s="33">
        <v>952.56552315497868</v>
      </c>
      <c r="Q6" s="5">
        <v>19.45069567493362</v>
      </c>
      <c r="R6" s="5">
        <v>5916.5034433345618</v>
      </c>
      <c r="S6" s="31"/>
      <c r="T6" s="23">
        <v>2836337.6146171051</v>
      </c>
      <c r="U6" s="33">
        <v>528.35346153843273</v>
      </c>
      <c r="V6" s="5">
        <v>14</v>
      </c>
      <c r="W6" s="5">
        <v>58.5</v>
      </c>
      <c r="X6" s="33">
        <v>1747.7111658393517</v>
      </c>
      <c r="Y6" s="5">
        <v>45.603336626496734</v>
      </c>
      <c r="Z6" s="5">
        <v>7291.6396787378826</v>
      </c>
      <c r="AA6" s="35"/>
    </row>
    <row r="7" spans="2:27" x14ac:dyDescent="0.2">
      <c r="B7" s="4">
        <v>4</v>
      </c>
      <c r="C7" s="4">
        <v>557</v>
      </c>
      <c r="D7" s="23">
        <v>1977573.925221347</v>
      </c>
      <c r="E7" s="33">
        <v>314.57346153848516</v>
      </c>
      <c r="F7" s="5">
        <v>17</v>
      </c>
      <c r="G7" s="23">
        <v>91.5</v>
      </c>
      <c r="H7" s="33">
        <v>1386.545266468662</v>
      </c>
      <c r="I7" s="23">
        <v>45.384377140987532</v>
      </c>
      <c r="J7" s="5">
        <v>6768.0685351112024</v>
      </c>
      <c r="K7" s="31"/>
      <c r="L7" s="23">
        <v>2673822.033560459</v>
      </c>
      <c r="M7" s="33">
        <v>973.70192307692309</v>
      </c>
      <c r="N7" s="5">
        <v>32</v>
      </c>
      <c r="O7" s="5">
        <v>70.5</v>
      </c>
      <c r="P7" s="33">
        <v>1022.2296733187152</v>
      </c>
      <c r="Q7" s="5">
        <v>16.56255866620285</v>
      </c>
      <c r="R7" s="5">
        <v>5835.5674882814938</v>
      </c>
      <c r="S7" s="31"/>
      <c r="T7" s="23">
        <v>2668549.451295027</v>
      </c>
      <c r="U7" s="33">
        <v>615.49884615385383</v>
      </c>
      <c r="V7" s="5">
        <v>14</v>
      </c>
      <c r="W7" s="5">
        <v>60</v>
      </c>
      <c r="X7" s="33">
        <v>1296.7150265846983</v>
      </c>
      <c r="Y7" s="5">
        <v>54.670789393527578</v>
      </c>
      <c r="Z7" s="5">
        <v>6809.3762900300517</v>
      </c>
      <c r="AA7" s="35"/>
    </row>
    <row r="8" spans="2:27" x14ac:dyDescent="0.2">
      <c r="B8" s="4">
        <v>5</v>
      </c>
      <c r="C8" s="4">
        <v>836</v>
      </c>
      <c r="D8" s="23">
        <v>2138715.5715317312</v>
      </c>
      <c r="E8" s="33">
        <v>855.47461538463654</v>
      </c>
      <c r="F8" s="5">
        <v>14</v>
      </c>
      <c r="G8" s="23">
        <v>84</v>
      </c>
      <c r="H8" s="33">
        <v>1394.8049265061302</v>
      </c>
      <c r="I8" s="23">
        <v>47.590615814915012</v>
      </c>
      <c r="J8" s="5">
        <v>6842.0490551858884</v>
      </c>
      <c r="K8" s="31"/>
      <c r="L8" s="23">
        <v>2772550.892014063</v>
      </c>
      <c r="M8" s="33">
        <v>454.32076923074573</v>
      </c>
      <c r="N8" s="5">
        <v>39</v>
      </c>
      <c r="O8" s="5">
        <v>83</v>
      </c>
      <c r="P8" s="33">
        <v>1974.4512764246579</v>
      </c>
      <c r="Q8" s="5">
        <v>17.255858253535752</v>
      </c>
      <c r="R8" s="5">
        <v>7039.037478542763</v>
      </c>
      <c r="S8" s="31"/>
      <c r="T8" s="23">
        <v>3147156.822141022</v>
      </c>
      <c r="U8" s="33">
        <v>366.86307692309265</v>
      </c>
      <c r="V8" s="5">
        <v>30</v>
      </c>
      <c r="W8" s="5">
        <v>89</v>
      </c>
      <c r="X8" s="33">
        <v>4251.4844528172343</v>
      </c>
      <c r="Y8" s="5">
        <v>46.162217024616169</v>
      </c>
      <c r="Z8" s="5">
        <v>9859.6781435483772</v>
      </c>
      <c r="AA8" s="35"/>
    </row>
    <row r="9" spans="2:27" x14ac:dyDescent="0.2">
      <c r="B9" s="4">
        <v>6</v>
      </c>
      <c r="C9" s="4">
        <v>240</v>
      </c>
      <c r="D9" s="23">
        <v>1973635.2575542589</v>
      </c>
      <c r="E9" s="33">
        <v>607.72807692307424</v>
      </c>
      <c r="F9" s="5">
        <v>15</v>
      </c>
      <c r="G9" s="23">
        <v>95</v>
      </c>
      <c r="H9" s="33">
        <v>1538.1896523288513</v>
      </c>
      <c r="I9" s="23">
        <v>52.963367716666866</v>
      </c>
      <c r="J9" s="5">
        <v>7183.1118537115235</v>
      </c>
      <c r="K9" s="31"/>
      <c r="L9" s="23">
        <v>2678773.4989053519</v>
      </c>
      <c r="M9" s="33">
        <v>403.98461538460998</v>
      </c>
      <c r="N9" s="5">
        <v>23</v>
      </c>
      <c r="O9" s="5">
        <v>62</v>
      </c>
      <c r="P9" s="33">
        <v>798.89571212024862</v>
      </c>
      <c r="Q9" s="5">
        <v>20.091142432533182</v>
      </c>
      <c r="R9" s="5">
        <v>5647.6343473040233</v>
      </c>
      <c r="S9" s="31"/>
      <c r="T9" s="23">
        <v>2553131.534271582</v>
      </c>
      <c r="U9" s="33">
        <v>740.07192307693617</v>
      </c>
      <c r="V9" s="5">
        <v>14</v>
      </c>
      <c r="W9" s="5">
        <v>67.5</v>
      </c>
      <c r="X9" s="33">
        <v>1483.0766613216299</v>
      </c>
      <c r="Y9" s="5">
        <v>54.986136168198698</v>
      </c>
      <c r="Z9" s="5">
        <v>7116.8474051601406</v>
      </c>
      <c r="AA9" s="35"/>
    </row>
    <row r="10" spans="2:27" x14ac:dyDescent="0.2">
      <c r="B10" s="4">
        <v>7</v>
      </c>
      <c r="C10" s="4">
        <v>687</v>
      </c>
      <c r="D10" s="23">
        <v>1980809.83871651</v>
      </c>
      <c r="E10" s="33">
        <v>561.00384615384075</v>
      </c>
      <c r="F10" s="5">
        <v>16</v>
      </c>
      <c r="G10" s="23">
        <v>90</v>
      </c>
      <c r="H10" s="33">
        <v>1263.4102704812663</v>
      </c>
      <c r="I10" s="23">
        <v>45.434985368688572</v>
      </c>
      <c r="J10" s="5">
        <v>6705.4934986416847</v>
      </c>
      <c r="K10" s="31"/>
      <c r="L10" s="23">
        <v>2659530.4548316081</v>
      </c>
      <c r="M10" s="33">
        <v>1006.2376923076896</v>
      </c>
      <c r="N10" s="5">
        <v>27</v>
      </c>
      <c r="O10" s="5">
        <v>66.5</v>
      </c>
      <c r="P10" s="33">
        <v>977.89410375322689</v>
      </c>
      <c r="Q10" s="5">
        <v>18.261163232753049</v>
      </c>
      <c r="R10" s="5">
        <v>5744.7562436474336</v>
      </c>
      <c r="S10" s="31"/>
      <c r="T10" s="23">
        <v>2701226.8011939372</v>
      </c>
      <c r="U10" s="33">
        <v>682.6380769230534</v>
      </c>
      <c r="V10" s="5">
        <v>14</v>
      </c>
      <c r="W10" s="5">
        <v>59</v>
      </c>
      <c r="X10" s="33">
        <v>1193.7373332672926</v>
      </c>
      <c r="Y10" s="5">
        <v>51.868501910971986</v>
      </c>
      <c r="Z10" s="5">
        <v>6755.2932936635352</v>
      </c>
      <c r="AA10" s="35"/>
    </row>
    <row r="11" spans="2:27" x14ac:dyDescent="0.2">
      <c r="B11" s="4">
        <v>8</v>
      </c>
      <c r="C11" s="4">
        <v>316</v>
      </c>
      <c r="D11" s="23">
        <v>2237938.3295111861</v>
      </c>
      <c r="E11" s="33">
        <v>861.89307692308455</v>
      </c>
      <c r="F11" s="5">
        <v>12</v>
      </c>
      <c r="G11" s="23">
        <v>78.5</v>
      </c>
      <c r="H11" s="33">
        <v>1314.1319283765806</v>
      </c>
      <c r="I11" s="23">
        <v>52.232541532812832</v>
      </c>
      <c r="J11" s="5">
        <v>6949.6076883231835</v>
      </c>
      <c r="K11" s="31"/>
      <c r="L11" s="23">
        <v>2555632.9777260758</v>
      </c>
      <c r="M11" s="33">
        <v>501.20807692305578</v>
      </c>
      <c r="N11" s="5">
        <v>30</v>
      </c>
      <c r="O11" s="5">
        <v>73</v>
      </c>
      <c r="P11" s="33">
        <v>1066.4733241591837</v>
      </c>
      <c r="Q11" s="5">
        <v>18.99377457257766</v>
      </c>
      <c r="R11" s="5">
        <v>5823.8427420639719</v>
      </c>
      <c r="S11" s="31"/>
      <c r="T11" s="23">
        <v>2690114.4333989979</v>
      </c>
      <c r="U11" s="33">
        <v>516.31615384616157</v>
      </c>
      <c r="V11" s="5">
        <v>20</v>
      </c>
      <c r="W11" s="5">
        <v>74</v>
      </c>
      <c r="X11" s="33">
        <v>2374.9870182278437</v>
      </c>
      <c r="Y11" s="5">
        <v>47.483421881038922</v>
      </c>
      <c r="Z11" s="5">
        <v>7796.8040673784071</v>
      </c>
      <c r="AA11" s="35"/>
    </row>
    <row r="12" spans="2:27" x14ac:dyDescent="0.2">
      <c r="B12" s="4">
        <v>9</v>
      </c>
      <c r="C12" s="4">
        <v>795</v>
      </c>
      <c r="D12" s="23">
        <v>2234336.042994116</v>
      </c>
      <c r="E12" s="33">
        <v>286.00961538461536</v>
      </c>
      <c r="F12" s="5">
        <v>16</v>
      </c>
      <c r="G12" s="23">
        <v>84.5</v>
      </c>
      <c r="H12" s="33">
        <v>1613.9598524547519</v>
      </c>
      <c r="I12" s="23">
        <v>43.101599021419567</v>
      </c>
      <c r="J12" s="5">
        <v>7176.3719879578894</v>
      </c>
      <c r="K12" s="31"/>
      <c r="L12" s="23">
        <v>2801831.9472971172</v>
      </c>
      <c r="M12" s="33">
        <v>535.79923076922307</v>
      </c>
      <c r="N12" s="5">
        <v>20</v>
      </c>
      <c r="O12" s="5">
        <v>58</v>
      </c>
      <c r="P12" s="33">
        <v>1045.1212432773473</v>
      </c>
      <c r="Q12" s="5">
        <v>22.309713320927436</v>
      </c>
      <c r="R12" s="5">
        <v>6060.2657893150053</v>
      </c>
      <c r="S12" s="31"/>
      <c r="T12" s="23">
        <v>2648851.4630879569</v>
      </c>
      <c r="U12" s="33">
        <v>437.08538461534772</v>
      </c>
      <c r="V12" s="5">
        <v>14</v>
      </c>
      <c r="W12" s="5">
        <v>63.5</v>
      </c>
      <c r="X12" s="33">
        <v>1380.0901608667041</v>
      </c>
      <c r="Y12" s="5">
        <v>49.203596787035664</v>
      </c>
      <c r="Z12" s="5">
        <v>6953.4360693936796</v>
      </c>
      <c r="AA12" s="35"/>
    </row>
    <row r="13" spans="2:27" x14ac:dyDescent="0.2">
      <c r="B13" s="4">
        <v>10</v>
      </c>
      <c r="C13" s="4">
        <v>707</v>
      </c>
      <c r="D13" s="23">
        <v>2163319.2274723859</v>
      </c>
      <c r="E13" s="33">
        <v>355.91346153846155</v>
      </c>
      <c r="F13" s="5">
        <v>13</v>
      </c>
      <c r="G13" s="23">
        <v>83</v>
      </c>
      <c r="H13" s="33">
        <v>1380.9207257696598</v>
      </c>
      <c r="I13" s="23">
        <v>49.315691094102348</v>
      </c>
      <c r="J13" s="5">
        <v>6957.8996063329505</v>
      </c>
      <c r="K13" s="31"/>
      <c r="L13" s="23">
        <v>2564022.1054291772</v>
      </c>
      <c r="M13" s="33">
        <v>684.32692307692309</v>
      </c>
      <c r="N13" s="5">
        <v>21</v>
      </c>
      <c r="O13" s="5">
        <v>67</v>
      </c>
      <c r="P13" s="33">
        <v>1021.5506335502349</v>
      </c>
      <c r="Q13" s="5">
        <v>23.727927423076093</v>
      </c>
      <c r="R13" s="5">
        <v>5962.6869224826669</v>
      </c>
      <c r="S13" s="31"/>
      <c r="T13" s="23">
        <v>2607850.3958582021</v>
      </c>
      <c r="U13" s="33">
        <v>429.19461538464424</v>
      </c>
      <c r="V13" s="5">
        <v>13</v>
      </c>
      <c r="W13" s="5">
        <v>64</v>
      </c>
      <c r="X13" s="33">
        <v>1376.6396439379571</v>
      </c>
      <c r="Y13" s="5">
        <v>54.804617058494799</v>
      </c>
      <c r="Z13" s="5">
        <v>7019.7283647984896</v>
      </c>
      <c r="AA13" s="35"/>
    </row>
    <row r="14" spans="2:27" x14ac:dyDescent="0.2">
      <c r="B14" s="46" t="s">
        <v>3</v>
      </c>
      <c r="C14" s="47"/>
      <c r="D14" s="9">
        <f>MIN(D4:D13)</f>
        <v>1973635.2575542589</v>
      </c>
      <c r="E14" s="22">
        <f>INDEX(E4:E13, MATCH($D$14, D4:D13, 0))</f>
        <v>607.72807692307424</v>
      </c>
      <c r="F14" s="9">
        <f>INDEX(F4:F13, MATCH($D$14, D4:D13, 0))</f>
        <v>15</v>
      </c>
      <c r="G14" s="9">
        <f>INDEX(G4:G13, MATCH($D$14, D4:D13, 0))</f>
        <v>95</v>
      </c>
      <c r="H14" s="22">
        <f>INDEX(H4:H13, MATCH($D$14, D4:D13, 0))</f>
        <v>1538.1896523288513</v>
      </c>
      <c r="I14" s="22">
        <f>INDEX(I4:I13, MATCH($D$14, D4:D13, 0))</f>
        <v>52.963367716666866</v>
      </c>
      <c r="J14" s="22">
        <f>INDEX(J4:J13, MATCH($D$14, D4:D13, 0))</f>
        <v>7183.1118537115235</v>
      </c>
      <c r="K14" s="32" t="e">
        <f>(D14-$D$15)/$D$15</f>
        <v>#DIV/0!</v>
      </c>
      <c r="L14" s="16">
        <f>MIN(L4:L13)</f>
        <v>2555632.9777260758</v>
      </c>
      <c r="M14" s="21">
        <f>INDEX(M4:M13, MATCH($L$14, L4:L13, 0))</f>
        <v>501.20807692305578</v>
      </c>
      <c r="N14" s="16">
        <f>INDEX(N4:N13, MATCH($L$14, L4:L13, 0))</f>
        <v>30</v>
      </c>
      <c r="O14" s="16">
        <f>INDEX(O4:O13, MATCH($L$14, L4:L13, 0))</f>
        <v>73</v>
      </c>
      <c r="P14" s="21">
        <f>INDEX(P4:P13, MATCH($L$14, L4:L13, 0))</f>
        <v>1066.4733241591837</v>
      </c>
      <c r="Q14" s="21">
        <f>INDEX(Q4:Q13, MATCH($L$14, L4:L13, 0))</f>
        <v>18.99377457257766</v>
      </c>
      <c r="R14" s="21">
        <f>INDEX(R4:R13, MATCH($L$14, L4:L13, 0))</f>
        <v>5823.8427420639719</v>
      </c>
      <c r="S14" s="36" t="e">
        <f>(L14-$D$15)/$D$15</f>
        <v>#DIV/0!</v>
      </c>
      <c r="T14" s="38">
        <f>MIN(T4:T13)</f>
        <v>2463954.4310795199</v>
      </c>
      <c r="U14" s="39">
        <f>INDEX(U4:U13, MATCH($T$14, T4:T13, 0))</f>
        <v>266.80884615383826</v>
      </c>
      <c r="V14" s="38">
        <f>INDEX(V4:V13, MATCH($T$14, T4:T13, 0))</f>
        <v>12</v>
      </c>
      <c r="W14" s="38">
        <f>INDEX(W4:W13, MATCH($T$14, T4:T13, 0))</f>
        <v>67.5</v>
      </c>
      <c r="X14" s="39">
        <f>INDEX(X4:X13, MATCH($T$14, T4:T13, 0))</f>
        <v>1308.9855438318825</v>
      </c>
      <c r="Y14" s="39">
        <f>INDEX(Y4:Y13, MATCH($T$14, T4:T13, 0))</f>
        <v>64.858912959512864</v>
      </c>
      <c r="Z14" s="39">
        <f>INDEX(Z4:Z13, MATCH($T$14, T4:T13, 0))</f>
        <v>6875.8659876668808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</sheetData>
  <mergeCells count="1">
    <mergeCell ref="B14:C14"/>
  </mergeCells>
  <conditionalFormatting sqref="C1:C13 C15:C16 C37:C1048576">
    <cfRule type="duplicateValues" dxfId="85" priority="7"/>
    <cfRule type="duplicateValues" dxfId="84" priority="8"/>
  </conditionalFormatting>
  <conditionalFormatting sqref="C14">
    <cfRule type="duplicateValues" dxfId="83" priority="3"/>
    <cfRule type="duplicateValues" dxfId="82" priority="4"/>
  </conditionalFormatting>
  <conditionalFormatting sqref="C17:C36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B2DF-AA5B-4BC1-A247-FC0E5301CA07}">
  <dimension ref="B1:AA17"/>
  <sheetViews>
    <sheetView zoomScale="90" zoomScaleNormal="90" workbookViewId="0">
      <selection activeCell="U20" sqref="U20:U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-0.97879056623191552</v>
      </c>
      <c r="J2" s="28" t="e">
        <f>(S14-J14)/J14</f>
        <v>#DIV/0!</v>
      </c>
      <c r="K2" s="28"/>
      <c r="L2" s="1" t="s">
        <v>19</v>
      </c>
      <c r="P2" s="1">
        <f>(P14-H14)/H14</f>
        <v>-6.3987988086215308E-2</v>
      </c>
      <c r="R2" s="1">
        <f>(R14-J14)/J14</f>
        <v>-0.13981907407674984</v>
      </c>
      <c r="T2" s="1" t="s">
        <v>20</v>
      </c>
      <c r="X2" s="1">
        <f>(X14-P14)/P14</f>
        <v>0.32627769384764926</v>
      </c>
      <c r="Z2" s="1">
        <f>(Z14-R14)/R14</f>
        <v>0.24442885596979624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376</v>
      </c>
      <c r="D4" s="23">
        <v>1810172.189516749</v>
      </c>
      <c r="E4" s="33">
        <v>341.44230769230768</v>
      </c>
      <c r="F4" s="5">
        <v>15</v>
      </c>
      <c r="G4" s="23">
        <v>93</v>
      </c>
      <c r="H4" s="33">
        <v>1010.0108661050235</v>
      </c>
      <c r="I4" s="23">
        <v>44.367812102820352</v>
      </c>
      <c r="J4" s="5">
        <v>6346.4884866427665</v>
      </c>
      <c r="K4" s="31"/>
      <c r="L4" s="23">
        <v>2692451.5194059429</v>
      </c>
      <c r="M4" s="33">
        <v>485.21038461539229</v>
      </c>
      <c r="N4" s="5">
        <v>28</v>
      </c>
      <c r="O4" s="5">
        <v>66</v>
      </c>
      <c r="P4" s="33">
        <v>780.029753126787</v>
      </c>
      <c r="Q4" s="5">
        <v>16.254263145651059</v>
      </c>
      <c r="R4" s="5">
        <v>5766.5347906120587</v>
      </c>
      <c r="S4" s="31"/>
      <c r="T4" s="23">
        <v>2861519.5886730612</v>
      </c>
      <c r="U4" s="33">
        <v>211.80307692306366</v>
      </c>
      <c r="V4" s="5">
        <v>11</v>
      </c>
      <c r="W4" s="5">
        <v>57</v>
      </c>
      <c r="X4" s="33">
        <v>1952.470907356613</v>
      </c>
      <c r="Y4" s="5">
        <v>59.142826656453487</v>
      </c>
      <c r="Z4" s="5">
        <v>7555.2890970199614</v>
      </c>
      <c r="AA4" s="35"/>
    </row>
    <row r="5" spans="2:27" x14ac:dyDescent="0.2">
      <c r="B5" s="4">
        <v>2</v>
      </c>
      <c r="C5" s="4">
        <v>287</v>
      </c>
      <c r="D5" s="23">
        <v>1831426.8650153149</v>
      </c>
      <c r="E5" s="33">
        <v>966.77307692307147</v>
      </c>
      <c r="F5" s="5">
        <v>16</v>
      </c>
      <c r="G5" s="23">
        <v>89</v>
      </c>
      <c r="H5" s="33">
        <v>762.28685057539997</v>
      </c>
      <c r="I5" s="23">
        <v>38.924884915448693</v>
      </c>
      <c r="J5" s="5">
        <v>5962.8245455462911</v>
      </c>
      <c r="K5" s="31"/>
      <c r="L5" s="23">
        <v>2515100.1698740302</v>
      </c>
      <c r="M5" s="33">
        <v>459.28461538462074</v>
      </c>
      <c r="N5" s="5">
        <v>32</v>
      </c>
      <c r="O5" s="5">
        <v>77</v>
      </c>
      <c r="P5" s="33">
        <v>1126.1745987352231</v>
      </c>
      <c r="Q5" s="5">
        <v>16.354086569550038</v>
      </c>
      <c r="R5" s="5">
        <v>5836.195832876675</v>
      </c>
      <c r="S5" s="31"/>
      <c r="T5" s="23">
        <v>2445119.616399447</v>
      </c>
      <c r="U5" s="33">
        <v>345.94346153849841</v>
      </c>
      <c r="V5" s="5">
        <v>11</v>
      </c>
      <c r="W5" s="5">
        <v>64.5</v>
      </c>
      <c r="X5" s="33">
        <v>918.67893577602115</v>
      </c>
      <c r="Y5" s="5">
        <v>70.50742687687314</v>
      </c>
      <c r="Z5" s="5">
        <v>6517.711228619316</v>
      </c>
      <c r="AA5" s="35"/>
    </row>
    <row r="6" spans="2:27" x14ac:dyDescent="0.2">
      <c r="B6" s="4">
        <v>3</v>
      </c>
      <c r="C6" s="4">
        <v>624</v>
      </c>
      <c r="D6" s="23">
        <v>1802521.351796787</v>
      </c>
      <c r="E6" s="33">
        <v>206.94115384616171</v>
      </c>
      <c r="F6" s="5">
        <v>18</v>
      </c>
      <c r="G6" s="23">
        <v>96.5</v>
      </c>
      <c r="H6" s="33">
        <v>1127.6604730156942</v>
      </c>
      <c r="I6" s="23">
        <v>38.636520554723226</v>
      </c>
      <c r="J6" s="5">
        <v>6426.4057500822964</v>
      </c>
      <c r="K6" s="31"/>
      <c r="L6" s="23">
        <v>2597115.7475557788</v>
      </c>
      <c r="M6" s="33">
        <v>528.11307692309265</v>
      </c>
      <c r="N6" s="5">
        <v>37</v>
      </c>
      <c r="O6" s="5">
        <v>82</v>
      </c>
      <c r="P6" s="33">
        <v>1444.6672572042835</v>
      </c>
      <c r="Q6" s="5">
        <v>16.220812546127803</v>
      </c>
      <c r="R6" s="5">
        <v>6364.6790970302336</v>
      </c>
      <c r="S6" s="31"/>
      <c r="T6" s="23">
        <v>2664411.8162164739</v>
      </c>
      <c r="U6" s="33">
        <v>429.44115384616151</v>
      </c>
      <c r="V6" s="5">
        <v>26</v>
      </c>
      <c r="W6" s="5">
        <v>89</v>
      </c>
      <c r="X6" s="33">
        <v>2995.0925253969472</v>
      </c>
      <c r="Y6" s="5">
        <v>49.247088605626423</v>
      </c>
      <c r="Z6" s="5">
        <v>8517.0044479958415</v>
      </c>
      <c r="AA6" s="35"/>
    </row>
    <row r="7" spans="2:27" x14ac:dyDescent="0.2">
      <c r="B7" s="4">
        <v>4</v>
      </c>
      <c r="C7" s="4">
        <v>301</v>
      </c>
      <c r="D7" s="23">
        <v>2236893.9141588979</v>
      </c>
      <c r="E7" s="33">
        <v>402.35576923076923</v>
      </c>
      <c r="F7" s="5">
        <v>16</v>
      </c>
      <c r="G7" s="23">
        <v>83</v>
      </c>
      <c r="H7" s="33">
        <v>1476.5664146643703</v>
      </c>
      <c r="I7" s="23">
        <v>35.081500774885086</v>
      </c>
      <c r="J7" s="5">
        <v>6871.8437256547986</v>
      </c>
      <c r="K7" s="31"/>
      <c r="L7" s="23">
        <v>2384837.133601483</v>
      </c>
      <c r="M7" s="33">
        <v>814.41692307694416</v>
      </c>
      <c r="N7" s="5">
        <v>26</v>
      </c>
      <c r="O7" s="5">
        <v>73</v>
      </c>
      <c r="P7" s="33">
        <v>854.11542400914243</v>
      </c>
      <c r="Q7" s="5">
        <v>19.353709445226563</v>
      </c>
      <c r="R7" s="5">
        <v>5365.5456116336854</v>
      </c>
      <c r="S7" s="31"/>
      <c r="T7" s="23">
        <v>2412230.7344527789</v>
      </c>
      <c r="U7" s="33">
        <v>836.53269230768694</v>
      </c>
      <c r="V7" s="5">
        <v>16</v>
      </c>
      <c r="W7" s="5">
        <v>73.5</v>
      </c>
      <c r="X7" s="33">
        <v>1514.7023615587145</v>
      </c>
      <c r="Y7" s="5">
        <v>50.077043200307479</v>
      </c>
      <c r="Z7" s="5">
        <v>6874.1671479364495</v>
      </c>
      <c r="AA7" s="35"/>
    </row>
    <row r="8" spans="2:27" x14ac:dyDescent="0.2">
      <c r="B8" s="4">
        <v>5</v>
      </c>
      <c r="C8" s="4">
        <v>695</v>
      </c>
      <c r="D8" s="23">
        <v>1711945.0979188471</v>
      </c>
      <c r="E8" s="33">
        <v>738.88230769232348</v>
      </c>
      <c r="F8" s="5">
        <v>16</v>
      </c>
      <c r="G8" s="23">
        <v>96</v>
      </c>
      <c r="H8" s="33">
        <v>912.50476824843815</v>
      </c>
      <c r="I8" s="23">
        <v>43.170037164592685</v>
      </c>
      <c r="J8" s="5">
        <v>6237.6942453992842</v>
      </c>
      <c r="K8" s="31"/>
      <c r="L8" s="23">
        <v>2868459.2689586491</v>
      </c>
      <c r="M8" s="33">
        <v>540.98538461539772</v>
      </c>
      <c r="N8" s="5">
        <v>26</v>
      </c>
      <c r="O8" s="5">
        <v>62.5</v>
      </c>
      <c r="P8" s="33">
        <v>1176.6758196105664</v>
      </c>
      <c r="Q8" s="5">
        <v>17.036361091238081</v>
      </c>
      <c r="R8" s="5">
        <v>6364.3752132813997</v>
      </c>
      <c r="S8" s="31"/>
      <c r="T8" s="23">
        <v>2781313.3149088151</v>
      </c>
      <c r="U8" s="33">
        <v>861.80307692306383</v>
      </c>
      <c r="V8" s="5">
        <v>18</v>
      </c>
      <c r="W8" s="5">
        <v>61.5</v>
      </c>
      <c r="X8" s="33">
        <v>1406.733454286697</v>
      </c>
      <c r="Y8" s="5">
        <v>38.548725848084182</v>
      </c>
      <c r="Z8" s="5">
        <v>7011.6758399128776</v>
      </c>
      <c r="AA8" s="35"/>
    </row>
    <row r="9" spans="2:27" x14ac:dyDescent="0.2">
      <c r="B9" s="4">
        <v>6</v>
      </c>
      <c r="C9" s="4">
        <v>307</v>
      </c>
      <c r="D9" s="23">
        <v>1760959.3302279031</v>
      </c>
      <c r="E9" s="33">
        <v>749.12846153843805</v>
      </c>
      <c r="F9" s="5">
        <v>15</v>
      </c>
      <c r="G9" s="23">
        <v>94</v>
      </c>
      <c r="H9" s="33">
        <v>907.23697825928389</v>
      </c>
      <c r="I9" s="23">
        <v>43.676257694159396</v>
      </c>
      <c r="J9" s="5">
        <v>6282.057524361514</v>
      </c>
      <c r="K9" s="31"/>
      <c r="L9" s="23">
        <v>2733336.879448446</v>
      </c>
      <c r="M9" s="33">
        <v>1534.9761538461407</v>
      </c>
      <c r="N9" s="5">
        <v>21</v>
      </c>
      <c r="O9" s="5">
        <v>60</v>
      </c>
      <c r="P9" s="33">
        <v>778.3698097376116</v>
      </c>
      <c r="Q9" s="5">
        <v>18.800596771859507</v>
      </c>
      <c r="R9" s="5">
        <v>5862.6428905148432</v>
      </c>
      <c r="S9" s="31"/>
      <c r="T9" s="23">
        <v>2444707.5917419242</v>
      </c>
      <c r="U9" s="33">
        <v>847.98076923076917</v>
      </c>
      <c r="V9" s="5">
        <v>14</v>
      </c>
      <c r="W9" s="5">
        <v>70.5</v>
      </c>
      <c r="X9" s="33">
        <v>1395.3640563723541</v>
      </c>
      <c r="Y9" s="5">
        <v>53.695358130214345</v>
      </c>
      <c r="Z9" s="5">
        <v>6848.6023160741652</v>
      </c>
      <c r="AA9" s="35"/>
    </row>
    <row r="10" spans="2:27" x14ac:dyDescent="0.2">
      <c r="B10" s="4">
        <v>7</v>
      </c>
      <c r="C10" s="4">
        <v>365</v>
      </c>
      <c r="D10" s="23">
        <v>1728593.328836896</v>
      </c>
      <c r="E10" s="33">
        <v>711.56269230772375</v>
      </c>
      <c r="F10" s="5">
        <v>14</v>
      </c>
      <c r="G10" s="23">
        <v>92.5</v>
      </c>
      <c r="H10" s="33">
        <v>859.88555881859907</v>
      </c>
      <c r="I10" s="23">
        <v>46.091016688058339</v>
      </c>
      <c r="J10" s="5">
        <v>6056.011306004073</v>
      </c>
      <c r="K10" s="31"/>
      <c r="L10" s="23">
        <v>2753945.3932789131</v>
      </c>
      <c r="M10" s="33">
        <v>534.13461538461536</v>
      </c>
      <c r="N10" s="5">
        <v>20</v>
      </c>
      <c r="O10" s="5">
        <v>58</v>
      </c>
      <c r="P10" s="33">
        <v>698.85498721286149</v>
      </c>
      <c r="Q10" s="5">
        <v>18.904376507830026</v>
      </c>
      <c r="R10" s="5">
        <v>5768.7889508957278</v>
      </c>
      <c r="S10" s="31"/>
      <c r="T10" s="23">
        <v>2240660.9095962732</v>
      </c>
      <c r="U10" s="33">
        <v>1375.9196153846387</v>
      </c>
      <c r="V10" s="5">
        <v>14</v>
      </c>
      <c r="W10" s="5">
        <v>75.5</v>
      </c>
      <c r="X10" s="33">
        <v>1134.9799502407138</v>
      </c>
      <c r="Y10" s="5">
        <v>60.386314395804028</v>
      </c>
      <c r="Z10" s="5">
        <v>6618.9445185591867</v>
      </c>
      <c r="AA10" s="35"/>
    </row>
    <row r="11" spans="2:27" x14ac:dyDescent="0.2">
      <c r="B11" s="4">
        <v>8</v>
      </c>
      <c r="C11" s="4">
        <v>366</v>
      </c>
      <c r="D11" s="23">
        <v>1930667.383666049</v>
      </c>
      <c r="E11" s="33">
        <v>367.42769230770557</v>
      </c>
      <c r="F11" s="5">
        <v>16</v>
      </c>
      <c r="G11" s="23">
        <v>92</v>
      </c>
      <c r="H11" s="33">
        <v>1283.5234307312064</v>
      </c>
      <c r="I11" s="23">
        <v>40.656256661893799</v>
      </c>
      <c r="J11" s="5">
        <v>6495.0930464983903</v>
      </c>
      <c r="K11" s="31"/>
      <c r="L11" s="23">
        <v>2507918.875843605</v>
      </c>
      <c r="M11" s="33">
        <v>770.46884615386193</v>
      </c>
      <c r="N11" s="5">
        <v>33</v>
      </c>
      <c r="O11" s="5">
        <v>78</v>
      </c>
      <c r="P11" s="33">
        <v>1072.7395388712887</v>
      </c>
      <c r="Q11" s="5">
        <v>16.232118321407068</v>
      </c>
      <c r="R11" s="5">
        <v>5893.4168524094166</v>
      </c>
      <c r="S11" s="31"/>
      <c r="T11" s="23">
        <v>2337125.9795948071</v>
      </c>
      <c r="U11" s="33">
        <v>623.28115384613807</v>
      </c>
      <c r="V11" s="5">
        <v>14</v>
      </c>
      <c r="W11" s="5">
        <v>72.5</v>
      </c>
      <c r="X11" s="33">
        <v>1098.3235757785819</v>
      </c>
      <c r="Y11" s="5">
        <v>56.641554277642186</v>
      </c>
      <c r="Z11" s="5">
        <v>6644.1722065230324</v>
      </c>
      <c r="AA11" s="35"/>
    </row>
    <row r="12" spans="2:27" x14ac:dyDescent="0.2">
      <c r="B12" s="4">
        <v>9</v>
      </c>
      <c r="C12" s="4">
        <v>741</v>
      </c>
      <c r="D12" s="23">
        <v>2227921.8201115602</v>
      </c>
      <c r="E12" s="33">
        <v>548.35923076920733</v>
      </c>
      <c r="F12" s="5">
        <v>17</v>
      </c>
      <c r="G12" s="23">
        <v>89</v>
      </c>
      <c r="H12" s="33">
        <v>1813.6508167319384</v>
      </c>
      <c r="I12" s="23">
        <v>38.096931974409976</v>
      </c>
      <c r="J12" s="5">
        <v>7191.6265471173556</v>
      </c>
      <c r="K12" s="31"/>
      <c r="L12" s="23">
        <v>2764056.3311990141</v>
      </c>
      <c r="M12" s="33">
        <v>657.27769230765534</v>
      </c>
      <c r="N12" s="5">
        <v>44</v>
      </c>
      <c r="O12" s="5">
        <v>89</v>
      </c>
      <c r="P12" s="33">
        <v>2075.9415794016072</v>
      </c>
      <c r="Q12" s="5">
        <v>14.934812646803056</v>
      </c>
      <c r="R12" s="5">
        <v>7117.4702498044235</v>
      </c>
      <c r="S12" s="31"/>
      <c r="T12" s="23">
        <v>2486625.8517478178</v>
      </c>
      <c r="U12" s="33">
        <v>160.60692307691519</v>
      </c>
      <c r="V12" s="5">
        <v>14</v>
      </c>
      <c r="W12" s="5">
        <v>69.5</v>
      </c>
      <c r="X12" s="33">
        <v>1366.0812099041618</v>
      </c>
      <c r="Y12" s="5">
        <v>54.64137052776465</v>
      </c>
      <c r="Z12" s="5">
        <v>6936.3324556085909</v>
      </c>
      <c r="AA12" s="35"/>
    </row>
    <row r="13" spans="2:27" x14ac:dyDescent="0.2">
      <c r="B13" s="4">
        <v>10</v>
      </c>
      <c r="C13" s="4">
        <v>638</v>
      </c>
      <c r="D13" s="23">
        <v>1813191.38422204</v>
      </c>
      <c r="E13" s="33">
        <v>312.11538461538458</v>
      </c>
      <c r="F13" s="5">
        <v>15</v>
      </c>
      <c r="G13" s="23">
        <v>93</v>
      </c>
      <c r="H13" s="33">
        <v>1061.424948430106</v>
      </c>
      <c r="I13" s="23">
        <v>44.70101230651354</v>
      </c>
      <c r="J13" s="5">
        <v>6323.3002681522603</v>
      </c>
      <c r="K13" s="31"/>
      <c r="L13" s="23">
        <v>2497668.857615646</v>
      </c>
      <c r="M13" s="33">
        <v>457.02500000000538</v>
      </c>
      <c r="N13" s="5">
        <v>29</v>
      </c>
      <c r="O13" s="5">
        <v>74</v>
      </c>
      <c r="P13" s="33">
        <v>1012.4909543161872</v>
      </c>
      <c r="Q13" s="5">
        <v>17.67292248004356</v>
      </c>
      <c r="R13" s="5">
        <v>5794.6470932887087</v>
      </c>
      <c r="S13" s="31"/>
      <c r="T13" s="23">
        <v>2233986.899791684</v>
      </c>
      <c r="U13" s="33">
        <v>1226.9469230769362</v>
      </c>
      <c r="V13" s="5">
        <v>14</v>
      </c>
      <c r="W13" s="5">
        <v>76</v>
      </c>
      <c r="X13" s="33">
        <v>1132.7942348345525</v>
      </c>
      <c r="Y13" s="5">
        <v>61.90358791505016</v>
      </c>
      <c r="Z13" s="5">
        <v>6677.0397871390678</v>
      </c>
      <c r="AA13" s="35"/>
    </row>
    <row r="14" spans="2:27" x14ac:dyDescent="0.2">
      <c r="B14" s="46" t="s">
        <v>3</v>
      </c>
      <c r="C14" s="47"/>
      <c r="D14" s="9">
        <f>MIN(D4:D13)</f>
        <v>1711945.0979188471</v>
      </c>
      <c r="E14" s="22">
        <f>INDEX(E4:E13, MATCH($D$14, D4:D13, 0))</f>
        <v>738.88230769232348</v>
      </c>
      <c r="F14" s="9">
        <f>INDEX(F4:F13, MATCH($D$14, D4:D13, 0))</f>
        <v>16</v>
      </c>
      <c r="G14" s="9">
        <f>INDEX(G4:G13, MATCH($D$14, D4:D13, 0))</f>
        <v>96</v>
      </c>
      <c r="H14" s="22">
        <f>INDEX(H4:H13, MATCH($D$14, D4:D13, 0))</f>
        <v>912.50476824843815</v>
      </c>
      <c r="I14" s="22">
        <f>INDEX(I4:I13, MATCH($D$14, D4:D13, 0))</f>
        <v>43.170037164592685</v>
      </c>
      <c r="J14" s="22">
        <f>INDEX(J4:J13, MATCH($D$14, D4:D13, 0))</f>
        <v>6237.6942453992842</v>
      </c>
      <c r="K14" s="32" t="e">
        <f>(D14-$D$15)/$D$15</f>
        <v>#DIV/0!</v>
      </c>
      <c r="L14" s="16">
        <f>MIN(L4:L13)</f>
        <v>2384837.133601483</v>
      </c>
      <c r="M14" s="21">
        <f>INDEX(M4:M13, MATCH($L$14, L4:L13, 0))</f>
        <v>814.41692307694416</v>
      </c>
      <c r="N14" s="16">
        <f>INDEX(N4:N13, MATCH($L$14, L4:L13, 0))</f>
        <v>26</v>
      </c>
      <c r="O14" s="16">
        <f>INDEX(O4:O13, MATCH($L$14, L4:L13, 0))</f>
        <v>73</v>
      </c>
      <c r="P14" s="21">
        <f>INDEX(P4:P13, MATCH($L$14, L4:L13, 0))</f>
        <v>854.11542400914243</v>
      </c>
      <c r="Q14" s="21">
        <f>INDEX(Q4:Q13, MATCH($L$14, L4:L13, 0))</f>
        <v>19.353709445226563</v>
      </c>
      <c r="R14" s="21">
        <f>INDEX(R4:R13, MATCH($L$14, L4:L13, 0))</f>
        <v>5365.5456116336854</v>
      </c>
      <c r="S14" s="36" t="e">
        <f>(L14-$D$15)/$D$15</f>
        <v>#DIV/0!</v>
      </c>
      <c r="T14" s="38">
        <f>MIN(T4:T13)</f>
        <v>2233986.899791684</v>
      </c>
      <c r="U14" s="39">
        <f>INDEX(U4:U13, MATCH($T$14, T4:T13, 0))</f>
        <v>1226.9469230769362</v>
      </c>
      <c r="V14" s="38">
        <f>INDEX(V4:V13, MATCH($T$14, T4:T13, 0))</f>
        <v>14</v>
      </c>
      <c r="W14" s="38">
        <f>INDEX(W4:W13, MATCH($T$14, T4:T13, 0))</f>
        <v>76</v>
      </c>
      <c r="X14" s="39">
        <f>INDEX(X4:X13, MATCH($T$14, T4:T13, 0))</f>
        <v>1132.7942348345525</v>
      </c>
      <c r="Y14" s="39">
        <f>INDEX(Y4:Y13, MATCH($T$14, T4:T13, 0))</f>
        <v>61.90358791505016</v>
      </c>
      <c r="Z14" s="39">
        <f>INDEX(Z4:Z13, MATCH($T$14, T4:T13, 0))</f>
        <v>6677.0397871390678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7:C1048576">
    <cfRule type="duplicateValues" dxfId="81" priority="7"/>
    <cfRule type="duplicateValues" dxfId="80" priority="8"/>
  </conditionalFormatting>
  <conditionalFormatting sqref="C14">
    <cfRule type="duplicateValues" dxfId="79" priority="3"/>
    <cfRule type="duplicateValues" dxfId="78" priority="4"/>
  </conditionalFormatting>
  <conditionalFormatting sqref="C17:C36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4218E-50BD-4EEC-8C80-A23C25ACCDB8}">
  <dimension ref="B1:AA17"/>
  <sheetViews>
    <sheetView zoomScale="90" zoomScaleNormal="90" workbookViewId="0">
      <selection activeCell="U20" sqref="U20:U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-0.97891929689664225</v>
      </c>
      <c r="J2" s="28" t="e">
        <f>(S14-J14)/J14</f>
        <v>#DIV/0!</v>
      </c>
      <c r="K2" s="28"/>
      <c r="L2" s="1" t="s">
        <v>19</v>
      </c>
      <c r="P2" s="1">
        <f>(P14-H14)/H14</f>
        <v>9.9017417820335296E-2</v>
      </c>
      <c r="R2" s="1">
        <f>(R14-J14)/J14</f>
        <v>-6.7416623623225452E-2</v>
      </c>
      <c r="T2" s="1" t="s">
        <v>20</v>
      </c>
      <c r="X2" s="1">
        <f>(X14-P14)/P14</f>
        <v>0.50775938264750853</v>
      </c>
      <c r="Z2" s="1">
        <f>(Z14-R14)/R14</f>
        <v>0.2139190862921429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403</v>
      </c>
      <c r="D4" s="23">
        <v>1772417.84784346</v>
      </c>
      <c r="E4" s="33">
        <v>536.28038461539495</v>
      </c>
      <c r="F4" s="5">
        <v>16</v>
      </c>
      <c r="G4" s="23">
        <v>95.5</v>
      </c>
      <c r="H4" s="33">
        <v>1007.7027764706152</v>
      </c>
      <c r="I4" s="23">
        <v>47.660975509669825</v>
      </c>
      <c r="J4" s="5">
        <v>6446.632407826668</v>
      </c>
      <c r="K4" s="31"/>
      <c r="L4" s="23">
        <v>2786837.1984694148</v>
      </c>
      <c r="M4" s="33">
        <v>760.29461538459418</v>
      </c>
      <c r="N4" s="5">
        <v>20</v>
      </c>
      <c r="O4" s="5">
        <v>52.5</v>
      </c>
      <c r="P4" s="33">
        <v>269.7580993992936</v>
      </c>
      <c r="Q4" s="5">
        <v>18.169128083052062</v>
      </c>
      <c r="R4" s="5">
        <v>4866.9990520267638</v>
      </c>
      <c r="S4" s="31"/>
      <c r="T4" s="23">
        <v>2436515.6143623991</v>
      </c>
      <c r="U4" s="33">
        <v>241.50846153846942</v>
      </c>
      <c r="V4" s="5">
        <v>11</v>
      </c>
      <c r="W4" s="5">
        <v>69</v>
      </c>
      <c r="X4" s="33">
        <v>1322.2697192890068</v>
      </c>
      <c r="Y4" s="5">
        <v>78.338755991102303</v>
      </c>
      <c r="Z4" s="5">
        <v>7032.1126032648435</v>
      </c>
      <c r="AA4" s="35"/>
    </row>
    <row r="5" spans="2:27" x14ac:dyDescent="0.2">
      <c r="B5" s="4">
        <v>2</v>
      </c>
      <c r="C5" s="4">
        <v>486</v>
      </c>
      <c r="D5" s="23">
        <v>1728879.823616809</v>
      </c>
      <c r="E5" s="33">
        <v>689.63961538460228</v>
      </c>
      <c r="F5" s="5">
        <v>15</v>
      </c>
      <c r="G5" s="23">
        <v>94.5</v>
      </c>
      <c r="H5" s="33">
        <v>778.82413966946081</v>
      </c>
      <c r="I5" s="23">
        <v>49.473015992763521</v>
      </c>
      <c r="J5" s="5">
        <v>6270.9375915314595</v>
      </c>
      <c r="K5" s="31"/>
      <c r="L5" s="23">
        <v>2810086.6355785988</v>
      </c>
      <c r="M5" s="33">
        <v>499.69346153845379</v>
      </c>
      <c r="N5" s="5">
        <v>31</v>
      </c>
      <c r="O5" s="5">
        <v>66</v>
      </c>
      <c r="P5" s="33">
        <v>1035.2922447924791</v>
      </c>
      <c r="Q5" s="5">
        <v>15.716759060340653</v>
      </c>
      <c r="R5" s="5">
        <v>5987.7165713834493</v>
      </c>
      <c r="S5" s="31"/>
      <c r="T5" s="23">
        <v>2541279.062135824</v>
      </c>
      <c r="U5" s="33">
        <v>351.76115384616423</v>
      </c>
      <c r="V5" s="5">
        <v>11</v>
      </c>
      <c r="W5" s="5">
        <v>62</v>
      </c>
      <c r="X5" s="33">
        <v>923.86964937810103</v>
      </c>
      <c r="Y5" s="5">
        <v>62.357236245655557</v>
      </c>
      <c r="Z5" s="5">
        <v>6455.5367834852332</v>
      </c>
      <c r="AA5" s="35"/>
    </row>
    <row r="6" spans="2:27" x14ac:dyDescent="0.2">
      <c r="B6" s="4">
        <v>3</v>
      </c>
      <c r="C6" s="4">
        <v>812</v>
      </c>
      <c r="D6" s="23">
        <v>1992439.989243272</v>
      </c>
      <c r="E6" s="33">
        <v>643.68999999997118</v>
      </c>
      <c r="F6" s="5">
        <v>14</v>
      </c>
      <c r="G6" s="23">
        <v>89</v>
      </c>
      <c r="H6" s="33">
        <v>1202.5800156074949</v>
      </c>
      <c r="I6" s="23">
        <v>47.125746887902082</v>
      </c>
      <c r="J6" s="5">
        <v>6678.3818279106899</v>
      </c>
      <c r="K6" s="31"/>
      <c r="L6" s="23">
        <v>2891806.931289502</v>
      </c>
      <c r="M6" s="33">
        <v>1126.4903846153845</v>
      </c>
      <c r="N6" s="5">
        <v>45</v>
      </c>
      <c r="O6" s="5">
        <v>83</v>
      </c>
      <c r="P6" s="33">
        <v>1944.1353247331144</v>
      </c>
      <c r="Q6" s="5">
        <v>13.88714372996624</v>
      </c>
      <c r="R6" s="5">
        <v>6857.3624461554591</v>
      </c>
      <c r="S6" s="31"/>
      <c r="T6" s="23">
        <v>3053689.116062575</v>
      </c>
      <c r="U6" s="33">
        <v>476.07000000000266</v>
      </c>
      <c r="V6" s="5">
        <v>27</v>
      </c>
      <c r="W6" s="5">
        <v>83</v>
      </c>
      <c r="X6" s="33">
        <v>3888.646057009641</v>
      </c>
      <c r="Y6" s="5">
        <v>51.728438401101045</v>
      </c>
      <c r="Z6" s="5">
        <v>9424.6124376279276</v>
      </c>
      <c r="AA6" s="35"/>
    </row>
    <row r="7" spans="2:27" x14ac:dyDescent="0.2">
      <c r="B7" s="4">
        <v>4</v>
      </c>
      <c r="C7" s="4">
        <v>765</v>
      </c>
      <c r="D7" s="23">
        <v>1983071.273413643</v>
      </c>
      <c r="E7" s="33">
        <v>256.7007692307771</v>
      </c>
      <c r="F7" s="5">
        <v>17</v>
      </c>
      <c r="G7" s="23">
        <v>93.5</v>
      </c>
      <c r="H7" s="33">
        <v>1518.2780864319582</v>
      </c>
      <c r="I7" s="23">
        <v>43.752745106161036</v>
      </c>
      <c r="J7" s="5">
        <v>6765.4091264388953</v>
      </c>
      <c r="K7" s="31"/>
      <c r="L7" s="23">
        <v>2538658.894220443</v>
      </c>
      <c r="M7" s="33">
        <v>586.08769230768462</v>
      </c>
      <c r="N7" s="5">
        <v>30</v>
      </c>
      <c r="O7" s="5">
        <v>73</v>
      </c>
      <c r="P7" s="33">
        <v>923.24925170607241</v>
      </c>
      <c r="Q7" s="5">
        <v>17.709221937731545</v>
      </c>
      <c r="R7" s="5">
        <v>5647.8094491564179</v>
      </c>
      <c r="S7" s="31"/>
      <c r="T7" s="23">
        <v>2366051.5655329339</v>
      </c>
      <c r="U7" s="33">
        <v>575.78115384618263</v>
      </c>
      <c r="V7" s="5">
        <v>16</v>
      </c>
      <c r="W7" s="5">
        <v>74</v>
      </c>
      <c r="X7" s="33">
        <v>1392.0377217821219</v>
      </c>
      <c r="Y7" s="5">
        <v>62.299010331646606</v>
      </c>
      <c r="Z7" s="5">
        <v>6855.9836860720898</v>
      </c>
      <c r="AA7" s="35"/>
    </row>
    <row r="8" spans="2:27" x14ac:dyDescent="0.2">
      <c r="B8" s="4">
        <v>5</v>
      </c>
      <c r="C8" s="4">
        <v>758</v>
      </c>
      <c r="D8" s="23">
        <v>2020476.9409590389</v>
      </c>
      <c r="E8" s="33">
        <v>560.64884615381459</v>
      </c>
      <c r="F8" s="5">
        <v>17</v>
      </c>
      <c r="G8" s="23">
        <v>88</v>
      </c>
      <c r="H8" s="33">
        <v>1185.0958189419684</v>
      </c>
      <c r="I8" s="23">
        <v>38.971854635401627</v>
      </c>
      <c r="J8" s="5">
        <v>6523.4323504452468</v>
      </c>
      <c r="K8" s="31"/>
      <c r="L8" s="23">
        <v>2873506.4790791799</v>
      </c>
      <c r="M8" s="33">
        <v>876.70076923077693</v>
      </c>
      <c r="N8" s="5">
        <v>43</v>
      </c>
      <c r="O8" s="5">
        <v>82</v>
      </c>
      <c r="P8" s="33">
        <v>2023.805191871855</v>
      </c>
      <c r="Q8" s="5">
        <v>15.11795096349613</v>
      </c>
      <c r="R8" s="5">
        <v>6785.2276316529887</v>
      </c>
      <c r="S8" s="31"/>
      <c r="T8" s="23">
        <v>2411491.2215216658</v>
      </c>
      <c r="U8" s="33">
        <v>391.98307692306116</v>
      </c>
      <c r="V8" s="5">
        <v>15</v>
      </c>
      <c r="W8" s="5">
        <v>64</v>
      </c>
      <c r="X8" s="33">
        <v>650.37484992447844</v>
      </c>
      <c r="Y8" s="5">
        <v>53.975409878384312</v>
      </c>
      <c r="Z8" s="5">
        <v>5728.967688874347</v>
      </c>
      <c r="AA8" s="35"/>
    </row>
    <row r="9" spans="2:27" x14ac:dyDescent="0.2">
      <c r="B9" s="4">
        <v>6</v>
      </c>
      <c r="C9" s="4">
        <v>137</v>
      </c>
      <c r="D9" s="23">
        <v>2158208.5170458378</v>
      </c>
      <c r="E9" s="33">
        <v>332.51807692308478</v>
      </c>
      <c r="F9" s="5">
        <v>18</v>
      </c>
      <c r="G9" s="23">
        <v>89</v>
      </c>
      <c r="H9" s="33">
        <v>1663.9039726185738</v>
      </c>
      <c r="I9" s="23">
        <v>37.760767237603766</v>
      </c>
      <c r="J9" s="5">
        <v>6869.9451056511343</v>
      </c>
      <c r="K9" s="31"/>
      <c r="L9" s="23">
        <v>2600552.6576644569</v>
      </c>
      <c r="M9" s="33">
        <v>686.2442307692254</v>
      </c>
      <c r="N9" s="5">
        <v>19</v>
      </c>
      <c r="O9" s="5">
        <v>61</v>
      </c>
      <c r="P9" s="33">
        <v>694.65069562223323</v>
      </c>
      <c r="Q9" s="5">
        <v>22.682993077894562</v>
      </c>
      <c r="R9" s="5">
        <v>5371.4402987441126</v>
      </c>
      <c r="S9" s="31"/>
      <c r="T9" s="23">
        <v>2367805.9155241931</v>
      </c>
      <c r="U9" s="33">
        <v>536.44230769230762</v>
      </c>
      <c r="V9" s="5">
        <v>19</v>
      </c>
      <c r="W9" s="5">
        <v>77.5</v>
      </c>
      <c r="X9" s="33">
        <v>1555.6583752711708</v>
      </c>
      <c r="Y9" s="5">
        <v>56.116675985463736</v>
      </c>
      <c r="Z9" s="5">
        <v>6938.1125713025431</v>
      </c>
      <c r="AA9" s="35"/>
    </row>
    <row r="10" spans="2:27" x14ac:dyDescent="0.2">
      <c r="B10" s="4">
        <v>7</v>
      </c>
      <c r="C10" s="4">
        <v>438</v>
      </c>
      <c r="D10" s="23">
        <v>1882311.0397828671</v>
      </c>
      <c r="E10" s="33">
        <v>737.55999999998426</v>
      </c>
      <c r="F10" s="5">
        <v>15</v>
      </c>
      <c r="G10" s="23">
        <v>94.5</v>
      </c>
      <c r="H10" s="33">
        <v>1368.8985934137011</v>
      </c>
      <c r="I10" s="23">
        <v>50.22667503909576</v>
      </c>
      <c r="J10" s="5">
        <v>6715.1565802098703</v>
      </c>
      <c r="K10" s="31"/>
      <c r="L10" s="23">
        <v>2877850.784975199</v>
      </c>
      <c r="M10" s="33">
        <v>1059.6034615384772</v>
      </c>
      <c r="N10" s="5">
        <v>27</v>
      </c>
      <c r="O10" s="5">
        <v>59.5</v>
      </c>
      <c r="P10" s="33">
        <v>973.04098733293176</v>
      </c>
      <c r="Q10" s="5">
        <v>14.998307152820205</v>
      </c>
      <c r="R10" s="5">
        <v>5747.8293380481628</v>
      </c>
      <c r="S10" s="31"/>
      <c r="T10" s="23">
        <v>2493174.218081363</v>
      </c>
      <c r="U10" s="33">
        <v>716.5265384615542</v>
      </c>
      <c r="V10" s="5">
        <v>11</v>
      </c>
      <c r="W10" s="5">
        <v>64</v>
      </c>
      <c r="X10" s="33">
        <v>1127.9139672861859</v>
      </c>
      <c r="Y10" s="5">
        <v>68.875485821632381</v>
      </c>
      <c r="Z10" s="5">
        <v>6634.448673422442</v>
      </c>
      <c r="AA10" s="35"/>
    </row>
    <row r="11" spans="2:27" x14ac:dyDescent="0.2">
      <c r="B11" s="4">
        <v>8</v>
      </c>
      <c r="C11" s="4">
        <v>639</v>
      </c>
      <c r="D11" s="23">
        <v>1811597.770104863</v>
      </c>
      <c r="E11" s="33">
        <v>345.46269230768439</v>
      </c>
      <c r="F11" s="5">
        <v>12</v>
      </c>
      <c r="G11" s="23">
        <v>88</v>
      </c>
      <c r="H11" s="33">
        <v>733.64419277946138</v>
      </c>
      <c r="I11" s="23">
        <v>55.279647416564551</v>
      </c>
      <c r="J11" s="5">
        <v>6158.5043819455113</v>
      </c>
      <c r="K11" s="31"/>
      <c r="L11" s="23">
        <v>3071323.1551608671</v>
      </c>
      <c r="M11" s="33">
        <v>824.28461538462068</v>
      </c>
      <c r="N11" s="5">
        <v>34</v>
      </c>
      <c r="O11" s="5">
        <v>58</v>
      </c>
      <c r="P11" s="33">
        <v>868.22004405405494</v>
      </c>
      <c r="Q11" s="5">
        <v>12.086107516345482</v>
      </c>
      <c r="R11" s="5">
        <v>5843.0063112655344</v>
      </c>
      <c r="S11" s="31"/>
      <c r="T11" s="23">
        <v>2416845.1398944268</v>
      </c>
      <c r="U11" s="33">
        <v>1195.9253846153688</v>
      </c>
      <c r="V11" s="5">
        <v>12</v>
      </c>
      <c r="W11" s="5">
        <v>68</v>
      </c>
      <c r="X11" s="33">
        <v>1198.7716930918289</v>
      </c>
      <c r="Y11" s="5">
        <v>62.323601983719676</v>
      </c>
      <c r="Z11" s="5">
        <v>6615.6086190200076</v>
      </c>
      <c r="AA11" s="35"/>
    </row>
    <row r="12" spans="2:27" x14ac:dyDescent="0.2">
      <c r="B12" s="4">
        <v>9</v>
      </c>
      <c r="C12" s="4">
        <v>516</v>
      </c>
      <c r="D12" s="23">
        <v>1639323.0976486651</v>
      </c>
      <c r="E12" s="33">
        <v>478.53346153843</v>
      </c>
      <c r="F12" s="5">
        <v>15</v>
      </c>
      <c r="G12" s="23">
        <v>96</v>
      </c>
      <c r="H12" s="33">
        <v>840.06789768367707</v>
      </c>
      <c r="I12" s="23">
        <v>50.627962591207002</v>
      </c>
      <c r="J12" s="5">
        <v>6056.0906319164724</v>
      </c>
      <c r="K12" s="31"/>
      <c r="L12" s="23">
        <v>2828688.1868177471</v>
      </c>
      <c r="M12" s="33">
        <v>679.83153846150697</v>
      </c>
      <c r="N12" s="5">
        <v>32</v>
      </c>
      <c r="O12" s="5">
        <v>66.5</v>
      </c>
      <c r="P12" s="33">
        <v>1085.2717827951876</v>
      </c>
      <c r="Q12" s="5">
        <v>14.766255297659663</v>
      </c>
      <c r="R12" s="5">
        <v>5924.3029248732928</v>
      </c>
      <c r="S12" s="31"/>
      <c r="T12" s="23">
        <v>2422555.9329423858</v>
      </c>
      <c r="U12" s="33">
        <v>642.43384615383843</v>
      </c>
      <c r="V12" s="5">
        <v>23</v>
      </c>
      <c r="W12" s="5">
        <v>88.5</v>
      </c>
      <c r="X12" s="33">
        <v>2518.331157221487</v>
      </c>
      <c r="Y12" s="5">
        <v>63.564550447106463</v>
      </c>
      <c r="Z12" s="5">
        <v>7946.2615554690283</v>
      </c>
      <c r="AA12" s="35"/>
    </row>
    <row r="13" spans="2:27" x14ac:dyDescent="0.2">
      <c r="B13" s="4">
        <v>10</v>
      </c>
      <c r="C13" s="4">
        <v>479</v>
      </c>
      <c r="D13" s="23">
        <v>1921106.5300688699</v>
      </c>
      <c r="E13" s="33">
        <v>529.33923076923338</v>
      </c>
      <c r="F13" s="5">
        <v>17</v>
      </c>
      <c r="G13" s="23">
        <v>91</v>
      </c>
      <c r="H13" s="33">
        <v>1050.6909269134876</v>
      </c>
      <c r="I13" s="23">
        <v>40.629448041814129</v>
      </c>
      <c r="J13" s="5">
        <v>6377.6773991659693</v>
      </c>
      <c r="K13" s="31"/>
      <c r="L13" s="23">
        <v>2795241.508510388</v>
      </c>
      <c r="M13" s="33">
        <v>486.51423076924385</v>
      </c>
      <c r="N13" s="5">
        <v>26</v>
      </c>
      <c r="O13" s="5">
        <v>62.5</v>
      </c>
      <c r="P13" s="33">
        <v>1041.2656168485764</v>
      </c>
      <c r="Q13" s="5">
        <v>16.559089891748403</v>
      </c>
      <c r="R13" s="5">
        <v>5819.7459878343252</v>
      </c>
      <c r="S13" s="31"/>
      <c r="T13" s="23">
        <v>3113362.5614869599</v>
      </c>
      <c r="U13" s="33">
        <v>384.5915384615252</v>
      </c>
      <c r="V13" s="5">
        <v>23</v>
      </c>
      <c r="W13" s="5">
        <v>83</v>
      </c>
      <c r="X13" s="33">
        <v>4214.4889152474307</v>
      </c>
      <c r="Y13" s="5">
        <v>59.472333668883088</v>
      </c>
      <c r="Z13" s="5">
        <v>9890.6961339318877</v>
      </c>
      <c r="AA13" s="35"/>
    </row>
    <row r="14" spans="2:27" x14ac:dyDescent="0.2">
      <c r="B14" s="46" t="s">
        <v>3</v>
      </c>
      <c r="C14" s="47"/>
      <c r="D14" s="9">
        <f>MIN(D4:D13)</f>
        <v>1639323.0976486651</v>
      </c>
      <c r="E14" s="22">
        <f>INDEX(E4:E13, MATCH($D$14, D4:D13, 0))</f>
        <v>478.53346153843</v>
      </c>
      <c r="F14" s="9">
        <f>INDEX(F4:F13, MATCH($D$14, D4:D13, 0))</f>
        <v>15</v>
      </c>
      <c r="G14" s="9">
        <f>INDEX(G4:G13, MATCH($D$14, D4:D13, 0))</f>
        <v>96</v>
      </c>
      <c r="H14" s="22">
        <f>INDEX(H4:H13, MATCH($D$14, D4:D13, 0))</f>
        <v>840.06789768367707</v>
      </c>
      <c r="I14" s="22">
        <f>INDEX(I4:I13, MATCH($D$14, D4:D13, 0))</f>
        <v>50.627962591207002</v>
      </c>
      <c r="J14" s="22">
        <f>INDEX(J4:J13, MATCH($D$14, D4:D13, 0))</f>
        <v>6056.0906319164724</v>
      </c>
      <c r="K14" s="32" t="e">
        <f>(D14-$D$15)/$D$15</f>
        <v>#DIV/0!</v>
      </c>
      <c r="L14" s="16">
        <f>MIN(L4:L13)</f>
        <v>2538658.894220443</v>
      </c>
      <c r="M14" s="21">
        <f>INDEX(M4:M13, MATCH($L$14, L4:L13, 0))</f>
        <v>586.08769230768462</v>
      </c>
      <c r="N14" s="16">
        <f>INDEX(N4:N13, MATCH($L$14, L4:L13, 0))</f>
        <v>30</v>
      </c>
      <c r="O14" s="16">
        <f>INDEX(O4:O13, MATCH($L$14, L4:L13, 0))</f>
        <v>73</v>
      </c>
      <c r="P14" s="21">
        <f>INDEX(P4:P13, MATCH($L$14, L4:L13, 0))</f>
        <v>923.24925170607241</v>
      </c>
      <c r="Q14" s="21">
        <f>INDEX(Q4:Q13, MATCH($L$14, L4:L13, 0))</f>
        <v>17.709221937731545</v>
      </c>
      <c r="R14" s="21">
        <f>INDEX(R4:R13, MATCH($L$14, L4:L13, 0))</f>
        <v>5647.8094491564179</v>
      </c>
      <c r="S14" s="36" t="e">
        <f>(L14-$D$15)/$D$15</f>
        <v>#DIV/0!</v>
      </c>
      <c r="T14" s="38">
        <f>MIN(T4:T13)</f>
        <v>2366051.5655329339</v>
      </c>
      <c r="U14" s="39">
        <f>INDEX(U4:U13, MATCH($T$14, T4:T13, 0))</f>
        <v>575.78115384618263</v>
      </c>
      <c r="V14" s="38">
        <f>INDEX(V4:V13, MATCH($T$14, T4:T13, 0))</f>
        <v>16</v>
      </c>
      <c r="W14" s="38">
        <f>INDEX(W4:W13, MATCH($T$14, T4:T13, 0))</f>
        <v>74</v>
      </c>
      <c r="X14" s="39">
        <f>INDEX(X4:X13, MATCH($T$14, T4:T13, 0))</f>
        <v>1392.0377217821219</v>
      </c>
      <c r="Y14" s="39">
        <f>INDEX(Y4:Y13, MATCH($T$14, T4:T13, 0))</f>
        <v>62.299010331646606</v>
      </c>
      <c r="Z14" s="39">
        <f>INDEX(Z4:Z13, MATCH($T$14, T4:T13, 0))</f>
        <v>6855.9836860720898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7:C1048576">
    <cfRule type="duplicateValues" dxfId="77" priority="7"/>
    <cfRule type="duplicateValues" dxfId="76" priority="8"/>
  </conditionalFormatting>
  <conditionalFormatting sqref="C14">
    <cfRule type="duplicateValues" dxfId="75" priority="3"/>
    <cfRule type="duplicateValues" dxfId="74" priority="4"/>
  </conditionalFormatting>
  <conditionalFormatting sqref="C17:C36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91E4-E99B-4161-A305-9CA9E0D8851B}">
  <dimension ref="B1:AA17"/>
  <sheetViews>
    <sheetView zoomScale="90" zoomScaleNormal="90" workbookViewId="0">
      <selection activeCell="U20" sqref="U20:U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-0.98231249609507498</v>
      </c>
      <c r="J2" s="28" t="e">
        <f>(S14-J14)/J14</f>
        <v>#DIV/0!</v>
      </c>
      <c r="K2" s="28"/>
      <c r="L2" s="1" t="s">
        <v>19</v>
      </c>
      <c r="P2" s="1">
        <f>(P14-H14)/H14</f>
        <v>-0.55130680554119227</v>
      </c>
      <c r="R2" s="1">
        <f>(R14-J14)/J14</f>
        <v>-0.24194812691989243</v>
      </c>
      <c r="T2" s="1" t="s">
        <v>20</v>
      </c>
      <c r="X2" s="1">
        <f>(X14-P14)/P14</f>
        <v>0.64131866708465002</v>
      </c>
      <c r="Z2" s="1">
        <f>(Z14-R14)/R14</f>
        <v>0.29793527883912169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</v>
      </c>
      <c r="D4" s="23">
        <v>2030187.787653286</v>
      </c>
      <c r="E4" s="33">
        <v>487.12115384615919</v>
      </c>
      <c r="F4" s="5">
        <v>15</v>
      </c>
      <c r="G4" s="23">
        <v>89</v>
      </c>
      <c r="H4" s="33">
        <v>1284.0153885612947</v>
      </c>
      <c r="I4" s="23">
        <v>41.979170305570058</v>
      </c>
      <c r="J4" s="5">
        <v>6697.5106236270358</v>
      </c>
      <c r="K4" s="31"/>
      <c r="L4" s="23">
        <v>2741651.6622021678</v>
      </c>
      <c r="M4" s="33">
        <v>318.81615384616174</v>
      </c>
      <c r="N4" s="5">
        <v>25</v>
      </c>
      <c r="O4" s="5">
        <v>64</v>
      </c>
      <c r="P4" s="33">
        <v>1146.3025916070926</v>
      </c>
      <c r="Q4" s="5">
        <v>17.171052391531081</v>
      </c>
      <c r="R4" s="5">
        <v>5897.6481851929084</v>
      </c>
      <c r="S4" s="31"/>
      <c r="T4" s="23">
        <v>2722168.9010270601</v>
      </c>
      <c r="U4" s="33">
        <v>540.66115384616955</v>
      </c>
      <c r="V4" s="5">
        <v>10</v>
      </c>
      <c r="W4" s="5">
        <v>55</v>
      </c>
      <c r="X4" s="33">
        <v>809.19278795985076</v>
      </c>
      <c r="Y4" s="5">
        <v>56.086460652375294</v>
      </c>
      <c r="Z4" s="5">
        <v>6623.4839632468529</v>
      </c>
      <c r="AA4" s="35"/>
    </row>
    <row r="5" spans="2:27" x14ac:dyDescent="0.2">
      <c r="B5" s="4">
        <v>2</v>
      </c>
      <c r="C5" s="4">
        <v>14</v>
      </c>
      <c r="D5" s="23">
        <v>1965764.5577123531</v>
      </c>
      <c r="E5" s="33">
        <v>420.47461538463648</v>
      </c>
      <c r="F5" s="5">
        <v>16</v>
      </c>
      <c r="G5" s="23">
        <v>92.5</v>
      </c>
      <c r="H5" s="33">
        <v>1258.3532315023044</v>
      </c>
      <c r="I5" s="23">
        <v>42.41043416124139</v>
      </c>
      <c r="J5" s="5">
        <v>6760.821725610971</v>
      </c>
      <c r="K5" s="31"/>
      <c r="L5" s="23">
        <v>2646635.8017710419</v>
      </c>
      <c r="M5" s="33">
        <v>1662.6023076922866</v>
      </c>
      <c r="N5" s="5">
        <v>19</v>
      </c>
      <c r="O5" s="5">
        <v>57.5</v>
      </c>
      <c r="P5" s="33">
        <v>499.70484830103771</v>
      </c>
      <c r="Q5" s="5">
        <v>19.698385366185885</v>
      </c>
      <c r="R5" s="5">
        <v>5067.3284284785886</v>
      </c>
      <c r="S5" s="31"/>
      <c r="T5" s="23">
        <v>2835045.0219001789</v>
      </c>
      <c r="U5" s="33">
        <v>186.22615384614056</v>
      </c>
      <c r="V5" s="5">
        <v>19</v>
      </c>
      <c r="W5" s="5">
        <v>67</v>
      </c>
      <c r="X5" s="33">
        <v>2197.5014350944116</v>
      </c>
      <c r="Y5" s="5">
        <v>48.832292390762355</v>
      </c>
      <c r="Z5" s="5">
        <v>7800.296077094491</v>
      </c>
      <c r="AA5" s="35"/>
    </row>
    <row r="6" spans="2:27" x14ac:dyDescent="0.2">
      <c r="B6" s="4">
        <v>3</v>
      </c>
      <c r="C6" s="4">
        <v>70</v>
      </c>
      <c r="D6" s="23">
        <v>1913264.264560845</v>
      </c>
      <c r="E6" s="33">
        <v>473.47961538462306</v>
      </c>
      <c r="F6" s="5">
        <v>14</v>
      </c>
      <c r="G6" s="23">
        <v>91.5</v>
      </c>
      <c r="H6" s="33">
        <v>1126.2742773260318</v>
      </c>
      <c r="I6" s="23">
        <v>46.335595566162624</v>
      </c>
      <c r="J6" s="5">
        <v>6611.6532133682913</v>
      </c>
      <c r="K6" s="31"/>
      <c r="L6" s="23">
        <v>2729453.2956239558</v>
      </c>
      <c r="M6" s="33">
        <v>997.24769230770801</v>
      </c>
      <c r="N6" s="5">
        <v>20</v>
      </c>
      <c r="O6" s="5">
        <v>58</v>
      </c>
      <c r="P6" s="33">
        <v>626.50950162889023</v>
      </c>
      <c r="Q6" s="5">
        <v>19.060030939530794</v>
      </c>
      <c r="R6" s="5">
        <v>5549.9688313967526</v>
      </c>
      <c r="S6" s="31"/>
      <c r="T6" s="23">
        <v>2740967.7010030439</v>
      </c>
      <c r="U6" s="33">
        <v>315.91346153846155</v>
      </c>
      <c r="V6" s="5">
        <v>14</v>
      </c>
      <c r="W6" s="5">
        <v>65</v>
      </c>
      <c r="X6" s="33">
        <v>1961.4042957132335</v>
      </c>
      <c r="Y6" s="5">
        <v>49.49681679782713</v>
      </c>
      <c r="Z6" s="5">
        <v>7512.1067054377099</v>
      </c>
      <c r="AA6" s="35"/>
    </row>
    <row r="7" spans="2:27" x14ac:dyDescent="0.2">
      <c r="B7" s="4">
        <v>4</v>
      </c>
      <c r="C7" s="4">
        <v>216</v>
      </c>
      <c r="D7" s="23">
        <v>1982937.7586428211</v>
      </c>
      <c r="E7" s="33">
        <v>857.20538461536114</v>
      </c>
      <c r="F7" s="5">
        <v>17</v>
      </c>
      <c r="G7" s="23">
        <v>92.5</v>
      </c>
      <c r="H7" s="33">
        <v>1229.2242456539059</v>
      </c>
      <c r="I7" s="23">
        <v>38.235196171235813</v>
      </c>
      <c r="J7" s="5">
        <v>6688.7764627924716</v>
      </c>
      <c r="K7" s="31"/>
      <c r="L7" s="23">
        <v>2820149.048073221</v>
      </c>
      <c r="M7" s="33">
        <v>714.48923076923847</v>
      </c>
      <c r="N7" s="5">
        <v>20</v>
      </c>
      <c r="O7" s="5">
        <v>57.5</v>
      </c>
      <c r="P7" s="33">
        <v>960.19742351989123</v>
      </c>
      <c r="Q7" s="5">
        <v>19.416265281173263</v>
      </c>
      <c r="R7" s="5">
        <v>5947.0394688285478</v>
      </c>
      <c r="S7" s="31"/>
      <c r="T7" s="23">
        <v>2839242.638116898</v>
      </c>
      <c r="U7" s="33">
        <v>308.25730769232342</v>
      </c>
      <c r="V7" s="5">
        <v>12</v>
      </c>
      <c r="W7" s="5">
        <v>54</v>
      </c>
      <c r="X7" s="33">
        <v>1206.7653330553751</v>
      </c>
      <c r="Y7" s="5">
        <v>50.354049863033026</v>
      </c>
      <c r="Z7" s="5">
        <v>6913.6865726299084</v>
      </c>
      <c r="AA7" s="35"/>
    </row>
    <row r="8" spans="2:27" x14ac:dyDescent="0.2">
      <c r="B8" s="4">
        <v>5</v>
      </c>
      <c r="C8" s="4">
        <v>288</v>
      </c>
      <c r="D8" s="23">
        <v>1898736.7093387421</v>
      </c>
      <c r="E8" s="33">
        <v>323.08307692305578</v>
      </c>
      <c r="F8" s="5">
        <v>12</v>
      </c>
      <c r="G8" s="23">
        <v>91</v>
      </c>
      <c r="H8" s="33">
        <v>1113.6893861377991</v>
      </c>
      <c r="I8" s="23">
        <v>53.440773242458953</v>
      </c>
      <c r="J8" s="5">
        <v>6684.6723930501994</v>
      </c>
      <c r="K8" s="31"/>
      <c r="L8" s="23">
        <v>2870513.286887479</v>
      </c>
      <c r="M8" s="33">
        <v>396.67653846151501</v>
      </c>
      <c r="N8" s="5">
        <v>34</v>
      </c>
      <c r="O8" s="5">
        <v>61.5</v>
      </c>
      <c r="P8" s="33">
        <v>612.57889238665996</v>
      </c>
      <c r="Q8" s="5">
        <v>11.61762090164598</v>
      </c>
      <c r="R8" s="5">
        <v>5345.8161386733655</v>
      </c>
      <c r="S8" s="31"/>
      <c r="T8" s="23">
        <v>2677454.8280058419</v>
      </c>
      <c r="U8" s="33">
        <v>570.46884615386193</v>
      </c>
      <c r="V8" s="5">
        <v>10</v>
      </c>
      <c r="W8" s="5">
        <v>56</v>
      </c>
      <c r="X8" s="33">
        <v>820.17489554919644</v>
      </c>
      <c r="Y8" s="5">
        <v>60.817998849457481</v>
      </c>
      <c r="Z8" s="5">
        <v>6577.0643367867651</v>
      </c>
      <c r="AA8" s="35"/>
    </row>
    <row r="9" spans="2:27" x14ac:dyDescent="0.2">
      <c r="B9" s="4">
        <v>6</v>
      </c>
      <c r="C9" s="4">
        <v>476</v>
      </c>
      <c r="D9" s="23">
        <v>2044722.8792688581</v>
      </c>
      <c r="E9" s="33">
        <v>653.23923076923847</v>
      </c>
      <c r="F9" s="5">
        <v>14</v>
      </c>
      <c r="G9" s="23">
        <v>92.5</v>
      </c>
      <c r="H9" s="33">
        <v>1528.1459338217417</v>
      </c>
      <c r="I9" s="23">
        <v>45.497939953508656</v>
      </c>
      <c r="J9" s="5">
        <v>7089.3476215254677</v>
      </c>
      <c r="K9" s="31"/>
      <c r="L9" s="23">
        <v>2920561.3729819958</v>
      </c>
      <c r="M9" s="33">
        <v>815.99153846157537</v>
      </c>
      <c r="N9" s="5">
        <v>23</v>
      </c>
      <c r="O9" s="5">
        <v>57.5</v>
      </c>
      <c r="P9" s="33">
        <v>1176.8125578888037</v>
      </c>
      <c r="Q9" s="5">
        <v>17.084753075334298</v>
      </c>
      <c r="R9" s="5">
        <v>6172.6769703793116</v>
      </c>
      <c r="S9" s="31"/>
      <c r="T9" s="23">
        <v>2994744.9059490021</v>
      </c>
      <c r="U9" s="33">
        <v>214.91576923079825</v>
      </c>
      <c r="V9" s="5">
        <v>25</v>
      </c>
      <c r="W9" s="5">
        <v>88.5</v>
      </c>
      <c r="X9" s="33">
        <v>3855.5124355635749</v>
      </c>
      <c r="Y9" s="5">
        <v>50.668076992112574</v>
      </c>
      <c r="Z9" s="5">
        <v>9439.7482441066531</v>
      </c>
      <c r="AA9" s="35"/>
    </row>
    <row r="10" spans="2:27" x14ac:dyDescent="0.2">
      <c r="B10" s="4">
        <v>7</v>
      </c>
      <c r="C10" s="4">
        <v>691</v>
      </c>
      <c r="D10" s="23">
        <v>2212186.7761881012</v>
      </c>
      <c r="E10" s="33">
        <v>633.55769230769226</v>
      </c>
      <c r="F10" s="5">
        <v>14</v>
      </c>
      <c r="G10" s="23">
        <v>86.5</v>
      </c>
      <c r="H10" s="33">
        <v>1621.3661517627481</v>
      </c>
      <c r="I10" s="23">
        <v>44.039908128237769</v>
      </c>
      <c r="J10" s="5">
        <v>7292.7222301609063</v>
      </c>
      <c r="K10" s="31"/>
      <c r="L10" s="23">
        <v>2833131.6715380191</v>
      </c>
      <c r="M10" s="33">
        <v>998.1607692307665</v>
      </c>
      <c r="N10" s="5">
        <v>20</v>
      </c>
      <c r="O10" s="5">
        <v>59.5</v>
      </c>
      <c r="P10" s="33">
        <v>1204.4124120515196</v>
      </c>
      <c r="Q10" s="5">
        <v>19.227646192539616</v>
      </c>
      <c r="R10" s="5">
        <v>6334.7437556836121</v>
      </c>
      <c r="S10" s="31"/>
      <c r="T10" s="23">
        <v>2679120.8037949461</v>
      </c>
      <c r="U10" s="33">
        <v>263.02884615384613</v>
      </c>
      <c r="V10" s="5">
        <v>10</v>
      </c>
      <c r="W10" s="5">
        <v>56</v>
      </c>
      <c r="X10" s="33">
        <v>913.34314047740259</v>
      </c>
      <c r="Y10" s="5">
        <v>64.453591671245817</v>
      </c>
      <c r="Z10" s="5">
        <v>6582.1086401677676</v>
      </c>
      <c r="AA10" s="35"/>
    </row>
    <row r="11" spans="2:27" x14ac:dyDescent="0.2">
      <c r="B11" s="4">
        <v>8</v>
      </c>
      <c r="C11" s="4">
        <v>692</v>
      </c>
      <c r="D11" s="23">
        <v>2138459.1917909668</v>
      </c>
      <c r="E11" s="33">
        <v>416.56846153845385</v>
      </c>
      <c r="F11" s="5">
        <v>12</v>
      </c>
      <c r="G11" s="23">
        <v>82</v>
      </c>
      <c r="H11" s="33">
        <v>1079.7376266427123</v>
      </c>
      <c r="I11" s="23">
        <v>47.226125567979345</v>
      </c>
      <c r="J11" s="5">
        <v>6765.9536746959348</v>
      </c>
      <c r="K11" s="31"/>
      <c r="L11" s="23">
        <v>2698969.4475484202</v>
      </c>
      <c r="M11" s="33">
        <v>895.57115384614849</v>
      </c>
      <c r="N11" s="5">
        <v>21</v>
      </c>
      <c r="O11" s="5">
        <v>59</v>
      </c>
      <c r="P11" s="33">
        <v>668.01171877803904</v>
      </c>
      <c r="Q11" s="5">
        <v>18.053971140241519</v>
      </c>
      <c r="R11" s="5">
        <v>5355.808130744299</v>
      </c>
      <c r="S11" s="31"/>
      <c r="T11" s="23">
        <v>3307137.724202774</v>
      </c>
      <c r="U11" s="33">
        <v>197.14538461542151</v>
      </c>
      <c r="V11" s="5">
        <v>15</v>
      </c>
      <c r="W11" s="5">
        <v>43.5</v>
      </c>
      <c r="X11" s="33">
        <v>2395.4717507826504</v>
      </c>
      <c r="Y11" s="5">
        <v>46.292619783727453</v>
      </c>
      <c r="Z11" s="5">
        <v>7791.2653904457884</v>
      </c>
      <c r="AA11" s="35"/>
    </row>
    <row r="12" spans="2:27" x14ac:dyDescent="0.2">
      <c r="B12" s="4">
        <v>9</v>
      </c>
      <c r="C12" s="4">
        <v>740</v>
      </c>
      <c r="D12" s="23">
        <v>2008336.6860246209</v>
      </c>
      <c r="E12" s="33">
        <v>397.75230769229194</v>
      </c>
      <c r="F12" s="5">
        <v>12</v>
      </c>
      <c r="G12" s="23">
        <v>89.5</v>
      </c>
      <c r="H12" s="33">
        <v>1249.2160203531835</v>
      </c>
      <c r="I12" s="23">
        <v>51.209582184615819</v>
      </c>
      <c r="J12" s="5">
        <v>6881.9181616144988</v>
      </c>
      <c r="K12" s="31"/>
      <c r="L12" s="23">
        <v>2872369.2070698659</v>
      </c>
      <c r="M12" s="33">
        <v>318.08307692305578</v>
      </c>
      <c r="N12" s="5">
        <v>28</v>
      </c>
      <c r="O12" s="5">
        <v>59</v>
      </c>
      <c r="P12" s="33">
        <v>805.73837066606825</v>
      </c>
      <c r="Q12" s="5">
        <v>13.6703515788125</v>
      </c>
      <c r="R12" s="5">
        <v>5552.7391821686679</v>
      </c>
      <c r="S12" s="31"/>
      <c r="T12" s="23">
        <v>2732162.967483548</v>
      </c>
      <c r="U12" s="33">
        <v>640.22846153843273</v>
      </c>
      <c r="V12" s="5">
        <v>11</v>
      </c>
      <c r="W12" s="5">
        <v>54.5</v>
      </c>
      <c r="X12" s="33">
        <v>872.58173826461325</v>
      </c>
      <c r="Y12" s="5">
        <v>57.205075601294219</v>
      </c>
      <c r="Z12" s="5">
        <v>6522.6421572661147</v>
      </c>
      <c r="AA12" s="35"/>
    </row>
    <row r="13" spans="2:27" x14ac:dyDescent="0.2">
      <c r="B13" s="4">
        <v>10</v>
      </c>
      <c r="C13" s="4">
        <v>906</v>
      </c>
      <c r="D13" s="23">
        <v>1930969.7963674441</v>
      </c>
      <c r="E13" s="33">
        <v>862.52384615385915</v>
      </c>
      <c r="F13" s="5">
        <v>13</v>
      </c>
      <c r="G13" s="23">
        <v>90.5</v>
      </c>
      <c r="H13" s="33">
        <v>1123.4715431423044</v>
      </c>
      <c r="I13" s="23">
        <v>51.354807142688934</v>
      </c>
      <c r="J13" s="5">
        <v>6710.4216084772816</v>
      </c>
      <c r="K13" s="31"/>
      <c r="L13" s="23">
        <v>3132276.4472442232</v>
      </c>
      <c r="M13" s="33">
        <v>465.88346153846925</v>
      </c>
      <c r="N13" s="5">
        <v>49</v>
      </c>
      <c r="O13" s="5">
        <v>89</v>
      </c>
      <c r="P13" s="33">
        <v>2856.8376838829863</v>
      </c>
      <c r="Q13" s="5">
        <v>13.075423228747422</v>
      </c>
      <c r="R13" s="5">
        <v>7896.7798996595557</v>
      </c>
      <c r="S13" s="31"/>
      <c r="T13" s="23">
        <v>2690849.017961897</v>
      </c>
      <c r="U13" s="33">
        <v>465.19230769230768</v>
      </c>
      <c r="V13" s="5">
        <v>15</v>
      </c>
      <c r="W13" s="5">
        <v>63.5</v>
      </c>
      <c r="X13" s="33">
        <v>1598.8725297125441</v>
      </c>
      <c r="Y13" s="5">
        <v>42.573650765609536</v>
      </c>
      <c r="Z13" s="5">
        <v>6911.2555044379433</v>
      </c>
      <c r="AA13" s="35"/>
    </row>
    <row r="14" spans="2:27" x14ac:dyDescent="0.2">
      <c r="B14" s="46" t="s">
        <v>3</v>
      </c>
      <c r="C14" s="47"/>
      <c r="D14" s="9">
        <f>MIN(D4:D13)</f>
        <v>1898736.7093387421</v>
      </c>
      <c r="E14" s="22">
        <f>INDEX(E4:E13, MATCH($D$14, D4:D13, 0))</f>
        <v>323.08307692305578</v>
      </c>
      <c r="F14" s="9">
        <f>INDEX(F4:F13, MATCH($D$14, D4:D13, 0))</f>
        <v>12</v>
      </c>
      <c r="G14" s="9">
        <f>INDEX(G4:G13, MATCH($D$14, D4:D13, 0))</f>
        <v>91</v>
      </c>
      <c r="H14" s="22">
        <f>INDEX(H4:H13, MATCH($D$14, D4:D13, 0))</f>
        <v>1113.6893861377991</v>
      </c>
      <c r="I14" s="22">
        <f>INDEX(I4:I13, MATCH($D$14, D4:D13, 0))</f>
        <v>53.440773242458953</v>
      </c>
      <c r="J14" s="22">
        <f>INDEX(J4:J13, MATCH($D$14, D4:D13, 0))</f>
        <v>6684.6723930501994</v>
      </c>
      <c r="K14" s="32" t="e">
        <f>(D14-$D$15)/$D$15</f>
        <v>#DIV/0!</v>
      </c>
      <c r="L14" s="16">
        <f>MIN(L4:L13)</f>
        <v>2646635.8017710419</v>
      </c>
      <c r="M14" s="21">
        <f>INDEX(M4:M13, MATCH($L$14, L4:L13, 0))</f>
        <v>1662.6023076922866</v>
      </c>
      <c r="N14" s="16">
        <f>INDEX(N4:N13, MATCH($L$14, L4:L13, 0))</f>
        <v>19</v>
      </c>
      <c r="O14" s="16">
        <f>INDEX(O4:O13, MATCH($L$14, L4:L13, 0))</f>
        <v>57.5</v>
      </c>
      <c r="P14" s="21">
        <f>INDEX(P4:P13, MATCH($L$14, L4:L13, 0))</f>
        <v>499.70484830103771</v>
      </c>
      <c r="Q14" s="21">
        <f>INDEX(Q4:Q13, MATCH($L$14, L4:L13, 0))</f>
        <v>19.698385366185885</v>
      </c>
      <c r="R14" s="21">
        <f>INDEX(R4:R13, MATCH($L$14, L4:L13, 0))</f>
        <v>5067.3284284785886</v>
      </c>
      <c r="S14" s="36" t="e">
        <f>(L14-$D$15)/$D$15</f>
        <v>#DIV/0!</v>
      </c>
      <c r="T14" s="38">
        <f>MIN(T4:T13)</f>
        <v>2677454.8280058419</v>
      </c>
      <c r="U14" s="39">
        <f>INDEX(U4:U13, MATCH($T$14, T4:T13, 0))</f>
        <v>570.46884615386193</v>
      </c>
      <c r="V14" s="38">
        <f>INDEX(V4:V13, MATCH($T$14, T4:T13, 0))</f>
        <v>10</v>
      </c>
      <c r="W14" s="38">
        <f>INDEX(W4:W13, MATCH($T$14, T4:T13, 0))</f>
        <v>56</v>
      </c>
      <c r="X14" s="39">
        <f>INDEX(X4:X13, MATCH($T$14, T4:T13, 0))</f>
        <v>820.17489554919644</v>
      </c>
      <c r="Y14" s="39">
        <f>INDEX(Y4:Y13, MATCH($T$14, T4:T13, 0))</f>
        <v>60.817998849457481</v>
      </c>
      <c r="Z14" s="39">
        <f>INDEX(Z4:Z13, MATCH($T$14, T4:T13, 0))</f>
        <v>6577.0643367867651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7:C1048576">
    <cfRule type="duplicateValues" dxfId="73" priority="7"/>
    <cfRule type="duplicateValues" dxfId="72" priority="8"/>
  </conditionalFormatting>
  <conditionalFormatting sqref="C14">
    <cfRule type="duplicateValues" dxfId="71" priority="3"/>
    <cfRule type="duplicateValues" dxfId="70" priority="4"/>
  </conditionalFormatting>
  <conditionalFormatting sqref="C17:C36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43408-4CCA-4B1A-88AC-CF71920D9732}">
  <dimension ref="B1:AA17"/>
  <sheetViews>
    <sheetView zoomScale="90" zoomScaleNormal="90" workbookViewId="0">
      <selection activeCell="U19" sqref="U19:U3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-0.98497502730315201</v>
      </c>
      <c r="J2" s="28" t="e">
        <f>(S14-J14)/J14</f>
        <v>#DIV/0!</v>
      </c>
      <c r="K2" s="28"/>
      <c r="L2" s="1" t="s">
        <v>19</v>
      </c>
      <c r="P2" s="1">
        <f>(P14-H14)/H14</f>
        <v>-0.59198071327108548</v>
      </c>
      <c r="R2" s="1">
        <f>(R14-J14)/J14</f>
        <v>-0.18608429845303326</v>
      </c>
      <c r="T2" s="1" t="s">
        <v>20</v>
      </c>
      <c r="X2" s="1">
        <f>(X14-P14)/P14</f>
        <v>1.5989027514432128</v>
      </c>
      <c r="Z2" s="1">
        <f>(Z14-R14)/R14</f>
        <v>0.26642081478965834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881</v>
      </c>
      <c r="D4" s="23">
        <v>2183231.8942252141</v>
      </c>
      <c r="E4" s="33">
        <v>214.19461538459962</v>
      </c>
      <c r="F4" s="5">
        <v>12</v>
      </c>
      <c r="G4" s="23">
        <v>84</v>
      </c>
      <c r="H4" s="33">
        <v>1423.1548738229949</v>
      </c>
      <c r="I4" s="23">
        <v>45.882771230153203</v>
      </c>
      <c r="J4" s="5">
        <v>7040.9699387254241</v>
      </c>
      <c r="K4" s="31"/>
      <c r="L4" s="23">
        <v>2557960.500036085</v>
      </c>
      <c r="M4" s="33">
        <v>768.77384615381459</v>
      </c>
      <c r="N4" s="5">
        <v>21</v>
      </c>
      <c r="O4" s="5">
        <v>64.5</v>
      </c>
      <c r="P4" s="33">
        <v>602.03610869584043</v>
      </c>
      <c r="Q4" s="5">
        <v>17.728791533380107</v>
      </c>
      <c r="R4" s="5">
        <v>5451.7719889738155</v>
      </c>
      <c r="S4" s="31"/>
      <c r="T4" s="23">
        <v>2773874.511439682</v>
      </c>
      <c r="U4" s="33">
        <v>185.60692307691519</v>
      </c>
      <c r="V4" s="5">
        <v>10</v>
      </c>
      <c r="W4" s="5">
        <v>55.5</v>
      </c>
      <c r="X4" s="33">
        <v>1426.4712060208744</v>
      </c>
      <c r="Y4" s="5">
        <v>57.257711544465153</v>
      </c>
      <c r="Z4" s="5">
        <v>6942.1815148107407</v>
      </c>
      <c r="AA4" s="35"/>
    </row>
    <row r="5" spans="2:27" x14ac:dyDescent="0.2">
      <c r="B5" s="4">
        <v>2</v>
      </c>
      <c r="C5" s="4">
        <v>780</v>
      </c>
      <c r="D5" s="23">
        <v>1935804.98260815</v>
      </c>
      <c r="E5" s="33">
        <v>492.62615384614611</v>
      </c>
      <c r="F5" s="5">
        <v>13</v>
      </c>
      <c r="G5" s="23">
        <v>94.5</v>
      </c>
      <c r="H5" s="33">
        <v>1410.5287460670816</v>
      </c>
      <c r="I5" s="23">
        <v>50.21530993646342</v>
      </c>
      <c r="J5" s="5">
        <v>6985.9253716968633</v>
      </c>
      <c r="K5" s="31"/>
      <c r="L5" s="23">
        <v>2435052.095320438</v>
      </c>
      <c r="M5" s="33">
        <v>927.7642307692438</v>
      </c>
      <c r="N5" s="5">
        <v>23</v>
      </c>
      <c r="O5" s="5">
        <v>70.5</v>
      </c>
      <c r="P5" s="33">
        <v>743.52829337406888</v>
      </c>
      <c r="Q5" s="5">
        <v>18.550420829839524</v>
      </c>
      <c r="R5" s="5">
        <v>5362.3917250389177</v>
      </c>
      <c r="S5" s="31"/>
      <c r="T5" s="23">
        <v>2573849.7157645361</v>
      </c>
      <c r="U5" s="33">
        <v>201.50230769229194</v>
      </c>
      <c r="V5" s="5">
        <v>10</v>
      </c>
      <c r="W5" s="5">
        <v>64.5</v>
      </c>
      <c r="X5" s="33">
        <v>1359.695400970943</v>
      </c>
      <c r="Y5" s="5">
        <v>64.353107837887904</v>
      </c>
      <c r="Z5" s="5">
        <v>7097.4767589601079</v>
      </c>
      <c r="AA5" s="35"/>
    </row>
    <row r="6" spans="2:27" x14ac:dyDescent="0.2">
      <c r="B6" s="4">
        <v>3</v>
      </c>
      <c r="C6" s="4">
        <v>622</v>
      </c>
      <c r="D6" s="23">
        <v>1741471.879313536</v>
      </c>
      <c r="E6" s="33">
        <v>507.29576923074035</v>
      </c>
      <c r="F6" s="5">
        <v>14</v>
      </c>
      <c r="G6" s="23">
        <v>95.5</v>
      </c>
      <c r="H6" s="33">
        <v>1066.2530873405399</v>
      </c>
      <c r="I6" s="23">
        <v>45.304395972428111</v>
      </c>
      <c r="J6" s="5">
        <v>6300.5610990833175</v>
      </c>
      <c r="K6" s="31"/>
      <c r="L6" s="23">
        <v>2535588.214621128</v>
      </c>
      <c r="M6" s="33">
        <v>520.68499999998426</v>
      </c>
      <c r="N6" s="5">
        <v>27</v>
      </c>
      <c r="O6" s="5">
        <v>71</v>
      </c>
      <c r="P6" s="33">
        <v>935.86362973171401</v>
      </c>
      <c r="Q6" s="5">
        <v>16.156427780022018</v>
      </c>
      <c r="R6" s="5">
        <v>5671.7191699707591</v>
      </c>
      <c r="S6" s="31"/>
      <c r="T6" s="23">
        <v>2643530.662789972</v>
      </c>
      <c r="U6" s="33">
        <v>223.50346153848267</v>
      </c>
      <c r="V6" s="5">
        <v>17</v>
      </c>
      <c r="W6" s="5">
        <v>70</v>
      </c>
      <c r="X6" s="33">
        <v>1802.6933115130523</v>
      </c>
      <c r="Y6" s="5">
        <v>46.818012782292847</v>
      </c>
      <c r="Z6" s="5">
        <v>7399.7618505290784</v>
      </c>
      <c r="AA6" s="35"/>
    </row>
    <row r="7" spans="2:27" x14ac:dyDescent="0.2">
      <c r="B7" s="4">
        <v>4</v>
      </c>
      <c r="C7" s="4">
        <v>381</v>
      </c>
      <c r="D7" s="23">
        <v>1919963.9815714271</v>
      </c>
      <c r="E7" s="33">
        <v>421.21423076923344</v>
      </c>
      <c r="F7" s="5">
        <v>16</v>
      </c>
      <c r="G7" s="23">
        <v>92.5</v>
      </c>
      <c r="H7" s="33">
        <v>1228.52177830201</v>
      </c>
      <c r="I7" s="23">
        <v>40.422288243433165</v>
      </c>
      <c r="J7" s="5">
        <v>6582.9950833443863</v>
      </c>
      <c r="K7" s="31"/>
      <c r="L7" s="23">
        <v>2511588.1017175568</v>
      </c>
      <c r="M7" s="33">
        <v>465.6007692307823</v>
      </c>
      <c r="N7" s="5">
        <v>22</v>
      </c>
      <c r="O7" s="5">
        <v>65.5</v>
      </c>
      <c r="P7" s="33">
        <v>678.85483624497965</v>
      </c>
      <c r="Q7" s="5">
        <v>19.149304020111</v>
      </c>
      <c r="R7" s="5">
        <v>5238.9276402666974</v>
      </c>
      <c r="S7" s="31"/>
      <c r="T7" s="23">
        <v>2626875.8503237222</v>
      </c>
      <c r="U7" s="33">
        <v>379.80153846155957</v>
      </c>
      <c r="V7" s="5">
        <v>21</v>
      </c>
      <c r="W7" s="5">
        <v>84.5</v>
      </c>
      <c r="X7" s="33">
        <v>2724.5964743842865</v>
      </c>
      <c r="Y7" s="5">
        <v>50.216965267166849</v>
      </c>
      <c r="Z7" s="5">
        <v>8320.8478490024991</v>
      </c>
      <c r="AA7" s="35"/>
    </row>
    <row r="8" spans="2:27" x14ac:dyDescent="0.2">
      <c r="B8" s="4">
        <v>5</v>
      </c>
      <c r="C8" s="4">
        <v>532</v>
      </c>
      <c r="D8" s="23">
        <v>2243656.161176031</v>
      </c>
      <c r="E8" s="33">
        <v>299.18269230769232</v>
      </c>
      <c r="F8" s="5">
        <v>17</v>
      </c>
      <c r="G8" s="23">
        <v>89</v>
      </c>
      <c r="H8" s="33">
        <v>1895.1573344456356</v>
      </c>
      <c r="I8" s="23">
        <v>37.018862210895648</v>
      </c>
      <c r="J8" s="5">
        <v>7247.2259738205203</v>
      </c>
      <c r="K8" s="31"/>
      <c r="L8" s="23">
        <v>2856371.2261310732</v>
      </c>
      <c r="M8" s="33">
        <v>559.24884615385383</v>
      </c>
      <c r="N8" s="5">
        <v>44</v>
      </c>
      <c r="O8" s="5">
        <v>89</v>
      </c>
      <c r="P8" s="33">
        <v>2161.8181166110999</v>
      </c>
      <c r="Q8" s="5">
        <v>13.914813399565629</v>
      </c>
      <c r="R8" s="5">
        <v>7291.7171695296356</v>
      </c>
      <c r="S8" s="31"/>
      <c r="T8" s="23">
        <v>2629744.183755354</v>
      </c>
      <c r="U8" s="33">
        <v>590.40269230770002</v>
      </c>
      <c r="V8" s="5">
        <v>24</v>
      </c>
      <c r="W8" s="5">
        <v>87.5</v>
      </c>
      <c r="X8" s="33">
        <v>2820.7886994328874</v>
      </c>
      <c r="Y8" s="5">
        <v>50.707815067235494</v>
      </c>
      <c r="Z8" s="5">
        <v>8367.0795735898773</v>
      </c>
      <c r="AA8" s="35"/>
    </row>
    <row r="9" spans="2:27" x14ac:dyDescent="0.2">
      <c r="B9" s="4">
        <v>6</v>
      </c>
      <c r="C9" s="4">
        <v>238</v>
      </c>
      <c r="D9" s="23">
        <v>2350122.3214766518</v>
      </c>
      <c r="E9" s="33">
        <v>251.82692307692307</v>
      </c>
      <c r="F9" s="5">
        <v>13</v>
      </c>
      <c r="G9" s="23">
        <v>86</v>
      </c>
      <c r="H9" s="33">
        <v>2016.1228155710367</v>
      </c>
      <c r="I9" s="23">
        <v>45.866365049979166</v>
      </c>
      <c r="J9" s="5">
        <v>7702.4182087092895</v>
      </c>
      <c r="K9" s="31"/>
      <c r="L9" s="23">
        <v>3030804.2226251168</v>
      </c>
      <c r="M9" s="33">
        <v>277.69230769230768</v>
      </c>
      <c r="N9" s="5">
        <v>46</v>
      </c>
      <c r="O9" s="5">
        <v>88</v>
      </c>
      <c r="P9" s="33">
        <v>2522.0965378404999</v>
      </c>
      <c r="Q9" s="5">
        <v>13.116393761388371</v>
      </c>
      <c r="R9" s="5">
        <v>7648.4675600102719</v>
      </c>
      <c r="S9" s="31"/>
      <c r="T9" s="23">
        <v>3025853.4733706121</v>
      </c>
      <c r="U9" s="33">
        <v>564.49500000001308</v>
      </c>
      <c r="V9" s="5">
        <v>25</v>
      </c>
      <c r="W9" s="5">
        <v>56</v>
      </c>
      <c r="X9" s="33">
        <v>1342.1055774476642</v>
      </c>
      <c r="Y9" s="5">
        <v>22.048014920536772</v>
      </c>
      <c r="Z9" s="5">
        <v>6678.2258312984968</v>
      </c>
      <c r="AA9" s="35"/>
    </row>
    <row r="10" spans="2:27" x14ac:dyDescent="0.2">
      <c r="B10" s="4">
        <v>7</v>
      </c>
      <c r="C10" s="4">
        <v>262</v>
      </c>
      <c r="D10" s="23">
        <v>2338089.4884551479</v>
      </c>
      <c r="E10" s="33">
        <v>340.80538461540038</v>
      </c>
      <c r="F10" s="5">
        <v>17</v>
      </c>
      <c r="G10" s="23">
        <v>89</v>
      </c>
      <c r="H10" s="33">
        <v>2129.3430740547956</v>
      </c>
      <c r="I10" s="23">
        <v>36.559811608940834</v>
      </c>
      <c r="J10" s="5">
        <v>7524.490958635346</v>
      </c>
      <c r="K10" s="31"/>
      <c r="L10" s="23">
        <v>2729772.2239865288</v>
      </c>
      <c r="M10" s="33">
        <v>355.72115384615381</v>
      </c>
      <c r="N10" s="5">
        <v>41</v>
      </c>
      <c r="O10" s="5">
        <v>88.5</v>
      </c>
      <c r="P10" s="33">
        <v>1947.8908345552143</v>
      </c>
      <c r="Q10" s="5">
        <v>14.198263414514793</v>
      </c>
      <c r="R10" s="5">
        <v>7038.4074178554492</v>
      </c>
      <c r="S10" s="31"/>
      <c r="T10" s="23">
        <v>2928445.1772393021</v>
      </c>
      <c r="U10" s="33">
        <v>598.4373076923207</v>
      </c>
      <c r="V10" s="5">
        <v>19</v>
      </c>
      <c r="W10" s="5">
        <v>73.5</v>
      </c>
      <c r="X10" s="33">
        <v>3166.1886593806739</v>
      </c>
      <c r="Y10" s="5">
        <v>46.964558398116289</v>
      </c>
      <c r="Z10" s="5">
        <v>8638.4633259993971</v>
      </c>
      <c r="AA10" s="35"/>
    </row>
    <row r="11" spans="2:27" x14ac:dyDescent="0.2">
      <c r="B11" s="4">
        <v>8</v>
      </c>
      <c r="C11" s="4">
        <v>979</v>
      </c>
      <c r="D11" s="23">
        <v>1920776.2910646971</v>
      </c>
      <c r="E11" s="33">
        <v>468.02884615384613</v>
      </c>
      <c r="F11" s="5">
        <v>18</v>
      </c>
      <c r="G11" s="23">
        <v>96</v>
      </c>
      <c r="H11" s="33">
        <v>1438.4348296428186</v>
      </c>
      <c r="I11" s="23">
        <v>36.414521982303597</v>
      </c>
      <c r="J11" s="5">
        <v>6654.169571130722</v>
      </c>
      <c r="K11" s="31"/>
      <c r="L11" s="23">
        <v>2421183.6648345548</v>
      </c>
      <c r="M11" s="33">
        <v>666.12961538462844</v>
      </c>
      <c r="N11" s="5">
        <v>24</v>
      </c>
      <c r="O11" s="5">
        <v>71</v>
      </c>
      <c r="P11" s="33">
        <v>703.1246148132966</v>
      </c>
      <c r="Q11" s="5">
        <v>18.344625591138815</v>
      </c>
      <c r="R11" s="5">
        <v>5342.6664254893831</v>
      </c>
      <c r="S11" s="31"/>
      <c r="T11" s="23">
        <v>2875242.662638823</v>
      </c>
      <c r="U11" s="33">
        <v>229.95807692310055</v>
      </c>
      <c r="V11" s="5">
        <v>27</v>
      </c>
      <c r="W11" s="5">
        <v>87</v>
      </c>
      <c r="X11" s="33">
        <v>3464.4177812063976</v>
      </c>
      <c r="Y11" s="5">
        <v>47.272899712795976</v>
      </c>
      <c r="Z11" s="5">
        <v>8913.9211653759685</v>
      </c>
      <c r="AA11" s="35"/>
    </row>
    <row r="12" spans="2:27" x14ac:dyDescent="0.2">
      <c r="B12" s="4">
        <v>9</v>
      </c>
      <c r="C12" s="4">
        <v>856</v>
      </c>
      <c r="D12" s="23">
        <v>2077239.1308981059</v>
      </c>
      <c r="E12" s="33">
        <v>232.54192307694422</v>
      </c>
      <c r="F12" s="5">
        <v>13</v>
      </c>
      <c r="G12" s="23">
        <v>85.5</v>
      </c>
      <c r="H12" s="33">
        <v>1206.674852555215</v>
      </c>
      <c r="I12" s="23">
        <v>44.511307420153045</v>
      </c>
      <c r="J12" s="5">
        <v>6743.4347397767015</v>
      </c>
      <c r="K12" s="31"/>
      <c r="L12" s="23">
        <v>2417189.1915104231</v>
      </c>
      <c r="M12" s="33">
        <v>1271.5623076923207</v>
      </c>
      <c r="N12" s="5">
        <v>26</v>
      </c>
      <c r="O12" s="5">
        <v>70.5</v>
      </c>
      <c r="P12" s="33">
        <v>435.05182416919013</v>
      </c>
      <c r="Q12" s="5">
        <v>16.020423525221609</v>
      </c>
      <c r="R12" s="5">
        <v>5128.1256070999261</v>
      </c>
      <c r="S12" s="31"/>
      <c r="T12" s="23">
        <v>2550654.4628813812</v>
      </c>
      <c r="U12" s="33">
        <v>797.06730769230762</v>
      </c>
      <c r="V12" s="5">
        <v>10</v>
      </c>
      <c r="W12" s="5">
        <v>60</v>
      </c>
      <c r="X12" s="33">
        <v>690.38267394601041</v>
      </c>
      <c r="Y12" s="5">
        <v>56.312240379977752</v>
      </c>
      <c r="Z12" s="5">
        <v>6386.4120115913311</v>
      </c>
      <c r="AA12" s="35"/>
    </row>
    <row r="13" spans="2:27" x14ac:dyDescent="0.2">
      <c r="B13" s="4">
        <v>10</v>
      </c>
      <c r="C13" s="4">
        <v>164</v>
      </c>
      <c r="D13" s="23">
        <v>2026799.618186522</v>
      </c>
      <c r="E13" s="33">
        <v>409.06269230767924</v>
      </c>
      <c r="F13" s="5">
        <v>16</v>
      </c>
      <c r="G13" s="23">
        <v>90.5</v>
      </c>
      <c r="H13" s="33">
        <v>1387.1999142479344</v>
      </c>
      <c r="I13" s="23">
        <v>39.10599818606363</v>
      </c>
      <c r="J13" s="5">
        <v>6706.0773982643495</v>
      </c>
      <c r="K13" s="31"/>
      <c r="L13" s="23">
        <v>2744126.7202366069</v>
      </c>
      <c r="M13" s="33">
        <v>363.64153846153596</v>
      </c>
      <c r="N13" s="5">
        <v>47</v>
      </c>
      <c r="O13" s="5">
        <v>89</v>
      </c>
      <c r="P13" s="33">
        <v>1802.6636849754827</v>
      </c>
      <c r="Q13" s="5">
        <v>12.87973901514914</v>
      </c>
      <c r="R13" s="5">
        <v>6670.3448682823482</v>
      </c>
      <c r="S13" s="31"/>
      <c r="T13" s="23">
        <v>2533058.0437770542</v>
      </c>
      <c r="U13" s="33">
        <v>955.28269230768694</v>
      </c>
      <c r="V13" s="5">
        <v>13</v>
      </c>
      <c r="W13" s="5">
        <v>64</v>
      </c>
      <c r="X13" s="33">
        <v>1130.6573828536971</v>
      </c>
      <c r="Y13" s="5">
        <v>47.39851254936319</v>
      </c>
      <c r="Z13" s="5">
        <v>6494.3650096871997</v>
      </c>
      <c r="AA13" s="35"/>
    </row>
    <row r="14" spans="2:27" x14ac:dyDescent="0.2">
      <c r="B14" s="46" t="s">
        <v>3</v>
      </c>
      <c r="C14" s="47"/>
      <c r="D14" s="9">
        <f>MIN(D4:D13)</f>
        <v>1741471.879313536</v>
      </c>
      <c r="E14" s="22">
        <f>INDEX(E4:E13, MATCH($D$14, D4:D13, 0))</f>
        <v>507.29576923074035</v>
      </c>
      <c r="F14" s="9">
        <f>INDEX(F4:F13, MATCH($D$14, D4:D13, 0))</f>
        <v>14</v>
      </c>
      <c r="G14" s="9">
        <f>INDEX(G4:G13, MATCH($D$14, D4:D13, 0))</f>
        <v>95.5</v>
      </c>
      <c r="H14" s="22">
        <f>INDEX(H4:H13, MATCH($D$14, D4:D13, 0))</f>
        <v>1066.2530873405399</v>
      </c>
      <c r="I14" s="22">
        <f>INDEX(I4:I13, MATCH($D$14, D4:D13, 0))</f>
        <v>45.304395972428111</v>
      </c>
      <c r="J14" s="22">
        <f>INDEX(J4:J13, MATCH($D$14, D4:D13, 0))</f>
        <v>6300.5610990833175</v>
      </c>
      <c r="K14" s="32" t="e">
        <f>(D14-$D$15)/$D$15</f>
        <v>#DIV/0!</v>
      </c>
      <c r="L14" s="16">
        <f>MIN(L4:L13)</f>
        <v>2417189.1915104231</v>
      </c>
      <c r="M14" s="21">
        <f>INDEX(M4:M13, MATCH($L$14, L4:L13, 0))</f>
        <v>1271.5623076923207</v>
      </c>
      <c r="N14" s="16">
        <f>INDEX(N4:N13, MATCH($L$14, L4:L13, 0))</f>
        <v>26</v>
      </c>
      <c r="O14" s="16">
        <f>INDEX(O4:O13, MATCH($L$14, L4:L13, 0))</f>
        <v>70.5</v>
      </c>
      <c r="P14" s="21">
        <f>INDEX(P4:P13, MATCH($L$14, L4:L13, 0))</f>
        <v>435.05182416919013</v>
      </c>
      <c r="Q14" s="21">
        <f>INDEX(Q4:Q13, MATCH($L$14, L4:L13, 0))</f>
        <v>16.020423525221609</v>
      </c>
      <c r="R14" s="21">
        <f>INDEX(R4:R13, MATCH($L$14, L4:L13, 0))</f>
        <v>5128.1256070999261</v>
      </c>
      <c r="S14" s="36" t="e">
        <f>(L14-$D$15)/$D$15</f>
        <v>#DIV/0!</v>
      </c>
      <c r="T14" s="38">
        <f>MIN(T4:T13)</f>
        <v>2533058.0437770542</v>
      </c>
      <c r="U14" s="39">
        <f>INDEX(U4:U13, MATCH($T$14, T4:T13, 0))</f>
        <v>955.28269230768694</v>
      </c>
      <c r="V14" s="38">
        <f>INDEX(V4:V13, MATCH($T$14, T4:T13, 0))</f>
        <v>13</v>
      </c>
      <c r="W14" s="38">
        <f>INDEX(W4:W13, MATCH($T$14, T4:T13, 0))</f>
        <v>64</v>
      </c>
      <c r="X14" s="39">
        <f>INDEX(X4:X13, MATCH($T$14, T4:T13, 0))</f>
        <v>1130.6573828536971</v>
      </c>
      <c r="Y14" s="39">
        <f>INDEX(Y4:Y13, MATCH($T$14, T4:T13, 0))</f>
        <v>47.39851254936319</v>
      </c>
      <c r="Z14" s="39">
        <f>INDEX(Z4:Z13, MATCH($T$14, T4:T13, 0))</f>
        <v>6494.3650096871997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7:C1048576">
    <cfRule type="duplicateValues" dxfId="69" priority="7"/>
    <cfRule type="duplicateValues" dxfId="68" priority="8"/>
  </conditionalFormatting>
  <conditionalFormatting sqref="C14">
    <cfRule type="duplicateValues" dxfId="67" priority="3"/>
    <cfRule type="duplicateValues" dxfId="66" priority="4"/>
  </conditionalFormatting>
  <conditionalFormatting sqref="C17:C36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D60B5-80EC-4DFC-AFB0-42257A8E4324}">
  <dimension ref="B1:AA17"/>
  <sheetViews>
    <sheetView zoomScale="90" zoomScaleNormal="90" workbookViewId="0">
      <selection activeCell="U20" sqref="U20:U3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-0.98257916441268944</v>
      </c>
      <c r="J2" s="28" t="e">
        <f>(S14-J14)/J14</f>
        <v>#DIV/0!</v>
      </c>
      <c r="K2" s="28"/>
      <c r="L2" s="1" t="s">
        <v>19</v>
      </c>
      <c r="P2" s="1">
        <f>(P14-H14)/H14</f>
        <v>-0.49443430686250783</v>
      </c>
      <c r="R2" s="1">
        <f>(R14-J14)/J14</f>
        <v>-0.19767253820741773</v>
      </c>
      <c r="T2" s="1" t="s">
        <v>20</v>
      </c>
      <c r="X2" s="1">
        <f>(X14-P14)/P14</f>
        <v>1.3034442147279297</v>
      </c>
      <c r="Z2" s="1">
        <f>(Z14-R14)/R14</f>
        <v>0.36506410428555974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269</v>
      </c>
      <c r="D4" s="23">
        <v>1766112.404467338</v>
      </c>
      <c r="E4" s="33">
        <v>365.52269230771344</v>
      </c>
      <c r="F4" s="5">
        <v>17</v>
      </c>
      <c r="G4" s="23">
        <v>94.5</v>
      </c>
      <c r="H4" s="33">
        <v>1117.3109058885061</v>
      </c>
      <c r="I4" s="23">
        <v>47.792747912215496</v>
      </c>
      <c r="J4" s="5">
        <v>6233.0517559287182</v>
      </c>
      <c r="K4" s="31"/>
      <c r="L4" s="23">
        <v>2754726.6995007638</v>
      </c>
      <c r="M4" s="33">
        <v>819.29653846152803</v>
      </c>
      <c r="N4" s="5">
        <v>36</v>
      </c>
      <c r="O4" s="5">
        <v>73.5</v>
      </c>
      <c r="P4" s="33">
        <v>1433.5700972279483</v>
      </c>
      <c r="Q4" s="5">
        <v>16.787947067893402</v>
      </c>
      <c r="R4" s="5">
        <v>6185.7818982321096</v>
      </c>
      <c r="S4" s="31"/>
      <c r="T4" s="23">
        <v>2348492.4614372761</v>
      </c>
      <c r="U4" s="33">
        <v>476.05769230769226</v>
      </c>
      <c r="V4" s="5">
        <v>12</v>
      </c>
      <c r="W4" s="5">
        <v>68.5</v>
      </c>
      <c r="X4" s="33">
        <v>1115.4847201167113</v>
      </c>
      <c r="Y4" s="5">
        <v>79.100403680185465</v>
      </c>
      <c r="Z4" s="5">
        <v>6534.1082108413984</v>
      </c>
      <c r="AA4" s="35"/>
    </row>
    <row r="5" spans="2:27" x14ac:dyDescent="0.2">
      <c r="B5" s="4">
        <v>2</v>
      </c>
      <c r="C5" s="4">
        <v>341</v>
      </c>
      <c r="D5" s="23">
        <v>1706303.289557609</v>
      </c>
      <c r="E5" s="33">
        <v>433.10692307691534</v>
      </c>
      <c r="F5" s="5">
        <v>15</v>
      </c>
      <c r="G5" s="23">
        <v>94</v>
      </c>
      <c r="H5" s="33">
        <v>922.20954381634169</v>
      </c>
      <c r="I5" s="23">
        <v>53.129911161741795</v>
      </c>
      <c r="J5" s="5">
        <v>6111.4723644451797</v>
      </c>
      <c r="K5" s="31"/>
      <c r="L5" s="23">
        <v>2979781.4283786388</v>
      </c>
      <c r="M5" s="33">
        <v>995.6069230769599</v>
      </c>
      <c r="N5" s="5">
        <v>48</v>
      </c>
      <c r="O5" s="5">
        <v>87</v>
      </c>
      <c r="P5" s="33">
        <v>2488.3811782895145</v>
      </c>
      <c r="Q5" s="5">
        <v>15.205079518768784</v>
      </c>
      <c r="R5" s="5">
        <v>7304.5069811324774</v>
      </c>
      <c r="S5" s="31"/>
      <c r="T5" s="23">
        <v>2567695.1734488779</v>
      </c>
      <c r="U5" s="33">
        <v>500.86538461538458</v>
      </c>
      <c r="V5" s="5">
        <v>22</v>
      </c>
      <c r="W5" s="5">
        <v>76</v>
      </c>
      <c r="X5" s="33">
        <v>2166.7451893969287</v>
      </c>
      <c r="Y5" s="5">
        <v>52.435100197968332</v>
      </c>
      <c r="Z5" s="5">
        <v>7389.626024728751</v>
      </c>
      <c r="AA5" s="35"/>
    </row>
    <row r="6" spans="2:27" x14ac:dyDescent="0.2">
      <c r="B6" s="4">
        <v>3</v>
      </c>
      <c r="C6" s="4">
        <v>369</v>
      </c>
      <c r="D6" s="23">
        <v>1784853.267467394</v>
      </c>
      <c r="E6" s="33">
        <v>461.88692307695192</v>
      </c>
      <c r="F6" s="5">
        <v>16</v>
      </c>
      <c r="G6" s="23">
        <v>94.5</v>
      </c>
      <c r="H6" s="33">
        <v>1126.3185959192467</v>
      </c>
      <c r="I6" s="23">
        <v>49.485912393970985</v>
      </c>
      <c r="J6" s="5">
        <v>6350.3209700614289</v>
      </c>
      <c r="K6" s="31"/>
      <c r="L6" s="23">
        <v>2905693.1706433459</v>
      </c>
      <c r="M6" s="33">
        <v>944.22461538459186</v>
      </c>
      <c r="N6" s="5">
        <v>33</v>
      </c>
      <c r="O6" s="5">
        <v>61</v>
      </c>
      <c r="P6" s="33">
        <v>740.74876708336092</v>
      </c>
      <c r="Q6" s="5">
        <v>13.102259745511772</v>
      </c>
      <c r="R6" s="5">
        <v>5582.3495185535285</v>
      </c>
      <c r="S6" s="31"/>
      <c r="T6" s="23">
        <v>2893468.3142885808</v>
      </c>
      <c r="U6" s="33">
        <v>522.97499999999457</v>
      </c>
      <c r="V6" s="5">
        <v>16</v>
      </c>
      <c r="W6" s="5">
        <v>58.5</v>
      </c>
      <c r="X6" s="33">
        <v>1911.5955952147592</v>
      </c>
      <c r="Y6" s="5">
        <v>54.263006364818096</v>
      </c>
      <c r="Z6" s="5">
        <v>7538.0614914931193</v>
      </c>
      <c r="AA6" s="35"/>
    </row>
    <row r="7" spans="2:27" x14ac:dyDescent="0.2">
      <c r="B7" s="4">
        <v>4</v>
      </c>
      <c r="C7" s="4">
        <v>379</v>
      </c>
      <c r="D7" s="23">
        <v>2093589.070617429</v>
      </c>
      <c r="E7" s="33">
        <v>691.79076923075343</v>
      </c>
      <c r="F7" s="5">
        <v>19</v>
      </c>
      <c r="G7" s="23">
        <v>91</v>
      </c>
      <c r="H7" s="33">
        <v>1617.1122804968836</v>
      </c>
      <c r="I7" s="23">
        <v>39.575381940546521</v>
      </c>
      <c r="J7" s="5">
        <v>6849.9369921681518</v>
      </c>
      <c r="K7" s="31"/>
      <c r="L7" s="23">
        <v>3111083.7273409148</v>
      </c>
      <c r="M7" s="33">
        <v>644.68769230767919</v>
      </c>
      <c r="N7" s="5">
        <v>49</v>
      </c>
      <c r="O7" s="5">
        <v>79</v>
      </c>
      <c r="P7" s="33">
        <v>2228.0517624417025</v>
      </c>
      <c r="Q7" s="5">
        <v>13.398304153552651</v>
      </c>
      <c r="R7" s="5">
        <v>7170.4514169716085</v>
      </c>
      <c r="S7" s="31"/>
      <c r="T7" s="23">
        <v>3291243.3619466629</v>
      </c>
      <c r="U7" s="33">
        <v>278.2992307692229</v>
      </c>
      <c r="V7" s="5">
        <v>31</v>
      </c>
      <c r="W7" s="5">
        <v>89</v>
      </c>
      <c r="X7" s="33">
        <v>4818.4296684112178</v>
      </c>
      <c r="Y7" s="5">
        <v>49.796942078589304</v>
      </c>
      <c r="Z7" s="5">
        <v>10314.732695063838</v>
      </c>
      <c r="AA7" s="35"/>
    </row>
    <row r="8" spans="2:27" x14ac:dyDescent="0.2">
      <c r="B8" s="4">
        <v>5</v>
      </c>
      <c r="C8" s="4">
        <v>409</v>
      </c>
      <c r="D8" s="23">
        <v>1815667.2039099501</v>
      </c>
      <c r="E8" s="33">
        <v>303.40115384615132</v>
      </c>
      <c r="F8" s="5">
        <v>17</v>
      </c>
      <c r="G8" s="23">
        <v>97</v>
      </c>
      <c r="H8" s="33">
        <v>1324.0775169335473</v>
      </c>
      <c r="I8" s="23">
        <v>49.270387551015808</v>
      </c>
      <c r="J8" s="5">
        <v>6614.6005900235641</v>
      </c>
      <c r="K8" s="31"/>
      <c r="L8" s="23">
        <v>3171668.9568662769</v>
      </c>
      <c r="M8" s="33">
        <v>405.12000000001308</v>
      </c>
      <c r="N8" s="5">
        <v>51</v>
      </c>
      <c r="O8" s="5">
        <v>89</v>
      </c>
      <c r="P8" s="33">
        <v>2904.4319477774525</v>
      </c>
      <c r="Q8" s="5">
        <v>14.638884683349279</v>
      </c>
      <c r="R8" s="5">
        <v>7934.4125914264096</v>
      </c>
      <c r="S8" s="31"/>
      <c r="T8" s="23">
        <v>2552678.0123481648</v>
      </c>
      <c r="U8" s="33">
        <v>732.23576923075609</v>
      </c>
      <c r="V8" s="5">
        <v>22</v>
      </c>
      <c r="W8" s="5">
        <v>79.5</v>
      </c>
      <c r="X8" s="33">
        <v>2257.9684896586041</v>
      </c>
      <c r="Y8" s="5">
        <v>55.358230101305814</v>
      </c>
      <c r="Z8" s="5">
        <v>7711.9656624684167</v>
      </c>
      <c r="AA8" s="35"/>
    </row>
    <row r="9" spans="2:27" x14ac:dyDescent="0.2">
      <c r="B9" s="4">
        <v>6</v>
      </c>
      <c r="C9" s="4">
        <v>457</v>
      </c>
      <c r="D9" s="23">
        <v>1955531.267134079</v>
      </c>
      <c r="E9" s="33">
        <v>481.50807692306654</v>
      </c>
      <c r="F9" s="5">
        <v>14</v>
      </c>
      <c r="G9" s="23">
        <v>90.5</v>
      </c>
      <c r="H9" s="33">
        <v>1346.6378779329461</v>
      </c>
      <c r="I9" s="23">
        <v>53.497094054072186</v>
      </c>
      <c r="J9" s="5">
        <v>6702.681679848095</v>
      </c>
      <c r="K9" s="31"/>
      <c r="L9" s="23">
        <v>2788473.7084866818</v>
      </c>
      <c r="M9" s="33">
        <v>485.95576923076385</v>
      </c>
      <c r="N9" s="5">
        <v>45</v>
      </c>
      <c r="O9" s="5">
        <v>83</v>
      </c>
      <c r="P9" s="33">
        <v>1771.5252291722281</v>
      </c>
      <c r="Q9" s="5">
        <v>15.529204520202933</v>
      </c>
      <c r="R9" s="5">
        <v>6502.5952094771983</v>
      </c>
      <c r="S9" s="31"/>
      <c r="T9" s="23">
        <v>2584422.4989268621</v>
      </c>
      <c r="U9" s="33">
        <v>265.89538461537671</v>
      </c>
      <c r="V9" s="5">
        <v>17</v>
      </c>
      <c r="W9" s="5">
        <v>66</v>
      </c>
      <c r="X9" s="33">
        <v>1607.3248794352714</v>
      </c>
      <c r="Y9" s="5">
        <v>53.673782814044834</v>
      </c>
      <c r="Z9" s="5">
        <v>6865.4200654742435</v>
      </c>
      <c r="AA9" s="35"/>
    </row>
    <row r="10" spans="2:27" x14ac:dyDescent="0.2">
      <c r="B10" s="4">
        <v>7</v>
      </c>
      <c r="C10" s="4">
        <v>603</v>
      </c>
      <c r="D10" s="23">
        <v>1845373.5715432039</v>
      </c>
      <c r="E10" s="33">
        <v>456.79076923079805</v>
      </c>
      <c r="F10" s="5">
        <v>12</v>
      </c>
      <c r="G10" s="23">
        <v>89</v>
      </c>
      <c r="H10" s="33">
        <v>935.92959641838866</v>
      </c>
      <c r="I10" s="23">
        <v>62.264152559681129</v>
      </c>
      <c r="J10" s="5">
        <v>6398.215958883231</v>
      </c>
      <c r="K10" s="31"/>
      <c r="L10" s="23">
        <v>3033870.830669858</v>
      </c>
      <c r="M10" s="33">
        <v>996.8807692307746</v>
      </c>
      <c r="N10" s="5">
        <v>36</v>
      </c>
      <c r="O10" s="5">
        <v>62</v>
      </c>
      <c r="P10" s="33">
        <v>1192.9653797285889</v>
      </c>
      <c r="Q10" s="5">
        <v>13.280774486658807</v>
      </c>
      <c r="R10" s="5">
        <v>6138.0802941134052</v>
      </c>
      <c r="S10" s="31"/>
      <c r="T10" s="23">
        <v>2729222.50484293</v>
      </c>
      <c r="U10" s="33">
        <v>550.97961538457844</v>
      </c>
      <c r="V10" s="5">
        <v>25</v>
      </c>
      <c r="W10" s="5">
        <v>88.5</v>
      </c>
      <c r="X10" s="33">
        <v>3448.7397909408905</v>
      </c>
      <c r="Y10" s="5">
        <v>62.879664077007803</v>
      </c>
      <c r="Z10" s="5">
        <v>8940.5519835246305</v>
      </c>
      <c r="AA10" s="35"/>
    </row>
    <row r="11" spans="2:27" x14ac:dyDescent="0.2">
      <c r="B11" s="4">
        <v>8</v>
      </c>
      <c r="C11" s="4">
        <v>724</v>
      </c>
      <c r="D11" s="23">
        <v>1600314.5375999189</v>
      </c>
      <c r="E11" s="33">
        <v>479.6515384615542</v>
      </c>
      <c r="F11" s="5">
        <v>15</v>
      </c>
      <c r="G11" s="23">
        <v>97</v>
      </c>
      <c r="H11" s="33">
        <v>957.87388065348966</v>
      </c>
      <c r="I11" s="23">
        <v>54.779353816529962</v>
      </c>
      <c r="J11" s="5">
        <v>5965.9776021142106</v>
      </c>
      <c r="K11" s="31"/>
      <c r="L11" s="23">
        <v>2964949.1590280891</v>
      </c>
      <c r="M11" s="33">
        <v>364.32115384614843</v>
      </c>
      <c r="N11" s="5">
        <v>28</v>
      </c>
      <c r="O11" s="5">
        <v>59</v>
      </c>
      <c r="P11" s="33">
        <v>1248.6900838144015</v>
      </c>
      <c r="Q11" s="5">
        <v>17.21231404165103</v>
      </c>
      <c r="R11" s="5">
        <v>6041.4578299622935</v>
      </c>
      <c r="S11" s="31"/>
      <c r="T11" s="23">
        <v>2493612.8971163561</v>
      </c>
      <c r="U11" s="33">
        <v>306.67692307691772</v>
      </c>
      <c r="V11" s="5">
        <v>15</v>
      </c>
      <c r="W11" s="5">
        <v>68</v>
      </c>
      <c r="X11" s="33">
        <v>1334.7357324253492</v>
      </c>
      <c r="Y11" s="5">
        <v>64.881950792434736</v>
      </c>
      <c r="Z11" s="5">
        <v>6848.0923734896423</v>
      </c>
      <c r="AA11" s="35"/>
    </row>
    <row r="12" spans="2:27" x14ac:dyDescent="0.2">
      <c r="B12" s="4">
        <v>9</v>
      </c>
      <c r="C12" s="4">
        <v>758</v>
      </c>
      <c r="D12" s="23">
        <v>1758006.636402532</v>
      </c>
      <c r="E12" s="33">
        <v>203.23307692306116</v>
      </c>
      <c r="F12" s="5">
        <v>17</v>
      </c>
      <c r="G12" s="23">
        <v>96.5</v>
      </c>
      <c r="H12" s="33">
        <v>1102.4703118810335</v>
      </c>
      <c r="I12" s="23">
        <v>48.909731775805938</v>
      </c>
      <c r="J12" s="5">
        <v>6392.7536592780325</v>
      </c>
      <c r="K12" s="31"/>
      <c r="L12" s="23">
        <v>2631791.6582626412</v>
      </c>
      <c r="M12" s="33">
        <v>813.26307692309808</v>
      </c>
      <c r="N12" s="5">
        <v>28</v>
      </c>
      <c r="O12" s="5">
        <v>62.5</v>
      </c>
      <c r="P12" s="33">
        <v>484.26817241088094</v>
      </c>
      <c r="Q12" s="5">
        <v>16.686963388243576</v>
      </c>
      <c r="R12" s="5">
        <v>4786.6676666156909</v>
      </c>
      <c r="S12" s="31"/>
      <c r="T12" s="23">
        <v>2838824.6106618401</v>
      </c>
      <c r="U12" s="33">
        <v>240.27653846155422</v>
      </c>
      <c r="V12" s="5">
        <v>17</v>
      </c>
      <c r="W12" s="5">
        <v>67.5</v>
      </c>
      <c r="X12" s="33">
        <v>2611.8060761793618</v>
      </c>
      <c r="Y12" s="5">
        <v>61.526258156877539</v>
      </c>
      <c r="Z12" s="5">
        <v>8243.3738476585186</v>
      </c>
      <c r="AA12" s="35"/>
    </row>
    <row r="13" spans="2:27" x14ac:dyDescent="0.2">
      <c r="B13" s="4">
        <v>10</v>
      </c>
      <c r="C13" s="4">
        <v>859</v>
      </c>
      <c r="D13" s="23">
        <v>1850328.7696550321</v>
      </c>
      <c r="E13" s="33">
        <v>282.47615384614056</v>
      </c>
      <c r="F13" s="5">
        <v>17</v>
      </c>
      <c r="G13" s="23">
        <v>93.5</v>
      </c>
      <c r="H13" s="33">
        <v>1209.3544849330849</v>
      </c>
      <c r="I13" s="23">
        <v>46.35620089573419</v>
      </c>
      <c r="J13" s="5">
        <v>6446.0106587309456</v>
      </c>
      <c r="K13" s="31"/>
      <c r="L13" s="23">
        <v>2755298.5682577509</v>
      </c>
      <c r="M13" s="33">
        <v>476.49615384615919</v>
      </c>
      <c r="N13" s="5">
        <v>33</v>
      </c>
      <c r="O13" s="5">
        <v>68</v>
      </c>
      <c r="P13" s="33">
        <v>987.51277130335313</v>
      </c>
      <c r="Q13" s="5">
        <v>15.695131087385635</v>
      </c>
      <c r="R13" s="5">
        <v>5730.4868190395373</v>
      </c>
      <c r="S13" s="31"/>
      <c r="T13" s="23">
        <v>2427652.9688244681</v>
      </c>
      <c r="U13" s="33">
        <v>983.01076923076153</v>
      </c>
      <c r="V13" s="5">
        <v>18</v>
      </c>
      <c r="W13" s="5">
        <v>72</v>
      </c>
      <c r="X13" s="33">
        <v>1458.2450323617782</v>
      </c>
      <c r="Y13" s="5">
        <v>60.260721207869466</v>
      </c>
      <c r="Z13" s="5">
        <v>6768.6276272760442</v>
      </c>
      <c r="AA13" s="35"/>
    </row>
    <row r="14" spans="2:27" x14ac:dyDescent="0.2">
      <c r="B14" s="46" t="s">
        <v>3</v>
      </c>
      <c r="C14" s="47"/>
      <c r="D14" s="9">
        <f>MIN(D4:D13)</f>
        <v>1600314.5375999189</v>
      </c>
      <c r="E14" s="22">
        <f>INDEX(E4:E13, MATCH($D$14, D4:D13, 0))</f>
        <v>479.6515384615542</v>
      </c>
      <c r="F14" s="9">
        <f>INDEX(F4:F13, MATCH($D$14, D4:D13, 0))</f>
        <v>15</v>
      </c>
      <c r="G14" s="9">
        <f>INDEX(G4:G13, MATCH($D$14, D4:D13, 0))</f>
        <v>97</v>
      </c>
      <c r="H14" s="22">
        <f>INDEX(H4:H13, MATCH($D$14, D4:D13, 0))</f>
        <v>957.87388065348966</v>
      </c>
      <c r="I14" s="22">
        <f>INDEX(I4:I13, MATCH($D$14, D4:D13, 0))</f>
        <v>54.779353816529962</v>
      </c>
      <c r="J14" s="22">
        <f>INDEX(J4:J13, MATCH($D$14, D4:D13, 0))</f>
        <v>5965.9776021142106</v>
      </c>
      <c r="K14" s="32" t="e">
        <f>(D14-$D$15)/$D$15</f>
        <v>#DIV/0!</v>
      </c>
      <c r="L14" s="16">
        <f>MIN(L4:L13)</f>
        <v>2631791.6582626412</v>
      </c>
      <c r="M14" s="21">
        <f>INDEX(M4:M13, MATCH($L$14, L4:L13, 0))</f>
        <v>813.26307692309808</v>
      </c>
      <c r="N14" s="16">
        <f>INDEX(N4:N13, MATCH($L$14, L4:L13, 0))</f>
        <v>28</v>
      </c>
      <c r="O14" s="16">
        <f>INDEX(O4:O13, MATCH($L$14, L4:L13, 0))</f>
        <v>62.5</v>
      </c>
      <c r="P14" s="21">
        <f>INDEX(P4:P13, MATCH($L$14, L4:L13, 0))</f>
        <v>484.26817241088094</v>
      </c>
      <c r="Q14" s="21">
        <f>INDEX(Q4:Q13, MATCH($L$14, L4:L13, 0))</f>
        <v>16.686963388243576</v>
      </c>
      <c r="R14" s="21">
        <f>INDEX(R4:R13, MATCH($L$14, L4:L13, 0))</f>
        <v>4786.6676666156909</v>
      </c>
      <c r="S14" s="36" t="e">
        <f>(L14-$D$15)/$D$15</f>
        <v>#DIV/0!</v>
      </c>
      <c r="T14" s="38">
        <f>MIN(T4:T13)</f>
        <v>2348492.4614372761</v>
      </c>
      <c r="U14" s="39">
        <f>INDEX(U4:U13, MATCH($T$14, T4:T13, 0))</f>
        <v>476.05769230769226</v>
      </c>
      <c r="V14" s="38">
        <f>INDEX(V4:V13, MATCH($T$14, T4:T13, 0))</f>
        <v>12</v>
      </c>
      <c r="W14" s="38">
        <f>INDEX(W4:W13, MATCH($T$14, T4:T13, 0))</f>
        <v>68.5</v>
      </c>
      <c r="X14" s="39">
        <f>INDEX(X4:X13, MATCH($T$14, T4:T13, 0))</f>
        <v>1115.4847201167113</v>
      </c>
      <c r="Y14" s="39">
        <f>INDEX(Y4:Y13, MATCH($T$14, T4:T13, 0))</f>
        <v>79.100403680185465</v>
      </c>
      <c r="Z14" s="39">
        <f>INDEX(Z4:Z13, MATCH($T$14, T4:T13, 0))</f>
        <v>6534.1082108413984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7:C1048576">
    <cfRule type="duplicateValues" dxfId="65" priority="7"/>
    <cfRule type="duplicateValues" dxfId="64" priority="8"/>
  </conditionalFormatting>
  <conditionalFormatting sqref="C14">
    <cfRule type="duplicateValues" dxfId="63" priority="3"/>
    <cfRule type="duplicateValues" dxfId="62" priority="4"/>
  </conditionalFormatting>
  <conditionalFormatting sqref="C17:C36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6F835-6952-43F4-AAF7-63763C0DD7F4}">
  <dimension ref="B1:AA17"/>
  <sheetViews>
    <sheetView zoomScale="90" zoomScaleNormal="90" workbookViewId="0">
      <selection activeCell="U20" sqref="U20:U3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-0.98015128917594518</v>
      </c>
      <c r="J2" s="28" t="e">
        <f>(S14-J14)/J14</f>
        <v>#DIV/0!</v>
      </c>
      <c r="K2" s="28"/>
      <c r="L2" s="1" t="s">
        <v>19</v>
      </c>
      <c r="P2" s="1">
        <f>(P14-H14)/H14</f>
        <v>-0.48252594946352462</v>
      </c>
      <c r="R2" s="1">
        <f>(R14-J14)/J14</f>
        <v>-0.18631838457644267</v>
      </c>
      <c r="T2" s="1" t="s">
        <v>20</v>
      </c>
      <c r="X2" s="1">
        <f>(X14-P14)/P14</f>
        <v>0.90101547923938774</v>
      </c>
      <c r="Z2" s="1">
        <f>(Z14-R14)/R14</f>
        <v>0.26976742585138308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391</v>
      </c>
      <c r="D4" s="23">
        <v>1930417.822114706</v>
      </c>
      <c r="E4" s="33">
        <v>782.04346153844847</v>
      </c>
      <c r="F4" s="5">
        <v>15</v>
      </c>
      <c r="G4" s="23">
        <v>91.5</v>
      </c>
      <c r="H4" s="33">
        <v>1109.7169625482968</v>
      </c>
      <c r="I4" s="23">
        <v>43.455164195810745</v>
      </c>
      <c r="J4" s="5">
        <v>6473.5433626006197</v>
      </c>
      <c r="K4" s="31"/>
      <c r="L4" s="23">
        <v>2666688.3862022161</v>
      </c>
      <c r="M4" s="33">
        <v>800.92538461536878</v>
      </c>
      <c r="N4" s="5">
        <v>22</v>
      </c>
      <c r="O4" s="5">
        <v>65</v>
      </c>
      <c r="P4" s="33">
        <v>948.87427284274975</v>
      </c>
      <c r="Q4" s="5">
        <v>19.408898868271027</v>
      </c>
      <c r="R4" s="5">
        <v>5882.2873114997128</v>
      </c>
      <c r="S4" s="31"/>
      <c r="T4" s="23">
        <v>2512216.0072839251</v>
      </c>
      <c r="U4" s="33">
        <v>334.30269230766078</v>
      </c>
      <c r="V4" s="5">
        <v>15</v>
      </c>
      <c r="W4" s="5">
        <v>74.5</v>
      </c>
      <c r="X4" s="33">
        <v>1755.9726391113572</v>
      </c>
      <c r="Y4" s="5">
        <v>56.402582033620554</v>
      </c>
      <c r="Z4" s="5">
        <v>7314.9109511335218</v>
      </c>
      <c r="AA4" s="35"/>
    </row>
    <row r="5" spans="2:27" x14ac:dyDescent="0.2">
      <c r="B5" s="4">
        <v>2</v>
      </c>
      <c r="C5" s="4">
        <v>480</v>
      </c>
      <c r="D5" s="23">
        <v>2018150.545619373</v>
      </c>
      <c r="E5" s="33">
        <v>255.85346153843253</v>
      </c>
      <c r="F5" s="5">
        <v>18</v>
      </c>
      <c r="G5" s="23">
        <v>92.5</v>
      </c>
      <c r="H5" s="33">
        <v>1340.7685669365401</v>
      </c>
      <c r="I5" s="23">
        <v>37.527654225324213</v>
      </c>
      <c r="J5" s="5">
        <v>6603.8219946691297</v>
      </c>
      <c r="K5" s="31"/>
      <c r="L5" s="23">
        <v>2528309.142995738</v>
      </c>
      <c r="M5" s="33">
        <v>1048.924230769223</v>
      </c>
      <c r="N5" s="5">
        <v>25</v>
      </c>
      <c r="O5" s="5">
        <v>74.5</v>
      </c>
      <c r="P5" s="33">
        <v>1212.2863305031865</v>
      </c>
      <c r="Q5" s="5">
        <v>20.283156445731532</v>
      </c>
      <c r="R5" s="5">
        <v>6080.6625455755584</v>
      </c>
      <c r="S5" s="31"/>
      <c r="T5" s="23">
        <v>2656647.5894811698</v>
      </c>
      <c r="U5" s="33">
        <v>585.15038461540803</v>
      </c>
      <c r="V5" s="5">
        <v>14</v>
      </c>
      <c r="W5" s="5">
        <v>63.5</v>
      </c>
      <c r="X5" s="33">
        <v>1360.4131100020131</v>
      </c>
      <c r="Y5" s="5">
        <v>47.595751165622076</v>
      </c>
      <c r="Z5" s="5">
        <v>6675.5060703043328</v>
      </c>
      <c r="AA5" s="35"/>
    </row>
    <row r="6" spans="2:27" x14ac:dyDescent="0.2">
      <c r="B6" s="4">
        <v>3</v>
      </c>
      <c r="C6" s="4">
        <v>500</v>
      </c>
      <c r="D6" s="23">
        <v>1962266.310306553</v>
      </c>
      <c r="E6" s="33">
        <v>863.35923076920733</v>
      </c>
      <c r="F6" s="5">
        <v>16</v>
      </c>
      <c r="G6" s="23">
        <v>90</v>
      </c>
      <c r="H6" s="33">
        <v>1167.0380337286631</v>
      </c>
      <c r="I6" s="23">
        <v>40.49537087809874</v>
      </c>
      <c r="J6" s="5">
        <v>6327.505903571001</v>
      </c>
      <c r="K6" s="31"/>
      <c r="L6" s="23">
        <v>2902880.1430803612</v>
      </c>
      <c r="M6" s="33">
        <v>344.61538461538458</v>
      </c>
      <c r="N6" s="5">
        <v>30</v>
      </c>
      <c r="O6" s="5">
        <v>59</v>
      </c>
      <c r="P6" s="33">
        <v>688.48555266790163</v>
      </c>
      <c r="Q6" s="5">
        <v>11.889008363713224</v>
      </c>
      <c r="R6" s="5">
        <v>5364.1233310883845</v>
      </c>
      <c r="S6" s="31"/>
      <c r="T6" s="23">
        <v>2580969.8366575362</v>
      </c>
      <c r="U6" s="33">
        <v>482.36192307694654</v>
      </c>
      <c r="V6" s="5">
        <v>14</v>
      </c>
      <c r="W6" s="5">
        <v>66.5</v>
      </c>
      <c r="X6" s="33">
        <v>1285.107000191731</v>
      </c>
      <c r="Y6" s="5">
        <v>49.374871662239734</v>
      </c>
      <c r="Z6" s="5">
        <v>6819.0186397502084</v>
      </c>
      <c r="AA6" s="35"/>
    </row>
    <row r="7" spans="2:27" x14ac:dyDescent="0.2">
      <c r="B7" s="4">
        <v>4</v>
      </c>
      <c r="C7" s="4">
        <v>504</v>
      </c>
      <c r="D7" s="23">
        <v>2371427.9656739561</v>
      </c>
      <c r="E7" s="33">
        <v>174.39307692308481</v>
      </c>
      <c r="F7" s="5">
        <v>18</v>
      </c>
      <c r="G7" s="23">
        <v>93</v>
      </c>
      <c r="H7" s="33">
        <v>2206.3630711503465</v>
      </c>
      <c r="I7" s="23">
        <v>37.448095050267924</v>
      </c>
      <c r="J7" s="5">
        <v>7763.4366015403039</v>
      </c>
      <c r="K7" s="31"/>
      <c r="L7" s="23">
        <v>2851165.4696650598</v>
      </c>
      <c r="M7" s="33">
        <v>631.21384615383033</v>
      </c>
      <c r="N7" s="5">
        <v>22</v>
      </c>
      <c r="O7" s="5">
        <v>59.5</v>
      </c>
      <c r="P7" s="33">
        <v>1153.3025574559538</v>
      </c>
      <c r="Q7" s="5">
        <v>18.173816152018201</v>
      </c>
      <c r="R7" s="5">
        <v>6064.370010806063</v>
      </c>
      <c r="S7" s="31"/>
      <c r="T7" s="23">
        <v>3041889.8790473328</v>
      </c>
      <c r="U7" s="33">
        <v>396.34615384615381</v>
      </c>
      <c r="V7" s="5">
        <v>29</v>
      </c>
      <c r="W7" s="5">
        <v>87</v>
      </c>
      <c r="X7" s="33">
        <v>3771.3949997492696</v>
      </c>
      <c r="Y7" s="5">
        <v>46.073368822780168</v>
      </c>
      <c r="Z7" s="5">
        <v>9273.9919811385771</v>
      </c>
      <c r="AA7" s="35"/>
    </row>
    <row r="8" spans="2:27" x14ac:dyDescent="0.2">
      <c r="B8" s="4">
        <v>5</v>
      </c>
      <c r="C8" s="4">
        <v>531</v>
      </c>
      <c r="D8" s="23">
        <v>2234936.909823407</v>
      </c>
      <c r="E8" s="33">
        <v>777.39769230766876</v>
      </c>
      <c r="F8" s="5">
        <v>12</v>
      </c>
      <c r="G8" s="23">
        <v>78</v>
      </c>
      <c r="H8" s="33">
        <v>978.50666477036714</v>
      </c>
      <c r="I8" s="23">
        <v>41.999894890157691</v>
      </c>
      <c r="J8" s="5">
        <v>6627.5968693480509</v>
      </c>
      <c r="K8" s="31"/>
      <c r="L8" s="23">
        <v>2469911.9562534718</v>
      </c>
      <c r="M8" s="33">
        <v>451.22615384614073</v>
      </c>
      <c r="N8" s="5">
        <v>19</v>
      </c>
      <c r="O8" s="5">
        <v>65.5</v>
      </c>
      <c r="P8" s="33">
        <v>574.24973155890132</v>
      </c>
      <c r="Q8" s="5">
        <v>22.026451086169597</v>
      </c>
      <c r="R8" s="5">
        <v>5267.4032207953196</v>
      </c>
      <c r="S8" s="31"/>
      <c r="T8" s="23">
        <v>3002150.3037212659</v>
      </c>
      <c r="U8" s="33">
        <v>388.7257692307823</v>
      </c>
      <c r="V8" s="5">
        <v>10</v>
      </c>
      <c r="W8" s="5">
        <v>49</v>
      </c>
      <c r="X8" s="33">
        <v>1470.6977249720242</v>
      </c>
      <c r="Y8" s="5">
        <v>60.475481463545904</v>
      </c>
      <c r="Z8" s="5">
        <v>7280.5563483350552</v>
      </c>
      <c r="AA8" s="35"/>
    </row>
    <row r="9" spans="2:27" x14ac:dyDescent="0.2">
      <c r="B9" s="4">
        <v>6</v>
      </c>
      <c r="C9" s="4">
        <v>555</v>
      </c>
      <c r="D9" s="23">
        <v>2081522.1514491111</v>
      </c>
      <c r="E9" s="33">
        <v>162.59038461537921</v>
      </c>
      <c r="F9" s="5">
        <v>11</v>
      </c>
      <c r="G9" s="23">
        <v>84</v>
      </c>
      <c r="H9" s="33">
        <v>1036.7836828283364</v>
      </c>
      <c r="I9" s="23">
        <v>54.029819142889025</v>
      </c>
      <c r="J9" s="5">
        <v>6726.4312446928097</v>
      </c>
      <c r="K9" s="31"/>
      <c r="L9" s="23">
        <v>2673163.451376332</v>
      </c>
      <c r="M9" s="33">
        <v>731.17192307693074</v>
      </c>
      <c r="N9" s="5">
        <v>16</v>
      </c>
      <c r="O9" s="5">
        <v>56</v>
      </c>
      <c r="P9" s="33">
        <v>470.50406457218077</v>
      </c>
      <c r="Q9" s="5">
        <v>22.712083375482248</v>
      </c>
      <c r="R9" s="5">
        <v>5235.6095054603202</v>
      </c>
      <c r="S9" s="31"/>
      <c r="T9" s="23">
        <v>2548236.9821991129</v>
      </c>
      <c r="U9" s="33">
        <v>502.30769230769226</v>
      </c>
      <c r="V9" s="5">
        <v>11</v>
      </c>
      <c r="W9" s="5">
        <v>63</v>
      </c>
      <c r="X9" s="33">
        <v>877.89309670214357</v>
      </c>
      <c r="Y9" s="5">
        <v>59.792730020608936</v>
      </c>
      <c r="Z9" s="5">
        <v>6534.9195139569938</v>
      </c>
      <c r="AA9" s="35"/>
    </row>
    <row r="10" spans="2:27" x14ac:dyDescent="0.2">
      <c r="B10" s="4">
        <v>7</v>
      </c>
      <c r="C10" s="4">
        <v>618</v>
      </c>
      <c r="D10" s="23">
        <v>2185654.2931119981</v>
      </c>
      <c r="E10" s="33">
        <v>621.62884615384075</v>
      </c>
      <c r="F10" s="5">
        <v>12</v>
      </c>
      <c r="G10" s="23">
        <v>79</v>
      </c>
      <c r="H10" s="33">
        <v>979.4394149555236</v>
      </c>
      <c r="I10" s="23">
        <v>42.372512237752055</v>
      </c>
      <c r="J10" s="5">
        <v>6463.9569544459791</v>
      </c>
      <c r="K10" s="31"/>
      <c r="L10" s="23">
        <v>3210137.6919375858</v>
      </c>
      <c r="M10" s="33">
        <v>326.40615384613807</v>
      </c>
      <c r="N10" s="5">
        <v>43</v>
      </c>
      <c r="O10" s="5">
        <v>89</v>
      </c>
      <c r="P10" s="33">
        <v>3239.9613595189235</v>
      </c>
      <c r="Q10" s="5">
        <v>15.415208124724824</v>
      </c>
      <c r="R10" s="5">
        <v>8547.0633662005202</v>
      </c>
      <c r="S10" s="31"/>
      <c r="T10" s="23">
        <v>2813262.9289351399</v>
      </c>
      <c r="U10" s="33">
        <v>172.77038461537674</v>
      </c>
      <c r="V10" s="5">
        <v>15</v>
      </c>
      <c r="W10" s="5">
        <v>58.5</v>
      </c>
      <c r="X10" s="33">
        <v>1487.4195565274331</v>
      </c>
      <c r="Y10" s="5">
        <v>52.810045911646661</v>
      </c>
      <c r="Z10" s="5">
        <v>7027.1530292449215</v>
      </c>
      <c r="AA10" s="35"/>
    </row>
    <row r="11" spans="2:27" x14ac:dyDescent="0.2">
      <c r="B11" s="4">
        <v>8</v>
      </c>
      <c r="C11" s="4">
        <v>858</v>
      </c>
      <c r="D11" s="23">
        <v>2175062.83582957</v>
      </c>
      <c r="E11" s="33">
        <v>203.26923076923077</v>
      </c>
      <c r="F11" s="5">
        <v>14</v>
      </c>
      <c r="G11" s="23">
        <v>83</v>
      </c>
      <c r="H11" s="33">
        <v>1263.7852487030045</v>
      </c>
      <c r="I11" s="23">
        <v>43.437983569838252</v>
      </c>
      <c r="J11" s="5">
        <v>6659.2006755468392</v>
      </c>
      <c r="K11" s="31"/>
      <c r="L11" s="23">
        <v>2698228.8555345591</v>
      </c>
      <c r="M11" s="33">
        <v>283.69000000001574</v>
      </c>
      <c r="N11" s="5">
        <v>21</v>
      </c>
      <c r="O11" s="5">
        <v>62</v>
      </c>
      <c r="P11" s="33">
        <v>905.09221060879031</v>
      </c>
      <c r="Q11" s="5">
        <v>18.608436153156322</v>
      </c>
      <c r="R11" s="5">
        <v>5729.1434729063258</v>
      </c>
      <c r="S11" s="31"/>
      <c r="T11" s="23">
        <v>3005043.6137845982</v>
      </c>
      <c r="U11" s="33">
        <v>396.98923076923847</v>
      </c>
      <c r="V11" s="5">
        <v>14</v>
      </c>
      <c r="W11" s="5">
        <v>52</v>
      </c>
      <c r="X11" s="33">
        <v>1590.8710186846015</v>
      </c>
      <c r="Y11" s="5">
        <v>40.441237023275804</v>
      </c>
      <c r="Z11" s="5">
        <v>7089.3667011009175</v>
      </c>
      <c r="AA11" s="35"/>
    </row>
    <row r="12" spans="2:27" x14ac:dyDescent="0.2">
      <c r="B12" s="4">
        <v>9</v>
      </c>
      <c r="C12" s="4">
        <v>969</v>
      </c>
      <c r="D12" s="23">
        <v>1946564.9567229571</v>
      </c>
      <c r="E12" s="33">
        <v>237.98692307690195</v>
      </c>
      <c r="F12" s="5">
        <v>14</v>
      </c>
      <c r="G12" s="23">
        <v>91</v>
      </c>
      <c r="H12" s="33">
        <v>1060.6290161208478</v>
      </c>
      <c r="I12" s="23">
        <v>45.710103333108584</v>
      </c>
      <c r="J12" s="5">
        <v>6596.7708843343826</v>
      </c>
      <c r="K12" s="31"/>
      <c r="L12" s="23">
        <v>2612497.7605908979</v>
      </c>
      <c r="M12" s="33">
        <v>395.24038461538458</v>
      </c>
      <c r="N12" s="5">
        <v>27</v>
      </c>
      <c r="O12" s="5">
        <v>71</v>
      </c>
      <c r="P12" s="33">
        <v>1004.0238014712754</v>
      </c>
      <c r="Q12" s="5">
        <v>17.428823420482082</v>
      </c>
      <c r="R12" s="5">
        <v>5877.8217610194324</v>
      </c>
      <c r="S12" s="31"/>
      <c r="T12" s="23">
        <v>2466757.572181772</v>
      </c>
      <c r="U12" s="33">
        <v>798.11307692309265</v>
      </c>
      <c r="V12" s="5">
        <v>14</v>
      </c>
      <c r="W12" s="5">
        <v>69</v>
      </c>
      <c r="X12" s="33">
        <v>1091.6576286425345</v>
      </c>
      <c r="Y12" s="5">
        <v>53.070270018639988</v>
      </c>
      <c r="Z12" s="5">
        <v>6688.3770285905575</v>
      </c>
      <c r="AA12" s="35"/>
    </row>
    <row r="13" spans="2:27" x14ac:dyDescent="0.2">
      <c r="B13" s="4">
        <v>10</v>
      </c>
      <c r="C13" s="4">
        <v>972</v>
      </c>
      <c r="D13" s="23">
        <v>2394790.1993971048</v>
      </c>
      <c r="E13" s="33">
        <v>468.86423076923847</v>
      </c>
      <c r="F13" s="5">
        <v>12</v>
      </c>
      <c r="G13" s="23">
        <v>86</v>
      </c>
      <c r="H13" s="33">
        <v>2116.7711454032546</v>
      </c>
      <c r="I13" s="23">
        <v>52.540765186669368</v>
      </c>
      <c r="J13" s="5">
        <v>7829.0383014461877</v>
      </c>
      <c r="K13" s="31"/>
      <c r="L13" s="23">
        <v>2899236.2798978598</v>
      </c>
      <c r="M13" s="33">
        <v>537.31346153846687</v>
      </c>
      <c r="N13" s="5">
        <v>34</v>
      </c>
      <c r="O13" s="5">
        <v>79</v>
      </c>
      <c r="P13" s="33">
        <v>2016.6665802847426</v>
      </c>
      <c r="Q13" s="5">
        <v>16.346059674020445</v>
      </c>
      <c r="R13" s="5">
        <v>7252.2667081810496</v>
      </c>
      <c r="S13" s="31"/>
      <c r="T13" s="23">
        <v>3761897.725585978</v>
      </c>
      <c r="U13" s="33">
        <v>280.34230769231306</v>
      </c>
      <c r="V13" s="5">
        <v>17</v>
      </c>
      <c r="W13" s="5">
        <v>62</v>
      </c>
      <c r="X13" s="33">
        <v>5771.4910619763441</v>
      </c>
      <c r="Y13" s="5">
        <v>48.063070574303929</v>
      </c>
      <c r="Z13" s="5">
        <v>11520.943612381981</v>
      </c>
      <c r="AA13" s="35"/>
    </row>
    <row r="14" spans="2:27" x14ac:dyDescent="0.2">
      <c r="B14" s="46" t="s">
        <v>3</v>
      </c>
      <c r="C14" s="47"/>
      <c r="D14" s="9">
        <f>MIN(D4:D13)</f>
        <v>1930417.822114706</v>
      </c>
      <c r="E14" s="22">
        <f>INDEX(E4:E13, MATCH($D$14, D4:D13, 0))</f>
        <v>782.04346153844847</v>
      </c>
      <c r="F14" s="9">
        <f>INDEX(F4:F13, MATCH($D$14, D4:D13, 0))</f>
        <v>15</v>
      </c>
      <c r="G14" s="9">
        <f>INDEX(G4:G13, MATCH($D$14, D4:D13, 0))</f>
        <v>91.5</v>
      </c>
      <c r="H14" s="22">
        <f>INDEX(H4:H13, MATCH($D$14, D4:D13, 0))</f>
        <v>1109.7169625482968</v>
      </c>
      <c r="I14" s="22">
        <f>INDEX(I4:I13, MATCH($D$14, D4:D13, 0))</f>
        <v>43.455164195810745</v>
      </c>
      <c r="J14" s="22">
        <f>INDEX(J4:J13, MATCH($D$14, D4:D13, 0))</f>
        <v>6473.5433626006197</v>
      </c>
      <c r="K14" s="32" t="e">
        <f>(D14-$D$15)/$D$15</f>
        <v>#DIV/0!</v>
      </c>
      <c r="L14" s="16">
        <f>MIN(L4:L13)</f>
        <v>2469911.9562534718</v>
      </c>
      <c r="M14" s="21">
        <f>INDEX(M4:M13, MATCH($L$14, L4:L13, 0))</f>
        <v>451.22615384614073</v>
      </c>
      <c r="N14" s="16">
        <f>INDEX(N4:N13, MATCH($L$14, L4:L13, 0))</f>
        <v>19</v>
      </c>
      <c r="O14" s="16">
        <f>INDEX(O4:O13, MATCH($L$14, L4:L13, 0))</f>
        <v>65.5</v>
      </c>
      <c r="P14" s="21">
        <f>INDEX(P4:P13, MATCH($L$14, L4:L13, 0))</f>
        <v>574.24973155890132</v>
      </c>
      <c r="Q14" s="21">
        <f>INDEX(Q4:Q13, MATCH($L$14, L4:L13, 0))</f>
        <v>22.026451086169597</v>
      </c>
      <c r="R14" s="21">
        <f>INDEX(R4:R13, MATCH($L$14, L4:L13, 0))</f>
        <v>5267.4032207953196</v>
      </c>
      <c r="S14" s="36" t="e">
        <f>(L14-$D$15)/$D$15</f>
        <v>#DIV/0!</v>
      </c>
      <c r="T14" s="38">
        <f>MIN(T4:T13)</f>
        <v>2466757.572181772</v>
      </c>
      <c r="U14" s="39">
        <f>INDEX(U4:U13, MATCH($T$14, T4:T13, 0))</f>
        <v>798.11307692309265</v>
      </c>
      <c r="V14" s="38">
        <f>INDEX(V4:V13, MATCH($T$14, T4:T13, 0))</f>
        <v>14</v>
      </c>
      <c r="W14" s="38">
        <f>INDEX(W4:W13, MATCH($T$14, T4:T13, 0))</f>
        <v>69</v>
      </c>
      <c r="X14" s="39">
        <f>INDEX(X4:X13, MATCH($T$14, T4:T13, 0))</f>
        <v>1091.6576286425345</v>
      </c>
      <c r="Y14" s="39">
        <f>INDEX(Y4:Y13, MATCH($T$14, T4:T13, 0))</f>
        <v>53.070270018639988</v>
      </c>
      <c r="Z14" s="39">
        <f>INDEX(Z4:Z13, MATCH($T$14, T4:T13, 0))</f>
        <v>6688.3770285905575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7:C1048576">
    <cfRule type="duplicateValues" dxfId="61" priority="7"/>
    <cfRule type="duplicateValues" dxfId="60" priority="8"/>
  </conditionalFormatting>
  <conditionalFormatting sqref="C14">
    <cfRule type="duplicateValues" dxfId="59" priority="3"/>
    <cfRule type="duplicateValues" dxfId="58" priority="4"/>
  </conditionalFormatting>
  <conditionalFormatting sqref="C17:C36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A814-FE3F-42B2-9167-D08BBE537D07}">
  <dimension ref="B1:AA17"/>
  <sheetViews>
    <sheetView zoomScale="90" zoomScaleNormal="90" workbookViewId="0">
      <selection activeCell="U20" sqref="U20:U3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-0.98359001723369921</v>
      </c>
      <c r="J2" s="28" t="e">
        <f>(S14-J14)/J14</f>
        <v>#DIV/0!</v>
      </c>
      <c r="K2" s="28"/>
      <c r="L2" s="1" t="s">
        <v>19</v>
      </c>
      <c r="P2" s="1">
        <f>(P14-H14)/H14</f>
        <v>-0.17219380835500206</v>
      </c>
      <c r="R2" s="1">
        <f>(R14-J14)/J14</f>
        <v>-9.4640322552055692E-2</v>
      </c>
      <c r="T2" s="1" t="s">
        <v>20</v>
      </c>
      <c r="X2" s="1">
        <f>(X14-P14)/P14</f>
        <v>0.51711204293739699</v>
      </c>
      <c r="Z2" s="1">
        <f>(Z14-R14)/R14</f>
        <v>0.16246871912643165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24</v>
      </c>
      <c r="D4" s="23">
        <v>2231540.9418700491</v>
      </c>
      <c r="E4" s="33">
        <v>225.51076923076135</v>
      </c>
      <c r="F4" s="5">
        <v>17</v>
      </c>
      <c r="G4" s="23">
        <v>90</v>
      </c>
      <c r="H4" s="33">
        <v>1840.0297667782327</v>
      </c>
      <c r="I4" s="23">
        <v>36.439181043820582</v>
      </c>
      <c r="J4" s="5">
        <v>7255.2191644655477</v>
      </c>
      <c r="K4" s="31"/>
      <c r="L4" s="23">
        <v>2724034.0604609721</v>
      </c>
      <c r="M4" s="33">
        <v>807.71615384612232</v>
      </c>
      <c r="N4" s="5">
        <v>17</v>
      </c>
      <c r="O4" s="5">
        <v>59.5</v>
      </c>
      <c r="P4" s="33">
        <v>1020.2834663449979</v>
      </c>
      <c r="Q4" s="5">
        <v>22.856377769521806</v>
      </c>
      <c r="R4" s="5">
        <v>6056.8739790491381</v>
      </c>
      <c r="S4" s="31"/>
      <c r="T4" s="23">
        <v>2959071.1255958551</v>
      </c>
      <c r="U4" s="33">
        <v>394.80769230769232</v>
      </c>
      <c r="V4" s="5">
        <v>10</v>
      </c>
      <c r="W4" s="5">
        <v>48</v>
      </c>
      <c r="X4" s="33">
        <v>1192.3224477516824</v>
      </c>
      <c r="Y4" s="5">
        <v>47.970882932912893</v>
      </c>
      <c r="Z4" s="5">
        <v>6883.206891433314</v>
      </c>
      <c r="AA4" s="35"/>
    </row>
    <row r="5" spans="2:27" x14ac:dyDescent="0.2">
      <c r="B5" s="4">
        <v>2</v>
      </c>
      <c r="C5" s="4">
        <v>279</v>
      </c>
      <c r="D5" s="23">
        <v>2329398.8777370509</v>
      </c>
      <c r="E5" s="33">
        <v>353.94230769230768</v>
      </c>
      <c r="F5" s="5">
        <v>16</v>
      </c>
      <c r="G5" s="23">
        <v>88.5</v>
      </c>
      <c r="H5" s="33">
        <v>1993.0935366178171</v>
      </c>
      <c r="I5" s="23">
        <v>35.469644306742985</v>
      </c>
      <c r="J5" s="5">
        <v>7429.382971870562</v>
      </c>
      <c r="K5" s="31"/>
      <c r="L5" s="23">
        <v>2492088.1483428841</v>
      </c>
      <c r="M5" s="33">
        <v>661.37615384614617</v>
      </c>
      <c r="N5" s="5">
        <v>22</v>
      </c>
      <c r="O5" s="5">
        <v>71.5</v>
      </c>
      <c r="P5" s="33">
        <v>1039.5037622388495</v>
      </c>
      <c r="Q5" s="5">
        <v>20.606561047757548</v>
      </c>
      <c r="R5" s="5">
        <v>6015.9028259848765</v>
      </c>
      <c r="S5" s="31"/>
      <c r="T5" s="23">
        <v>2805734.3792307111</v>
      </c>
      <c r="U5" s="33">
        <v>194.36307692309268</v>
      </c>
      <c r="V5" s="5">
        <v>11</v>
      </c>
      <c r="W5" s="5">
        <v>56</v>
      </c>
      <c r="X5" s="33">
        <v>1416.8919939389455</v>
      </c>
      <c r="Y5" s="5">
        <v>50.084152883810845</v>
      </c>
      <c r="Z5" s="5">
        <v>7006.6967920213228</v>
      </c>
      <c r="AA5" s="35"/>
    </row>
    <row r="6" spans="2:27" x14ac:dyDescent="0.2">
      <c r="B6" s="4">
        <v>3</v>
      </c>
      <c r="C6" s="4">
        <v>304</v>
      </c>
      <c r="D6" s="23">
        <v>2034189.380598488</v>
      </c>
      <c r="E6" s="33">
        <v>486.11192307690192</v>
      </c>
      <c r="F6" s="5">
        <v>17</v>
      </c>
      <c r="G6" s="23">
        <v>91</v>
      </c>
      <c r="H6" s="33">
        <v>1311.6286227510157</v>
      </c>
      <c r="I6" s="23">
        <v>35.436352125353714</v>
      </c>
      <c r="J6" s="5">
        <v>6722.0529910093655</v>
      </c>
      <c r="K6" s="31"/>
      <c r="L6" s="23">
        <v>2653884.9049178888</v>
      </c>
      <c r="M6" s="33">
        <v>736.05769230769226</v>
      </c>
      <c r="N6" s="5">
        <v>29</v>
      </c>
      <c r="O6" s="5">
        <v>75.5</v>
      </c>
      <c r="P6" s="33">
        <v>1481.2420305689823</v>
      </c>
      <c r="Q6" s="5">
        <v>17.330784119104671</v>
      </c>
      <c r="R6" s="5">
        <v>6540.2122420952392</v>
      </c>
      <c r="S6" s="31"/>
      <c r="T6" s="23">
        <v>2608246.0186397932</v>
      </c>
      <c r="U6" s="33">
        <v>643.31730769230762</v>
      </c>
      <c r="V6" s="5">
        <v>10</v>
      </c>
      <c r="W6" s="5">
        <v>60</v>
      </c>
      <c r="X6" s="33">
        <v>969.76126798522773</v>
      </c>
      <c r="Y6" s="5">
        <v>53.772443345010309</v>
      </c>
      <c r="Z6" s="5">
        <v>6600.1212401404773</v>
      </c>
      <c r="AA6" s="35"/>
    </row>
    <row r="7" spans="2:27" x14ac:dyDescent="0.2">
      <c r="B7" s="4">
        <v>4</v>
      </c>
      <c r="C7" s="4">
        <v>412</v>
      </c>
      <c r="D7" s="23">
        <v>2040824.5327314551</v>
      </c>
      <c r="E7" s="33">
        <v>524.87384615385383</v>
      </c>
      <c r="F7" s="5">
        <v>15</v>
      </c>
      <c r="G7" s="23">
        <v>90</v>
      </c>
      <c r="H7" s="33">
        <v>1342.3714734419702</v>
      </c>
      <c r="I7" s="23">
        <v>38.836834693581991</v>
      </c>
      <c r="J7" s="5">
        <v>6787.4455151975508</v>
      </c>
      <c r="K7" s="31"/>
      <c r="L7" s="23">
        <v>2529229.9306113031</v>
      </c>
      <c r="M7" s="33">
        <v>1059.3269230769231</v>
      </c>
      <c r="N7" s="5">
        <v>28</v>
      </c>
      <c r="O7" s="5">
        <v>77</v>
      </c>
      <c r="P7" s="33">
        <v>1279.8761972409918</v>
      </c>
      <c r="Q7" s="5">
        <v>17.356617476601247</v>
      </c>
      <c r="R7" s="5">
        <v>6214.5738679221449</v>
      </c>
      <c r="S7" s="31"/>
      <c r="T7" s="23">
        <v>2719106.0691245249</v>
      </c>
      <c r="U7" s="33">
        <v>301.25</v>
      </c>
      <c r="V7" s="5">
        <v>10</v>
      </c>
      <c r="W7" s="5">
        <v>57</v>
      </c>
      <c r="X7" s="33">
        <v>1266.9703134208928</v>
      </c>
      <c r="Y7" s="5">
        <v>60.157206042987283</v>
      </c>
      <c r="Z7" s="5">
        <v>6801.2414295386479</v>
      </c>
      <c r="AA7" s="35"/>
    </row>
    <row r="8" spans="2:27" x14ac:dyDescent="0.2">
      <c r="B8" s="4">
        <v>5</v>
      </c>
      <c r="C8" s="4">
        <v>494</v>
      </c>
      <c r="D8" s="23">
        <v>1922820.7471091941</v>
      </c>
      <c r="E8" s="33">
        <v>588.49769230770801</v>
      </c>
      <c r="F8" s="5">
        <v>16</v>
      </c>
      <c r="G8" s="23">
        <v>94</v>
      </c>
      <c r="H8" s="33">
        <v>1255.7332534239335</v>
      </c>
      <c r="I8" s="23">
        <v>38.976905043975428</v>
      </c>
      <c r="J8" s="5">
        <v>6644.7655841518017</v>
      </c>
      <c r="K8" s="31"/>
      <c r="L8" s="23">
        <v>2607717.6312817731</v>
      </c>
      <c r="M8" s="33">
        <v>852.95653846150697</v>
      </c>
      <c r="N8" s="5">
        <v>23</v>
      </c>
      <c r="O8" s="5">
        <v>66.5</v>
      </c>
      <c r="P8" s="33">
        <v>907.12975323282467</v>
      </c>
      <c r="Q8" s="5">
        <v>18.271204761425501</v>
      </c>
      <c r="R8" s="5">
        <v>5796.6911541559848</v>
      </c>
      <c r="S8" s="31"/>
      <c r="T8" s="23">
        <v>3119918.5292571168</v>
      </c>
      <c r="U8" s="33">
        <v>416.61653846153075</v>
      </c>
      <c r="V8" s="5">
        <v>15</v>
      </c>
      <c r="W8" s="5">
        <v>57</v>
      </c>
      <c r="X8" s="33">
        <v>2563.336224824624</v>
      </c>
      <c r="Y8" s="5">
        <v>40.938274065270534</v>
      </c>
      <c r="Z8" s="5">
        <v>8405.9091521489609</v>
      </c>
      <c r="AA8" s="35"/>
    </row>
    <row r="9" spans="2:27" x14ac:dyDescent="0.2">
      <c r="B9" s="4">
        <v>6</v>
      </c>
      <c r="C9" s="4">
        <v>620</v>
      </c>
      <c r="D9" s="23">
        <v>2095708.223816361</v>
      </c>
      <c r="E9" s="33">
        <v>735.67307692307691</v>
      </c>
      <c r="F9" s="5">
        <v>13</v>
      </c>
      <c r="G9" s="23">
        <v>89</v>
      </c>
      <c r="H9" s="33">
        <v>1556.2516499079736</v>
      </c>
      <c r="I9" s="23">
        <v>45.414904483982248</v>
      </c>
      <c r="J9" s="5">
        <v>6981.0973140334181</v>
      </c>
      <c r="K9" s="31"/>
      <c r="L9" s="23">
        <v>2857722.376611053</v>
      </c>
      <c r="M9" s="33">
        <v>1072.3438461538619</v>
      </c>
      <c r="N9" s="5">
        <v>30</v>
      </c>
      <c r="O9" s="5">
        <v>72.5</v>
      </c>
      <c r="P9" s="33">
        <v>1870.1911388609778</v>
      </c>
      <c r="Q9" s="5">
        <v>15.970508006850144</v>
      </c>
      <c r="R9" s="5">
        <v>6866.7186105963074</v>
      </c>
      <c r="S9" s="31"/>
      <c r="T9" s="23">
        <v>3183542.7357316348</v>
      </c>
      <c r="U9" s="33">
        <v>315.37884615384075</v>
      </c>
      <c r="V9" s="5">
        <v>25</v>
      </c>
      <c r="W9" s="5">
        <v>86.5</v>
      </c>
      <c r="X9" s="33">
        <v>4311.1061535799372</v>
      </c>
      <c r="Y9" s="5">
        <v>41.904435222906748</v>
      </c>
      <c r="Z9" s="5">
        <v>9857.8608777432</v>
      </c>
      <c r="AA9" s="35"/>
    </row>
    <row r="10" spans="2:27" x14ac:dyDescent="0.2">
      <c r="B10" s="4">
        <v>7</v>
      </c>
      <c r="C10" s="4">
        <v>633</v>
      </c>
      <c r="D10" s="23">
        <v>2136855.6496451292</v>
      </c>
      <c r="E10" s="33">
        <v>603.85807692310573</v>
      </c>
      <c r="F10" s="5">
        <v>15</v>
      </c>
      <c r="G10" s="23">
        <v>86</v>
      </c>
      <c r="H10" s="33">
        <v>1297.9656036070871</v>
      </c>
      <c r="I10" s="23">
        <v>37.63518602117199</v>
      </c>
      <c r="J10" s="5">
        <v>6799.7185812198413</v>
      </c>
      <c r="K10" s="31"/>
      <c r="L10" s="23">
        <v>2731651.2210755451</v>
      </c>
      <c r="M10" s="33">
        <v>639.375</v>
      </c>
      <c r="N10" s="5">
        <v>19</v>
      </c>
      <c r="O10" s="5">
        <v>63.5</v>
      </c>
      <c r="P10" s="33">
        <v>1344.7379674626725</v>
      </c>
      <c r="Q10" s="5">
        <v>21.362767702319093</v>
      </c>
      <c r="R10" s="5">
        <v>6459.9263479917399</v>
      </c>
      <c r="S10" s="31"/>
      <c r="T10" s="23">
        <v>2571552.9259965881</v>
      </c>
      <c r="U10" s="33">
        <v>819.33884615387501</v>
      </c>
      <c r="V10" s="5">
        <v>10</v>
      </c>
      <c r="W10" s="5">
        <v>62.5</v>
      </c>
      <c r="X10" s="33">
        <v>1097.2768126669935</v>
      </c>
      <c r="Y10" s="5">
        <v>56.180767001920159</v>
      </c>
      <c r="Z10" s="5">
        <v>6720.9846616969762</v>
      </c>
      <c r="AA10" s="35"/>
    </row>
    <row r="11" spans="2:27" x14ac:dyDescent="0.2">
      <c r="B11" s="4">
        <v>8</v>
      </c>
      <c r="C11" s="4">
        <v>660</v>
      </c>
      <c r="D11" s="23">
        <v>2142106.432633962</v>
      </c>
      <c r="E11" s="33">
        <v>767.34384615381725</v>
      </c>
      <c r="F11" s="5">
        <v>17</v>
      </c>
      <c r="G11" s="23">
        <v>91.5</v>
      </c>
      <c r="H11" s="33">
        <v>1646.6246328017814</v>
      </c>
      <c r="I11" s="23">
        <v>36.314749277621502</v>
      </c>
      <c r="J11" s="5">
        <v>7117.4534847378818</v>
      </c>
      <c r="K11" s="31"/>
      <c r="L11" s="23">
        <v>3012681.320029357</v>
      </c>
      <c r="M11" s="33">
        <v>454.17076923078497</v>
      </c>
      <c r="N11" s="5">
        <v>39</v>
      </c>
      <c r="O11" s="5">
        <v>88.5</v>
      </c>
      <c r="P11" s="33">
        <v>3037.6872600826873</v>
      </c>
      <c r="Q11" s="5">
        <v>14.866896914143126</v>
      </c>
      <c r="R11" s="5">
        <v>8067.2757008334866</v>
      </c>
      <c r="S11" s="31"/>
      <c r="T11" s="23">
        <v>2562199.7952432572</v>
      </c>
      <c r="U11" s="33">
        <v>476.98923076923847</v>
      </c>
      <c r="V11" s="5">
        <v>14</v>
      </c>
      <c r="W11" s="5">
        <v>68.5</v>
      </c>
      <c r="X11" s="33">
        <v>1506.8126652991218</v>
      </c>
      <c r="Y11" s="5">
        <v>45.609992484884529</v>
      </c>
      <c r="Z11" s="5">
        <v>6930.7492512288754</v>
      </c>
      <c r="AA11" s="35"/>
    </row>
    <row r="12" spans="2:27" x14ac:dyDescent="0.2">
      <c r="B12" s="4">
        <v>9</v>
      </c>
      <c r="C12" s="4">
        <v>711</v>
      </c>
      <c r="D12" s="23">
        <v>1964733.7057734821</v>
      </c>
      <c r="E12" s="33">
        <v>407.45192307692304</v>
      </c>
      <c r="F12" s="5">
        <v>18</v>
      </c>
      <c r="G12" s="23">
        <v>96.5</v>
      </c>
      <c r="H12" s="33">
        <v>1432.4102372944342</v>
      </c>
      <c r="I12" s="23">
        <v>36.392267710627721</v>
      </c>
      <c r="J12" s="5">
        <v>6839.9999149103905</v>
      </c>
      <c r="K12" s="31"/>
      <c r="L12" s="23">
        <v>2878947.0132758971</v>
      </c>
      <c r="M12" s="33">
        <v>373.04692307693097</v>
      </c>
      <c r="N12" s="5">
        <v>18</v>
      </c>
      <c r="O12" s="5">
        <v>53</v>
      </c>
      <c r="P12" s="33">
        <v>821.59975752927016</v>
      </c>
      <c r="Q12" s="5">
        <v>17.815194539650797</v>
      </c>
      <c r="R12" s="5">
        <v>5714.1488263377159</v>
      </c>
      <c r="S12" s="31"/>
      <c r="T12" s="23">
        <v>2827918.510618323</v>
      </c>
      <c r="U12" s="33">
        <v>374.93961538461286</v>
      </c>
      <c r="V12" s="5">
        <v>10</v>
      </c>
      <c r="W12" s="5">
        <v>51.5</v>
      </c>
      <c r="X12" s="33">
        <v>1036.5071574206472</v>
      </c>
      <c r="Y12" s="5">
        <v>52.213745621839109</v>
      </c>
      <c r="Z12" s="5">
        <v>6619.3947792304152</v>
      </c>
      <c r="AA12" s="35"/>
    </row>
    <row r="13" spans="2:27" x14ac:dyDescent="0.2">
      <c r="B13" s="4">
        <v>10</v>
      </c>
      <c r="C13" s="4">
        <v>864</v>
      </c>
      <c r="D13" s="23">
        <v>2195850.739481925</v>
      </c>
      <c r="E13" s="33">
        <v>163.71423076923327</v>
      </c>
      <c r="F13" s="5">
        <v>17</v>
      </c>
      <c r="G13" s="23">
        <v>92</v>
      </c>
      <c r="H13" s="33">
        <v>1919.4011753147497</v>
      </c>
      <c r="I13" s="23">
        <v>36.36203500928324</v>
      </c>
      <c r="J13" s="5">
        <v>7266.8906128030721</v>
      </c>
      <c r="K13" s="31"/>
      <c r="L13" s="23">
        <v>2740770.4328235718</v>
      </c>
      <c r="M13" s="33">
        <v>644.58538461539229</v>
      </c>
      <c r="N13" s="5">
        <v>38</v>
      </c>
      <c r="O13" s="5">
        <v>89</v>
      </c>
      <c r="P13" s="33">
        <v>2219.9579829104555</v>
      </c>
      <c r="Q13" s="5">
        <v>15.465073247728888</v>
      </c>
      <c r="R13" s="5">
        <v>7269.2478431027093</v>
      </c>
      <c r="S13" s="31"/>
      <c r="T13" s="23">
        <v>2492265.8206883362</v>
      </c>
      <c r="U13" s="33">
        <v>360.27038461537671</v>
      </c>
      <c r="V13" s="5">
        <v>18</v>
      </c>
      <c r="W13" s="5">
        <v>74.5</v>
      </c>
      <c r="X13" s="33">
        <v>1577.0436763712912</v>
      </c>
      <c r="Y13" s="5">
        <v>41.730974027595408</v>
      </c>
      <c r="Z13" s="5">
        <v>6993.2988525117198</v>
      </c>
      <c r="AA13" s="35"/>
    </row>
    <row r="14" spans="2:27" x14ac:dyDescent="0.2">
      <c r="B14" s="46" t="s">
        <v>3</v>
      </c>
      <c r="C14" s="47"/>
      <c r="D14" s="9">
        <f>MIN(D4:D13)</f>
        <v>1922820.7471091941</v>
      </c>
      <c r="E14" s="22">
        <f>INDEX(E4:E13, MATCH($D$14, D4:D13, 0))</f>
        <v>588.49769230770801</v>
      </c>
      <c r="F14" s="9">
        <f>INDEX(F4:F13, MATCH($D$14, D4:D13, 0))</f>
        <v>16</v>
      </c>
      <c r="G14" s="9">
        <f>INDEX(G4:G13, MATCH($D$14, D4:D13, 0))</f>
        <v>94</v>
      </c>
      <c r="H14" s="22">
        <f>INDEX(H4:H13, MATCH($D$14, D4:D13, 0))</f>
        <v>1255.7332534239335</v>
      </c>
      <c r="I14" s="22">
        <f>INDEX(I4:I13, MATCH($D$14, D4:D13, 0))</f>
        <v>38.976905043975428</v>
      </c>
      <c r="J14" s="22">
        <f>INDEX(J4:J13, MATCH($D$14, D4:D13, 0))</f>
        <v>6644.7655841518017</v>
      </c>
      <c r="K14" s="32" t="e">
        <f>(D14-$D$15)/$D$15</f>
        <v>#DIV/0!</v>
      </c>
      <c r="L14" s="16">
        <f>MIN(L4:L13)</f>
        <v>2492088.1483428841</v>
      </c>
      <c r="M14" s="21">
        <f>INDEX(M4:M13, MATCH($L$14, L4:L13, 0))</f>
        <v>661.37615384614617</v>
      </c>
      <c r="N14" s="16">
        <f>INDEX(N4:N13, MATCH($L$14, L4:L13, 0))</f>
        <v>22</v>
      </c>
      <c r="O14" s="16">
        <f>INDEX(O4:O13, MATCH($L$14, L4:L13, 0))</f>
        <v>71.5</v>
      </c>
      <c r="P14" s="21">
        <f>INDEX(P4:P13, MATCH($L$14, L4:L13, 0))</f>
        <v>1039.5037622388495</v>
      </c>
      <c r="Q14" s="21">
        <f>INDEX(Q4:Q13, MATCH($L$14, L4:L13, 0))</f>
        <v>20.606561047757548</v>
      </c>
      <c r="R14" s="21">
        <f>INDEX(R4:R13, MATCH($L$14, L4:L13, 0))</f>
        <v>6015.9028259848765</v>
      </c>
      <c r="S14" s="36" t="e">
        <f>(L14-$D$15)/$D$15</f>
        <v>#DIV/0!</v>
      </c>
      <c r="T14" s="38">
        <f>MIN(T4:T13)</f>
        <v>2492265.8206883362</v>
      </c>
      <c r="U14" s="39">
        <f>INDEX(U4:U13, MATCH($T$14, T4:T13, 0))</f>
        <v>360.27038461537671</v>
      </c>
      <c r="V14" s="38">
        <f>INDEX(V4:V13, MATCH($T$14, T4:T13, 0))</f>
        <v>18</v>
      </c>
      <c r="W14" s="38">
        <f>INDEX(W4:W13, MATCH($T$14, T4:T13, 0))</f>
        <v>74.5</v>
      </c>
      <c r="X14" s="39">
        <f>INDEX(X4:X13, MATCH($T$14, T4:T13, 0))</f>
        <v>1577.0436763712912</v>
      </c>
      <c r="Y14" s="39">
        <f>INDEX(Y4:Y13, MATCH($T$14, T4:T13, 0))</f>
        <v>41.730974027595408</v>
      </c>
      <c r="Z14" s="39">
        <f>INDEX(Z4:Z13, MATCH($T$14, T4:T13, 0))</f>
        <v>6993.2988525117198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7:C1048576">
    <cfRule type="duplicateValues" dxfId="57" priority="7"/>
    <cfRule type="duplicateValues" dxfId="56" priority="8"/>
  </conditionalFormatting>
  <conditionalFormatting sqref="C14">
    <cfRule type="duplicateValues" dxfId="55" priority="3"/>
    <cfRule type="duplicateValues" dxfId="54" priority="4"/>
  </conditionalFormatting>
  <conditionalFormatting sqref="C17:C36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0134-0C8B-49B6-A609-76E4340AC7DD}">
  <dimension ref="B1:AA17"/>
  <sheetViews>
    <sheetView tabSelected="1" zoomScale="90" zoomScaleNormal="90" workbookViewId="0">
      <selection activeCell="U20" sqref="U20:U3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200</v>
      </c>
      <c r="H2" s="28">
        <f>(Q14-H14)/H14</f>
        <v>-0.97047697261080168</v>
      </c>
      <c r="J2" s="28" t="e">
        <f>(S14-J14)/J14</f>
        <v>#DIV/0!</v>
      </c>
      <c r="K2" s="28"/>
      <c r="L2" s="1" t="s">
        <v>19</v>
      </c>
      <c r="P2" s="1">
        <f>(P14-H14)/H14</f>
        <v>-0.37532218990426702</v>
      </c>
      <c r="R2" s="1">
        <f>(R14-J14)/J14</f>
        <v>-0.13569656887460602</v>
      </c>
      <c r="T2" s="1" t="s">
        <v>20</v>
      </c>
      <c r="X2" s="1">
        <f>(X14-P14)/P14</f>
        <v>2.1880867944419453</v>
      </c>
      <c r="Z2" s="1">
        <f>(Z14-R14)/R14</f>
        <v>0.39713891668560725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91</v>
      </c>
      <c r="D4" s="23">
        <v>1713540.365829526</v>
      </c>
      <c r="E4" s="33">
        <v>456.42461538462578</v>
      </c>
      <c r="F4" s="5">
        <v>15</v>
      </c>
      <c r="G4" s="23">
        <v>93.5</v>
      </c>
      <c r="H4" s="33">
        <v>843.75912910723605</v>
      </c>
      <c r="I4" s="23">
        <v>47.296617710492754</v>
      </c>
      <c r="J4" s="5">
        <v>5934.9643389685016</v>
      </c>
      <c r="K4" s="31"/>
      <c r="L4" s="23">
        <v>2302331.5051668962</v>
      </c>
      <c r="M4" s="33">
        <v>685.84153846156994</v>
      </c>
      <c r="N4" s="5">
        <v>23</v>
      </c>
      <c r="O4" s="5">
        <v>70.5</v>
      </c>
      <c r="P4" s="33">
        <v>432.94147556707787</v>
      </c>
      <c r="Q4" s="5">
        <v>20.461336763551696</v>
      </c>
      <c r="R4" s="5">
        <v>4843.8563437237244</v>
      </c>
      <c r="S4" s="31"/>
      <c r="T4" s="23">
        <v>2322380.6772455531</v>
      </c>
      <c r="U4" s="33">
        <v>590.94923076922805</v>
      </c>
      <c r="V4" s="5">
        <v>16</v>
      </c>
      <c r="W4" s="5">
        <v>75.5</v>
      </c>
      <c r="X4" s="33">
        <v>1380.2550010216112</v>
      </c>
      <c r="Y4" s="5">
        <v>58.947900288967446</v>
      </c>
      <c r="Z4" s="5">
        <v>6767.5402046508707</v>
      </c>
      <c r="AA4" s="35"/>
    </row>
    <row r="5" spans="2:27" x14ac:dyDescent="0.2">
      <c r="B5" s="4">
        <v>2</v>
      </c>
      <c r="C5" s="4">
        <v>198</v>
      </c>
      <c r="D5" s="23">
        <v>1820280.1427153309</v>
      </c>
      <c r="E5" s="33">
        <v>501.48423076920727</v>
      </c>
      <c r="F5" s="5">
        <v>14</v>
      </c>
      <c r="G5" s="23">
        <v>90</v>
      </c>
      <c r="H5" s="33">
        <v>836.61492636645073</v>
      </c>
      <c r="I5" s="23">
        <v>46.749120044010212</v>
      </c>
      <c r="J5" s="5">
        <v>6109.5768209882108</v>
      </c>
      <c r="K5" s="31"/>
      <c r="L5" s="23">
        <v>2598806.9267684198</v>
      </c>
      <c r="M5" s="33">
        <v>674.76576923079267</v>
      </c>
      <c r="N5" s="5">
        <v>27</v>
      </c>
      <c r="O5" s="5">
        <v>69.5</v>
      </c>
      <c r="P5" s="33">
        <v>986.43874429686377</v>
      </c>
      <c r="Q5" s="5">
        <v>17.430949814615701</v>
      </c>
      <c r="R5" s="5">
        <v>5706.5522287050826</v>
      </c>
      <c r="S5" s="31"/>
      <c r="T5" s="23">
        <v>2619140.455596549</v>
      </c>
      <c r="U5" s="33">
        <v>390.50499999998692</v>
      </c>
      <c r="V5" s="5">
        <v>19</v>
      </c>
      <c r="W5" s="5">
        <v>85</v>
      </c>
      <c r="X5" s="33">
        <v>2794.9638255378377</v>
      </c>
      <c r="Y5" s="5">
        <v>60.623177090411161</v>
      </c>
      <c r="Z5" s="5">
        <v>8339.9791552089409</v>
      </c>
      <c r="AA5" s="35"/>
    </row>
    <row r="6" spans="2:27" x14ac:dyDescent="0.2">
      <c r="B6" s="4">
        <v>3</v>
      </c>
      <c r="C6" s="4">
        <v>201</v>
      </c>
      <c r="D6" s="23">
        <v>1672246.2803604491</v>
      </c>
      <c r="E6" s="33">
        <v>507.56615384616151</v>
      </c>
      <c r="F6" s="5">
        <v>17</v>
      </c>
      <c r="G6" s="23">
        <v>93</v>
      </c>
      <c r="H6" s="33">
        <v>693.06363787874716</v>
      </c>
      <c r="I6" s="23">
        <v>41.387740423054154</v>
      </c>
      <c r="J6" s="5">
        <v>5604.3470027842259</v>
      </c>
      <c r="K6" s="31"/>
      <c r="L6" s="23">
        <v>2671836.40182555</v>
      </c>
      <c r="M6" s="33">
        <v>998.94846153848493</v>
      </c>
      <c r="N6" s="5">
        <v>41</v>
      </c>
      <c r="O6" s="5">
        <v>86.5</v>
      </c>
      <c r="P6" s="33">
        <v>1600.3822205736835</v>
      </c>
      <c r="Q6" s="5">
        <v>15.692391099785036</v>
      </c>
      <c r="R6" s="5">
        <v>6656.267546420022</v>
      </c>
      <c r="S6" s="31"/>
      <c r="T6" s="23">
        <v>2457314.349905387</v>
      </c>
      <c r="U6" s="33">
        <v>572.8484615384458</v>
      </c>
      <c r="V6" s="5">
        <v>18</v>
      </c>
      <c r="W6" s="5">
        <v>74</v>
      </c>
      <c r="X6" s="33">
        <v>1646.3492831687493</v>
      </c>
      <c r="Y6" s="5">
        <v>47.419331215903199</v>
      </c>
      <c r="Z6" s="5">
        <v>6827.5731919929422</v>
      </c>
      <c r="AA6" s="35"/>
    </row>
    <row r="7" spans="2:27" x14ac:dyDescent="0.2">
      <c r="B7" s="4">
        <v>4</v>
      </c>
      <c r="C7" s="4">
        <v>367</v>
      </c>
      <c r="D7" s="23">
        <v>1925673.253231508</v>
      </c>
      <c r="E7" s="33">
        <v>333.38346153846942</v>
      </c>
      <c r="F7" s="5">
        <v>15</v>
      </c>
      <c r="G7" s="23">
        <v>88.5</v>
      </c>
      <c r="H7" s="33">
        <v>1021.1604411833971</v>
      </c>
      <c r="I7" s="23">
        <v>43.397340276695211</v>
      </c>
      <c r="J7" s="5">
        <v>6237.989539326637</v>
      </c>
      <c r="K7" s="31"/>
      <c r="L7" s="23">
        <v>2686510.3390931999</v>
      </c>
      <c r="M7" s="33">
        <v>561.55076923077195</v>
      </c>
      <c r="N7" s="5">
        <v>50</v>
      </c>
      <c r="O7" s="5">
        <v>89</v>
      </c>
      <c r="P7" s="33">
        <v>1472.2135158045228</v>
      </c>
      <c r="Q7" s="5">
        <v>13.531573628155673</v>
      </c>
      <c r="R7" s="5">
        <v>6368.9254352196476</v>
      </c>
      <c r="S7" s="31"/>
      <c r="T7" s="23">
        <v>2386648.181459039</v>
      </c>
      <c r="U7" s="33">
        <v>824.09230769231306</v>
      </c>
      <c r="V7" s="5">
        <v>16</v>
      </c>
      <c r="W7" s="5">
        <v>75.5</v>
      </c>
      <c r="X7" s="33">
        <v>1475.0564678364158</v>
      </c>
      <c r="Y7" s="5">
        <v>53.414578369636573</v>
      </c>
      <c r="Z7" s="5">
        <v>6906.7436864396741</v>
      </c>
      <c r="AA7" s="35"/>
    </row>
    <row r="8" spans="2:27" x14ac:dyDescent="0.2">
      <c r="B8" s="4">
        <v>5</v>
      </c>
      <c r="C8" s="4">
        <v>410</v>
      </c>
      <c r="D8" s="23">
        <v>1802164.8556016751</v>
      </c>
      <c r="E8" s="33">
        <v>163.93653846153305</v>
      </c>
      <c r="F8" s="5">
        <v>15</v>
      </c>
      <c r="G8" s="23">
        <v>94</v>
      </c>
      <c r="H8" s="33">
        <v>1140.7074946023772</v>
      </c>
      <c r="I8" s="23">
        <v>49.769143236124364</v>
      </c>
      <c r="J8" s="5">
        <v>6310.223837686226</v>
      </c>
      <c r="K8" s="31"/>
      <c r="L8" s="23">
        <v>2305986.7999564498</v>
      </c>
      <c r="M8" s="33">
        <v>610.19230769230762</v>
      </c>
      <c r="N8" s="5">
        <v>23</v>
      </c>
      <c r="O8" s="5">
        <v>71.5</v>
      </c>
      <c r="P8" s="33">
        <v>456.57129443854745</v>
      </c>
      <c r="Q8" s="5">
        <v>21.555189674061332</v>
      </c>
      <c r="R8" s="5">
        <v>5003.3056622213489</v>
      </c>
      <c r="S8" s="31"/>
      <c r="T8" s="23">
        <v>2955095.610946408</v>
      </c>
      <c r="U8" s="33">
        <v>237.46423076923327</v>
      </c>
      <c r="V8" s="5">
        <v>20</v>
      </c>
      <c r="W8" s="5">
        <v>81</v>
      </c>
      <c r="X8" s="33">
        <v>3603.3278555120228</v>
      </c>
      <c r="Y8" s="5">
        <v>54.806686046866858</v>
      </c>
      <c r="Z8" s="5">
        <v>9261.1172773280232</v>
      </c>
      <c r="AA8" s="35"/>
    </row>
    <row r="9" spans="2:27" x14ac:dyDescent="0.2">
      <c r="B9" s="4">
        <v>6</v>
      </c>
      <c r="C9" s="4">
        <v>638</v>
      </c>
      <c r="D9" s="23">
        <v>1711113.49046321</v>
      </c>
      <c r="E9" s="33">
        <v>520.17999999999734</v>
      </c>
      <c r="F9" s="5">
        <v>14</v>
      </c>
      <c r="G9" s="23">
        <v>93.5</v>
      </c>
      <c r="H9" s="33">
        <v>916.02484409410999</v>
      </c>
      <c r="I9" s="23">
        <v>50.407844698798783</v>
      </c>
      <c r="J9" s="5">
        <v>6060.8796055714993</v>
      </c>
      <c r="K9" s="31"/>
      <c r="L9" s="23">
        <v>2524239.3791560968</v>
      </c>
      <c r="M9" s="33">
        <v>574.92192307693074</v>
      </c>
      <c r="N9" s="5">
        <v>24</v>
      </c>
      <c r="O9" s="5">
        <v>67</v>
      </c>
      <c r="P9" s="33">
        <v>703.00699760932582</v>
      </c>
      <c r="Q9" s="5">
        <v>19.333731223724449</v>
      </c>
      <c r="R9" s="5">
        <v>5352.3507338855998</v>
      </c>
      <c r="S9" s="31"/>
      <c r="T9" s="23">
        <v>2633924.4921983969</v>
      </c>
      <c r="U9" s="33">
        <v>328.89423076923077</v>
      </c>
      <c r="V9" s="5">
        <v>19</v>
      </c>
      <c r="W9" s="5">
        <v>82.5</v>
      </c>
      <c r="X9" s="33">
        <v>2739.5188677957376</v>
      </c>
      <c r="Y9" s="5">
        <v>58.274943931523744</v>
      </c>
      <c r="Z9" s="5">
        <v>8255.735017884128</v>
      </c>
      <c r="AA9" s="35"/>
    </row>
    <row r="10" spans="2:27" x14ac:dyDescent="0.2">
      <c r="B10" s="4">
        <v>7</v>
      </c>
      <c r="C10" s="4">
        <v>648</v>
      </c>
      <c r="D10" s="23">
        <v>1753097.0925979719</v>
      </c>
      <c r="E10" s="33">
        <v>549.60923076920733</v>
      </c>
      <c r="F10" s="5">
        <v>16</v>
      </c>
      <c r="G10" s="23">
        <v>93.5</v>
      </c>
      <c r="H10" s="33">
        <v>906.36617845171293</v>
      </c>
      <c r="I10" s="23">
        <v>42.198931782323996</v>
      </c>
      <c r="J10" s="5">
        <v>6014.6798525357872</v>
      </c>
      <c r="K10" s="31"/>
      <c r="L10" s="23">
        <v>2586053.555260554</v>
      </c>
      <c r="M10" s="33">
        <v>1196.1419230769388</v>
      </c>
      <c r="N10" s="5">
        <v>43</v>
      </c>
      <c r="O10" s="5">
        <v>87.5</v>
      </c>
      <c r="P10" s="33">
        <v>1433.1460411521412</v>
      </c>
      <c r="Q10" s="5">
        <v>14.854907098116785</v>
      </c>
      <c r="R10" s="5">
        <v>6289.3000035317518</v>
      </c>
      <c r="S10" s="31"/>
      <c r="T10" s="23">
        <v>2727636.8930196669</v>
      </c>
      <c r="U10" s="33">
        <v>171.62846153848264</v>
      </c>
      <c r="V10" s="5">
        <v>18</v>
      </c>
      <c r="W10" s="5">
        <v>63.5</v>
      </c>
      <c r="X10" s="33">
        <v>1594.766985941739</v>
      </c>
      <c r="Y10" s="5">
        <v>41.604884627832945</v>
      </c>
      <c r="Z10" s="5">
        <v>6918.8505686777398</v>
      </c>
      <c r="AA10" s="35"/>
    </row>
    <row r="11" spans="2:27" x14ac:dyDescent="0.2">
      <c r="B11" s="4">
        <v>8</v>
      </c>
      <c r="C11" s="4">
        <v>666</v>
      </c>
      <c r="D11" s="23">
        <v>2101486.7927621622</v>
      </c>
      <c r="E11" s="33">
        <v>361.123846153854</v>
      </c>
      <c r="F11" s="5">
        <v>14</v>
      </c>
      <c r="G11" s="23">
        <v>89</v>
      </c>
      <c r="H11" s="33">
        <v>1638.6744801791151</v>
      </c>
      <c r="I11" s="23">
        <v>47.428436938280058</v>
      </c>
      <c r="J11" s="5">
        <v>6913.5054014766438</v>
      </c>
      <c r="K11" s="31"/>
      <c r="L11" s="23">
        <v>2391062.6864167601</v>
      </c>
      <c r="M11" s="33">
        <v>801.98307692306116</v>
      </c>
      <c r="N11" s="5">
        <v>28</v>
      </c>
      <c r="O11" s="5">
        <v>73</v>
      </c>
      <c r="P11" s="33">
        <v>649.40792655382472</v>
      </c>
      <c r="Q11" s="5">
        <v>17.842775120775205</v>
      </c>
      <c r="R11" s="5">
        <v>5164.7298404372923</v>
      </c>
      <c r="S11" s="31"/>
      <c r="T11" s="23">
        <v>2900428.5698666871</v>
      </c>
      <c r="U11" s="33">
        <v>500.61884615386725</v>
      </c>
      <c r="V11" s="5">
        <v>21</v>
      </c>
      <c r="W11" s="5">
        <v>74.5</v>
      </c>
      <c r="X11" s="33">
        <v>2989.4949631970562</v>
      </c>
      <c r="Y11" s="5">
        <v>51.182376824924347</v>
      </c>
      <c r="Z11" s="5">
        <v>8611.8861021179255</v>
      </c>
      <c r="AA11" s="35"/>
    </row>
    <row r="12" spans="2:27" x14ac:dyDescent="0.2">
      <c r="B12" s="4">
        <v>9</v>
      </c>
      <c r="C12" s="4">
        <v>713</v>
      </c>
      <c r="D12" s="23">
        <v>1911128.928994532</v>
      </c>
      <c r="E12" s="33">
        <v>654.79576923074035</v>
      </c>
      <c r="F12" s="5">
        <v>15</v>
      </c>
      <c r="G12" s="23">
        <v>95</v>
      </c>
      <c r="H12" s="33">
        <v>1387.1353352136248</v>
      </c>
      <c r="I12" s="23">
        <v>47.298542349772077</v>
      </c>
      <c r="J12" s="5">
        <v>6741.1027404439574</v>
      </c>
      <c r="K12" s="31"/>
      <c r="L12" s="23">
        <v>2453450.0176042099</v>
      </c>
      <c r="M12" s="33">
        <v>345.92576923077172</v>
      </c>
      <c r="N12" s="5">
        <v>27</v>
      </c>
      <c r="O12" s="5">
        <v>69.5</v>
      </c>
      <c r="P12" s="33">
        <v>565.28577707912598</v>
      </c>
      <c r="Q12" s="5">
        <v>17.605962470207267</v>
      </c>
      <c r="R12" s="5">
        <v>5079.9815530887136</v>
      </c>
      <c r="S12" s="31"/>
      <c r="T12" s="23">
        <v>2544176.6229692129</v>
      </c>
      <c r="U12" s="33">
        <v>353.22730769228656</v>
      </c>
      <c r="V12" s="5">
        <v>14</v>
      </c>
      <c r="W12" s="5">
        <v>67</v>
      </c>
      <c r="X12" s="33">
        <v>1418.1906749475488</v>
      </c>
      <c r="Y12" s="5">
        <v>55.863860169959089</v>
      </c>
      <c r="Z12" s="5">
        <v>6940.0912096703414</v>
      </c>
      <c r="AA12" s="35"/>
    </row>
    <row r="13" spans="2:27" x14ac:dyDescent="0.2">
      <c r="B13" s="4">
        <v>10</v>
      </c>
      <c r="C13" s="4">
        <v>932</v>
      </c>
      <c r="D13" s="23">
        <v>1789818.7800748339</v>
      </c>
      <c r="E13" s="33">
        <v>321.05153846151478</v>
      </c>
      <c r="F13" s="5">
        <v>14</v>
      </c>
      <c r="G13" s="23">
        <v>92</v>
      </c>
      <c r="H13" s="33">
        <v>949.15316002147676</v>
      </c>
      <c r="I13" s="23">
        <v>49.10251150648655</v>
      </c>
      <c r="J13" s="5">
        <v>6160.8510502885547</v>
      </c>
      <c r="K13" s="31"/>
      <c r="L13" s="23">
        <v>2384549.9881867599</v>
      </c>
      <c r="M13" s="33">
        <v>606.53846153846155</v>
      </c>
      <c r="N13" s="5">
        <v>21</v>
      </c>
      <c r="O13" s="5">
        <v>67.5</v>
      </c>
      <c r="P13" s="33">
        <v>535.05958635705542</v>
      </c>
      <c r="Q13" s="5">
        <v>21.543777637153795</v>
      </c>
      <c r="R13" s="5">
        <v>5028.3163948802394</v>
      </c>
      <c r="S13" s="31"/>
      <c r="T13" s="23">
        <v>2453995.585601761</v>
      </c>
      <c r="U13" s="33">
        <v>631.95307692311383</v>
      </c>
      <c r="V13" s="5">
        <v>13</v>
      </c>
      <c r="W13" s="5">
        <v>64.5</v>
      </c>
      <c r="X13" s="33">
        <v>704.76838756086443</v>
      </c>
      <c r="Y13" s="5">
        <v>54.898591780589648</v>
      </c>
      <c r="Z13" s="5">
        <v>6277.9005229222294</v>
      </c>
      <c r="AA13" s="35"/>
    </row>
    <row r="14" spans="2:27" x14ac:dyDescent="0.2">
      <c r="B14" s="46" t="s">
        <v>3</v>
      </c>
      <c r="C14" s="47"/>
      <c r="D14" s="9">
        <f>MIN(D4:D13)</f>
        <v>1672246.2803604491</v>
      </c>
      <c r="E14" s="22">
        <f>INDEX(E4:E13, MATCH($D$14, D4:D13, 0))</f>
        <v>507.56615384616151</v>
      </c>
      <c r="F14" s="9">
        <f>INDEX(F4:F13, MATCH($D$14, D4:D13, 0))</f>
        <v>17</v>
      </c>
      <c r="G14" s="9">
        <f>INDEX(G4:G13, MATCH($D$14, D4:D13, 0))</f>
        <v>93</v>
      </c>
      <c r="H14" s="22">
        <f>INDEX(H4:H13, MATCH($D$14, D4:D13, 0))</f>
        <v>693.06363787874716</v>
      </c>
      <c r="I14" s="22">
        <f>INDEX(I4:I13, MATCH($D$14, D4:D13, 0))</f>
        <v>41.387740423054154</v>
      </c>
      <c r="J14" s="22">
        <f>INDEX(J4:J13, MATCH($D$14, D4:D13, 0))</f>
        <v>5604.3470027842259</v>
      </c>
      <c r="K14" s="32" t="e">
        <f>(D14-$D$15)/$D$15</f>
        <v>#DIV/0!</v>
      </c>
      <c r="L14" s="16">
        <f>MIN(L4:L13)</f>
        <v>2302331.5051668962</v>
      </c>
      <c r="M14" s="21">
        <f>INDEX(M4:M13, MATCH($L$14, L4:L13, 0))</f>
        <v>685.84153846156994</v>
      </c>
      <c r="N14" s="16">
        <f>INDEX(N4:N13, MATCH($L$14, L4:L13, 0))</f>
        <v>23</v>
      </c>
      <c r="O14" s="16">
        <f>INDEX(O4:O13, MATCH($L$14, L4:L13, 0))</f>
        <v>70.5</v>
      </c>
      <c r="P14" s="21">
        <f>INDEX(P4:P13, MATCH($L$14, L4:L13, 0))</f>
        <v>432.94147556707787</v>
      </c>
      <c r="Q14" s="21">
        <f>INDEX(Q4:Q13, MATCH($L$14, L4:L13, 0))</f>
        <v>20.461336763551696</v>
      </c>
      <c r="R14" s="21">
        <f>INDEX(R4:R13, MATCH($L$14, L4:L13, 0))</f>
        <v>4843.8563437237244</v>
      </c>
      <c r="S14" s="36" t="e">
        <f>(L14-$D$15)/$D$15</f>
        <v>#DIV/0!</v>
      </c>
      <c r="T14" s="38">
        <f>MIN(T4:T13)</f>
        <v>2322380.6772455531</v>
      </c>
      <c r="U14" s="39">
        <f>INDEX(U4:U13, MATCH($T$14, T4:T13, 0))</f>
        <v>590.94923076922805</v>
      </c>
      <c r="V14" s="38">
        <f>INDEX(V4:V13, MATCH($T$14, T4:T13, 0))</f>
        <v>16</v>
      </c>
      <c r="W14" s="38">
        <f>INDEX(W4:W13, MATCH($T$14, T4:T13, 0))</f>
        <v>75.5</v>
      </c>
      <c r="X14" s="39">
        <f>INDEX(X4:X13, MATCH($T$14, T4:T13, 0))</f>
        <v>1380.2550010216112</v>
      </c>
      <c r="Y14" s="39">
        <f>INDEX(Y4:Y13, MATCH($T$14, T4:T13, 0))</f>
        <v>58.947900288967446</v>
      </c>
      <c r="Z14" s="39">
        <f>INDEX(Z4:Z13, MATCH($T$14, T4:T13, 0))</f>
        <v>6767.5402046508707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7:C1048576">
    <cfRule type="duplicateValues" dxfId="53" priority="7"/>
    <cfRule type="duplicateValues" dxfId="52" priority="8"/>
  </conditionalFormatting>
  <conditionalFormatting sqref="C14">
    <cfRule type="duplicateValues" dxfId="51" priority="3"/>
    <cfRule type="duplicateValues" dxfId="50" priority="4"/>
  </conditionalFormatting>
  <conditionalFormatting sqref="C17:C36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results98</vt:lpstr>
      <vt:lpstr>results199</vt:lpstr>
      <vt:lpstr>results364</vt:lpstr>
      <vt:lpstr>results515</vt:lpstr>
      <vt:lpstr>results526</vt:lpstr>
      <vt:lpstr>results582</vt:lpstr>
      <vt:lpstr>results600</vt:lpstr>
      <vt:lpstr>results664</vt:lpstr>
      <vt:lpstr>results890</vt:lpstr>
      <vt:lpstr>results989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2026-10-22T03:29:34Z</dcterms:modified>
</cp:coreProperties>
</file>