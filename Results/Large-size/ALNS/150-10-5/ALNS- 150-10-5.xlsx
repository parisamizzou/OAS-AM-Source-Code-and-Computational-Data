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Large/ALNS/150-10-5/"/>
    </mc:Choice>
  </mc:AlternateContent>
  <xr:revisionPtr revIDLastSave="0" documentId="13_ncr:1_{DF903FAD-2C04-1749-8095-BB333F5B59FC}" xr6:coauthVersionLast="47" xr6:coauthVersionMax="47" xr10:uidLastSave="{00000000-0000-0000-0000-000000000000}"/>
  <bookViews>
    <workbookView xWindow="0" yWindow="760" windowWidth="34560" windowHeight="20520" tabRatio="763" activeTab="10" xr2:uid="{41E620E7-D6DF-9342-B452-EA60AB3B07C5}"/>
  </bookViews>
  <sheets>
    <sheet name="Summary" sheetId="68" r:id="rId1"/>
    <sheet name="results112" sheetId="58" r:id="rId2"/>
    <sheet name="results127" sheetId="69" r:id="rId3"/>
    <sheet name="results179" sheetId="70" r:id="rId4"/>
    <sheet name="results212" sheetId="79" r:id="rId5"/>
    <sheet name="results313" sheetId="82" r:id="rId6"/>
    <sheet name="results450" sheetId="83" r:id="rId7"/>
    <sheet name="results613" sheetId="84" r:id="rId8"/>
    <sheet name="results661" sheetId="80" r:id="rId9"/>
    <sheet name="results819" sheetId="81" r:id="rId10"/>
    <sheet name="results919" sheetId="8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85" l="1"/>
  <c r="J14" i="85"/>
  <c r="I14" i="85"/>
  <c r="H14" i="85"/>
  <c r="D14" i="85"/>
  <c r="G14" i="85" s="1"/>
  <c r="D14" i="81"/>
  <c r="J14" i="81" s="1"/>
  <c r="K14" i="80"/>
  <c r="J14" i="80"/>
  <c r="I14" i="80"/>
  <c r="H14" i="80"/>
  <c r="G14" i="80"/>
  <c r="D14" i="80"/>
  <c r="F14" i="80" s="1"/>
  <c r="J14" i="84"/>
  <c r="D14" i="84"/>
  <c r="G14" i="84" s="1"/>
  <c r="I14" i="83"/>
  <c r="H14" i="83"/>
  <c r="G14" i="83"/>
  <c r="D14" i="83"/>
  <c r="F14" i="83" s="1"/>
  <c r="D14" i="82"/>
  <c r="G14" i="82" s="1"/>
  <c r="K14" i="79"/>
  <c r="J14" i="79"/>
  <c r="I14" i="79"/>
  <c r="H14" i="79"/>
  <c r="G14" i="79"/>
  <c r="F14" i="79"/>
  <c r="E14" i="79"/>
  <c r="D14" i="79"/>
  <c r="K14" i="70"/>
  <c r="J14" i="70"/>
  <c r="I14" i="70"/>
  <c r="H14" i="70"/>
  <c r="D14" i="70"/>
  <c r="G14" i="70" s="1"/>
  <c r="D14" i="69"/>
  <c r="K14" i="69" s="1"/>
  <c r="T14" i="58"/>
  <c r="AA14" i="58" s="1"/>
  <c r="K14" i="58"/>
  <c r="J14" i="58"/>
  <c r="I14" i="58"/>
  <c r="H14" i="58"/>
  <c r="D14" i="58"/>
  <c r="G14" i="58" s="1"/>
  <c r="E14" i="85" l="1"/>
  <c r="F14" i="85"/>
  <c r="E14" i="81"/>
  <c r="F14" i="81"/>
  <c r="I14" i="81"/>
  <c r="K14" i="81"/>
  <c r="G14" i="81"/>
  <c r="H14" i="81"/>
  <c r="E14" i="80"/>
  <c r="H14" i="84"/>
  <c r="I14" i="84"/>
  <c r="K14" i="84"/>
  <c r="E14" i="84"/>
  <c r="F14" i="84"/>
  <c r="K14" i="83"/>
  <c r="J14" i="83"/>
  <c r="E14" i="83"/>
  <c r="J14" i="82"/>
  <c r="I14" i="82"/>
  <c r="K14" i="82"/>
  <c r="H14" i="82"/>
  <c r="E14" i="82"/>
  <c r="F14" i="82"/>
  <c r="E14" i="70"/>
  <c r="F14" i="70"/>
  <c r="E14" i="69"/>
  <c r="F14" i="69"/>
  <c r="I14" i="69"/>
  <c r="G14" i="69"/>
  <c r="H14" i="69"/>
  <c r="J14" i="69"/>
  <c r="X14" i="58"/>
  <c r="E14" i="58"/>
  <c r="Y14" i="58"/>
  <c r="F14" i="58"/>
  <c r="Z14" i="58"/>
  <c r="U14" i="58"/>
  <c r="V14" i="58"/>
  <c r="W14" i="58"/>
  <c r="L14" i="85" l="1"/>
  <c r="O14" i="85" s="1"/>
  <c r="T14" i="85"/>
  <c r="AA14" i="85" s="1"/>
  <c r="P14" i="85"/>
  <c r="N14" i="85"/>
  <c r="R14" i="85" l="1"/>
  <c r="S14" i="85"/>
  <c r="M14" i="85"/>
  <c r="Q14" i="85"/>
  <c r="U14" i="85"/>
  <c r="V14" i="85"/>
  <c r="Y14" i="85"/>
  <c r="Z14" i="85"/>
  <c r="X14" i="85"/>
  <c r="W14" i="85"/>
  <c r="P2" i="85"/>
  <c r="J2" i="85"/>
  <c r="H2" i="85" l="1"/>
  <c r="R2" i="85"/>
  <c r="X2" i="85"/>
  <c r="Z2" i="85"/>
  <c r="L14" i="83" l="1"/>
  <c r="K12" i="68" a="1"/>
  <c r="M12" i="68" a="1"/>
  <c r="C12" i="68" a="1"/>
  <c r="S12" i="68" a="1"/>
  <c r="D12" i="68" a="1"/>
  <c r="E12" i="68" a="1"/>
  <c r="G12" i="68" a="1"/>
  <c r="N12" i="68" a="1"/>
  <c r="Q12" i="68" a="1"/>
  <c r="U12" i="68" a="1"/>
  <c r="F12" i="68" a="1"/>
  <c r="Y12" i="68" a="1"/>
  <c r="H12" i="68" a="1"/>
  <c r="P12" i="68" a="1"/>
  <c r="V12" i="68" a="1"/>
  <c r="L12" i="68" a="1"/>
  <c r="K8" i="68" a="1"/>
  <c r="X12" i="68" a="1"/>
  <c r="O12" i="68" a="1"/>
  <c r="T12" i="68" a="1"/>
  <c r="W12" i="68" a="1"/>
  <c r="I12" i="68" a="1"/>
  <c r="L14" i="81" l="1"/>
  <c r="L14" i="80"/>
  <c r="L14" i="84"/>
  <c r="L14" i="82"/>
  <c r="O14" i="82" s="1"/>
  <c r="L14" i="79"/>
  <c r="T14" i="84"/>
  <c r="T14" i="81"/>
  <c r="V14" i="81" s="1"/>
  <c r="T14" i="80"/>
  <c r="Z14" i="80" s="1"/>
  <c r="T14" i="83"/>
  <c r="Z14" i="83" s="1"/>
  <c r="T14" i="82"/>
  <c r="AA14" i="82" s="1"/>
  <c r="T14" i="79"/>
  <c r="AA14" i="79" s="1"/>
  <c r="S14" i="81"/>
  <c r="R14" i="81"/>
  <c r="P14" i="81"/>
  <c r="O14" i="81"/>
  <c r="M14" i="81"/>
  <c r="N14" i="81"/>
  <c r="Q14" i="81"/>
  <c r="S14" i="80"/>
  <c r="R14" i="80"/>
  <c r="P14" i="80"/>
  <c r="O14" i="80"/>
  <c r="N14" i="80"/>
  <c r="M14" i="80"/>
  <c r="Q14" i="80"/>
  <c r="V14" i="80"/>
  <c r="R14" i="84"/>
  <c r="Q14" i="84"/>
  <c r="O14" i="84"/>
  <c r="N14" i="84"/>
  <c r="M14" i="84"/>
  <c r="S14" i="84"/>
  <c r="P14" i="84"/>
  <c r="AA14" i="84"/>
  <c r="Z14" i="84"/>
  <c r="Y14" i="84"/>
  <c r="X14" i="84"/>
  <c r="U14" i="84"/>
  <c r="W14" i="84"/>
  <c r="V14" i="84"/>
  <c r="O14" i="83"/>
  <c r="S14" i="83"/>
  <c r="R14" i="83"/>
  <c r="Q14" i="83"/>
  <c r="P14" i="83"/>
  <c r="N14" i="83"/>
  <c r="M14" i="83"/>
  <c r="M14" i="82"/>
  <c r="N14" i="82"/>
  <c r="S14" i="82"/>
  <c r="R14" i="82"/>
  <c r="Q14" i="82"/>
  <c r="P14" i="82"/>
  <c r="W14" i="82"/>
  <c r="U14" i="82"/>
  <c r="P14" i="79"/>
  <c r="N14" i="79"/>
  <c r="S14" i="79"/>
  <c r="R14" i="79"/>
  <c r="Q14" i="79"/>
  <c r="O14" i="79"/>
  <c r="M14" i="79"/>
  <c r="X14" i="79"/>
  <c r="W14" i="79"/>
  <c r="V14" i="79"/>
  <c r="U14" i="79"/>
  <c r="P12" i="68"/>
  <c r="I12" i="68"/>
  <c r="D12" i="68"/>
  <c r="G12" i="68"/>
  <c r="X12" i="68"/>
  <c r="V12" i="68"/>
  <c r="Q12" i="68"/>
  <c r="E12" i="68"/>
  <c r="N12" i="68"/>
  <c r="L12" i="68"/>
  <c r="K12" i="68"/>
  <c r="K8" i="68"/>
  <c r="F12" i="68"/>
  <c r="O12" i="68"/>
  <c r="C12" i="68"/>
  <c r="M12" i="68"/>
  <c r="T12" i="68"/>
  <c r="U12" i="68"/>
  <c r="H12" i="68"/>
  <c r="S12" i="68"/>
  <c r="Y12" i="68"/>
  <c r="W12" i="68"/>
  <c r="C7" i="68" a="1"/>
  <c r="K11" i="68" a="1"/>
  <c r="S8" i="68" a="1"/>
  <c r="C9" i="68" a="1"/>
  <c r="S9" i="68" a="1"/>
  <c r="S7" i="68" a="1"/>
  <c r="K9" i="68" a="1"/>
  <c r="S11" i="68" a="1"/>
  <c r="K10" i="68" a="1"/>
  <c r="S6" i="68" a="1"/>
  <c r="C6" i="68" a="1"/>
  <c r="C8" i="68" a="1"/>
  <c r="C11" i="68" a="1"/>
  <c r="S10" i="68" a="1"/>
  <c r="K7" i="68" a="1"/>
  <c r="K6" i="68" a="1"/>
  <c r="C10" i="68" a="1"/>
  <c r="K11" i="68" l="1"/>
  <c r="K10" i="68"/>
  <c r="K9" i="68"/>
  <c r="K7" i="68"/>
  <c r="K6" i="68"/>
  <c r="L14" i="70"/>
  <c r="P14" i="70" s="1"/>
  <c r="L14" i="69"/>
  <c r="S14" i="69" s="1"/>
  <c r="L14" i="58"/>
  <c r="M14" i="58" s="1"/>
  <c r="S9" i="68"/>
  <c r="AA14" i="81"/>
  <c r="W14" i="81"/>
  <c r="Y14" i="81"/>
  <c r="X14" i="81"/>
  <c r="U14" i="81"/>
  <c r="Z14" i="81"/>
  <c r="S11" i="68"/>
  <c r="AA14" i="83"/>
  <c r="X14" i="83"/>
  <c r="Y14" i="83"/>
  <c r="W14" i="80"/>
  <c r="AA14" i="80"/>
  <c r="U14" i="80"/>
  <c r="X14" i="80"/>
  <c r="Y14" i="80"/>
  <c r="U14" i="83"/>
  <c r="V14" i="83"/>
  <c r="W14" i="83"/>
  <c r="S10" i="68"/>
  <c r="S8" i="68"/>
  <c r="T14" i="69"/>
  <c r="V14" i="82"/>
  <c r="X14" i="82"/>
  <c r="Z14" i="82"/>
  <c r="Y14" i="82"/>
  <c r="S7" i="68"/>
  <c r="Z14" i="79"/>
  <c r="Y14" i="79"/>
  <c r="S6" i="68"/>
  <c r="T14" i="70"/>
  <c r="AA14" i="70" s="1"/>
  <c r="V14" i="70"/>
  <c r="Z14" i="70"/>
  <c r="Y14" i="70"/>
  <c r="U14" i="70"/>
  <c r="X14" i="70"/>
  <c r="W14" i="70"/>
  <c r="R14" i="69"/>
  <c r="Q14" i="69"/>
  <c r="P14" i="69"/>
  <c r="O14" i="69"/>
  <c r="N14" i="69"/>
  <c r="M14" i="69"/>
  <c r="Z14" i="69"/>
  <c r="Y14" i="69"/>
  <c r="X14" i="69"/>
  <c r="V14" i="69"/>
  <c r="U14" i="69"/>
  <c r="W14" i="69"/>
  <c r="AA14" i="69"/>
  <c r="S14" i="58"/>
  <c r="R14" i="58"/>
  <c r="C11" i="68"/>
  <c r="C10" i="68"/>
  <c r="C9" i="68"/>
  <c r="C8" i="68"/>
  <c r="C7" i="68"/>
  <c r="C6" i="68"/>
  <c r="E7" i="68" a="1"/>
  <c r="H10" i="68" a="1"/>
  <c r="M7" i="68" a="1"/>
  <c r="T7" i="68" a="1"/>
  <c r="F9" i="68" a="1"/>
  <c r="G9" i="68" a="1"/>
  <c r="K3" i="68" a="1"/>
  <c r="F7" i="68" a="1"/>
  <c r="N6" i="68" a="1"/>
  <c r="E6" i="68" a="1"/>
  <c r="T8" i="68" a="1"/>
  <c r="G7" i="68" a="1"/>
  <c r="H6" i="68" a="1"/>
  <c r="W6" i="68" a="1"/>
  <c r="P8" i="68" a="1"/>
  <c r="C4" i="68" a="1"/>
  <c r="D6" i="68" a="1"/>
  <c r="O11" i="68" a="1"/>
  <c r="X9" i="68" a="1"/>
  <c r="E11" i="68" a="1"/>
  <c r="M6" i="68" a="1"/>
  <c r="N7" i="68" a="1"/>
  <c r="D11" i="68" a="1"/>
  <c r="V9" i="68" a="1"/>
  <c r="V10" i="68" a="1"/>
  <c r="P7" i="68" a="1"/>
  <c r="I6" i="68" a="1"/>
  <c r="O7" i="68" a="1"/>
  <c r="H11" i="68" a="1"/>
  <c r="O6" i="68" a="1"/>
  <c r="Q9" i="68" a="1"/>
  <c r="T10" i="68" a="1"/>
  <c r="T9" i="68" a="1"/>
  <c r="X10" i="68" a="1"/>
  <c r="C3" i="68" a="1"/>
  <c r="G11" i="68" a="1"/>
  <c r="W11" i="68" a="1"/>
  <c r="T11" i="68" a="1"/>
  <c r="K5" i="68" a="1"/>
  <c r="Y6" i="68" a="1"/>
  <c r="M9" i="68" a="1"/>
  <c r="D7" i="68" a="1"/>
  <c r="U9" i="68" a="1"/>
  <c r="V7" i="68" a="1"/>
  <c r="P6" i="68" a="1"/>
  <c r="S4" i="68" a="1"/>
  <c r="O8" i="68" a="1"/>
  <c r="M11" i="68" a="1"/>
  <c r="Y9" i="68" a="1"/>
  <c r="F8" i="68" a="1"/>
  <c r="G10" i="68" a="1"/>
  <c r="G6" i="68" a="1"/>
  <c r="Q6" i="68" a="1"/>
  <c r="Q8" i="68" a="1"/>
  <c r="L6" i="68" a="1"/>
  <c r="N11" i="68" a="1"/>
  <c r="L11" i="68" a="1"/>
  <c r="O9" i="68" a="1"/>
  <c r="X7" i="68" a="1"/>
  <c r="O10" i="68" a="1"/>
  <c r="L10" i="68" a="1"/>
  <c r="E8" i="68" a="1"/>
  <c r="N9" i="68" a="1"/>
  <c r="U11" i="68" a="1"/>
  <c r="C5" i="68" a="1"/>
  <c r="M8" i="68" a="1"/>
  <c r="F11" i="68" a="1"/>
  <c r="Q10" i="68" a="1"/>
  <c r="T6" i="68" a="1"/>
  <c r="H7" i="68" a="1"/>
  <c r="G8" i="68" a="1"/>
  <c r="E10" i="68" a="1"/>
  <c r="I9" i="68" a="1"/>
  <c r="I11" i="68" a="1"/>
  <c r="V8" i="68" a="1"/>
  <c r="F6" i="68" a="1"/>
  <c r="I7" i="68" a="1"/>
  <c r="P10" i="68" a="1"/>
  <c r="U8" i="68" a="1"/>
  <c r="W9" i="68" a="1"/>
  <c r="L9" i="68" a="1"/>
  <c r="N10" i="68" a="1"/>
  <c r="Q11" i="68" a="1"/>
  <c r="V6" i="68" a="1"/>
  <c r="S5" i="68" a="1"/>
  <c r="N8" i="68" a="1"/>
  <c r="H9" i="68" a="1"/>
  <c r="E9" i="68" a="1"/>
  <c r="L7" i="68" a="1"/>
  <c r="F10" i="68" a="1"/>
  <c r="S3" i="68" a="1"/>
  <c r="U6" i="68" a="1"/>
  <c r="Y11" i="68" a="1"/>
  <c r="W8" i="68" a="1"/>
  <c r="I10" i="68" a="1"/>
  <c r="V11" i="68" a="1"/>
  <c r="Y10" i="68" a="1"/>
  <c r="M10" i="68" a="1"/>
  <c r="U10" i="68" a="1"/>
  <c r="X6" i="68" a="1"/>
  <c r="L8" i="68" a="1"/>
  <c r="U7" i="68" a="1"/>
  <c r="H8" i="68" a="1"/>
  <c r="I8" i="68" a="1"/>
  <c r="X8" i="68" a="1"/>
  <c r="Y8" i="68" a="1"/>
  <c r="P11" i="68" a="1"/>
  <c r="Y7" i="68" a="1"/>
  <c r="D10" i="68" a="1"/>
  <c r="W7" i="68" a="1"/>
  <c r="D8" i="68" a="1"/>
  <c r="W10" i="68" a="1"/>
  <c r="Q7" i="68" a="1"/>
  <c r="D9" i="68" a="1"/>
  <c r="X11" i="68" a="1"/>
  <c r="K4" i="68" a="1"/>
  <c r="P9" i="68" a="1"/>
  <c r="N14" i="70" l="1"/>
  <c r="R14" i="70"/>
  <c r="M14" i="70"/>
  <c r="O14" i="70"/>
  <c r="Q14" i="70"/>
  <c r="S14" i="70"/>
  <c r="K5" i="68"/>
  <c r="K4" i="68"/>
  <c r="O14" i="58"/>
  <c r="P14" i="58"/>
  <c r="K3" i="68"/>
  <c r="N14" i="58"/>
  <c r="Q14" i="58"/>
  <c r="S4" i="68"/>
  <c r="S5" i="68"/>
  <c r="S3" i="68"/>
  <c r="Q11" i="68"/>
  <c r="T11" i="68"/>
  <c r="U11" i="68"/>
  <c r="M11" i="68"/>
  <c r="W11" i="68"/>
  <c r="E11" i="68"/>
  <c r="Y11" i="68"/>
  <c r="P11" i="68"/>
  <c r="X11" i="68"/>
  <c r="V11" i="68"/>
  <c r="I11" i="68"/>
  <c r="F11" i="68"/>
  <c r="L11" i="68"/>
  <c r="G11" i="68"/>
  <c r="D11" i="68"/>
  <c r="H11" i="68"/>
  <c r="N11" i="68"/>
  <c r="O11" i="68"/>
  <c r="J2" i="81"/>
  <c r="P10" i="68"/>
  <c r="T10" i="68"/>
  <c r="W10" i="68"/>
  <c r="N10" i="68"/>
  <c r="Y10" i="68"/>
  <c r="X10" i="68"/>
  <c r="E10" i="68"/>
  <c r="U10" i="68"/>
  <c r="D10" i="68"/>
  <c r="Q10" i="68"/>
  <c r="M10" i="68"/>
  <c r="O10" i="68"/>
  <c r="I10" i="68"/>
  <c r="F10" i="68"/>
  <c r="G10" i="68"/>
  <c r="H10" i="68"/>
  <c r="V10" i="68"/>
  <c r="L10" i="68"/>
  <c r="J2" i="80"/>
  <c r="O9" i="68"/>
  <c r="P9" i="68"/>
  <c r="Q9" i="68"/>
  <c r="T9" i="68"/>
  <c r="U9" i="68"/>
  <c r="V9" i="68"/>
  <c r="W9" i="68"/>
  <c r="D9" i="68"/>
  <c r="X9" i="68"/>
  <c r="E9" i="68"/>
  <c r="Y9" i="68"/>
  <c r="F9" i="68"/>
  <c r="I9" i="68"/>
  <c r="N9" i="68"/>
  <c r="G9" i="68"/>
  <c r="H9" i="68"/>
  <c r="M9" i="68"/>
  <c r="L9" i="68"/>
  <c r="J2" i="84"/>
  <c r="H8" i="68"/>
  <c r="Q8" i="68"/>
  <c r="G8" i="68"/>
  <c r="U8" i="68"/>
  <c r="V8" i="68"/>
  <c r="N8" i="68"/>
  <c r="O8" i="68"/>
  <c r="D8" i="68"/>
  <c r="F8" i="68"/>
  <c r="W8" i="68"/>
  <c r="Y8" i="68"/>
  <c r="I8" i="68"/>
  <c r="L8" i="68"/>
  <c r="P8" i="68"/>
  <c r="M8" i="68"/>
  <c r="T8" i="68"/>
  <c r="X8" i="68"/>
  <c r="E8" i="68"/>
  <c r="J2" i="83"/>
  <c r="R2" i="84"/>
  <c r="Y7" i="68"/>
  <c r="G7" i="68"/>
  <c r="L7" i="68"/>
  <c r="N7" i="68"/>
  <c r="O7" i="68"/>
  <c r="P7" i="68"/>
  <c r="Q7" i="68"/>
  <c r="T7" i="68"/>
  <c r="U7" i="68"/>
  <c r="V7" i="68"/>
  <c r="W7" i="68"/>
  <c r="D7" i="68"/>
  <c r="X7" i="68"/>
  <c r="F7" i="68"/>
  <c r="H7" i="68"/>
  <c r="I7" i="68"/>
  <c r="M7" i="68"/>
  <c r="E7" i="68"/>
  <c r="J2" i="82"/>
  <c r="H6" i="68"/>
  <c r="G6" i="68"/>
  <c r="N6" i="68"/>
  <c r="I6" i="68"/>
  <c r="T6" i="68"/>
  <c r="O6" i="68"/>
  <c r="Q6" i="68"/>
  <c r="W6" i="68"/>
  <c r="D6" i="68"/>
  <c r="X6" i="68"/>
  <c r="V6" i="68"/>
  <c r="P6" i="68"/>
  <c r="E6" i="68"/>
  <c r="L6" i="68"/>
  <c r="M6" i="68"/>
  <c r="U6" i="68"/>
  <c r="Y6" i="68"/>
  <c r="F6" i="68"/>
  <c r="J2" i="79"/>
  <c r="Z2" i="82"/>
  <c r="Z2" i="83"/>
  <c r="C5" i="68"/>
  <c r="P2" i="83"/>
  <c r="P2" i="84"/>
  <c r="H2" i="84"/>
  <c r="P2" i="82"/>
  <c r="H2" i="82"/>
  <c r="H2" i="80"/>
  <c r="H2" i="83"/>
  <c r="R2" i="82"/>
  <c r="R2" i="81"/>
  <c r="R2" i="83"/>
  <c r="X2" i="84"/>
  <c r="X2" i="82"/>
  <c r="X2" i="83"/>
  <c r="Z2" i="84"/>
  <c r="P2" i="81"/>
  <c r="P2" i="80"/>
  <c r="H2" i="81"/>
  <c r="R2" i="80"/>
  <c r="X2" i="79"/>
  <c r="X2" i="80"/>
  <c r="X2" i="81"/>
  <c r="Z2" i="80"/>
  <c r="Z2" i="81"/>
  <c r="P2" i="79"/>
  <c r="H2" i="79"/>
  <c r="R2" i="79"/>
  <c r="Z2" i="79"/>
  <c r="C4" i="68"/>
  <c r="C3" i="68"/>
  <c r="T4" i="68" a="1"/>
  <c r="X3" i="68" a="1"/>
  <c r="X4" i="68" a="1"/>
  <c r="U4" i="68" a="1"/>
  <c r="E3" i="68" a="1"/>
  <c r="H3" i="68" a="1"/>
  <c r="V3" i="68" a="1"/>
  <c r="L4" i="68" a="1"/>
  <c r="V4" i="68" a="1"/>
  <c r="N5" i="68" a="1"/>
  <c r="X5" i="68" a="1"/>
  <c r="U3" i="68" a="1"/>
  <c r="L3" i="68" a="1"/>
  <c r="F3" i="68" a="1"/>
  <c r="Y5" i="68" a="1"/>
  <c r="T3" i="68" a="1"/>
  <c r="U5" i="68" a="1"/>
  <c r="M3" i="68" a="1"/>
  <c r="I5" i="68" a="1"/>
  <c r="L5" i="68" a="1"/>
  <c r="N4" i="68" a="1"/>
  <c r="D5" i="68" a="1"/>
  <c r="O3" i="68" a="1"/>
  <c r="I3" i="68" a="1"/>
  <c r="I4" i="68" a="1"/>
  <c r="Y3" i="68" a="1"/>
  <c r="E4" i="68" a="1"/>
  <c r="G5" i="68" a="1"/>
  <c r="W4" i="68" a="1"/>
  <c r="H4" i="68" a="1"/>
  <c r="T5" i="68" a="1"/>
  <c r="P4" i="68" a="1"/>
  <c r="G3" i="68" a="1"/>
  <c r="M5" i="68" a="1"/>
  <c r="V5" i="68" a="1"/>
  <c r="O5" i="68" a="1"/>
  <c r="F4" i="68" a="1"/>
  <c r="P5" i="68" a="1"/>
  <c r="W5" i="68" a="1"/>
  <c r="Q4" i="68" a="1"/>
  <c r="N3" i="68" a="1"/>
  <c r="G4" i="68" a="1"/>
  <c r="Q5" i="68" a="1"/>
  <c r="E5" i="68" a="1"/>
  <c r="D3" i="68" a="1"/>
  <c r="Y4" i="68" a="1"/>
  <c r="H5" i="68" a="1"/>
  <c r="O4" i="68" a="1"/>
  <c r="D4" i="68" a="1"/>
  <c r="W3" i="68" a="1"/>
  <c r="P3" i="68" a="1"/>
  <c r="F5" i="68" a="1"/>
  <c r="M4" i="68" a="1"/>
  <c r="Q3" i="68" a="1"/>
  <c r="S16" i="68" l="1"/>
  <c r="C16" i="68"/>
  <c r="K16" i="68"/>
  <c r="K13" i="68"/>
  <c r="R13" i="68" s="1"/>
  <c r="S13" i="68"/>
  <c r="Z13" i="68" s="1"/>
  <c r="C13" i="68"/>
  <c r="T5" i="68"/>
  <c r="O5" i="68"/>
  <c r="X5" i="68"/>
  <c r="E5" i="68"/>
  <c r="U5" i="68"/>
  <c r="G5" i="68"/>
  <c r="V5" i="68"/>
  <c r="P5" i="68"/>
  <c r="D5" i="68"/>
  <c r="Y5" i="68"/>
  <c r="W5" i="68"/>
  <c r="H5" i="68"/>
  <c r="M5" i="68"/>
  <c r="L5" i="68"/>
  <c r="N5" i="68"/>
  <c r="F5" i="68"/>
  <c r="I5" i="68"/>
  <c r="Q5" i="68"/>
  <c r="J2" i="70"/>
  <c r="D4" i="68"/>
  <c r="H4" i="68"/>
  <c r="U4" i="68"/>
  <c r="E4" i="68"/>
  <c r="W4" i="68"/>
  <c r="F4" i="68"/>
  <c r="N4" i="68"/>
  <c r="O4" i="68"/>
  <c r="X4" i="68"/>
  <c r="Y4" i="68"/>
  <c r="V4" i="68"/>
  <c r="P4" i="68"/>
  <c r="L4" i="68"/>
  <c r="Q4" i="68"/>
  <c r="M4" i="68"/>
  <c r="I4" i="68"/>
  <c r="G4" i="68"/>
  <c r="T4" i="68"/>
  <c r="J2" i="69"/>
  <c r="Z2" i="70"/>
  <c r="H2" i="70"/>
  <c r="R2" i="70"/>
  <c r="P2" i="70"/>
  <c r="X2" i="70"/>
  <c r="P2" i="69"/>
  <c r="H2" i="69"/>
  <c r="R2" i="69"/>
  <c r="Z2" i="69"/>
  <c r="X2" i="69"/>
  <c r="W3" i="68"/>
  <c r="E3" i="68"/>
  <c r="D3" i="68"/>
  <c r="M3" i="68"/>
  <c r="F3" i="68"/>
  <c r="N3" i="68"/>
  <c r="P3" i="68"/>
  <c r="Y3" i="68"/>
  <c r="H3" i="68"/>
  <c r="V3" i="68"/>
  <c r="O3" i="68"/>
  <c r="L3" i="68"/>
  <c r="G3" i="68"/>
  <c r="Q3" i="68"/>
  <c r="T3" i="68"/>
  <c r="I3" i="68"/>
  <c r="U3" i="68"/>
  <c r="X3" i="68"/>
  <c r="J2" i="58"/>
  <c r="R2" i="58"/>
  <c r="H2" i="58"/>
  <c r="Z2" i="58"/>
  <c r="P2" i="58"/>
  <c r="X2" i="58"/>
  <c r="P13" i="68" l="1"/>
  <c r="N13" i="68"/>
  <c r="M13" i="68"/>
  <c r="Q13" i="68"/>
  <c r="L13" i="68"/>
  <c r="L16" i="68" s="1"/>
  <c r="O13" i="68"/>
  <c r="S14" i="68"/>
  <c r="W13" i="68"/>
  <c r="U13" i="68"/>
  <c r="Y13" i="68"/>
  <c r="V13" i="68"/>
  <c r="X13" i="68"/>
  <c r="T13" i="68"/>
  <c r="T16" i="68" s="1"/>
  <c r="K14" i="68"/>
  <c r="J13" i="68"/>
  <c r="E13" i="68"/>
  <c r="H13" i="68"/>
  <c r="F13" i="68"/>
  <c r="D13" i="68"/>
  <c r="D16" i="68" s="1"/>
  <c r="I13" i="68"/>
  <c r="G13" i="68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P14" i="68" l="1"/>
  <c r="O14" i="68"/>
  <c r="T14" i="68"/>
  <c r="N14" i="68"/>
  <c r="M14" i="68"/>
  <c r="Y14" i="68"/>
  <c r="U14" i="68"/>
  <c r="X14" i="68"/>
  <c r="V14" i="68"/>
  <c r="W14" i="68"/>
  <c r="Q14" i="68"/>
  <c r="L14" i="68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P14" i="42" l="1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G14" i="26" l="1"/>
  <c r="E14" i="26"/>
  <c r="D14" i="26"/>
  <c r="K14" i="26"/>
  <c r="P14" i="25"/>
  <c r="N14" i="25"/>
  <c r="M14" i="25"/>
  <c r="T14" i="25"/>
  <c r="D14" i="25"/>
  <c r="H4" i="23" a="1"/>
  <c r="I4" i="23" a="1"/>
  <c r="H4" i="23" l="1"/>
  <c r="I4" i="23"/>
  <c r="E5" i="23" a="1"/>
  <c r="F6" i="23" a="1"/>
  <c r="G8" i="23" a="1"/>
  <c r="G10" i="23" a="1"/>
  <c r="E6" i="23" a="1"/>
  <c r="E8" i="23" a="1"/>
  <c r="F10" i="23" a="1"/>
  <c r="D12" i="23" a="1"/>
  <c r="E7" i="23" a="1"/>
  <c r="G5" i="23" a="1"/>
  <c r="G11" i="23" a="1"/>
  <c r="E9" i="23" a="1"/>
  <c r="D7" i="23" a="1"/>
  <c r="D8" i="23" a="1"/>
  <c r="D9" i="23" a="1"/>
  <c r="E11" i="23" a="1"/>
  <c r="G13" i="23" a="1"/>
  <c r="D4" i="23" a="1"/>
  <c r="F13" i="23" a="1"/>
  <c r="G7" i="23" a="1"/>
  <c r="D13" i="23" a="1"/>
  <c r="D10" i="23" a="1"/>
  <c r="F12" i="23" a="1"/>
  <c r="E4" i="23" a="1"/>
  <c r="F5" i="23" a="1"/>
  <c r="D5" i="23" a="1"/>
  <c r="D11" i="23" a="1"/>
  <c r="G6" i="23" a="1"/>
  <c r="F4" i="23" a="1"/>
  <c r="G4" i="23" a="1"/>
  <c r="F9" i="23" a="1"/>
  <c r="G9" i="23" a="1"/>
  <c r="G12" i="23" a="1"/>
  <c r="E10" i="23" a="1"/>
  <c r="F7" i="23" a="1"/>
  <c r="D6" i="23" a="1"/>
  <c r="F8" i="23" a="1"/>
  <c r="E12" i="23" a="1"/>
  <c r="E13" i="23" a="1"/>
  <c r="F11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<sst xmlns="http://schemas.openxmlformats.org/spreadsheetml/2006/main" count="677" uniqueCount="22">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</sst>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dimension ref="B2:Z16"/>
  <sheetViews>
    <sheetView zoomScale="85" zoomScaleNormal="85" workbookViewId="0">
      <selection activeCell="I25" sqref="I25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112</v>
      </c>
      <c r="C3" s="5" cm="1">
        <f t="array" aca="1" ref="C3" ca="1">INDIRECT("'results" &amp; $B3 &amp; "'!D$14")</f>
        <v>1157052.36142242</v>
      </c>
      <c r="D3" s="33" cm="1">
        <f t="array" aca="1" ref="D3" ca="1">INDIRECT("'results" &amp; $B3 &amp; "'!E$14")</f>
        <v>249.665142857137</v>
      </c>
      <c r="E3" s="5" cm="1">
        <f t="array" aca="1" ref="E3" ca="1">INDIRECT("'results" &amp; $B3 &amp; "'!F$14")</f>
        <v>11</v>
      </c>
      <c r="F3" s="5" cm="1">
        <f t="array" aca="1" ref="F3" ca="1">INDIRECT("'results" &amp; $B3 &amp; "'!G$14")</f>
        <v>96.666666666666671</v>
      </c>
      <c r="G3" s="5" cm="1">
        <f t="array" aca="1" ref="G3" ca="1">INDIRECT("'results" &amp; $B3 &amp; "'!H$14")</f>
        <v>544.98618701623468</v>
      </c>
      <c r="H3" s="33" cm="1">
        <f t="array" aca="1" ref="H3" ca="1">INDIRECT("'results" &amp; $B3 &amp; "'!I$14")</f>
        <v>50.961215406570275</v>
      </c>
      <c r="I3" s="5" cm="1">
        <f t="array" aca="1" ref="I3" ca="1">INDIRECT("'results" &amp; $B3 &amp; "'!J$14")</f>
        <v>5896.318858953412</v>
      </c>
      <c r="J3" s="5"/>
      <c r="K3" s="5" cm="1">
        <f t="array" aca="1" ref="K3" ca="1">INDIRECT("'results" &amp; $B3 &amp; "'!L$14")</f>
        <v>1568751.4716096369</v>
      </c>
      <c r="L3" s="5" cm="1">
        <f t="array" aca="1" ref="L3" ca="1">INDIRECT("'results" &amp; $B3 &amp; "'!M$14")</f>
        <v>513.84828571429739</v>
      </c>
      <c r="M3" s="5" cm="1">
        <f t="array" aca="1" ref="M3" ca="1">INDIRECT("'results" &amp; $B3 &amp; "'!N$14")</f>
        <v>26</v>
      </c>
      <c r="N3" s="5" cm="1">
        <f t="array" aca="1" ref="N3" ca="1">INDIRECT("'results" &amp; $B3 &amp; "'!O$14")</f>
        <v>84.666666666666671</v>
      </c>
      <c r="O3" s="5" cm="1">
        <f t="array" aca="1" ref="O3" ca="1">INDIRECT("'results" &amp; $B3 &amp; "'!P$14")</f>
        <v>357.83984099082204</v>
      </c>
      <c r="P3" s="5" cm="1">
        <f t="array" aca="1" ref="P3" ca="1">INDIRECT("'results" &amp; $B3 &amp; "'!Q$14")</f>
        <v>18.275049116979208</v>
      </c>
      <c r="Q3" s="5" cm="1">
        <f t="array" aca="1" ref="Q3" ca="1">INDIRECT("'results" &amp; $B3 &amp; "'!R$14")</f>
        <v>4927.2995983017045</v>
      </c>
      <c r="R3" s="5"/>
      <c r="S3" s="5" cm="1">
        <f t="array" aca="1" ref="S3" ca="1">INDIRECT("'results" &amp; $B3 &amp; "'!T$14")</f>
        <v>1566955.9207041671</v>
      </c>
      <c r="T3" s="5" cm="1">
        <f t="array" aca="1" ref="T3" ca="1">INDIRECT("'results" &amp; $B3 &amp; "'!U$14")</f>
        <v>259.209999999996</v>
      </c>
      <c r="U3" s="5" cm="1">
        <f t="array" aca="1" ref="U3" ca="1">INDIRECT("'results" &amp; $B3 &amp; "'!V$14")</f>
        <v>15</v>
      </c>
      <c r="V3" s="5" cm="1">
        <f t="array" aca="1" ref="V3" ca="1">INDIRECT("'results" &amp; $B3 &amp; "'!W$14")</f>
        <v>84.666666666666671</v>
      </c>
      <c r="W3" s="5" cm="1">
        <f t="array" aca="1" ref="W3" ca="1">INDIRECT("'results" &amp; $B3 &amp; "'!X$14")</f>
        <v>1198.1213014647813</v>
      </c>
      <c r="X3" s="5" cm="1">
        <f t="array" aca="1" ref="X3" ca="1">INDIRECT("'results" &amp; $B3 &amp; "'!Y$14")</f>
        <v>52.603115526304258</v>
      </c>
      <c r="Y3" s="5" cm="1">
        <f t="array" aca="1" ref="Y3" ca="1">INDIRECT("'results" &amp; $B3 &amp; "'!Z$14")</f>
        <v>6569.228730334491</v>
      </c>
      <c r="Z3" s="5"/>
    </row>
    <row r="4" spans="2:26" x14ac:dyDescent="0.2">
      <c r="B4" s="4">
        <v>127</v>
      </c>
      <c r="C4" s="5" cm="1">
        <f t="array" aca="1" ref="C4" ca="1">INDIRECT("'results" &amp; $B4 &amp; "'!D$14")</f>
        <v>1384155.27745426</v>
      </c>
      <c r="D4" s="33" cm="1">
        <f t="array" aca="1" ref="D4" ca="1">INDIRECT("'results" &amp; $B4 &amp; "'!E$14")</f>
        <v>232.46857142857542</v>
      </c>
      <c r="E4" s="5" cm="1">
        <f t="array" aca="1" ref="E4" ca="1">INDIRECT("'results" &amp; $B4 &amp; "'!F$14")</f>
        <v>13</v>
      </c>
      <c r="F4" s="5" cm="1">
        <f t="array" aca="1" ref="F4" ca="1">INDIRECT("'results" &amp; $B4 &amp; "'!G$14")</f>
        <v>88.666666666666671</v>
      </c>
      <c r="G4" s="5" cm="1">
        <f t="array" aca="1" ref="G4" ca="1">INDIRECT("'results" &amp; $B4 &amp; "'!H$14")</f>
        <v>762.84882466348745</v>
      </c>
      <c r="H4" s="33" cm="1">
        <f t="array" aca="1" ref="H4" ca="1">INDIRECT("'results" &amp; $B4 &amp; "'!I$14")</f>
        <v>43.651470641515829</v>
      </c>
      <c r="I4" s="5" cm="1">
        <f t="array" aca="1" ref="I4" ca="1">INDIRECT("'results" &amp; $B4 &amp; "'!J$14")</f>
        <v>6043.6052008763581</v>
      </c>
      <c r="J4" s="5"/>
      <c r="K4" s="5" cm="1">
        <f t="array" aca="1" ref="K4" ca="1">INDIRECT("'results" &amp; $B4 &amp; "'!L$14")</f>
        <v>1810566.130465749</v>
      </c>
      <c r="L4" s="5" cm="1">
        <f t="array" aca="1" ref="L4" ca="1">INDIRECT("'results" &amp; $B4 &amp; "'!M$14")</f>
        <v>202.43285714286114</v>
      </c>
      <c r="M4" s="5" cm="1">
        <f t="array" aca="1" ref="M4" ca="1">INDIRECT("'results" &amp; $B4 &amp; "'!N$14")</f>
        <v>21</v>
      </c>
      <c r="N4" s="5" cm="1">
        <f t="array" aca="1" ref="N4" ca="1">INDIRECT("'results" &amp; $B4 &amp; "'!O$14")</f>
        <v>70.666666666666671</v>
      </c>
      <c r="O4" s="5" cm="1">
        <f t="array" aca="1" ref="O4" ca="1">INDIRECT("'results" &amp; $B4 &amp; "'!P$14")</f>
        <v>615.83119120888216</v>
      </c>
      <c r="P4" s="5" cm="1">
        <f t="array" aca="1" ref="P4" ca="1">INDIRECT("'results" &amp; $B4 &amp; "'!Q$14")</f>
        <v>20.215689613833177</v>
      </c>
      <c r="Q4" s="5" cm="1">
        <f t="array" aca="1" ref="Q4" ca="1">INDIRECT("'results" &amp; $B4 &amp; "'!R$14")</f>
        <v>5038.2195029962259</v>
      </c>
      <c r="R4" s="5"/>
      <c r="S4" s="5" cm="1">
        <f t="array" aca="1" ref="S4" ca="1">INDIRECT("'results" &amp; $B4 &amp; "'!T$14")</f>
        <v>1824267.9289435439</v>
      </c>
      <c r="T4" s="5" cm="1">
        <f t="array" aca="1" ref="T4" ca="1">INDIRECT("'results" &amp; $B4 &amp; "'!U$14")</f>
        <v>584.47342857143053</v>
      </c>
      <c r="U4" s="5" cm="1">
        <f t="array" aca="1" ref="U4" ca="1">INDIRECT("'results" &amp; $B4 &amp; "'!V$14")</f>
        <v>11</v>
      </c>
      <c r="V4" s="5" cm="1">
        <f t="array" aca="1" ref="V4" ca="1">INDIRECT("'results" &amp; $B4 &amp; "'!W$14")</f>
        <v>67.333333333333329</v>
      </c>
      <c r="W4" s="5" cm="1">
        <f t="array" aca="1" ref="W4" ca="1">INDIRECT("'results" &amp; $B4 &amp; "'!X$14")</f>
        <v>924.81913246984152</v>
      </c>
      <c r="X4" s="5" cm="1">
        <f t="array" aca="1" ref="X4" ca="1">INDIRECT("'results" &amp; $B4 &amp; "'!Y$14")</f>
        <v>64.387506251721334</v>
      </c>
      <c r="Y4" s="5" cm="1">
        <f t="array" aca="1" ref="Y4" ca="1">INDIRECT("'results" &amp; $B4 &amp; "'!Z$14")</f>
        <v>6608.9511924837707</v>
      </c>
      <c r="Z4" s="5"/>
    </row>
    <row r="5" spans="2:26" x14ac:dyDescent="0.2">
      <c r="B5" s="4">
        <v>179</v>
      </c>
      <c r="C5" s="5" cm="1">
        <f t="array" aca="1" ref="C5" ca="1">INDIRECT("'results" &amp; $B5 &amp; "'!D$14")</f>
        <v>1296910.8917388681</v>
      </c>
      <c r="D5" s="33" cm="1">
        <f t="array" aca="1" ref="D5" ca="1">INDIRECT("'results" &amp; $B5 &amp; "'!E$14")</f>
        <v>228.3437142857417</v>
      </c>
      <c r="E5" s="5" cm="1">
        <f t="array" aca="1" ref="E5" ca="1">INDIRECT("'results" &amp; $B5 &amp; "'!F$14")</f>
        <v>11</v>
      </c>
      <c r="F5" s="5" cm="1">
        <f t="array" aca="1" ref="F5" ca="1">INDIRECT("'results" &amp; $B5 &amp; "'!G$14")</f>
        <v>95.333333333333329</v>
      </c>
      <c r="G5" s="5" cm="1">
        <f t="array" aca="1" ref="G5" ca="1">INDIRECT("'results" &amp; $B5 &amp; "'!H$14")</f>
        <v>859.78751429476551</v>
      </c>
      <c r="H5" s="33" cm="1">
        <f t="array" aca="1" ref="H5" ca="1">INDIRECT("'results" &amp; $B5 &amp; "'!I$14")</f>
        <v>48.883966894469765</v>
      </c>
      <c r="I5" s="5" cm="1">
        <f t="array" aca="1" ref="I5" ca="1">INDIRECT("'results" &amp; $B5 &amp; "'!J$14")</f>
        <v>6623.5143067489953</v>
      </c>
      <c r="J5" s="5"/>
      <c r="K5" s="5" cm="1">
        <f t="array" aca="1" ref="K5" ca="1">INDIRECT("'results" &amp; $B5 &amp; "'!L$14")</f>
        <v>1606568.3223999541</v>
      </c>
      <c r="L5" s="5" cm="1">
        <f t="array" aca="1" ref="L5" ca="1">INDIRECT("'results" &amp; $B5 &amp; "'!M$14")</f>
        <v>612.74542857144422</v>
      </c>
      <c r="M5" s="5" cm="1">
        <f t="array" aca="1" ref="M5" ca="1">INDIRECT("'results" &amp; $B5 &amp; "'!N$14")</f>
        <v>21</v>
      </c>
      <c r="N5" s="5" cm="1">
        <f t="array" aca="1" ref="N5" ca="1">INDIRECT("'results" &amp; $B5 &amp; "'!O$14")</f>
        <v>80</v>
      </c>
      <c r="O5" s="5" cm="1">
        <f t="array" aca="1" ref="O5" ca="1">INDIRECT("'results" &amp; $B5 &amp; "'!P$14")</f>
        <v>579.7122882153177</v>
      </c>
      <c r="P5" s="5" cm="1">
        <f t="array" aca="1" ref="P5" ca="1">INDIRECT("'results" &amp; $B5 &amp; "'!Q$14")</f>
        <v>20.794005093390734</v>
      </c>
      <c r="Q5" s="5" cm="1">
        <f t="array" aca="1" ref="Q5" ca="1">INDIRECT("'results" &amp; $B5 &amp; "'!R$14")</f>
        <v>5186.1143987517535</v>
      </c>
      <c r="R5" s="5"/>
      <c r="S5" s="5" cm="1">
        <f t="array" aca="1" ref="S5" ca="1">INDIRECT("'results" &amp; $B5 &amp; "'!T$14")</f>
        <v>1663249.9320858989</v>
      </c>
      <c r="T5" s="5" cm="1">
        <f t="array" aca="1" ref="T5" ca="1">INDIRECT("'results" &amp; $B5 &amp; "'!U$14")</f>
        <v>239.23657142856558</v>
      </c>
      <c r="U5" s="5" cm="1">
        <f t="array" aca="1" ref="U5" ca="1">INDIRECT("'results" &amp; $B5 &amp; "'!V$14")</f>
        <v>14</v>
      </c>
      <c r="V5" s="5" cm="1">
        <f t="array" aca="1" ref="V5" ca="1">INDIRECT("'results" &amp; $B5 &amp; "'!W$14")</f>
        <v>80</v>
      </c>
      <c r="W5" s="5" cm="1">
        <f t="array" aca="1" ref="W5" ca="1">INDIRECT("'results" &amp; $B5 &amp; "'!X$14")</f>
        <v>1235.101174902926</v>
      </c>
      <c r="X5" s="5" cm="1">
        <f t="array" aca="1" ref="X5" ca="1">INDIRECT("'results" &amp; $B5 &amp; "'!Y$14")</f>
        <v>47.955528274550311</v>
      </c>
      <c r="Y5" s="5" cm="1">
        <f t="array" aca="1" ref="Y5" ca="1">INDIRECT("'results" &amp; $B5 &amp; "'!Z$14")</f>
        <v>6815.2617847901756</v>
      </c>
      <c r="Z5" s="5"/>
    </row>
    <row r="6" spans="2:26" x14ac:dyDescent="0.2">
      <c r="B6" s="4">
        <v>212</v>
      </c>
      <c r="C6" s="5" cm="1">
        <f t="array" aca="1" ref="C6" ca="1">INDIRECT("'results" &amp; $B6 &amp; "'!D$14")</f>
        <v>1302682.6212871489</v>
      </c>
      <c r="D6" s="33" cm="1">
        <f t="array" aca="1" ref="D6" ca="1">INDIRECT("'results" &amp; $B6 &amp; "'!E$14")</f>
        <v>98.049142857115456</v>
      </c>
      <c r="E6" s="5" cm="1">
        <f t="array" aca="1" ref="E6" ca="1">INDIRECT("'results" &amp; $B6 &amp; "'!F$14")</f>
        <v>12</v>
      </c>
      <c r="F6" s="5" cm="1">
        <f t="array" aca="1" ref="F6" ca="1">INDIRECT("'results" &amp; $B6 &amp; "'!G$14")</f>
        <v>95.333333333333329</v>
      </c>
      <c r="G6" s="5" cm="1">
        <f t="array" aca="1" ref="G6" ca="1">INDIRECT("'results" &amp; $B6 &amp; "'!H$14")</f>
        <v>927.82239751237194</v>
      </c>
      <c r="H6" s="33" cm="1">
        <f t="array" aca="1" ref="H6" ca="1">INDIRECT("'results" &amp; $B6 &amp; "'!I$14")</f>
        <v>43.810873797015553</v>
      </c>
      <c r="I6" s="5" cm="1">
        <f t="array" aca="1" ref="I6" ca="1">INDIRECT("'results" &amp; $B6 &amp; "'!J$14")</f>
        <v>6257.799452640229</v>
      </c>
      <c r="J6" s="5"/>
      <c r="K6" s="5" cm="1">
        <f t="array" aca="1" ref="K6" ca="1">INDIRECT("'results" &amp; $B6 &amp; "'!L$14")</f>
        <v>1615941.967883765</v>
      </c>
      <c r="L6" s="5" cm="1">
        <f t="array" aca="1" ref="L6" ca="1">INDIRECT("'results" &amp; $B6 &amp; "'!M$14")</f>
        <v>656.51799999999025</v>
      </c>
      <c r="M6" s="5" cm="1">
        <f t="array" aca="1" ref="M6" ca="1">INDIRECT("'results" &amp; $B6 &amp; "'!N$14")</f>
        <v>20</v>
      </c>
      <c r="N6" s="5" cm="1">
        <f t="array" aca="1" ref="N6" ca="1">INDIRECT("'results" &amp; $B6 &amp; "'!O$14")</f>
        <v>82</v>
      </c>
      <c r="O6" s="5" cm="1">
        <f t="array" aca="1" ref="O6" ca="1">INDIRECT("'results" &amp; $B6 &amp; "'!P$14")</f>
        <v>648.28475400693662</v>
      </c>
      <c r="P6" s="5" cm="1">
        <f t="array" aca="1" ref="P6" ca="1">INDIRECT("'results" &amp; $B6 &amp; "'!Q$14")</f>
        <v>20.622247058984229</v>
      </c>
      <c r="Q6" s="5" cm="1">
        <f t="array" aca="1" ref="Q6" ca="1">INDIRECT("'results" &amp; $B6 &amp; "'!R$14")</f>
        <v>5517.8534906162349</v>
      </c>
      <c r="R6" s="5"/>
      <c r="S6" s="5" cm="1">
        <f t="array" aca="1" ref="S6" ca="1">INDIRECT("'results" &amp; $B6 &amp; "'!T$14")</f>
        <v>1758102.182236128</v>
      </c>
      <c r="T6" s="5" cm="1">
        <f t="array" aca="1" ref="T6" ca="1">INDIRECT("'results" &amp; $B6 &amp; "'!U$14")</f>
        <v>280.2591428571447</v>
      </c>
      <c r="U6" s="5" cm="1">
        <f t="array" aca="1" ref="U6" ca="1">INDIRECT("'results" &amp; $B6 &amp; "'!V$14")</f>
        <v>10</v>
      </c>
      <c r="V6" s="5" cm="1">
        <f t="array" aca="1" ref="V6" ca="1">INDIRECT("'results" &amp; $B6 &amp; "'!W$14")</f>
        <v>66.666666666666671</v>
      </c>
      <c r="W6" s="5" cm="1">
        <f t="array" aca="1" ref="W6" ca="1">INDIRECT("'results" &amp; $B6 &amp; "'!X$14")</f>
        <v>664.19853014407624</v>
      </c>
      <c r="X6" s="5" cm="1">
        <f t="array" aca="1" ref="X6" ca="1">INDIRECT("'results" &amp; $B6 &amp; "'!Y$14")</f>
        <v>51.839823190860535</v>
      </c>
      <c r="Y6" s="5" cm="1">
        <f t="array" aca="1" ref="Y6" ca="1">INDIRECT("'results" &amp; $B6 &amp; "'!Z$14")</f>
        <v>5955.6265428266443</v>
      </c>
      <c r="Z6" s="5"/>
    </row>
    <row r="7" spans="2:26" x14ac:dyDescent="0.2">
      <c r="B7" s="4">
        <v>313</v>
      </c>
      <c r="C7" s="5" cm="1">
        <f t="array" aca="1" ref="C7" ca="1">INDIRECT("'results" &amp; $B7 &amp; "'!D$14")</f>
        <v>1225728.9680354521</v>
      </c>
      <c r="D7" s="33" cm="1">
        <f t="array" aca="1" ref="D7" ca="1">INDIRECT("'results" &amp; $B7 &amp; "'!E$14")</f>
        <v>135.39742857141289</v>
      </c>
      <c r="E7" s="5" cm="1">
        <f t="array" aca="1" ref="E7" ca="1">INDIRECT("'results" &amp; $B7 &amp; "'!F$14")</f>
        <v>11</v>
      </c>
      <c r="F7" s="5" cm="1">
        <f t="array" aca="1" ref="F7" ca="1">INDIRECT("'results" &amp; $B7 &amp; "'!G$14")</f>
        <v>96</v>
      </c>
      <c r="G7" s="5" cm="1">
        <f t="array" aca="1" ref="G7" ca="1">INDIRECT("'results" &amp; $B7 &amp; "'!H$14")</f>
        <v>747.92659152144063</v>
      </c>
      <c r="H7" s="33" cm="1">
        <f t="array" aca="1" ref="H7" ca="1">INDIRECT("'results" &amp; $B7 &amp; "'!I$14")</f>
        <v>45.964944975846919</v>
      </c>
      <c r="I7" s="5" cm="1">
        <f t="array" aca="1" ref="I7" ca="1">INDIRECT("'results" &amp; $B7 &amp; "'!J$14")</f>
        <v>6030.4316200686708</v>
      </c>
      <c r="J7" s="5"/>
      <c r="K7" s="5" cm="1">
        <f t="array" aca="1" ref="K7" ca="1">INDIRECT("'results" &amp; $B7 &amp; "'!L$14")</f>
        <v>1571327.2142750761</v>
      </c>
      <c r="L7" s="5" cm="1">
        <f t="array" aca="1" ref="L7" ca="1">INDIRECT("'results" &amp; $B7 &amp; "'!M$14")</f>
        <v>655.89285714285711</v>
      </c>
      <c r="M7" s="5" cm="1">
        <f t="array" aca="1" ref="M7" ca="1">INDIRECT("'results" &amp; $B7 &amp; "'!N$14")</f>
        <v>23</v>
      </c>
      <c r="N7" s="5" cm="1">
        <f t="array" aca="1" ref="N7" ca="1">INDIRECT("'results" &amp; $B7 &amp; "'!O$14")</f>
        <v>89.333333333333329</v>
      </c>
      <c r="O7" s="5" cm="1">
        <f t="array" aca="1" ref="O7" ca="1">INDIRECT("'results" &amp; $B7 &amp; "'!P$14")</f>
        <v>819.98990239791624</v>
      </c>
      <c r="P7" s="5" cm="1">
        <f t="array" aca="1" ref="P7" ca="1">INDIRECT("'results" &amp; $B7 &amp; "'!Q$14")</f>
        <v>19.362074661193713</v>
      </c>
      <c r="Q7" s="5" cm="1">
        <f t="array" aca="1" ref="Q7" ca="1">INDIRECT("'results" &amp; $B7 &amp; "'!R$14")</f>
        <v>5726.5599110260309</v>
      </c>
      <c r="R7" s="5"/>
      <c r="S7" s="5" cm="1">
        <f t="array" aca="1" ref="S7" ca="1">INDIRECT("'results" &amp; $B7 &amp; "'!T$14")</f>
        <v>1625624.0347891329</v>
      </c>
      <c r="T7" s="5" cm="1">
        <f t="array" aca="1" ref="T7" ca="1">INDIRECT("'results" &amp; $B7 &amp; "'!U$14")</f>
        <v>182.00885714284544</v>
      </c>
      <c r="U7" s="5" cm="1">
        <f t="array" aca="1" ref="U7" ca="1">INDIRECT("'results" &amp; $B7 &amp; "'!V$14")</f>
        <v>12</v>
      </c>
      <c r="V7" s="5" cm="1">
        <f t="array" aca="1" ref="V7" ca="1">INDIRECT("'results" &amp; $B7 &amp; "'!W$14")</f>
        <v>82.666666666666671</v>
      </c>
      <c r="W7" s="5" cm="1">
        <f t="array" aca="1" ref="W7" ca="1">INDIRECT("'results" &amp; $B7 &amp; "'!X$14")</f>
        <v>1205.5309301472057</v>
      </c>
      <c r="X7" s="5" cm="1">
        <f t="array" aca="1" ref="X7" ca="1">INDIRECT("'results" &amp; $B7 &amp; "'!Y$14")</f>
        <v>56.883692419352379</v>
      </c>
      <c r="Y7" s="5" cm="1">
        <f t="array" aca="1" ref="Y7" ca="1">INDIRECT("'results" &amp; $B7 &amp; "'!Z$14")</f>
        <v>6938.9454820373212</v>
      </c>
      <c r="Z7" s="5"/>
    </row>
    <row r="8" spans="2:26" x14ac:dyDescent="0.2">
      <c r="B8" s="4">
        <v>450</v>
      </c>
      <c r="C8" s="5" cm="1">
        <f t="array" aca="1" ref="C8" ca="1">INDIRECT("'results" &amp; $B8 &amp; "'!D$14")</f>
        <v>1228283.036659003</v>
      </c>
      <c r="D8" s="33" cm="1">
        <f t="array" aca="1" ref="D8" ca="1">INDIRECT("'results" &amp; $B8 &amp; "'!E$14")</f>
        <v>313.84371428570859</v>
      </c>
      <c r="E8" s="5" cm="1">
        <f t="array" aca="1" ref="E8" ca="1">INDIRECT("'results" &amp; $B8 &amp; "'!F$14")</f>
        <v>11</v>
      </c>
      <c r="F8" s="5" cm="1">
        <f t="array" aca="1" ref="F8" ca="1">INDIRECT("'results" &amp; $B8 &amp; "'!G$14")</f>
        <v>96</v>
      </c>
      <c r="G8" s="5" cm="1">
        <f t="array" aca="1" ref="G8" ca="1">INDIRECT("'results" &amp; $B8 &amp; "'!H$14")</f>
        <v>627.22252164327108</v>
      </c>
      <c r="H8" s="33" cm="1">
        <f t="array" aca="1" ref="H8" ca="1">INDIRECT("'results" &amp; $B8 &amp; "'!I$14")</f>
        <v>50.145890115603883</v>
      </c>
      <c r="I8" s="5" cm="1">
        <f t="array" aca="1" ref="I8" ca="1">INDIRECT("'results" &amp; $B8 &amp; "'!J$14")</f>
        <v>6192.6797896524358</v>
      </c>
      <c r="J8" s="5"/>
      <c r="K8" s="5" cm="1">
        <f t="array" aca="1" ref="K8" ca="1">INDIRECT("'results" &amp; $B8 &amp; "'!L$14")</f>
        <v>1740001.550950293</v>
      </c>
      <c r="L8" s="5" cm="1">
        <f t="array" aca="1" ref="L8" ca="1">INDIRECT("'results" &amp; $B8 &amp; "'!M$14")</f>
        <v>424.6965714285617</v>
      </c>
      <c r="M8" s="5" cm="1">
        <f t="array" aca="1" ref="M8" ca="1">INDIRECT("'results" &amp; $B8 &amp; "'!N$14")</f>
        <v>18</v>
      </c>
      <c r="N8" s="5" cm="1">
        <f t="array" aca="1" ref="N8" ca="1">INDIRECT("'results" &amp; $B8 &amp; "'!O$14")</f>
        <v>69.333333333333329</v>
      </c>
      <c r="O8" s="5" cm="1">
        <f t="array" aca="1" ref="O8" ca="1">INDIRECT("'results" &amp; $B8 &amp; "'!P$14")</f>
        <v>221.73860365374927</v>
      </c>
      <c r="P8" s="5" cm="1">
        <f t="array" aca="1" ref="P8" ca="1">INDIRECT("'results" &amp; $B8 &amp; "'!Q$14")</f>
        <v>20.075821269543205</v>
      </c>
      <c r="Q8" s="5" cm="1">
        <f t="array" aca="1" ref="Q8" ca="1">INDIRECT("'results" &amp; $B8 &amp; "'!R$14")</f>
        <v>4777.7503597319683</v>
      </c>
      <c r="R8" s="5"/>
      <c r="S8" s="5" cm="1">
        <f t="array" aca="1" ref="S8" ca="1">INDIRECT("'results" &amp; $B8 &amp; "'!T$14")</f>
        <v>1646371.667001829</v>
      </c>
      <c r="T8" s="5" cm="1">
        <f t="array" aca="1" ref="T8" ca="1">INDIRECT("'results" &amp; $B8 &amp; "'!U$14")</f>
        <v>620.03571428571433</v>
      </c>
      <c r="U8" s="5" cm="1">
        <f t="array" aca="1" ref="U8" ca="1">INDIRECT("'results" &amp; $B8 &amp; "'!V$14")</f>
        <v>13</v>
      </c>
      <c r="V8" s="5" cm="1">
        <f t="array" aca="1" ref="V8" ca="1">INDIRECT("'results" &amp; $B8 &amp; "'!W$14")</f>
        <v>78.666666666666671</v>
      </c>
      <c r="W8" s="5" cm="1">
        <f t="array" aca="1" ref="W8" ca="1">INDIRECT("'results" &amp; $B8 &amp; "'!X$14")</f>
        <v>996.2791152391726</v>
      </c>
      <c r="X8" s="5" cm="1">
        <f t="array" aca="1" ref="X8" ca="1">INDIRECT("'results" &amp; $B8 &amp; "'!Y$14")</f>
        <v>55.525441974774758</v>
      </c>
      <c r="Y8" s="5" cm="1">
        <f t="array" aca="1" ref="Y8" ca="1">INDIRECT("'results" &amp; $B8 &amp; "'!Z$14")</f>
        <v>6555.3443683927017</v>
      </c>
      <c r="Z8" s="5"/>
    </row>
    <row r="9" spans="2:26" x14ac:dyDescent="0.2">
      <c r="B9" s="4">
        <v>613</v>
      </c>
      <c r="C9" s="5" cm="1">
        <f t="array" aca="1" ref="C9" ca="1">INDIRECT("'results" &amp; $B9 &amp; "'!D$14")</f>
        <v>1164497.60938274</v>
      </c>
      <c r="D9" s="33" cm="1">
        <f t="array" aca="1" ref="D9" ca="1">INDIRECT("'results" &amp; $B9 &amp; "'!E$14")</f>
        <v>174.81228571428386</v>
      </c>
      <c r="E9" s="5" cm="1">
        <f t="array" aca="1" ref="E9" ca="1">INDIRECT("'results" &amp; $B9 &amp; "'!F$14")</f>
        <v>10</v>
      </c>
      <c r="F9" s="5" cm="1">
        <f t="array" aca="1" ref="F9" ca="1">INDIRECT("'results" &amp; $B9 &amp; "'!G$14")</f>
        <v>97.333333333333329</v>
      </c>
      <c r="G9" s="5" cm="1">
        <f t="array" aca="1" ref="G9" ca="1">INDIRECT("'results" &amp; $B9 &amp; "'!H$14")</f>
        <v>552.35745016988972</v>
      </c>
      <c r="H9" s="33" cm="1">
        <f t="array" aca="1" ref="H9" ca="1">INDIRECT("'results" &amp; $B9 &amp; "'!I$14")</f>
        <v>53.154722313302877</v>
      </c>
      <c r="I9" s="5" cm="1">
        <f t="array" aca="1" ref="I9" ca="1">INDIRECT("'results" &amp; $B9 &amp; "'!J$14")</f>
        <v>6037.2125429881235</v>
      </c>
      <c r="J9" s="5"/>
      <c r="K9" s="5" cm="1">
        <f t="array" aca="1" ref="K9" ca="1">INDIRECT("'results" &amp; $B9 &amp; "'!L$14")</f>
        <v>1560934.3775838269</v>
      </c>
      <c r="L9" s="5" cm="1">
        <f t="array" aca="1" ref="L9" ca="1">INDIRECT("'results" &amp; $B9 &amp; "'!M$14")</f>
        <v>547.65628571429147</v>
      </c>
      <c r="M9" s="5" cm="1">
        <f t="array" aca="1" ref="M9" ca="1">INDIRECT("'results" &amp; $B9 &amp; "'!N$14")</f>
        <v>31</v>
      </c>
      <c r="N9" s="5" cm="1">
        <f t="array" aca="1" ref="N9" ca="1">INDIRECT("'results" &amp; $B9 &amp; "'!O$14")</f>
        <v>93.333333333333329</v>
      </c>
      <c r="O9" s="5" cm="1">
        <f t="array" aca="1" ref="O9" ca="1">INDIRECT("'results" &amp; $B9 &amp; "'!P$14")</f>
        <v>671.83291323293861</v>
      </c>
      <c r="P9" s="5" cm="1">
        <f t="array" aca="1" ref="P9" ca="1">INDIRECT("'results" &amp; $B9 &amp; "'!Q$14")</f>
        <v>15.997508023437037</v>
      </c>
      <c r="Q9" s="5" cm="1">
        <f t="array" aca="1" ref="Q9" ca="1">INDIRECT("'results" &amp; $B9 &amp; "'!R$14")</f>
        <v>5227.10451572484</v>
      </c>
      <c r="R9" s="5"/>
      <c r="S9" s="5" cm="1">
        <f t="array" aca="1" ref="S9" ca="1">INDIRECT("'results" &amp; $B9 &amp; "'!T$14")</f>
        <v>1581998.0409952849</v>
      </c>
      <c r="T9" s="5" cm="1">
        <f t="array" aca="1" ref="T9" ca="1">INDIRECT("'results" &amp; $B9 &amp; "'!U$14")</f>
        <v>485.84828571426431</v>
      </c>
      <c r="U9" s="5" cm="1">
        <f t="array" aca="1" ref="U9" ca="1">INDIRECT("'results" &amp; $B9 &amp; "'!V$14")</f>
        <v>15</v>
      </c>
      <c r="V9" s="5" cm="1">
        <f t="array" aca="1" ref="V9" ca="1">INDIRECT("'results" &amp; $B9 &amp; "'!W$14")</f>
        <v>86</v>
      </c>
      <c r="W9" s="5" cm="1">
        <f t="array" aca="1" ref="W9" ca="1">INDIRECT("'results" &amp; $B9 &amp; "'!X$14")</f>
        <v>1290.5478202654208</v>
      </c>
      <c r="X9" s="5" cm="1">
        <f t="array" aca="1" ref="X9" ca="1">INDIRECT("'results" &amp; $B9 &amp; "'!Y$14")</f>
        <v>53.882720270056673</v>
      </c>
      <c r="Y9" s="5" cm="1">
        <f t="array" aca="1" ref="Y9" ca="1">INDIRECT("'results" &amp; $B9 &amp; "'!Z$14")</f>
        <v>6702.5589529763502</v>
      </c>
      <c r="Z9" s="5"/>
    </row>
    <row r="10" spans="2:26" x14ac:dyDescent="0.2">
      <c r="B10" s="4">
        <v>661</v>
      </c>
      <c r="C10" s="5" cm="1">
        <f t="array" aca="1" ref="C10" ca="1">INDIRECT("'results" &amp; $B10 &amp; "'!D$14")</f>
        <v>1112252.858739007</v>
      </c>
      <c r="D10" s="33" cm="1">
        <f t="array" aca="1" ref="D10" ca="1">INDIRECT("'results" &amp; $B10 &amp; "'!E$14")</f>
        <v>90.107142857142861</v>
      </c>
      <c r="E10" s="5" cm="1">
        <f t="array" aca="1" ref="E10" ca="1">INDIRECT("'results" &amp; $B10 &amp; "'!F$14")</f>
        <v>10</v>
      </c>
      <c r="F10" s="5" cm="1">
        <f t="array" aca="1" ref="F10" ca="1">INDIRECT("'results" &amp; $B10 &amp; "'!G$14")</f>
        <v>94.666666666666671</v>
      </c>
      <c r="G10" s="5" cm="1">
        <f t="array" aca="1" ref="G10" ca="1">INDIRECT("'results" &amp; $B10 &amp; "'!H$14")</f>
        <v>259.79507058176171</v>
      </c>
      <c r="H10" s="33" cm="1">
        <f t="array" aca="1" ref="H10" ca="1">INDIRECT("'results" &amp; $B10 &amp; "'!I$14")</f>
        <v>43.392350163450118</v>
      </c>
      <c r="I10" s="5" cm="1">
        <f t="array" aca="1" ref="I10" ca="1">INDIRECT("'results" &amp; $B10 &amp; "'!J$14")</f>
        <v>5456.0950854881376</v>
      </c>
      <c r="J10" s="5"/>
      <c r="K10" s="5" cm="1">
        <f t="array" aca="1" ref="K10" ca="1">INDIRECT("'results" &amp; $B10 &amp; "'!L$14")</f>
        <v>1540239.9913278569</v>
      </c>
      <c r="L10" s="5" cm="1">
        <f t="array" aca="1" ref="L10" ca="1">INDIRECT("'results" &amp; $B10 &amp; "'!M$14")</f>
        <v>264.22342857143042</v>
      </c>
      <c r="M10" s="5" cm="1">
        <f t="array" aca="1" ref="M10" ca="1">INDIRECT("'results" &amp; $B10 &amp; "'!N$14")</f>
        <v>30</v>
      </c>
      <c r="N10" s="5" cm="1">
        <f t="array" aca="1" ref="N10" ca="1">INDIRECT("'results" &amp; $B10 &amp; "'!O$14")</f>
        <v>92</v>
      </c>
      <c r="O10" s="5" cm="1">
        <f t="array" aca="1" ref="O10" ca="1">INDIRECT("'results" &amp; $B10 &amp; "'!P$14")</f>
        <v>563.13496684324764</v>
      </c>
      <c r="P10" s="5" cm="1">
        <f t="array" aca="1" ref="P10" ca="1">INDIRECT("'results" &amp; $B10 &amp; "'!Q$14")</f>
        <v>14.474467450261164</v>
      </c>
      <c r="Q10" s="5" cm="1">
        <f t="array" aca="1" ref="Q10" ca="1">INDIRECT("'results" &amp; $B10 &amp; "'!R$14")</f>
        <v>5196.9314715168002</v>
      </c>
      <c r="R10" s="5"/>
      <c r="S10" s="5" cm="1">
        <f t="array" aca="1" ref="S10" ca="1">INDIRECT("'results" &amp; $B10 &amp; "'!T$14")</f>
        <v>1438806.583051811</v>
      </c>
      <c r="T10" s="5" cm="1">
        <f t="array" aca="1" ref="T10" ca="1">INDIRECT("'results" &amp; $B10 &amp; "'!U$14")</f>
        <v>295.830285714274</v>
      </c>
      <c r="U10" s="5" cm="1">
        <f t="array" aca="1" ref="U10" ca="1">INDIRECT("'results" &amp; $B10 &amp; "'!V$14")</f>
        <v>16</v>
      </c>
      <c r="V10" s="5" cm="1">
        <f t="array" aca="1" ref="V10" ca="1">INDIRECT("'results" &amp; $B10 &amp; "'!W$14")</f>
        <v>92</v>
      </c>
      <c r="W10" s="5" cm="1">
        <f t="array" aca="1" ref="W10" ca="1">INDIRECT("'results" &amp; $B10 &amp; "'!X$14")</f>
        <v>1035.6930646796634</v>
      </c>
      <c r="X10" s="5" cm="1">
        <f t="array" aca="1" ref="X10" ca="1">INDIRECT("'results" &amp; $B10 &amp; "'!Y$14")</f>
        <v>52.829192626353482</v>
      </c>
      <c r="Y10" s="5" cm="1">
        <f t="array" aca="1" ref="Y10" ca="1">INDIRECT("'results" &amp; $B10 &amp; "'!Z$14")</f>
        <v>6576.2905248876159</v>
      </c>
      <c r="Z10" s="5"/>
    </row>
    <row r="11" spans="2:26" x14ac:dyDescent="0.2">
      <c r="B11" s="4">
        <v>819</v>
      </c>
      <c r="C11" s="5" cm="1">
        <f t="array" aca="1" ref="C11" ca="1">INDIRECT("'results" &amp; $B11 &amp; "'!D$14")</f>
        <v>1444699.0746093569</v>
      </c>
      <c r="D11" s="33" cm="1">
        <f t="array" aca="1" ref="D11" ca="1">INDIRECT("'results" &amp; $B11 &amp; "'!E$14")</f>
        <v>313.07571428571828</v>
      </c>
      <c r="E11" s="5" cm="1">
        <f t="array" aca="1" ref="E11" ca="1">INDIRECT("'results" &amp; $B11 &amp; "'!F$14")</f>
        <v>14</v>
      </c>
      <c r="F11" s="5" cm="1">
        <f t="array" aca="1" ref="F11" ca="1">INDIRECT("'results" &amp; $B11 &amp; "'!G$14")</f>
        <v>94.666666666666671</v>
      </c>
      <c r="G11" s="5" cm="1">
        <f t="array" aca="1" ref="G11" ca="1">INDIRECT("'results" &amp; $B11 &amp; "'!H$14")</f>
        <v>1226.942828701955</v>
      </c>
      <c r="H11" s="33" cm="1">
        <f t="array" aca="1" ref="H11" ca="1">INDIRECT("'results" &amp; $B11 &amp; "'!I$14")</f>
        <v>36.367954572407932</v>
      </c>
      <c r="I11" s="5" cm="1">
        <f t="array" aca="1" ref="I11" ca="1">INDIRECT("'results" &amp; $B11 &amp; "'!J$14")</f>
        <v>6596.810545626694</v>
      </c>
      <c r="J11" s="5"/>
      <c r="K11" s="5" cm="1">
        <f t="array" aca="1" ref="K11" ca="1">INDIRECT("'results" &amp; $B11 &amp; "'!L$14")</f>
        <v>1843760.9882455501</v>
      </c>
      <c r="L11" s="5" cm="1">
        <f t="array" aca="1" ref="L11" ca="1">INDIRECT("'results" &amp; $B11 &amp; "'!M$14")</f>
        <v>361.67400000001572</v>
      </c>
      <c r="M11" s="5" cm="1">
        <f t="array" aca="1" ref="M11" ca="1">INDIRECT("'results" &amp; $B11 &amp; "'!N$14")</f>
        <v>22</v>
      </c>
      <c r="N11" s="5" cm="1">
        <f t="array" aca="1" ref="N11" ca="1">INDIRECT("'results" &amp; $B11 &amp; "'!O$14")</f>
        <v>76</v>
      </c>
      <c r="O11" s="5" cm="1">
        <f t="array" aca="1" ref="O11" ca="1">INDIRECT("'results" &amp; $B11 &amp; "'!P$14")</f>
        <v>938.52021636106826</v>
      </c>
      <c r="P11" s="5" cm="1">
        <f t="array" aca="1" ref="P11" ca="1">INDIRECT("'results" &amp; $B11 &amp; "'!Q$14")</f>
        <v>17.985719102128897</v>
      </c>
      <c r="Q11" s="5" cm="1">
        <f t="array" aca="1" ref="Q11" ca="1">INDIRECT("'results" &amp; $B11 &amp; "'!R$14")</f>
        <v>5726.1154513668971</v>
      </c>
      <c r="R11" s="5"/>
      <c r="S11" s="5" cm="1">
        <f t="array" aca="1" ref="S11" ca="1">INDIRECT("'results" &amp; $B11 &amp; "'!T$14")</f>
        <v>1947447.7736510769</v>
      </c>
      <c r="T11" s="5" cm="1">
        <f t="array" aca="1" ref="T11" ca="1">INDIRECT("'results" &amp; $B11 &amp; "'!U$14")</f>
        <v>210.57142857142858</v>
      </c>
      <c r="U11" s="5" cm="1">
        <f t="array" aca="1" ref="U11" ca="1">INDIRECT("'results" &amp; $B11 &amp; "'!V$14")</f>
        <v>10</v>
      </c>
      <c r="V11" s="5" cm="1">
        <f t="array" aca="1" ref="V11" ca="1">INDIRECT("'results" &amp; $B11 &amp; "'!W$14")</f>
        <v>60</v>
      </c>
      <c r="W11" s="5" cm="1">
        <f t="array" aca="1" ref="W11" ca="1">INDIRECT("'results" &amp; $B11 &amp; "'!X$14")</f>
        <v>833.62167370606232</v>
      </c>
      <c r="X11" s="5" cm="1">
        <f t="array" aca="1" ref="X11" ca="1">INDIRECT("'results" &amp; $B11 &amp; "'!Y$14")</f>
        <v>43.074293314884386</v>
      </c>
      <c r="Y11" s="5" cm="1">
        <f t="array" aca="1" ref="Y11" ca="1">INDIRECT("'results" &amp; $B11 &amp; "'!Z$14")</f>
        <v>6272.4290589891598</v>
      </c>
      <c r="Z11" s="5"/>
    </row>
    <row r="12" spans="2:26" x14ac:dyDescent="0.2">
      <c r="B12" s="4">
        <v>919</v>
      </c>
      <c r="C12" s="5" cm="1">
        <f t="array" aca="1" ref="C12" ca="1">INDIRECT("'results" &amp; $B12 &amp; "'!D$14")</f>
        <v>1466502.038147544</v>
      </c>
      <c r="D12" s="33" cm="1">
        <f t="array" aca="1" ref="D12" ca="1">INDIRECT("'results" &amp; $B12 &amp; "'!E$14")</f>
        <v>693.63371428571224</v>
      </c>
      <c r="E12" s="5" cm="1">
        <f t="array" aca="1" ref="E12" ca="1">INDIRECT("'results" &amp; $B12 &amp; "'!F$14")</f>
        <v>13</v>
      </c>
      <c r="F12" s="5" cm="1">
        <f t="array" aca="1" ref="F12" ca="1">INDIRECT("'results" &amp; $B12 &amp; "'!G$14")</f>
        <v>87.333333333333329</v>
      </c>
      <c r="G12" s="5" cm="1">
        <f t="array" aca="1" ref="G12" ca="1">INDIRECT("'results" &amp; $B12 &amp; "'!H$14")</f>
        <v>880.03759944559408</v>
      </c>
      <c r="H12" s="33" cm="1">
        <f t="array" aca="1" ref="H12" ca="1">INDIRECT("'results" &amp; $B12 &amp; "'!I$14")</f>
        <v>41.18791904880009</v>
      </c>
      <c r="I12" s="5" cm="1">
        <f t="array" aca="1" ref="I12" ca="1">INDIRECT("'results" &amp; $B12 &amp; "'!J$14")</f>
        <v>6170.3489980243985</v>
      </c>
      <c r="J12" s="5"/>
      <c r="K12" s="5" cm="1">
        <f t="array" aca="1" ref="K12" ca="1">INDIRECT("'results" &amp; $B12 &amp; "'!L$14")</f>
        <v>1848973.9170958761</v>
      </c>
      <c r="L12" s="5" cm="1">
        <f t="array" aca="1" ref="L12" ca="1">INDIRECT("'results" &amp; $B12 &amp; "'!M$14")</f>
        <v>701.49114285715461</v>
      </c>
      <c r="M12" s="5" cm="1">
        <f t="array" aca="1" ref="M12" ca="1">INDIRECT("'results" &amp; $B12 &amp; "'!N$14")</f>
        <v>23</v>
      </c>
      <c r="N12" s="5" cm="1">
        <f t="array" aca="1" ref="N12" ca="1">INDIRECT("'results" &amp; $B12 &amp; "'!O$14")</f>
        <v>76.666666666666671</v>
      </c>
      <c r="O12" s="5" cm="1">
        <f t="array" aca="1" ref="O12" ca="1">INDIRECT("'results" &amp; $B12 &amp; "'!P$14")</f>
        <v>918.35805193766964</v>
      </c>
      <c r="P12" s="5" cm="1">
        <f t="array" aca="1" ref="P12" ca="1">INDIRECT("'results" &amp; $B12 &amp; "'!Q$14")</f>
        <v>20.153232822580716</v>
      </c>
      <c r="Q12" s="5" cm="1">
        <f t="array" aca="1" ref="Q12" ca="1">INDIRECT("'results" &amp; $B12 &amp; "'!R$14")</f>
        <v>5909.7588196955276</v>
      </c>
      <c r="R12" s="5"/>
      <c r="S12" s="5" cm="1">
        <f t="array" aca="1" ref="S12" ca="1">INDIRECT("'results" &amp; $B12 &amp; "'!T$14")</f>
        <v>1942484.3475460161</v>
      </c>
      <c r="T12" s="5" cm="1">
        <f t="array" aca="1" ref="T12" ca="1">INDIRECT("'results" &amp; $B12 &amp; "'!U$14")</f>
        <v>376.54028571427</v>
      </c>
      <c r="U12" s="5" cm="1">
        <f t="array" aca="1" ref="U12" ca="1">INDIRECT("'results" &amp; $B12 &amp; "'!V$14")</f>
        <v>10</v>
      </c>
      <c r="V12" s="5" cm="1">
        <f t="array" aca="1" ref="V12" ca="1">INDIRECT("'results" &amp; $B12 &amp; "'!W$14")</f>
        <v>60</v>
      </c>
      <c r="W12" s="5" cm="1">
        <f t="array" aca="1" ref="W12" ca="1">INDIRECT("'results" &amp; $B12 &amp; "'!X$14")</f>
        <v>797.17235848236544</v>
      </c>
      <c r="X12" s="5" cm="1">
        <f t="array" aca="1" ref="X12" ca="1">INDIRECT("'results" &amp; $B12 &amp; "'!Y$14")</f>
        <v>59.996995097613897</v>
      </c>
      <c r="Y12" s="5" cm="1">
        <f t="array" aca="1" ref="Y12" ca="1">INDIRECT("'results" &amp; $B12 &amp; "'!Z$14")</f>
        <v>6389.169892490142</v>
      </c>
      <c r="Z12" s="5"/>
    </row>
    <row r="13" spans="2:26" x14ac:dyDescent="0.2">
      <c r="B13" s="8" t="s">
        <v>3</v>
      </c>
      <c r="C13" s="9">
        <f ca="1">AVERAGE(C3:C12)</f>
        <v>1278276.4737475803</v>
      </c>
      <c r="D13" s="10">
        <f t="shared" ref="D13:I13" ca="1" si="0">AVERAGE(D3:D12)</f>
        <v>252.93965714285483</v>
      </c>
      <c r="E13" s="9">
        <f t="shared" ca="1" si="0"/>
        <v>11.6</v>
      </c>
      <c r="F13" s="9">
        <f t="shared" ca="1" si="0"/>
        <v>94.2</v>
      </c>
      <c r="G13" s="9">
        <f t="shared" ca="1" si="0"/>
        <v>738.97269855507716</v>
      </c>
      <c r="H13" s="10">
        <f t="shared" ca="1" si="0"/>
        <v>45.752130792898328</v>
      </c>
      <c r="I13" s="9">
        <f t="shared" ca="1" si="0"/>
        <v>6130.4816401067446</v>
      </c>
      <c r="J13" s="32" t="e">
        <f ca="1">(C13-$D$15)/$D$15</f>
        <v>#DIV/0!</v>
      </c>
      <c r="K13" s="16">
        <f ca="1">AVERAGE(K3:K12)</f>
        <v>1670706.5931837584</v>
      </c>
      <c r="L13" s="41">
        <f t="shared" ref="L13:Q13" ca="1" si="1">AVERAGE(L3:L12)</f>
        <v>494.11788571429042</v>
      </c>
      <c r="M13" s="16">
        <f t="shared" ca="1" si="1"/>
        <v>23.5</v>
      </c>
      <c r="N13" s="16">
        <f ca="1">AVERAGE(N3:N12)</f>
        <v>81.400000000000006</v>
      </c>
      <c r="O13" s="16">
        <f t="shared" ca="1" si="1"/>
        <v>633.52427288485489</v>
      </c>
      <c r="P13" s="41">
        <f t="shared" ca="1" si="1"/>
        <v>18.795581421233209</v>
      </c>
      <c r="Q13" s="16">
        <f t="shared" ca="1" si="1"/>
        <v>5323.3707519727977</v>
      </c>
      <c r="R13" s="42" t="e">
        <f ca="1">(K13-$D$15)/$D$15</f>
        <v>#DIV/0!</v>
      </c>
      <c r="S13" s="38">
        <f ca="1">AVERAGE(S3:S12)</f>
        <v>1699530.841100489</v>
      </c>
      <c r="T13" s="43">
        <f t="shared" ref="T13:Y13" ca="1" si="2">AVERAGE(T3:T12)</f>
        <v>353.40139999999332</v>
      </c>
      <c r="U13" s="38">
        <f t="shared" ca="1" si="2"/>
        <v>12.6</v>
      </c>
      <c r="V13" s="38">
        <f t="shared" ca="1" si="2"/>
        <v>75.8</v>
      </c>
      <c r="W13" s="38">
        <f t="shared" ca="1" si="2"/>
        <v>1018.1085101501515</v>
      </c>
      <c r="X13" s="43">
        <f t="shared" ca="1" si="2"/>
        <v>53.8978308946472</v>
      </c>
      <c r="Y13" s="38">
        <f t="shared" ca="1" si="2"/>
        <v>6538.3806530208385</v>
      </c>
      <c r="Z13" s="44" t="e">
        <f ca="1">(S13-$D$15)/$D$15</f>
        <v>#DIV/0!</v>
      </c>
    </row>
    <row r="14" spans="2:26" x14ac:dyDescent="0.2">
      <c r="K14" s="45">
        <f ca="1">(K13-C13)/C13</f>
        <v>0.30699940701065487</v>
      </c>
      <c r="L14" s="45">
        <f t="shared" ref="L14:Q14" ca="1" si="3">(L13-D13)/D13</f>
        <v>0.95350104960102544</v>
      </c>
      <c r="M14" s="45">
        <f t="shared" ca="1" si="3"/>
        <v>1.0258620689655173</v>
      </c>
      <c r="N14" s="45">
        <f t="shared" ca="1" si="3"/>
        <v>-0.13588110403397025</v>
      </c>
      <c r="O14" s="45">
        <f t="shared" ca="1" si="3"/>
        <v>-0.14269596952148156</v>
      </c>
      <c r="P14" s="45">
        <f t="shared" ca="1" si="3"/>
        <v>-0.58918675271511789</v>
      </c>
      <c r="Q14" s="45">
        <f t="shared" ca="1" si="3"/>
        <v>-0.13165537971008318</v>
      </c>
      <c r="S14" s="45">
        <f ca="1">(S13-C13)/C13</f>
        <v>0.32954871344686371</v>
      </c>
      <c r="T14" s="45">
        <f t="shared" ref="T14:Y14" ca="1" si="4">(T13-D13)/D13</f>
        <v>0.3971767179252555</v>
      </c>
      <c r="U14" s="45">
        <f t="shared" ca="1" si="4"/>
        <v>8.6206896551724144E-2</v>
      </c>
      <c r="V14" s="45">
        <f ca="1">(V13-F13)/F13</f>
        <v>-0.19532908704883234</v>
      </c>
      <c r="W14" s="45">
        <f t="shared" ca="1" si="4"/>
        <v>0.37773494493216347</v>
      </c>
      <c r="X14" s="45">
        <f t="shared" ca="1" si="4"/>
        <v>0.1780397975041034</v>
      </c>
      <c r="Y14" s="45">
        <f t="shared" ca="1" si="4"/>
        <v>6.6536209854302975E-2</v>
      </c>
    </row>
    <row r="16" spans="2:26" x14ac:dyDescent="0.2">
      <c r="B16" s="1" t="s">
        <v>21</v>
      </c>
      <c r="C16">
        <f ca="1">_xlfn.STDEV.S(C3:C12)</f>
        <v>122811.46709553739</v>
      </c>
      <c r="D16">
        <f ca="1">D13/3.5</f>
        <v>72.268473469387089</v>
      </c>
      <c r="J16" s="1" t="s">
        <v>21</v>
      </c>
      <c r="K16">
        <f ca="1">_xlfn.STDEV.S(K3:K12)</f>
        <v>125850.44343451991</v>
      </c>
      <c r="L16">
        <f ca="1">L13/3.5</f>
        <v>141.17653877551155</v>
      </c>
      <c r="R16" s="1" t="s">
        <v>21</v>
      </c>
      <c r="S16">
        <f ca="1">_xlfn.STDEV.S(S3:S12)</f>
        <v>166149.45760037139</v>
      </c>
      <c r="T16">
        <f ca="1">T13/3.5</f>
        <v>100.97182857142666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dimension ref="B1:AA37"/>
  <sheetViews>
    <sheetView zoomScale="85" zoomScaleNormal="85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-0.9664669498927414</v>
      </c>
      <c r="J2" s="28" t="e">
        <f>(S14-J14)/J14</f>
        <v>#DIV/0!</v>
      </c>
      <c r="K2" s="28"/>
      <c r="L2" s="1" t="s">
        <v>19</v>
      </c>
      <c r="P2" s="1">
        <f>(P14-H14)/H14</f>
        <v>-0.34339649423048169</v>
      </c>
      <c r="R2" s="1">
        <f>(R14-J14)/J14</f>
        <v>-0.16434308995692731</v>
      </c>
      <c r="T2" s="1" t="s">
        <v>20</v>
      </c>
      <c r="X2" s="1">
        <f>(X14-P14)/P14</f>
        <v>2.3482054377939177</v>
      </c>
      <c r="Z2" s="1">
        <f>(Z14-R14)/R14</f>
        <v>0.3332310323891633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243</v>
      </c>
      <c r="D4" s="23">
        <v>1280915.176779442</v>
      </c>
      <c r="E4" s="33">
        <v>67.294571428559706</v>
      </c>
      <c r="F4" s="5">
        <v>12</v>
      </c>
      <c r="G4" s="23">
        <v>96</v>
      </c>
      <c r="H4" s="33">
        <v>822.00106089320377</v>
      </c>
      <c r="I4" s="23">
        <v>46.935160854835196</v>
      </c>
      <c r="J4" s="5">
        <v>6268.0085807956302</v>
      </c>
      <c r="K4" s="31"/>
      <c r="L4" s="23">
        <v>1796006.0614411321</v>
      </c>
      <c r="M4" s="33">
        <v>167.46428571428572</v>
      </c>
      <c r="N4" s="5">
        <v>33</v>
      </c>
      <c r="O4" s="5">
        <v>89.333333333333329</v>
      </c>
      <c r="P4" s="33">
        <v>1029.6037493283529</v>
      </c>
      <c r="Q4" s="5">
        <v>15.480341394180629</v>
      </c>
      <c r="R4" s="5">
        <v>5858.3184931952637</v>
      </c>
      <c r="S4" s="31"/>
      <c r="T4" s="23">
        <v>1665520.6392643801</v>
      </c>
      <c r="U4" s="33">
        <v>214.91085714284731</v>
      </c>
      <c r="V4" s="5">
        <v>18</v>
      </c>
      <c r="W4" s="5">
        <v>96</v>
      </c>
      <c r="X4" s="33">
        <v>2148.3936723996012</v>
      </c>
      <c r="Y4" s="5">
        <v>61.705083705375984</v>
      </c>
      <c r="Z4" s="5">
        <v>7776.1018301016611</v>
      </c>
      <c r="AA4" s="35"/>
    </row>
    <row r="5" spans="2:27" x14ac:dyDescent="0.2">
      <c r="B5" s="4">
        <v>2</v>
      </c>
      <c r="C5" s="4">
        <v>748</v>
      </c>
      <c r="D5" s="23">
        <v>1231728.3561288121</v>
      </c>
      <c r="E5" s="33">
        <v>129.49114285712133</v>
      </c>
      <c r="F5" s="5">
        <v>11</v>
      </c>
      <c r="G5" s="23">
        <v>96</v>
      </c>
      <c r="H5" s="33">
        <v>665.97610979646242</v>
      </c>
      <c r="I5" s="23">
        <v>51.296583900539936</v>
      </c>
      <c r="J5" s="5">
        <v>6231.2202169618349</v>
      </c>
      <c r="K5" s="31"/>
      <c r="L5" s="23">
        <v>1623626.920798704</v>
      </c>
      <c r="M5" s="33">
        <v>255.07142857142858</v>
      </c>
      <c r="N5" s="5">
        <v>27</v>
      </c>
      <c r="O5" s="5">
        <v>84</v>
      </c>
      <c r="P5" s="33">
        <v>520.64617798268023</v>
      </c>
      <c r="Q5" s="5">
        <v>17.937415911636425</v>
      </c>
      <c r="R5" s="5">
        <v>4936.3748518698212</v>
      </c>
      <c r="S5" s="31"/>
      <c r="T5" s="23">
        <v>1783428.8113459661</v>
      </c>
      <c r="U5" s="33">
        <v>210.47771428568689</v>
      </c>
      <c r="V5" s="5">
        <v>13</v>
      </c>
      <c r="W5" s="5">
        <v>79.333333333333329</v>
      </c>
      <c r="X5" s="33">
        <v>1724.4366341914565</v>
      </c>
      <c r="Y5" s="5">
        <v>58.107888139099536</v>
      </c>
      <c r="Z5" s="5">
        <v>7422.5729385863779</v>
      </c>
      <c r="AA5" s="35"/>
    </row>
    <row r="6" spans="2:27" x14ac:dyDescent="0.2">
      <c r="B6" s="4">
        <v>3</v>
      </c>
      <c r="C6" s="4">
        <v>675</v>
      </c>
      <c r="D6" s="23">
        <v>1177721.2407469191</v>
      </c>
      <c r="E6" s="33">
        <v>307.36599999998828</v>
      </c>
      <c r="F6" s="5">
        <v>12</v>
      </c>
      <c r="G6" s="23">
        <v>94.666666666666671</v>
      </c>
      <c r="H6" s="33">
        <v>383.04759500262145</v>
      </c>
      <c r="I6" s="23">
        <v>45.586380841810318</v>
      </c>
      <c r="J6" s="5">
        <v>5728.5543638080399</v>
      </c>
      <c r="K6" s="31"/>
      <c r="L6" s="23">
        <v>1568751.4716096369</v>
      </c>
      <c r="M6" s="33">
        <v>513.84828571429739</v>
      </c>
      <c r="N6" s="5">
        <v>26</v>
      </c>
      <c r="O6" s="5">
        <v>84.666666666666671</v>
      </c>
      <c r="P6" s="33">
        <v>357.83984099082204</v>
      </c>
      <c r="Q6" s="5">
        <v>18.275049116979208</v>
      </c>
      <c r="R6" s="5">
        <v>4927.2995983017045</v>
      </c>
      <c r="S6" s="31"/>
      <c r="T6" s="23">
        <v>1689400.9517399061</v>
      </c>
      <c r="U6" s="33">
        <v>323.5534285714383</v>
      </c>
      <c r="V6" s="5">
        <v>12</v>
      </c>
      <c r="W6" s="5">
        <v>75.333333333333329</v>
      </c>
      <c r="X6" s="33">
        <v>939.17522803000497</v>
      </c>
      <c r="Y6" s="5">
        <v>54.846892420360483</v>
      </c>
      <c r="Z6" s="5">
        <v>6522.4420943255873</v>
      </c>
      <c r="AA6" s="35"/>
    </row>
    <row r="7" spans="2:27" x14ac:dyDescent="0.2">
      <c r="B7" s="4">
        <v>4</v>
      </c>
      <c r="C7" s="4">
        <v>391</v>
      </c>
      <c r="D7" s="23">
        <v>1210506.8858586929</v>
      </c>
      <c r="E7" s="33">
        <v>352.78571428571428</v>
      </c>
      <c r="F7" s="5">
        <v>10</v>
      </c>
      <c r="G7" s="23">
        <v>94.666666666666671</v>
      </c>
      <c r="H7" s="33">
        <v>528.24845070415142</v>
      </c>
      <c r="I7" s="23">
        <v>55.00306967880941</v>
      </c>
      <c r="J7" s="5">
        <v>6088.5375394528819</v>
      </c>
      <c r="K7" s="31"/>
      <c r="L7" s="23">
        <v>1646001.6901814539</v>
      </c>
      <c r="M7" s="33">
        <v>316.71428571428572</v>
      </c>
      <c r="N7" s="5">
        <v>25</v>
      </c>
      <c r="O7" s="5">
        <v>82.666666666666671</v>
      </c>
      <c r="P7" s="33">
        <v>453.82559592736885</v>
      </c>
      <c r="Q7" s="5">
        <v>18.733968216922971</v>
      </c>
      <c r="R7" s="5">
        <v>5259.3670644722179</v>
      </c>
      <c r="S7" s="31"/>
      <c r="T7" s="23">
        <v>1629365.2773957979</v>
      </c>
      <c r="U7" s="33">
        <v>334.2634285714343</v>
      </c>
      <c r="V7" s="5">
        <v>16</v>
      </c>
      <c r="W7" s="5">
        <v>84.666666666666671</v>
      </c>
      <c r="X7" s="33">
        <v>1346.4246318901155</v>
      </c>
      <c r="Y7" s="5">
        <v>56.188110497295519</v>
      </c>
      <c r="Z7" s="5">
        <v>6810.0459869222468</v>
      </c>
      <c r="AA7" s="35"/>
    </row>
    <row r="8" spans="2:27" x14ac:dyDescent="0.2">
      <c r="B8" s="4">
        <v>5</v>
      </c>
      <c r="C8" s="4">
        <v>500</v>
      </c>
      <c r="D8" s="23">
        <v>1210199.8070761489</v>
      </c>
      <c r="E8" s="33">
        <v>260.42857142857144</v>
      </c>
      <c r="F8" s="5">
        <v>11</v>
      </c>
      <c r="G8" s="23">
        <v>96.666666666666671</v>
      </c>
      <c r="H8" s="33">
        <v>742.92318294570123</v>
      </c>
      <c r="I8" s="23">
        <v>51.377226434883617</v>
      </c>
      <c r="J8" s="5">
        <v>6093.8422391129343</v>
      </c>
      <c r="K8" s="31"/>
      <c r="L8" s="23">
        <v>1640207.2905396561</v>
      </c>
      <c r="M8" s="33">
        <v>574.93742857141683</v>
      </c>
      <c r="N8" s="5">
        <v>22</v>
      </c>
      <c r="O8" s="5">
        <v>80</v>
      </c>
      <c r="P8" s="33">
        <v>631.25890029175605</v>
      </c>
      <c r="Q8" s="5">
        <v>20.133812761293655</v>
      </c>
      <c r="R8" s="5">
        <v>5167.0300903296502</v>
      </c>
      <c r="S8" s="31"/>
      <c r="T8" s="23">
        <v>1614802.025951745</v>
      </c>
      <c r="U8" s="33">
        <v>139.040000000004</v>
      </c>
      <c r="V8" s="5">
        <v>15</v>
      </c>
      <c r="W8" s="5">
        <v>83.333333333333329</v>
      </c>
      <c r="X8" s="33">
        <v>1300.1489773171836</v>
      </c>
      <c r="Y8" s="5">
        <v>51.964933532229786</v>
      </c>
      <c r="Z8" s="5">
        <v>6647.6661164085344</v>
      </c>
      <c r="AA8" s="35"/>
    </row>
    <row r="9" spans="2:27" x14ac:dyDescent="0.2">
      <c r="B9" s="4">
        <v>6</v>
      </c>
      <c r="C9" s="4">
        <v>321</v>
      </c>
      <c r="D9" s="23">
        <v>1157052.36142242</v>
      </c>
      <c r="E9" s="33">
        <v>249.665142857137</v>
      </c>
      <c r="F9" s="5">
        <v>11</v>
      </c>
      <c r="G9" s="23">
        <v>96.666666666666671</v>
      </c>
      <c r="H9" s="33">
        <v>544.98618701623468</v>
      </c>
      <c r="I9" s="23">
        <v>50.961215406570275</v>
      </c>
      <c r="J9" s="5">
        <v>5896.318858953412</v>
      </c>
      <c r="K9" s="31"/>
      <c r="L9" s="23">
        <v>1616416.9147869239</v>
      </c>
      <c r="M9" s="33">
        <v>714.08942857141881</v>
      </c>
      <c r="N9" s="5">
        <v>24</v>
      </c>
      <c r="O9" s="5">
        <v>82</v>
      </c>
      <c r="P9" s="33">
        <v>481.48321808378415</v>
      </c>
      <c r="Q9" s="5">
        <v>18.931689971577953</v>
      </c>
      <c r="R9" s="5">
        <v>4997.3998371230955</v>
      </c>
      <c r="S9" s="31"/>
      <c r="T9" s="23">
        <v>1716643.758927308</v>
      </c>
      <c r="U9" s="33">
        <v>189.23228571430914</v>
      </c>
      <c r="V9" s="5">
        <v>14</v>
      </c>
      <c r="W9" s="5">
        <v>80</v>
      </c>
      <c r="X9" s="33">
        <v>1414.8764699019184</v>
      </c>
      <c r="Y9" s="5">
        <v>56.061188845064784</v>
      </c>
      <c r="Z9" s="5">
        <v>6910.5979928145143</v>
      </c>
      <c r="AA9" s="35"/>
    </row>
    <row r="10" spans="2:27" x14ac:dyDescent="0.2">
      <c r="B10" s="4">
        <v>7</v>
      </c>
      <c r="C10" s="4">
        <v>410</v>
      </c>
      <c r="D10" s="23">
        <v>1176109.744947514</v>
      </c>
      <c r="E10" s="33">
        <v>239.1159999999883</v>
      </c>
      <c r="F10" s="5">
        <v>12</v>
      </c>
      <c r="G10" s="23">
        <v>96.666666666666671</v>
      </c>
      <c r="H10" s="33">
        <v>545.56493385957492</v>
      </c>
      <c r="I10" s="23">
        <v>46.535443678330665</v>
      </c>
      <c r="J10" s="5">
        <v>5864.2282189051421</v>
      </c>
      <c r="K10" s="31"/>
      <c r="L10" s="23">
        <v>1612234.386720815</v>
      </c>
      <c r="M10" s="33">
        <v>370.12942857142286</v>
      </c>
      <c r="N10" s="5">
        <v>21</v>
      </c>
      <c r="O10" s="5">
        <v>78</v>
      </c>
      <c r="P10" s="33">
        <v>354.23361943034627</v>
      </c>
      <c r="Q10" s="5">
        <v>21.224302846926562</v>
      </c>
      <c r="R10" s="5">
        <v>4916.3169633724738</v>
      </c>
      <c r="S10" s="31"/>
      <c r="T10" s="23">
        <v>1592812.104734886</v>
      </c>
      <c r="U10" s="33">
        <v>128.23200000000986</v>
      </c>
      <c r="V10" s="5">
        <v>16</v>
      </c>
      <c r="W10" s="5">
        <v>86.666666666666671</v>
      </c>
      <c r="X10" s="33">
        <v>1342.5310620317543</v>
      </c>
      <c r="Y10" s="5">
        <v>54.333299279199181</v>
      </c>
      <c r="Z10" s="5">
        <v>6804.5277844802304</v>
      </c>
      <c r="AA10" s="35"/>
    </row>
    <row r="11" spans="2:27" x14ac:dyDescent="0.2">
      <c r="B11" s="4">
        <v>8</v>
      </c>
      <c r="C11" s="4">
        <v>908</v>
      </c>
      <c r="D11" s="23">
        <v>1196103.302318241</v>
      </c>
      <c r="E11" s="33">
        <v>186.80342857143842</v>
      </c>
      <c r="F11" s="5">
        <v>10</v>
      </c>
      <c r="G11" s="23">
        <v>94.666666666666671</v>
      </c>
      <c r="H11" s="33">
        <v>518.75213284219979</v>
      </c>
      <c r="I11" s="23">
        <v>54.293625738596141</v>
      </c>
      <c r="J11" s="5">
        <v>6004.5076968589174</v>
      </c>
      <c r="K11" s="31"/>
      <c r="L11" s="23">
        <v>1642891.754262174</v>
      </c>
      <c r="M11" s="33">
        <v>903.64742857141289</v>
      </c>
      <c r="N11" s="5">
        <v>22</v>
      </c>
      <c r="O11" s="5">
        <v>80.666666666666671</v>
      </c>
      <c r="P11" s="33">
        <v>586.99072966322854</v>
      </c>
      <c r="Q11" s="5">
        <v>20.522468722379855</v>
      </c>
      <c r="R11" s="5">
        <v>5269.1159636142638</v>
      </c>
      <c r="S11" s="31"/>
      <c r="T11" s="23">
        <v>1630227.7526641141</v>
      </c>
      <c r="U11" s="33">
        <v>89.048857142849428</v>
      </c>
      <c r="V11" s="5">
        <v>17</v>
      </c>
      <c r="W11" s="5">
        <v>87.333333333333329</v>
      </c>
      <c r="X11" s="33">
        <v>1540.352803019545</v>
      </c>
      <c r="Y11" s="5">
        <v>54.586542513506132</v>
      </c>
      <c r="Z11" s="5">
        <v>7049.6805644227788</v>
      </c>
      <c r="AA11" s="35"/>
    </row>
    <row r="12" spans="2:27" x14ac:dyDescent="0.2">
      <c r="B12" s="4">
        <v>9</v>
      </c>
      <c r="C12" s="4">
        <v>436</v>
      </c>
      <c r="D12" s="23">
        <v>1308854.7543007289</v>
      </c>
      <c r="E12" s="33">
        <v>413.52657142856941</v>
      </c>
      <c r="F12" s="5">
        <v>11</v>
      </c>
      <c r="G12" s="23">
        <v>96</v>
      </c>
      <c r="H12" s="33">
        <v>894.75276921998716</v>
      </c>
      <c r="I12" s="23">
        <v>51.599832073116879</v>
      </c>
      <c r="J12" s="5">
        <v>6555.3605602254174</v>
      </c>
      <c r="K12" s="31"/>
      <c r="L12" s="23">
        <v>1608959.7804197171</v>
      </c>
      <c r="M12" s="33">
        <v>290.46428571428572</v>
      </c>
      <c r="N12" s="5">
        <v>26</v>
      </c>
      <c r="O12" s="5">
        <v>85.333333333333329</v>
      </c>
      <c r="P12" s="33">
        <v>521.95270292134785</v>
      </c>
      <c r="Q12" s="5">
        <v>18.760933696171165</v>
      </c>
      <c r="R12" s="5">
        <v>5243.217866244906</v>
      </c>
      <c r="S12" s="31"/>
      <c r="T12" s="23">
        <v>1690264.3215737189</v>
      </c>
      <c r="U12" s="33">
        <v>222.27228571427986</v>
      </c>
      <c r="V12" s="5">
        <v>16</v>
      </c>
      <c r="W12" s="5">
        <v>81.333333333333329</v>
      </c>
      <c r="X12" s="33">
        <v>1343.6887596128372</v>
      </c>
      <c r="Y12" s="5">
        <v>51.641283340575107</v>
      </c>
      <c r="Z12" s="5">
        <v>6763.3969993818964</v>
      </c>
      <c r="AA12" s="35"/>
    </row>
    <row r="13" spans="2:27" x14ac:dyDescent="0.2">
      <c r="B13" s="4">
        <v>10</v>
      </c>
      <c r="C13" s="4">
        <v>797</v>
      </c>
      <c r="D13" s="23">
        <v>1168858.798223916</v>
      </c>
      <c r="E13" s="33">
        <v>381.669714285726</v>
      </c>
      <c r="F13" s="5">
        <v>11</v>
      </c>
      <c r="G13" s="23">
        <v>96.666666666666671</v>
      </c>
      <c r="H13" s="33">
        <v>506.74643413094788</v>
      </c>
      <c r="I13" s="23">
        <v>50.610392144323939</v>
      </c>
      <c r="J13" s="5">
        <v>5928.2322784757616</v>
      </c>
      <c r="K13" s="31"/>
      <c r="L13" s="23">
        <v>1650185.5529029509</v>
      </c>
      <c r="M13" s="33">
        <v>220.11600000002156</v>
      </c>
      <c r="N13" s="5">
        <v>27</v>
      </c>
      <c r="O13" s="5">
        <v>86</v>
      </c>
      <c r="P13" s="33">
        <v>734.62670032622407</v>
      </c>
      <c r="Q13" s="5">
        <v>18.764004209798095</v>
      </c>
      <c r="R13" s="5">
        <v>5360.6362231844587</v>
      </c>
      <c r="S13" s="31"/>
      <c r="T13" s="23">
        <v>1566955.9207041671</v>
      </c>
      <c r="U13" s="33">
        <v>259.209999999996</v>
      </c>
      <c r="V13" s="5">
        <v>15</v>
      </c>
      <c r="W13" s="5">
        <v>84.666666666666671</v>
      </c>
      <c r="X13" s="33">
        <v>1198.1213014647813</v>
      </c>
      <c r="Y13" s="5">
        <v>52.603115526304258</v>
      </c>
      <c r="Z13" s="5">
        <v>6569.228730334491</v>
      </c>
      <c r="AA13" s="35"/>
    </row>
    <row r="14" spans="2:27" x14ac:dyDescent="0.2">
      <c r="B14" s="46" t="s">
        <v>3</v>
      </c>
      <c r="C14" s="47"/>
      <c r="D14" s="9">
        <f>MIN(D4:D13)</f>
        <v>1157052.36142242</v>
      </c>
      <c r="E14" s="22">
        <f>INDEX(E4:E13, MATCH($D$14, D4:D13, 0))</f>
        <v>249.665142857137</v>
      </c>
      <c r="F14" s="9">
        <f>INDEX(F4:F13, MATCH($D$14, D4:D13, 0))</f>
        <v>11</v>
      </c>
      <c r="G14" s="9">
        <f>INDEX(G4:G13, MATCH($D$14, D4:D13, 0))</f>
        <v>96.666666666666671</v>
      </c>
      <c r="H14" s="22">
        <f>INDEX(H4:H13, MATCH($D$14, D4:D13, 0))</f>
        <v>544.98618701623468</v>
      </c>
      <c r="I14" s="22">
        <f>INDEX(I4:I13, MATCH($D$14, D4:D13, 0))</f>
        <v>50.961215406570275</v>
      </c>
      <c r="J14" s="22">
        <f>INDEX(J4:J13, MATCH($D$14, D4:D13, 0))</f>
        <v>5896.318858953412</v>
      </c>
      <c r="K14" s="32" t="e">
        <f>(D14-$D$15)/$D$15</f>
        <v>#DIV/0!</v>
      </c>
      <c r="L14" s="16">
        <f>MIN(L4:L13)</f>
        <v>1568751.4716096369</v>
      </c>
      <c r="M14" s="21">
        <f>INDEX(M4:M13, MATCH($L$14, L4:L13, 0))</f>
        <v>513.84828571429739</v>
      </c>
      <c r="N14" s="16">
        <f>INDEX(N4:N13, MATCH($L$14, L4:L13, 0))</f>
        <v>26</v>
      </c>
      <c r="O14" s="16">
        <f>INDEX(O4:O13, MATCH($L$14, L4:L13, 0))</f>
        <v>84.666666666666671</v>
      </c>
      <c r="P14" s="21">
        <f>INDEX(P4:P13, MATCH($L$14, L4:L13, 0))</f>
        <v>357.83984099082204</v>
      </c>
      <c r="Q14" s="21">
        <f>INDEX(Q4:Q13, MATCH($L$14, L4:L13, 0))</f>
        <v>18.275049116979208</v>
      </c>
      <c r="R14" s="21">
        <f>INDEX(R4:R13, MATCH($L$14, L4:L13, 0))</f>
        <v>4927.2995983017045</v>
      </c>
      <c r="S14" s="36" t="e">
        <f>(L14-$D$15)/$D$15</f>
        <v>#DIV/0!</v>
      </c>
      <c r="T14" s="38">
        <f>MIN(T4:T13)</f>
        <v>1566955.9207041671</v>
      </c>
      <c r="U14" s="39">
        <f>INDEX(U4:U13, MATCH($T$14, T4:T13, 0))</f>
        <v>259.209999999996</v>
      </c>
      <c r="V14" s="38">
        <f>INDEX(V4:V13, MATCH($T$14, T4:T13, 0))</f>
        <v>15</v>
      </c>
      <c r="W14" s="38">
        <f>INDEX(W4:W13, MATCH($T$14, T4:T13, 0))</f>
        <v>84.666666666666671</v>
      </c>
      <c r="X14" s="39">
        <f>INDEX(X4:X13, MATCH($T$14, T4:T13, 0))</f>
        <v>1198.1213014647813</v>
      </c>
      <c r="Y14" s="39">
        <f>INDEX(Y4:Y13, MATCH($T$14, T4:T13, 0))</f>
        <v>52.603115526304258</v>
      </c>
      <c r="Z14" s="39">
        <f>INDEX(Z4:Z13, MATCH($T$14, T4:T13, 0))</f>
        <v>6569.228730334491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</sheetData>
  <mergeCells count="1">
    <mergeCell ref="B14:C14"/>
  </mergeCells>
  <conditionalFormatting sqref="C1:C13 C15:C1048576">
    <cfRule type="duplicateValues" dxfId="113" priority="5"/>
    <cfRule type="duplicateValues" dxfId="112" priority="6"/>
  </conditionalFormatting>
  <conditionalFormatting sqref="C14">
    <cfRule type="duplicateValues" dxfId="111" priority="1"/>
    <cfRule type="duplicateValues" dxfId="11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595E-3819-4757-9B33-F0F9D414D641}">
  <dimension ref="B1:AA37"/>
  <sheetViews>
    <sheetView zoomScale="80" zoomScaleNormal="80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12.5" style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-0.97349974338264089</v>
      </c>
      <c r="J2" s="28" t="e">
        <f>(S14-J14)/J14</f>
        <v>#DIV/0!</v>
      </c>
      <c r="K2" s="28"/>
      <c r="L2" s="1" t="s">
        <v>19</v>
      </c>
      <c r="P2" s="1">
        <f>(P14-H14)/H14</f>
        <v>-0.19272184566772926</v>
      </c>
      <c r="R2" s="1">
        <f>(R14-J14)/J14</f>
        <v>-0.16635529033801635</v>
      </c>
      <c r="T2" s="1" t="s">
        <v>20</v>
      </c>
      <c r="X2" s="1">
        <f>(X14-P14)/P14</f>
        <v>0.50174129805671785</v>
      </c>
      <c r="Z2" s="1">
        <f>(Z14-R14)/R14</f>
        <v>0.31176325059942939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159</v>
      </c>
      <c r="D4" s="23">
        <v>1536829.5619879949</v>
      </c>
      <c r="E4" s="33">
        <v>256.71885714284144</v>
      </c>
      <c r="F4" s="5">
        <v>14</v>
      </c>
      <c r="G4" s="23">
        <v>90</v>
      </c>
      <c r="H4" s="33">
        <v>1334.5133640798731</v>
      </c>
      <c r="I4" s="23">
        <v>39.276994558178735</v>
      </c>
      <c r="J4" s="5">
        <v>6803.0844936866188</v>
      </c>
      <c r="K4" s="31"/>
      <c r="L4" s="23">
        <v>1974443.987959608</v>
      </c>
      <c r="M4" s="33">
        <v>192.64742857144614</v>
      </c>
      <c r="N4" s="5">
        <v>26</v>
      </c>
      <c r="O4" s="5">
        <v>72.666666666666671</v>
      </c>
      <c r="P4" s="33">
        <v>932.79649980741226</v>
      </c>
      <c r="Q4" s="5">
        <v>16.705768887377609</v>
      </c>
      <c r="R4" s="5">
        <v>5748.5319461264589</v>
      </c>
      <c r="S4" s="31"/>
      <c r="T4" s="23">
        <v>1843270.291279343</v>
      </c>
      <c r="U4" s="33">
        <v>312.99114285712142</v>
      </c>
      <c r="V4" s="5">
        <v>10</v>
      </c>
      <c r="W4" s="5">
        <v>64.666666666666671</v>
      </c>
      <c r="X4" s="33">
        <v>772.55160655799182</v>
      </c>
      <c r="Y4" s="5">
        <v>63.889691572648914</v>
      </c>
      <c r="Z4" s="5">
        <v>6541.6705213937112</v>
      </c>
      <c r="AA4" s="35"/>
    </row>
    <row r="5" spans="2:27" x14ac:dyDescent="0.2">
      <c r="B5" s="4">
        <v>2</v>
      </c>
      <c r="C5" s="4">
        <v>237</v>
      </c>
      <c r="D5" s="23">
        <v>1410567.8997690941</v>
      </c>
      <c r="E5" s="33">
        <v>371.55799999999425</v>
      </c>
      <c r="F5" s="5">
        <v>14</v>
      </c>
      <c r="G5" s="23">
        <v>92</v>
      </c>
      <c r="H5" s="33">
        <v>1079.1249135798992</v>
      </c>
      <c r="I5" s="23">
        <v>41.649454505219715</v>
      </c>
      <c r="J5" s="5">
        <v>6371.4346384309874</v>
      </c>
      <c r="K5" s="31"/>
      <c r="L5" s="23">
        <v>1846542.867053943</v>
      </c>
      <c r="M5" s="33">
        <v>274.89714285714683</v>
      </c>
      <c r="N5" s="5">
        <v>19</v>
      </c>
      <c r="O5" s="5">
        <v>67.333333333333329</v>
      </c>
      <c r="P5" s="33">
        <v>384.16542883176209</v>
      </c>
      <c r="Q5" s="5">
        <v>21.397512821111</v>
      </c>
      <c r="R5" s="5">
        <v>5092.9803058499338</v>
      </c>
      <c r="S5" s="31"/>
      <c r="T5" s="23">
        <v>1833372.8927123849</v>
      </c>
      <c r="U5" s="33">
        <v>256.540000000004</v>
      </c>
      <c r="V5" s="5">
        <v>11</v>
      </c>
      <c r="W5" s="5">
        <v>65.333333333333329</v>
      </c>
      <c r="X5" s="33">
        <v>914.50972215806144</v>
      </c>
      <c r="Y5" s="5">
        <v>66.083337743443082</v>
      </c>
      <c r="Z5" s="5">
        <v>6399.5445066993898</v>
      </c>
      <c r="AA5" s="35"/>
    </row>
    <row r="6" spans="2:27" x14ac:dyDescent="0.2">
      <c r="B6" s="4">
        <v>3</v>
      </c>
      <c r="C6" s="4">
        <v>267</v>
      </c>
      <c r="D6" s="23">
        <v>1453620.9097391299</v>
      </c>
      <c r="E6" s="33">
        <v>214.9240000000157</v>
      </c>
      <c r="F6" s="5">
        <v>12</v>
      </c>
      <c r="G6" s="23">
        <v>89.333333333333329</v>
      </c>
      <c r="H6" s="33">
        <v>1138.6482558479206</v>
      </c>
      <c r="I6" s="23">
        <v>47.415819823251525</v>
      </c>
      <c r="J6" s="5">
        <v>6492.9964992088144</v>
      </c>
      <c r="K6" s="31"/>
      <c r="L6" s="23">
        <v>1841845.7623972711</v>
      </c>
      <c r="M6" s="33">
        <v>580.62057142857714</v>
      </c>
      <c r="N6" s="5">
        <v>23</v>
      </c>
      <c r="O6" s="5">
        <v>70.666666666666671</v>
      </c>
      <c r="P6" s="33">
        <v>464.9133772763081</v>
      </c>
      <c r="Q6" s="5">
        <v>19.050871185205484</v>
      </c>
      <c r="R6" s="5">
        <v>5089.3827574643228</v>
      </c>
      <c r="S6" s="31"/>
      <c r="T6" s="23">
        <v>1848538.2872991951</v>
      </c>
      <c r="U6" s="33">
        <v>294.70971428573</v>
      </c>
      <c r="V6" s="5">
        <v>10</v>
      </c>
      <c r="W6" s="5">
        <v>64.666666666666671</v>
      </c>
      <c r="X6" s="33">
        <v>859.81097529855583</v>
      </c>
      <c r="Y6" s="5">
        <v>66.110444272737567</v>
      </c>
      <c r="Z6" s="5">
        <v>6571.427351983094</v>
      </c>
      <c r="AA6" s="35"/>
    </row>
    <row r="7" spans="2:27" x14ac:dyDescent="0.2">
      <c r="B7" s="4">
        <v>4</v>
      </c>
      <c r="C7" s="4">
        <v>353</v>
      </c>
      <c r="D7" s="23">
        <v>1395998.6858923701</v>
      </c>
      <c r="E7" s="33">
        <v>326.58485714286286</v>
      </c>
      <c r="F7" s="5">
        <v>12</v>
      </c>
      <c r="G7" s="23">
        <v>89.333333333333329</v>
      </c>
      <c r="H7" s="33">
        <v>823.20436793648707</v>
      </c>
      <c r="I7" s="23">
        <v>46.414773069843498</v>
      </c>
      <c r="J7" s="5">
        <v>6328.2155594540909</v>
      </c>
      <c r="K7" s="31"/>
      <c r="L7" s="23">
        <v>1939555.0628731649</v>
      </c>
      <c r="M7" s="33">
        <v>458.4865714285657</v>
      </c>
      <c r="N7" s="5">
        <v>37</v>
      </c>
      <c r="O7" s="5">
        <v>88.666666666666671</v>
      </c>
      <c r="P7" s="33">
        <v>1336.860847694903</v>
      </c>
      <c r="Q7" s="5">
        <v>15.412820088165333</v>
      </c>
      <c r="R7" s="5">
        <v>6147.2591313752937</v>
      </c>
      <c r="S7" s="31"/>
      <c r="T7" s="23">
        <v>1878767.0617032959</v>
      </c>
      <c r="U7" s="33">
        <v>503.3034285714383</v>
      </c>
      <c r="V7" s="5">
        <v>10</v>
      </c>
      <c r="W7" s="5">
        <v>61.333333333333343</v>
      </c>
      <c r="X7" s="33">
        <v>566.88332562271341</v>
      </c>
      <c r="Y7" s="5">
        <v>58.287576920405307</v>
      </c>
      <c r="Z7" s="5">
        <v>6208.9057267704338</v>
      </c>
      <c r="AA7" s="35"/>
    </row>
    <row r="8" spans="2:27" x14ac:dyDescent="0.2">
      <c r="B8" s="4">
        <v>5</v>
      </c>
      <c r="C8" s="4">
        <v>511</v>
      </c>
      <c r="D8" s="23">
        <v>1597809.702999868</v>
      </c>
      <c r="E8" s="33">
        <v>97.946571428561569</v>
      </c>
      <c r="F8" s="5">
        <v>17</v>
      </c>
      <c r="G8" s="23">
        <v>88.666666666666671</v>
      </c>
      <c r="H8" s="33">
        <v>1291.5688676804662</v>
      </c>
      <c r="I8" s="23">
        <v>33.74308756246301</v>
      </c>
      <c r="J8" s="5">
        <v>6536.6802548867145</v>
      </c>
      <c r="K8" s="31"/>
      <c r="L8" s="23">
        <v>1885917.340580757</v>
      </c>
      <c r="M8" s="33">
        <v>431.87485714286686</v>
      </c>
      <c r="N8" s="5">
        <v>26</v>
      </c>
      <c r="O8" s="5">
        <v>76</v>
      </c>
      <c r="P8" s="33">
        <v>926.08218301966463</v>
      </c>
      <c r="Q8" s="5">
        <v>17.835859531379864</v>
      </c>
      <c r="R8" s="5">
        <v>5654.3812810688833</v>
      </c>
      <c r="S8" s="31"/>
      <c r="T8" s="23">
        <v>1824267.9289435439</v>
      </c>
      <c r="U8" s="33">
        <v>584.47342857143053</v>
      </c>
      <c r="V8" s="5">
        <v>11</v>
      </c>
      <c r="W8" s="5">
        <v>67.333333333333329</v>
      </c>
      <c r="X8" s="33">
        <v>924.81913246984152</v>
      </c>
      <c r="Y8" s="5">
        <v>64.387506251721334</v>
      </c>
      <c r="Z8" s="5">
        <v>6608.9511924837707</v>
      </c>
      <c r="AA8" s="35"/>
    </row>
    <row r="9" spans="2:27" x14ac:dyDescent="0.2">
      <c r="B9" s="4">
        <v>6</v>
      </c>
      <c r="C9" s="4">
        <v>519</v>
      </c>
      <c r="D9" s="23">
        <v>1609299.5066471859</v>
      </c>
      <c r="E9" s="33">
        <v>85.097999999998137</v>
      </c>
      <c r="F9" s="5">
        <v>18</v>
      </c>
      <c r="G9" s="23">
        <v>88.666666666666671</v>
      </c>
      <c r="H9" s="33">
        <v>1356.9950644957103</v>
      </c>
      <c r="I9" s="23">
        <v>30.864152979078387</v>
      </c>
      <c r="J9" s="5">
        <v>6488.4649443389799</v>
      </c>
      <c r="K9" s="31"/>
      <c r="L9" s="23">
        <v>1812459.4015829479</v>
      </c>
      <c r="M9" s="33">
        <v>246.15628571429156</v>
      </c>
      <c r="N9" s="5">
        <v>28</v>
      </c>
      <c r="O9" s="5">
        <v>80.666666666666671</v>
      </c>
      <c r="P9" s="33">
        <v>794.10583871158804</v>
      </c>
      <c r="Q9" s="5">
        <v>17.435970549879428</v>
      </c>
      <c r="R9" s="5">
        <v>5577.0806382256551</v>
      </c>
      <c r="S9" s="31"/>
      <c r="T9" s="23">
        <v>1855631.1045001091</v>
      </c>
      <c r="U9" s="33">
        <v>250.76342857140116</v>
      </c>
      <c r="V9" s="5">
        <v>10</v>
      </c>
      <c r="W9" s="5">
        <v>63.333333333333343</v>
      </c>
      <c r="X9" s="33">
        <v>735.98993728766368</v>
      </c>
      <c r="Y9" s="5">
        <v>65.406772911840477</v>
      </c>
      <c r="Z9" s="5">
        <v>6469.7059284540273</v>
      </c>
      <c r="AA9" s="35"/>
    </row>
    <row r="10" spans="2:27" x14ac:dyDescent="0.2">
      <c r="B10" s="4">
        <v>7</v>
      </c>
      <c r="C10" s="4">
        <v>819</v>
      </c>
      <c r="D10" s="23">
        <v>1399309.7618758259</v>
      </c>
      <c r="E10" s="33">
        <v>412.43742857141689</v>
      </c>
      <c r="F10" s="5">
        <v>13</v>
      </c>
      <c r="G10" s="23">
        <v>88.666666666666671</v>
      </c>
      <c r="H10" s="33">
        <v>764.61544411727141</v>
      </c>
      <c r="I10" s="23">
        <v>43.567971404224821</v>
      </c>
      <c r="J10" s="5">
        <v>6188.9275992464654</v>
      </c>
      <c r="K10" s="31"/>
      <c r="L10" s="23">
        <v>1884575.288977985</v>
      </c>
      <c r="M10" s="33">
        <v>342.95085714285142</v>
      </c>
      <c r="N10" s="5">
        <v>25</v>
      </c>
      <c r="O10" s="5">
        <v>72</v>
      </c>
      <c r="P10" s="33">
        <v>643.90442327580752</v>
      </c>
      <c r="Q10" s="5">
        <v>16.859857985946981</v>
      </c>
      <c r="R10" s="5">
        <v>5294.6238150463278</v>
      </c>
      <c r="S10" s="31"/>
      <c r="T10" s="23">
        <v>1852527.8201282909</v>
      </c>
      <c r="U10" s="33">
        <v>327.50457142855572</v>
      </c>
      <c r="V10" s="5">
        <v>10</v>
      </c>
      <c r="W10" s="5">
        <v>62</v>
      </c>
      <c r="X10" s="33">
        <v>557.9013381788078</v>
      </c>
      <c r="Y10" s="5">
        <v>62.130762482566617</v>
      </c>
      <c r="Z10" s="5">
        <v>6185.7566293953141</v>
      </c>
      <c r="AA10" s="35"/>
    </row>
    <row r="11" spans="2:27" x14ac:dyDescent="0.2">
      <c r="B11" s="4">
        <v>8</v>
      </c>
      <c r="C11" s="4">
        <v>824</v>
      </c>
      <c r="D11" s="23">
        <v>1517888.98380276</v>
      </c>
      <c r="E11" s="33">
        <v>163.20542857144028</v>
      </c>
      <c r="F11" s="5">
        <v>12</v>
      </c>
      <c r="G11" s="23">
        <v>88.666666666666671</v>
      </c>
      <c r="H11" s="33">
        <v>1329.012385126448</v>
      </c>
      <c r="I11" s="23">
        <v>46.54619689205412</v>
      </c>
      <c r="J11" s="5">
        <v>6687.6923906579732</v>
      </c>
      <c r="K11" s="31"/>
      <c r="L11" s="23">
        <v>1810566.130465749</v>
      </c>
      <c r="M11" s="33">
        <v>202.43285714286114</v>
      </c>
      <c r="N11" s="5">
        <v>21</v>
      </c>
      <c r="O11" s="5">
        <v>70.666666666666671</v>
      </c>
      <c r="P11" s="33">
        <v>615.83119120888216</v>
      </c>
      <c r="Q11" s="5">
        <v>20.215689613833177</v>
      </c>
      <c r="R11" s="5">
        <v>5038.2195029962259</v>
      </c>
      <c r="S11" s="31"/>
      <c r="T11" s="23">
        <v>1855919.5323640329</v>
      </c>
      <c r="U11" s="33">
        <v>227.87942857142272</v>
      </c>
      <c r="V11" s="5">
        <v>10</v>
      </c>
      <c r="W11" s="5">
        <v>64.666666666666671</v>
      </c>
      <c r="X11" s="33">
        <v>818.30353446443189</v>
      </c>
      <c r="Y11" s="5">
        <v>64.46134163073954</v>
      </c>
      <c r="Z11" s="5">
        <v>6625.1300591533754</v>
      </c>
      <c r="AA11" s="35"/>
    </row>
    <row r="12" spans="2:27" x14ac:dyDescent="0.2">
      <c r="B12" s="4">
        <v>9</v>
      </c>
      <c r="C12" s="4">
        <v>850</v>
      </c>
      <c r="D12" s="23">
        <v>1384155.27745426</v>
      </c>
      <c r="E12" s="33">
        <v>232.46857142857542</v>
      </c>
      <c r="F12" s="5">
        <v>13</v>
      </c>
      <c r="G12" s="23">
        <v>88.666666666666671</v>
      </c>
      <c r="H12" s="33">
        <v>762.84882466348745</v>
      </c>
      <c r="I12" s="23">
        <v>43.651470641515829</v>
      </c>
      <c r="J12" s="5">
        <v>6043.6052008763581</v>
      </c>
      <c r="K12" s="31"/>
      <c r="L12" s="23">
        <v>1898246.8996424831</v>
      </c>
      <c r="M12" s="33">
        <v>456.67400000001572</v>
      </c>
      <c r="N12" s="5">
        <v>36</v>
      </c>
      <c r="O12" s="5">
        <v>85.333333333333329</v>
      </c>
      <c r="P12" s="33">
        <v>1055.1326924670198</v>
      </c>
      <c r="Q12" s="5">
        <v>14.644642423803106</v>
      </c>
      <c r="R12" s="5">
        <v>5651.7729033663054</v>
      </c>
      <c r="S12" s="31"/>
      <c r="T12" s="23">
        <v>1909667.843857077</v>
      </c>
      <c r="U12" s="33">
        <v>125.23228571427585</v>
      </c>
      <c r="V12" s="5">
        <v>10</v>
      </c>
      <c r="W12" s="5">
        <v>64.666666666666671</v>
      </c>
      <c r="X12" s="33">
        <v>1147.0474904046628</v>
      </c>
      <c r="Y12" s="5">
        <v>66.093311665116005</v>
      </c>
      <c r="Z12" s="5">
        <v>6950.893649201169</v>
      </c>
      <c r="AA12" s="35"/>
    </row>
    <row r="13" spans="2:27" x14ac:dyDescent="0.2">
      <c r="B13" s="4">
        <v>10</v>
      </c>
      <c r="C13" s="4">
        <v>898</v>
      </c>
      <c r="D13" s="23">
        <v>1509532.919341024</v>
      </c>
      <c r="E13" s="33">
        <v>335.49085714285513</v>
      </c>
      <c r="F13" s="5">
        <v>14</v>
      </c>
      <c r="G13" s="23">
        <v>90</v>
      </c>
      <c r="H13" s="33">
        <v>1368.4304130232631</v>
      </c>
      <c r="I13" s="23">
        <v>39.490271947322171</v>
      </c>
      <c r="J13" s="5">
        <v>6554.1103270999356</v>
      </c>
      <c r="K13" s="31"/>
      <c r="L13" s="23">
        <v>1848953.421994454</v>
      </c>
      <c r="M13" s="33">
        <v>242.95542857144028</v>
      </c>
      <c r="N13" s="5">
        <v>27</v>
      </c>
      <c r="O13" s="5">
        <v>73.333333333333329</v>
      </c>
      <c r="P13" s="33">
        <v>463.35571708108199</v>
      </c>
      <c r="Q13" s="5">
        <v>16.252749183324617</v>
      </c>
      <c r="R13" s="5">
        <v>4956.0801878292814</v>
      </c>
      <c r="S13" s="31"/>
      <c r="T13" s="23">
        <v>2254178.4766637818</v>
      </c>
      <c r="U13" s="33">
        <v>90.067142857138847</v>
      </c>
      <c r="V13" s="5">
        <v>22</v>
      </c>
      <c r="W13" s="5">
        <v>62</v>
      </c>
      <c r="X13" s="33">
        <v>1904.8610742291496</v>
      </c>
      <c r="Y13" s="5">
        <v>30.374404339654333</v>
      </c>
      <c r="Z13" s="5">
        <v>7120.2963818708895</v>
      </c>
      <c r="AA13" s="35"/>
    </row>
    <row r="14" spans="2:27" x14ac:dyDescent="0.2">
      <c r="B14" s="46" t="s">
        <v>3</v>
      </c>
      <c r="C14" s="47"/>
      <c r="D14" s="9">
        <f>MIN(D4:D13)</f>
        <v>1384155.27745426</v>
      </c>
      <c r="E14" s="22">
        <f>INDEX(E4:E13, MATCH($D$14, D4:D13, 0))</f>
        <v>232.46857142857542</v>
      </c>
      <c r="F14" s="9">
        <f>INDEX(F4:F13, MATCH($D$14, D4:D13, 0))</f>
        <v>13</v>
      </c>
      <c r="G14" s="9">
        <f>INDEX(G4:G13, MATCH($D$14, D4:D13, 0))</f>
        <v>88.666666666666671</v>
      </c>
      <c r="H14" s="22">
        <f>INDEX(H4:H13, MATCH($D$14, D4:D13, 0))</f>
        <v>762.84882466348745</v>
      </c>
      <c r="I14" s="22">
        <f>INDEX(I4:I13, MATCH($D$14, D4:D13, 0))</f>
        <v>43.651470641515829</v>
      </c>
      <c r="J14" s="22">
        <f>INDEX(J4:J13, MATCH($D$14, D4:D13, 0))</f>
        <v>6043.6052008763581</v>
      </c>
      <c r="K14" s="32" t="e">
        <f>(D14-$D$15)/$D$15</f>
        <v>#DIV/0!</v>
      </c>
      <c r="L14" s="16">
        <f>MIN(L4:L13)</f>
        <v>1810566.130465749</v>
      </c>
      <c r="M14" s="21">
        <f>INDEX(M4:M13, MATCH($L$14, L4:L13, 0))</f>
        <v>202.43285714286114</v>
      </c>
      <c r="N14" s="16">
        <f>INDEX(N4:N13, MATCH($L$14, L4:L13, 0))</f>
        <v>21</v>
      </c>
      <c r="O14" s="16">
        <f>INDEX(O4:O13, MATCH($L$14, L4:L13, 0))</f>
        <v>70.666666666666671</v>
      </c>
      <c r="P14" s="21">
        <f>INDEX(P4:P13, MATCH($L$14, L4:L13, 0))</f>
        <v>615.83119120888216</v>
      </c>
      <c r="Q14" s="21">
        <f>INDEX(Q4:Q13, MATCH($L$14, L4:L13, 0))</f>
        <v>20.215689613833177</v>
      </c>
      <c r="R14" s="21">
        <f>INDEX(R4:R13, MATCH($L$14, L4:L13, 0))</f>
        <v>5038.2195029962259</v>
      </c>
      <c r="S14" s="36" t="e">
        <f>(L14-$D$15)/$D$15</f>
        <v>#DIV/0!</v>
      </c>
      <c r="T14" s="38">
        <f>MIN(T4:T13)</f>
        <v>1824267.9289435439</v>
      </c>
      <c r="U14" s="39">
        <f>INDEX(U4:U13, MATCH($T$14, T4:T13, 0))</f>
        <v>584.47342857143053</v>
      </c>
      <c r="V14" s="38">
        <f>INDEX(V4:V13, MATCH($T$14, T4:T13, 0))</f>
        <v>11</v>
      </c>
      <c r="W14" s="38">
        <f>INDEX(W4:W13, MATCH($T$14, T4:T13, 0))</f>
        <v>67.333333333333329</v>
      </c>
      <c r="X14" s="39">
        <f>INDEX(X4:X13, MATCH($T$14, T4:T13, 0))</f>
        <v>924.81913246984152</v>
      </c>
      <c r="Y14" s="39">
        <f>INDEX(Y4:Y13, MATCH($T$14, T4:T13, 0))</f>
        <v>64.387506251721334</v>
      </c>
      <c r="Z14" s="39">
        <f>INDEX(Z4:Z13, MATCH($T$14, T4:T13, 0))</f>
        <v>6608.9511924837707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  <row r="33" s="1" customFormat="1" x14ac:dyDescent="0.2"/>
    <row r="34" s="1" customFormat="1" x14ac:dyDescent="0.2"/>
    <row r="35" s="1" customFormat="1" x14ac:dyDescent="0.2"/>
    <row r="36" s="1" customFormat="1" x14ac:dyDescent="0.2"/>
    <row r="37" s="1" customFormat="1" x14ac:dyDescent="0.2"/>
  </sheetData>
  <mergeCells count="1">
    <mergeCell ref="B14:C14"/>
  </mergeCells>
  <conditionalFormatting sqref="C1:C13 C15:C16 C38:C1048576">
    <cfRule type="duplicateValues" dxfId="109" priority="7"/>
    <cfRule type="duplicateValues" dxfId="108" priority="8"/>
  </conditionalFormatting>
  <conditionalFormatting sqref="C14">
    <cfRule type="duplicateValues" dxfId="107" priority="3"/>
    <cfRule type="duplicateValues" dxfId="106" priority="4"/>
  </conditionalFormatting>
  <conditionalFormatting sqref="C17:C37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D71F-6B66-45B3-9CD0-4D1F0E13110C}">
  <dimension ref="B1:AA17"/>
  <sheetViews>
    <sheetView zoomScale="70" zoomScaleNormal="70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-0.97581494875458052</v>
      </c>
      <c r="J2" s="28" t="e">
        <f>(S14-J14)/J14</f>
        <v>#DIV/0!</v>
      </c>
      <c r="K2" s="28"/>
      <c r="L2" s="1" t="s">
        <v>19</v>
      </c>
      <c r="P2" s="1">
        <f>(P14-H14)/H14</f>
        <v>-0.32574935251203024</v>
      </c>
      <c r="R2" s="1">
        <f>(R14-J14)/J14</f>
        <v>-0.21701469060504794</v>
      </c>
      <c r="T2" s="1" t="s">
        <v>20</v>
      </c>
      <c r="X2" s="1">
        <f>(X14-P14)/P14</f>
        <v>1.1305416497298444</v>
      </c>
      <c r="Z2" s="1">
        <f>(Z14-R14)/R14</f>
        <v>0.31413641519950697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996</v>
      </c>
      <c r="D4" s="23">
        <v>1309512.278369077</v>
      </c>
      <c r="E4" s="33">
        <v>165.53571428571428</v>
      </c>
      <c r="F4" s="5">
        <v>12</v>
      </c>
      <c r="G4" s="23">
        <v>95.333333333333329</v>
      </c>
      <c r="H4" s="33">
        <v>1037.1397837559193</v>
      </c>
      <c r="I4" s="23">
        <v>42.570344936177186</v>
      </c>
      <c r="J4" s="5">
        <v>6459.9084747650768</v>
      </c>
      <c r="K4" s="31"/>
      <c r="L4" s="23">
        <v>1608968.440929401</v>
      </c>
      <c r="M4" s="33">
        <v>209.94657142856158</v>
      </c>
      <c r="N4" s="5">
        <v>24</v>
      </c>
      <c r="O4" s="5">
        <v>84</v>
      </c>
      <c r="P4" s="33">
        <v>519.58224821339695</v>
      </c>
      <c r="Q4" s="5">
        <v>18.823955168618749</v>
      </c>
      <c r="R4" s="5">
        <v>5362.5680383596828</v>
      </c>
      <c r="S4" s="31"/>
      <c r="T4" s="23">
        <v>1686591.6682846339</v>
      </c>
      <c r="U4" s="33">
        <v>113.82600000001757</v>
      </c>
      <c r="V4" s="5">
        <v>14</v>
      </c>
      <c r="W4" s="5">
        <v>78.666666666666671</v>
      </c>
      <c r="X4" s="33">
        <v>1285.9699583475372</v>
      </c>
      <c r="Y4" s="5">
        <v>47.593949446221352</v>
      </c>
      <c r="Z4" s="5">
        <v>6751.6491441559283</v>
      </c>
      <c r="AA4" s="35"/>
    </row>
    <row r="5" spans="2:27" x14ac:dyDescent="0.2">
      <c r="B5" s="4">
        <v>2</v>
      </c>
      <c r="C5" s="4">
        <v>325</v>
      </c>
      <c r="D5" s="23">
        <v>1398779.232234271</v>
      </c>
      <c r="E5" s="33">
        <v>145.02685714286886</v>
      </c>
      <c r="F5" s="5">
        <v>11</v>
      </c>
      <c r="G5" s="23">
        <v>93.333333333333329</v>
      </c>
      <c r="H5" s="33">
        <v>1066.7083891417703</v>
      </c>
      <c r="I5" s="23">
        <v>46.806627657751505</v>
      </c>
      <c r="J5" s="5">
        <v>6829.1447409265493</v>
      </c>
      <c r="K5" s="31"/>
      <c r="L5" s="23">
        <v>1667198.8585194871</v>
      </c>
      <c r="M5" s="33">
        <v>485.06228571428375</v>
      </c>
      <c r="N5" s="5">
        <v>27</v>
      </c>
      <c r="O5" s="5">
        <v>86.666666666666671</v>
      </c>
      <c r="P5" s="33">
        <v>719.05271428047297</v>
      </c>
      <c r="Q5" s="5">
        <v>17.364077407696922</v>
      </c>
      <c r="R5" s="5">
        <v>5690.8860538976842</v>
      </c>
      <c r="S5" s="31"/>
      <c r="T5" s="23">
        <v>1762832.5488149901</v>
      </c>
      <c r="U5" s="33">
        <v>130.330285714274</v>
      </c>
      <c r="V5" s="5">
        <v>9</v>
      </c>
      <c r="W5" s="5">
        <v>71.333333333333329</v>
      </c>
      <c r="X5" s="33">
        <v>1136.2865372861386</v>
      </c>
      <c r="Y5" s="5">
        <v>65.234131097451396</v>
      </c>
      <c r="Z5" s="5">
        <v>6977.695608291976</v>
      </c>
      <c r="AA5" s="35"/>
    </row>
    <row r="6" spans="2:27" x14ac:dyDescent="0.2">
      <c r="B6" s="4">
        <v>3</v>
      </c>
      <c r="C6" s="4">
        <v>161</v>
      </c>
      <c r="D6" s="23">
        <v>1357499.4159452079</v>
      </c>
      <c r="E6" s="33">
        <v>132.63857142856742</v>
      </c>
      <c r="F6" s="5">
        <v>10</v>
      </c>
      <c r="G6" s="23">
        <v>96.666666666666671</v>
      </c>
      <c r="H6" s="33">
        <v>1202.907782491993</v>
      </c>
      <c r="I6" s="23">
        <v>55.969365574034953</v>
      </c>
      <c r="J6" s="5">
        <v>7071.8566459223475</v>
      </c>
      <c r="K6" s="31"/>
      <c r="L6" s="23">
        <v>1611974.702870829</v>
      </c>
      <c r="M6" s="33">
        <v>419.42857142857144</v>
      </c>
      <c r="N6" s="5">
        <v>24</v>
      </c>
      <c r="O6" s="5">
        <v>82.666666666666671</v>
      </c>
      <c r="P6" s="33">
        <v>622.28135048926094</v>
      </c>
      <c r="Q6" s="5">
        <v>18.74239678918682</v>
      </c>
      <c r="R6" s="5">
        <v>5172.2796480647303</v>
      </c>
      <c r="S6" s="31"/>
      <c r="T6" s="23">
        <v>1923432.6137192389</v>
      </c>
      <c r="U6" s="33">
        <v>139.03142857142456</v>
      </c>
      <c r="V6" s="5">
        <v>11</v>
      </c>
      <c r="W6" s="5">
        <v>70.666666666666671</v>
      </c>
      <c r="X6" s="33">
        <v>1811.3345634504499</v>
      </c>
      <c r="Y6" s="5">
        <v>56.48490634532741</v>
      </c>
      <c r="Z6" s="5">
        <v>7603.0918212217675</v>
      </c>
      <c r="AA6" s="35"/>
    </row>
    <row r="7" spans="2:27" x14ac:dyDescent="0.2">
      <c r="B7" s="4">
        <v>4</v>
      </c>
      <c r="C7" s="4">
        <v>27</v>
      </c>
      <c r="D7" s="23">
        <v>1423200.9257301351</v>
      </c>
      <c r="E7" s="33">
        <v>111.31228571428385</v>
      </c>
      <c r="F7" s="5">
        <v>10</v>
      </c>
      <c r="G7" s="23">
        <v>88</v>
      </c>
      <c r="H7" s="33">
        <v>807.95261338280909</v>
      </c>
      <c r="I7" s="23">
        <v>47.559734218297827</v>
      </c>
      <c r="J7" s="5">
        <v>6581.069507551867</v>
      </c>
      <c r="K7" s="31"/>
      <c r="L7" s="23">
        <v>1679985.425470493</v>
      </c>
      <c r="M7" s="33">
        <v>367.81685714283969</v>
      </c>
      <c r="N7" s="5">
        <v>24</v>
      </c>
      <c r="O7" s="5">
        <v>81.333333333333329</v>
      </c>
      <c r="P7" s="33">
        <v>815.96001592379696</v>
      </c>
      <c r="Q7" s="5">
        <v>18.498949207271036</v>
      </c>
      <c r="R7" s="5">
        <v>5383.994175454889</v>
      </c>
      <c r="S7" s="31"/>
      <c r="T7" s="23">
        <v>1827357.1875833999</v>
      </c>
      <c r="U7" s="33">
        <v>203.95085714285128</v>
      </c>
      <c r="V7" s="5">
        <v>15</v>
      </c>
      <c r="W7" s="5">
        <v>82.666666666666671</v>
      </c>
      <c r="X7" s="33">
        <v>2114.3120777711092</v>
      </c>
      <c r="Y7" s="5">
        <v>54.064692634363318</v>
      </c>
      <c r="Z7" s="5">
        <v>7803.59576344569</v>
      </c>
      <c r="AA7" s="35"/>
    </row>
    <row r="8" spans="2:27" x14ac:dyDescent="0.2">
      <c r="B8" s="4">
        <v>5</v>
      </c>
      <c r="C8" s="4">
        <v>863</v>
      </c>
      <c r="D8" s="23">
        <v>1316521.172076632</v>
      </c>
      <c r="E8" s="33">
        <v>257.25428571428972</v>
      </c>
      <c r="F8" s="5">
        <v>10</v>
      </c>
      <c r="G8" s="23">
        <v>97.333333333333329</v>
      </c>
      <c r="H8" s="33">
        <v>1301.7686219646641</v>
      </c>
      <c r="I8" s="23">
        <v>56.559196147585908</v>
      </c>
      <c r="J8" s="5">
        <v>6863.140089689824</v>
      </c>
      <c r="K8" s="31"/>
      <c r="L8" s="23">
        <v>1606568.3223999541</v>
      </c>
      <c r="M8" s="33">
        <v>612.74542857144422</v>
      </c>
      <c r="N8" s="5">
        <v>21</v>
      </c>
      <c r="O8" s="5">
        <v>80</v>
      </c>
      <c r="P8" s="33">
        <v>579.7122882153177</v>
      </c>
      <c r="Q8" s="5">
        <v>20.794005093390734</v>
      </c>
      <c r="R8" s="5">
        <v>5186.1143987517535</v>
      </c>
      <c r="S8" s="31"/>
      <c r="T8" s="23">
        <v>1885986.4308524509</v>
      </c>
      <c r="U8" s="33">
        <v>210.915142857137</v>
      </c>
      <c r="V8" s="5">
        <v>10</v>
      </c>
      <c r="W8" s="5">
        <v>68</v>
      </c>
      <c r="X8" s="33">
        <v>1339.543676768704</v>
      </c>
      <c r="Y8" s="5">
        <v>53.928991627331996</v>
      </c>
      <c r="Z8" s="5">
        <v>7143.3779077333029</v>
      </c>
      <c r="AA8" s="35"/>
    </row>
    <row r="9" spans="2:27" x14ac:dyDescent="0.2">
      <c r="B9" s="4">
        <v>6</v>
      </c>
      <c r="C9" s="4">
        <v>39</v>
      </c>
      <c r="D9" s="23">
        <v>1308554.5030659221</v>
      </c>
      <c r="E9" s="33">
        <v>184.830285714274</v>
      </c>
      <c r="F9" s="5">
        <v>13</v>
      </c>
      <c r="G9" s="23">
        <v>95.333333333333329</v>
      </c>
      <c r="H9" s="33">
        <v>902.4410660227112</v>
      </c>
      <c r="I9" s="23">
        <v>40.085536610225532</v>
      </c>
      <c r="J9" s="5">
        <v>6385.1585419220555</v>
      </c>
      <c r="K9" s="31"/>
      <c r="L9" s="23">
        <v>1637439.5705037671</v>
      </c>
      <c r="M9" s="33">
        <v>380.93314285712717</v>
      </c>
      <c r="N9" s="5">
        <v>23</v>
      </c>
      <c r="O9" s="5">
        <v>81.333333333333329</v>
      </c>
      <c r="P9" s="33">
        <v>555.94685382257785</v>
      </c>
      <c r="Q9" s="5">
        <v>18.898987737738953</v>
      </c>
      <c r="R9" s="5">
        <v>5324.184448398305</v>
      </c>
      <c r="S9" s="31"/>
      <c r="T9" s="23">
        <v>1930033.189674906</v>
      </c>
      <c r="U9" s="33">
        <v>85.919714285725988</v>
      </c>
      <c r="V9" s="5">
        <v>16</v>
      </c>
      <c r="W9" s="5">
        <v>88.666666666666671</v>
      </c>
      <c r="X9" s="33">
        <v>2915.5788559600915</v>
      </c>
      <c r="Y9" s="5">
        <v>53.328326226782394</v>
      </c>
      <c r="Z9" s="5">
        <v>8721.6198325022124</v>
      </c>
      <c r="AA9" s="35"/>
    </row>
    <row r="10" spans="2:27" x14ac:dyDescent="0.2">
      <c r="B10" s="4">
        <v>7</v>
      </c>
      <c r="C10" s="4">
        <v>50</v>
      </c>
      <c r="D10" s="23">
        <v>1296910.8917388681</v>
      </c>
      <c r="E10" s="33">
        <v>228.3437142857417</v>
      </c>
      <c r="F10" s="5">
        <v>11</v>
      </c>
      <c r="G10" s="23">
        <v>95.333333333333329</v>
      </c>
      <c r="H10" s="33">
        <v>859.78751429476551</v>
      </c>
      <c r="I10" s="23">
        <v>48.883966894469765</v>
      </c>
      <c r="J10" s="5">
        <v>6623.5143067489953</v>
      </c>
      <c r="K10" s="31"/>
      <c r="L10" s="23">
        <v>1693016.830825388</v>
      </c>
      <c r="M10" s="33">
        <v>176.03571428571428</v>
      </c>
      <c r="N10" s="5">
        <v>23</v>
      </c>
      <c r="O10" s="5">
        <v>78.666666666666671</v>
      </c>
      <c r="P10" s="33">
        <v>636.72743262883637</v>
      </c>
      <c r="Q10" s="5">
        <v>17.865028083283129</v>
      </c>
      <c r="R10" s="5">
        <v>5238.0332132841822</v>
      </c>
      <c r="S10" s="31"/>
      <c r="T10" s="23">
        <v>1740626.231579487</v>
      </c>
      <c r="U10" s="33">
        <v>168.82142857142858</v>
      </c>
      <c r="V10" s="5">
        <v>12</v>
      </c>
      <c r="W10" s="5">
        <v>76.666666666666671</v>
      </c>
      <c r="X10" s="33">
        <v>1401.1368956134797</v>
      </c>
      <c r="Y10" s="5">
        <v>54.028224470204485</v>
      </c>
      <c r="Z10" s="5">
        <v>7074.0803367228236</v>
      </c>
      <c r="AA10" s="35"/>
    </row>
    <row r="11" spans="2:27" x14ac:dyDescent="0.2">
      <c r="B11" s="4">
        <v>8</v>
      </c>
      <c r="C11" s="4">
        <v>565</v>
      </c>
      <c r="D11" s="23">
        <v>1305200.7979422619</v>
      </c>
      <c r="E11" s="33">
        <v>66.455428571407026</v>
      </c>
      <c r="F11" s="5">
        <v>11</v>
      </c>
      <c r="G11" s="23">
        <v>94</v>
      </c>
      <c r="H11" s="33">
        <v>977.07030297794586</v>
      </c>
      <c r="I11" s="23">
        <v>48.508205583336569</v>
      </c>
      <c r="J11" s="5">
        <v>6439.6015230736039</v>
      </c>
      <c r="K11" s="31"/>
      <c r="L11" s="23">
        <v>1658499.79673293</v>
      </c>
      <c r="M11" s="33">
        <v>327.06257142858311</v>
      </c>
      <c r="N11" s="5">
        <v>29</v>
      </c>
      <c r="O11" s="5">
        <v>86</v>
      </c>
      <c r="P11" s="33">
        <v>684.07418632396718</v>
      </c>
      <c r="Q11" s="5">
        <v>16.235595016411008</v>
      </c>
      <c r="R11" s="5">
        <v>5322.2131894272798</v>
      </c>
      <c r="S11" s="31"/>
      <c r="T11" s="23">
        <v>1663249.9320858989</v>
      </c>
      <c r="U11" s="33">
        <v>239.23657142856558</v>
      </c>
      <c r="V11" s="5">
        <v>14</v>
      </c>
      <c r="W11" s="5">
        <v>80</v>
      </c>
      <c r="X11" s="33">
        <v>1235.101174902926</v>
      </c>
      <c r="Y11" s="5">
        <v>47.955528274550311</v>
      </c>
      <c r="Z11" s="5">
        <v>6815.2617847901756</v>
      </c>
      <c r="AA11" s="35"/>
    </row>
    <row r="12" spans="2:27" x14ac:dyDescent="0.2">
      <c r="B12" s="4">
        <v>9</v>
      </c>
      <c r="C12" s="4">
        <v>900</v>
      </c>
      <c r="D12" s="23">
        <v>1348414.7790046399</v>
      </c>
      <c r="E12" s="33">
        <v>201.96428571428572</v>
      </c>
      <c r="F12" s="5">
        <v>11</v>
      </c>
      <c r="G12" s="23">
        <v>94.666666666666671</v>
      </c>
      <c r="H12" s="33">
        <v>975.1926092864685</v>
      </c>
      <c r="I12" s="23">
        <v>47.948185137555036</v>
      </c>
      <c r="J12" s="5">
        <v>6782.6203373542412</v>
      </c>
      <c r="K12" s="31"/>
      <c r="L12" s="23">
        <v>1652488.5978882471</v>
      </c>
      <c r="M12" s="33">
        <v>213.82142857142858</v>
      </c>
      <c r="N12" s="5">
        <v>22</v>
      </c>
      <c r="O12" s="5">
        <v>80.666666666666671</v>
      </c>
      <c r="P12" s="33">
        <v>661.44841777248905</v>
      </c>
      <c r="Q12" s="5">
        <v>20.003203227346738</v>
      </c>
      <c r="R12" s="5">
        <v>5422.8543375032141</v>
      </c>
      <c r="S12" s="31"/>
      <c r="T12" s="23">
        <v>1772469.4609150109</v>
      </c>
      <c r="U12" s="33">
        <v>249.80800000002742</v>
      </c>
      <c r="V12" s="5">
        <v>11</v>
      </c>
      <c r="W12" s="5">
        <v>74</v>
      </c>
      <c r="X12" s="33">
        <v>1268.2390079894872</v>
      </c>
      <c r="Y12" s="5">
        <v>55.227732010668277</v>
      </c>
      <c r="Z12" s="5">
        <v>7098.5990573658237</v>
      </c>
      <c r="AA12" s="35"/>
    </row>
    <row r="13" spans="2:27" x14ac:dyDescent="0.2">
      <c r="B13" s="4">
        <v>10</v>
      </c>
      <c r="C13" s="4">
        <v>835</v>
      </c>
      <c r="D13" s="23">
        <v>1319981.196075778</v>
      </c>
      <c r="E13" s="33">
        <v>362.24085714285513</v>
      </c>
      <c r="F13" s="5">
        <v>10</v>
      </c>
      <c r="G13" s="23">
        <v>92</v>
      </c>
      <c r="H13" s="33">
        <v>711.4068919269755</v>
      </c>
      <c r="I13" s="23">
        <v>50.676890420651056</v>
      </c>
      <c r="J13" s="5">
        <v>6517.0070667211749</v>
      </c>
      <c r="K13" s="31"/>
      <c r="L13" s="23">
        <v>1658053.8064923449</v>
      </c>
      <c r="M13" s="33">
        <v>457.04914285714858</v>
      </c>
      <c r="N13" s="5">
        <v>22</v>
      </c>
      <c r="O13" s="5">
        <v>79.333333333333329</v>
      </c>
      <c r="P13" s="33">
        <v>521.57055002628852</v>
      </c>
      <c r="Q13" s="5">
        <v>19.28308278011723</v>
      </c>
      <c r="R13" s="5">
        <v>5322.2263369265747</v>
      </c>
      <c r="S13" s="31"/>
      <c r="T13" s="23">
        <v>1677998.6028964419</v>
      </c>
      <c r="U13" s="33">
        <v>375.63828571430139</v>
      </c>
      <c r="V13" s="5">
        <v>18</v>
      </c>
      <c r="W13" s="5">
        <v>84.666666666666671</v>
      </c>
      <c r="X13" s="33">
        <v>1490.6849746354255</v>
      </c>
      <c r="Y13" s="5">
        <v>44.038571050971214</v>
      </c>
      <c r="Z13" s="5">
        <v>7033.4816547267856</v>
      </c>
      <c r="AA13" s="35"/>
    </row>
    <row r="14" spans="2:27" x14ac:dyDescent="0.2">
      <c r="B14" s="46" t="s">
        <v>3</v>
      </c>
      <c r="C14" s="47"/>
      <c r="D14" s="9">
        <f>MIN(D4:D13)</f>
        <v>1296910.8917388681</v>
      </c>
      <c r="E14" s="22">
        <f>INDEX(E4:E13, MATCH($D$14, D4:D13, 0))</f>
        <v>228.3437142857417</v>
      </c>
      <c r="F14" s="9">
        <f>INDEX(F4:F13, MATCH($D$14, D4:D13, 0))</f>
        <v>11</v>
      </c>
      <c r="G14" s="9">
        <f>INDEX(G4:G13, MATCH($D$14, D4:D13, 0))</f>
        <v>95.333333333333329</v>
      </c>
      <c r="H14" s="22">
        <f>INDEX(H4:H13, MATCH($D$14, D4:D13, 0))</f>
        <v>859.78751429476551</v>
      </c>
      <c r="I14" s="22">
        <f>INDEX(I4:I13, MATCH($D$14, D4:D13, 0))</f>
        <v>48.883966894469765</v>
      </c>
      <c r="J14" s="22">
        <f>INDEX(J4:J13, MATCH($D$14, D4:D13, 0))</f>
        <v>6623.5143067489953</v>
      </c>
      <c r="K14" s="32" t="e">
        <f>(D14-$D$15)/$D$15</f>
        <v>#DIV/0!</v>
      </c>
      <c r="L14" s="16">
        <f>MIN(L4:L13)</f>
        <v>1606568.3223999541</v>
      </c>
      <c r="M14" s="21">
        <f>INDEX(M4:M13, MATCH($L$14, L4:L13, 0))</f>
        <v>612.74542857144422</v>
      </c>
      <c r="N14" s="16">
        <f>INDEX(N4:N13, MATCH($L$14, L4:L13, 0))</f>
        <v>21</v>
      </c>
      <c r="O14" s="16">
        <f>INDEX(O4:O13, MATCH($L$14, L4:L13, 0))</f>
        <v>80</v>
      </c>
      <c r="P14" s="21">
        <f>INDEX(P4:P13, MATCH($L$14, L4:L13, 0))</f>
        <v>579.7122882153177</v>
      </c>
      <c r="Q14" s="21">
        <f>INDEX(Q4:Q13, MATCH($L$14, L4:L13, 0))</f>
        <v>20.794005093390734</v>
      </c>
      <c r="R14" s="21">
        <f>INDEX(R4:R13, MATCH($L$14, L4:L13, 0))</f>
        <v>5186.1143987517535</v>
      </c>
      <c r="S14" s="36" t="e">
        <f>(L14-$D$15)/$D$15</f>
        <v>#DIV/0!</v>
      </c>
      <c r="T14" s="38">
        <f>MIN(T4:T13)</f>
        <v>1663249.9320858989</v>
      </c>
      <c r="U14" s="39">
        <f>INDEX(U4:U13, MATCH($T$14, T4:T13, 0))</f>
        <v>239.23657142856558</v>
      </c>
      <c r="V14" s="38">
        <f>INDEX(V4:V13, MATCH($T$14, T4:T13, 0))</f>
        <v>14</v>
      </c>
      <c r="W14" s="38">
        <f>INDEX(W4:W13, MATCH($T$14, T4:T13, 0))</f>
        <v>80</v>
      </c>
      <c r="X14" s="39">
        <f>INDEX(X4:X13, MATCH($T$14, T4:T13, 0))</f>
        <v>1235.101174902926</v>
      </c>
      <c r="Y14" s="39">
        <f>INDEX(Y4:Y13, MATCH($T$14, T4:T13, 0))</f>
        <v>47.955528274550311</v>
      </c>
      <c r="Z14" s="39">
        <f>INDEX(Z4:Z13, MATCH($T$14, T4:T13, 0))</f>
        <v>6815.2617847901756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8:C1048576">
    <cfRule type="duplicateValues" dxfId="105" priority="9"/>
    <cfRule type="duplicateValues" dxfId="104" priority="10"/>
  </conditionalFormatting>
  <conditionalFormatting sqref="C14">
    <cfRule type="duplicateValues" dxfId="103" priority="3"/>
    <cfRule type="duplicateValues" dxfId="102" priority="4"/>
  </conditionalFormatting>
  <conditionalFormatting sqref="C17:C37">
    <cfRule type="duplicateValues" dxfId="15" priority="1"/>
    <cfRule type="duplicateValues" dxfId="1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A1D85-C366-456F-926B-56FD94B9DAA0}">
  <dimension ref="B1:AA17"/>
  <sheetViews>
    <sheetView zoomScale="70" zoomScaleNormal="70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-0.97777349726167906</v>
      </c>
      <c r="J2" s="28" t="e">
        <f>(S14-J14)/J14</f>
        <v>#DIV/0!</v>
      </c>
      <c r="K2" s="28"/>
      <c r="L2" s="1" t="s">
        <v>19</v>
      </c>
      <c r="P2" s="1">
        <f>(P14-H14)/H14</f>
        <v>-0.30128356919914501</v>
      </c>
      <c r="R2" s="1">
        <f>(R14-J14)/J14</f>
        <v>-0.11824379602190725</v>
      </c>
      <c r="T2" s="1" t="s">
        <v>20</v>
      </c>
      <c r="X2" s="1">
        <f>(X14-P14)/P14</f>
        <v>2.4547509468299703E-2</v>
      </c>
      <c r="Z2" s="1">
        <f>(Z14-R14)/R14</f>
        <v>7.933756359332382E-2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344</v>
      </c>
      <c r="D4" s="23">
        <v>1458338.8752820101</v>
      </c>
      <c r="E4" s="33">
        <v>125.64742857144616</v>
      </c>
      <c r="F4" s="5">
        <v>13</v>
      </c>
      <c r="G4" s="23">
        <v>92</v>
      </c>
      <c r="H4" s="33">
        <v>1165.9908292478583</v>
      </c>
      <c r="I4" s="23">
        <v>39.05594877082104</v>
      </c>
      <c r="J4" s="5">
        <v>6461.0516592855856</v>
      </c>
      <c r="K4" s="31"/>
      <c r="L4" s="23">
        <v>1634678.4197670461</v>
      </c>
      <c r="M4" s="33">
        <v>224.90171428570258</v>
      </c>
      <c r="N4" s="5">
        <v>21</v>
      </c>
      <c r="O4" s="5">
        <v>82.666666666666671</v>
      </c>
      <c r="P4" s="33">
        <v>736.70696885995778</v>
      </c>
      <c r="Q4" s="5">
        <v>20.426691964258165</v>
      </c>
      <c r="R4" s="5">
        <v>5571.9917451467518</v>
      </c>
      <c r="S4" s="31"/>
      <c r="T4" s="23">
        <v>1758960.5064757019</v>
      </c>
      <c r="U4" s="33">
        <v>149.98657142856558</v>
      </c>
      <c r="V4" s="5">
        <v>11</v>
      </c>
      <c r="W4" s="5">
        <v>69.333333333333329</v>
      </c>
      <c r="X4" s="33">
        <v>821.68174375813555</v>
      </c>
      <c r="Y4" s="5">
        <v>49.889444325373944</v>
      </c>
      <c r="Z4" s="5">
        <v>6276.7774770103824</v>
      </c>
      <c r="AA4" s="35"/>
    </row>
    <row r="5" spans="2:27" x14ac:dyDescent="0.2">
      <c r="B5" s="4">
        <v>2</v>
      </c>
      <c r="C5" s="4">
        <v>627</v>
      </c>
      <c r="D5" s="23">
        <v>1316341.744533411</v>
      </c>
      <c r="E5" s="33">
        <v>485.0134285714343</v>
      </c>
      <c r="F5" s="5">
        <v>11</v>
      </c>
      <c r="G5" s="23">
        <v>94.666666666666671</v>
      </c>
      <c r="H5" s="33">
        <v>917.01716303650323</v>
      </c>
      <c r="I5" s="23">
        <v>47.836917848512371</v>
      </c>
      <c r="J5" s="5">
        <v>6416.7519231999131</v>
      </c>
      <c r="K5" s="31"/>
      <c r="L5" s="23">
        <v>1615941.967883765</v>
      </c>
      <c r="M5" s="33">
        <v>656.51799999999025</v>
      </c>
      <c r="N5" s="5">
        <v>20</v>
      </c>
      <c r="O5" s="5">
        <v>82</v>
      </c>
      <c r="P5" s="33">
        <v>648.28475400693662</v>
      </c>
      <c r="Q5" s="5">
        <v>20.622247058984229</v>
      </c>
      <c r="R5" s="5">
        <v>5517.8534906162349</v>
      </c>
      <c r="S5" s="31"/>
      <c r="T5" s="23">
        <v>1853397.7122739269</v>
      </c>
      <c r="U5" s="33">
        <v>167.80342857143842</v>
      </c>
      <c r="V5" s="5">
        <v>10</v>
      </c>
      <c r="W5" s="5">
        <v>68.666666666666671</v>
      </c>
      <c r="X5" s="33">
        <v>1222.7339710494059</v>
      </c>
      <c r="Y5" s="5">
        <v>52.961440767882983</v>
      </c>
      <c r="Z5" s="5">
        <v>6857.8949448371523</v>
      </c>
      <c r="AA5" s="35"/>
    </row>
    <row r="6" spans="2:27" x14ac:dyDescent="0.2">
      <c r="B6" s="4">
        <v>3</v>
      </c>
      <c r="C6" s="4">
        <v>549</v>
      </c>
      <c r="D6" s="23">
        <v>1387029.536109295</v>
      </c>
      <c r="E6" s="33">
        <v>421.00885714287858</v>
      </c>
      <c r="F6" s="5">
        <v>11</v>
      </c>
      <c r="G6" s="23">
        <v>90</v>
      </c>
      <c r="H6" s="33">
        <v>963.05098496538801</v>
      </c>
      <c r="I6" s="23">
        <v>44.750990213810262</v>
      </c>
      <c r="J6" s="5">
        <v>6235.8457622694232</v>
      </c>
      <c r="K6" s="31"/>
      <c r="L6" s="23">
        <v>1699408.5359395409</v>
      </c>
      <c r="M6" s="33">
        <v>167.61171428569858</v>
      </c>
      <c r="N6" s="5">
        <v>23</v>
      </c>
      <c r="O6" s="5">
        <v>87.333333333333329</v>
      </c>
      <c r="P6" s="33">
        <v>1219.4932150177451</v>
      </c>
      <c r="Q6" s="5">
        <v>20.362730263255532</v>
      </c>
      <c r="R6" s="5">
        <v>6190.3491867775529</v>
      </c>
      <c r="S6" s="31"/>
      <c r="T6" s="23">
        <v>1798279.5656989249</v>
      </c>
      <c r="U6" s="33">
        <v>222.89742857144614</v>
      </c>
      <c r="V6" s="5">
        <v>10</v>
      </c>
      <c r="W6" s="5">
        <v>71.333333333333329</v>
      </c>
      <c r="X6" s="33">
        <v>1237.4493424901254</v>
      </c>
      <c r="Y6" s="5">
        <v>56.153907316210052</v>
      </c>
      <c r="Z6" s="5">
        <v>6845.7236461107041</v>
      </c>
      <c r="AA6" s="35"/>
    </row>
    <row r="7" spans="2:27" x14ac:dyDescent="0.2">
      <c r="B7" s="4">
        <v>4</v>
      </c>
      <c r="C7" s="4">
        <v>392</v>
      </c>
      <c r="D7" s="23">
        <v>1419610.7365838659</v>
      </c>
      <c r="E7" s="33">
        <v>121.8882857143014</v>
      </c>
      <c r="F7" s="5">
        <v>13</v>
      </c>
      <c r="G7" s="23">
        <v>92.666666666666671</v>
      </c>
      <c r="H7" s="33">
        <v>1138.6277393004004</v>
      </c>
      <c r="I7" s="23">
        <v>39.646568810682467</v>
      </c>
      <c r="J7" s="5">
        <v>6419.7217674792428</v>
      </c>
      <c r="K7" s="31"/>
      <c r="L7" s="23">
        <v>1633174.926079365</v>
      </c>
      <c r="M7" s="33">
        <v>488.47742857142083</v>
      </c>
      <c r="N7" s="5">
        <v>20</v>
      </c>
      <c r="O7" s="5">
        <v>81.333333333333329</v>
      </c>
      <c r="P7" s="33">
        <v>801.07882486869221</v>
      </c>
      <c r="Q7" s="5">
        <v>21.734138339986778</v>
      </c>
      <c r="R7" s="5">
        <v>5487.3744800033592</v>
      </c>
      <c r="S7" s="31"/>
      <c r="T7" s="23">
        <v>1802573.908020302</v>
      </c>
      <c r="U7" s="33">
        <v>113.20971428572997</v>
      </c>
      <c r="V7" s="5">
        <v>10</v>
      </c>
      <c r="W7" s="5">
        <v>69.333333333333329</v>
      </c>
      <c r="X7" s="33">
        <v>1019.4889460018834</v>
      </c>
      <c r="Y7" s="5">
        <v>54.436953865537497</v>
      </c>
      <c r="Z7" s="5">
        <v>6646.8340711062901</v>
      </c>
      <c r="AA7" s="35"/>
    </row>
    <row r="8" spans="2:27" x14ac:dyDescent="0.2">
      <c r="B8" s="4">
        <v>5</v>
      </c>
      <c r="C8" s="4">
        <v>422</v>
      </c>
      <c r="D8" s="23">
        <v>1538411.472090042</v>
      </c>
      <c r="E8" s="33">
        <v>88.517714285690857</v>
      </c>
      <c r="F8" s="5">
        <v>13</v>
      </c>
      <c r="G8" s="23">
        <v>87.333333333333329</v>
      </c>
      <c r="H8" s="33">
        <v>1152.8066692886007</v>
      </c>
      <c r="I8" s="23">
        <v>36.570828132066644</v>
      </c>
      <c r="J8" s="5">
        <v>6506.6924460044556</v>
      </c>
      <c r="K8" s="31"/>
      <c r="L8" s="23">
        <v>1671278.64364882</v>
      </c>
      <c r="M8" s="33">
        <v>427.31228571428375</v>
      </c>
      <c r="N8" s="5">
        <v>25</v>
      </c>
      <c r="O8" s="5">
        <v>88.666666666666671</v>
      </c>
      <c r="P8" s="33">
        <v>1144.4390644777984</v>
      </c>
      <c r="Q8" s="5">
        <v>18.981777090371008</v>
      </c>
      <c r="R8" s="5">
        <v>5934.0353259870899</v>
      </c>
      <c r="S8" s="31"/>
      <c r="T8" s="23">
        <v>1758102.182236128</v>
      </c>
      <c r="U8" s="33">
        <v>280.2591428571447</v>
      </c>
      <c r="V8" s="5">
        <v>10</v>
      </c>
      <c r="W8" s="5">
        <v>66.666666666666671</v>
      </c>
      <c r="X8" s="33">
        <v>664.19853014407624</v>
      </c>
      <c r="Y8" s="5">
        <v>51.839823190860535</v>
      </c>
      <c r="Z8" s="5">
        <v>5955.6265428266443</v>
      </c>
      <c r="AA8" s="35"/>
    </row>
    <row r="9" spans="2:27" x14ac:dyDescent="0.2">
      <c r="B9" s="4">
        <v>6</v>
      </c>
      <c r="C9" s="4">
        <v>165</v>
      </c>
      <c r="D9" s="23">
        <v>1302682.6212871489</v>
      </c>
      <c r="E9" s="33">
        <v>98.049142857115456</v>
      </c>
      <c r="F9" s="5">
        <v>12</v>
      </c>
      <c r="G9" s="23">
        <v>95.333333333333329</v>
      </c>
      <c r="H9" s="33">
        <v>927.82239751237194</v>
      </c>
      <c r="I9" s="23">
        <v>43.810873797015553</v>
      </c>
      <c r="J9" s="5">
        <v>6257.799452640229</v>
      </c>
      <c r="K9" s="31"/>
      <c r="L9" s="23">
        <v>1731803.2660054669</v>
      </c>
      <c r="M9" s="33">
        <v>310.56228571428375</v>
      </c>
      <c r="N9" s="5">
        <v>24</v>
      </c>
      <c r="O9" s="5">
        <v>82.666666666666671</v>
      </c>
      <c r="P9" s="33">
        <v>964.44379272285244</v>
      </c>
      <c r="Q9" s="5">
        <v>17.773675470694556</v>
      </c>
      <c r="R9" s="5">
        <v>5625.9850951944563</v>
      </c>
      <c r="S9" s="31"/>
      <c r="T9" s="23">
        <v>2090045.9470669141</v>
      </c>
      <c r="U9" s="33">
        <v>185.23228571427586</v>
      </c>
      <c r="V9" s="5">
        <v>19</v>
      </c>
      <c r="W9" s="5">
        <v>88.666666666666671</v>
      </c>
      <c r="X9" s="33">
        <v>3356.8073131090432</v>
      </c>
      <c r="Y9" s="5">
        <v>50.575741507251699</v>
      </c>
      <c r="Z9" s="5">
        <v>8902.9929824828087</v>
      </c>
      <c r="AA9" s="35"/>
    </row>
    <row r="10" spans="2:27" x14ac:dyDescent="0.2">
      <c r="B10" s="4">
        <v>7</v>
      </c>
      <c r="C10" s="4">
        <v>361</v>
      </c>
      <c r="D10" s="23">
        <v>1334305.1331980941</v>
      </c>
      <c r="E10" s="33">
        <v>153.57142857142858</v>
      </c>
      <c r="F10" s="5">
        <v>13</v>
      </c>
      <c r="G10" s="23">
        <v>94.666666666666671</v>
      </c>
      <c r="H10" s="33">
        <v>899.05156550083302</v>
      </c>
      <c r="I10" s="23">
        <v>39.816435150192397</v>
      </c>
      <c r="J10" s="5">
        <v>6239.3199519652098</v>
      </c>
      <c r="K10" s="31"/>
      <c r="L10" s="23">
        <v>1704402.159925262</v>
      </c>
      <c r="M10" s="33">
        <v>295.12942857142286</v>
      </c>
      <c r="N10" s="5">
        <v>23</v>
      </c>
      <c r="O10" s="5">
        <v>86.666666666666671</v>
      </c>
      <c r="P10" s="33">
        <v>1090.3699597163386</v>
      </c>
      <c r="Q10" s="5">
        <v>19.854124935848368</v>
      </c>
      <c r="R10" s="5">
        <v>6169.7490267148878</v>
      </c>
      <c r="S10" s="31"/>
      <c r="T10" s="23">
        <v>1787664.155853074</v>
      </c>
      <c r="U10" s="33">
        <v>402.24114285712142</v>
      </c>
      <c r="V10" s="5">
        <v>10</v>
      </c>
      <c r="W10" s="5">
        <v>68</v>
      </c>
      <c r="X10" s="33">
        <v>844.72706248771181</v>
      </c>
      <c r="Y10" s="5">
        <v>53.563448153347132</v>
      </c>
      <c r="Z10" s="5">
        <v>6443.271212724786</v>
      </c>
      <c r="AA10" s="35"/>
    </row>
    <row r="11" spans="2:27" x14ac:dyDescent="0.2">
      <c r="B11" s="4">
        <v>8</v>
      </c>
      <c r="C11" s="4">
        <v>654</v>
      </c>
      <c r="D11" s="23">
        <v>1372113.5027543099</v>
      </c>
      <c r="E11" s="33">
        <v>207.7411428571213</v>
      </c>
      <c r="F11" s="5">
        <v>11</v>
      </c>
      <c r="G11" s="23">
        <v>92</v>
      </c>
      <c r="H11" s="33">
        <v>928.18880416319041</v>
      </c>
      <c r="I11" s="23">
        <v>45.695361632016898</v>
      </c>
      <c r="J11" s="5">
        <v>6425.5029218178961</v>
      </c>
      <c r="K11" s="31"/>
      <c r="L11" s="23">
        <v>1673509.343020878</v>
      </c>
      <c r="M11" s="33">
        <v>176.06685714287283</v>
      </c>
      <c r="N11" s="5">
        <v>19</v>
      </c>
      <c r="O11" s="5">
        <v>79.333333333333329</v>
      </c>
      <c r="P11" s="33">
        <v>733.88496065802201</v>
      </c>
      <c r="Q11" s="5">
        <v>22.260674985739129</v>
      </c>
      <c r="R11" s="5">
        <v>5686.8170282694846</v>
      </c>
      <c r="S11" s="31"/>
      <c r="T11" s="23">
        <v>1854950.921166244</v>
      </c>
      <c r="U11" s="33">
        <v>174.79028571427003</v>
      </c>
      <c r="V11" s="5">
        <v>10</v>
      </c>
      <c r="W11" s="5">
        <v>64.666666666666671</v>
      </c>
      <c r="X11" s="33">
        <v>845.12292999878321</v>
      </c>
      <c r="Y11" s="5">
        <v>53.865352772687672</v>
      </c>
      <c r="Z11" s="5">
        <v>6441.1554313867209</v>
      </c>
      <c r="AA11" s="35"/>
    </row>
    <row r="12" spans="2:27" x14ac:dyDescent="0.2">
      <c r="B12" s="4">
        <v>9</v>
      </c>
      <c r="C12" s="4">
        <v>519</v>
      </c>
      <c r="D12" s="23">
        <v>1419458.0475087529</v>
      </c>
      <c r="E12" s="33">
        <v>141.61171428573186</v>
      </c>
      <c r="F12" s="5">
        <v>11</v>
      </c>
      <c r="G12" s="23">
        <v>90.666666666666671</v>
      </c>
      <c r="H12" s="33">
        <v>1086.3507132736941</v>
      </c>
      <c r="I12" s="23">
        <v>45.798870931651614</v>
      </c>
      <c r="J12" s="5">
        <v>6434.2878279368088</v>
      </c>
      <c r="K12" s="31"/>
      <c r="L12" s="23">
        <v>1616958.7613993641</v>
      </c>
      <c r="M12" s="33">
        <v>357.50885714284544</v>
      </c>
      <c r="N12" s="5">
        <v>21</v>
      </c>
      <c r="O12" s="5">
        <v>84</v>
      </c>
      <c r="P12" s="33">
        <v>844.83855934060432</v>
      </c>
      <c r="Q12" s="5">
        <v>20.505236905026212</v>
      </c>
      <c r="R12" s="5">
        <v>5669.6635577356801</v>
      </c>
      <c r="S12" s="31"/>
      <c r="T12" s="23">
        <v>2106140.912371147</v>
      </c>
      <c r="U12" s="33">
        <v>176.21428571428572</v>
      </c>
      <c r="V12" s="5">
        <v>18</v>
      </c>
      <c r="W12" s="5">
        <v>80</v>
      </c>
      <c r="X12" s="33">
        <v>2995.3998510418432</v>
      </c>
      <c r="Y12" s="5">
        <v>46.104630962980316</v>
      </c>
      <c r="Z12" s="5">
        <v>8489.8829124292552</v>
      </c>
      <c r="AA12" s="35"/>
    </row>
    <row r="13" spans="2:27" x14ac:dyDescent="0.2">
      <c r="B13" s="4">
        <v>10</v>
      </c>
      <c r="C13" s="4">
        <v>971</v>
      </c>
      <c r="D13" s="23">
        <v>1360443.23058677</v>
      </c>
      <c r="E13" s="33">
        <v>171.65200000000186</v>
      </c>
      <c r="F13" s="5">
        <v>12</v>
      </c>
      <c r="G13" s="23">
        <v>94</v>
      </c>
      <c r="H13" s="33">
        <v>995.67722511262809</v>
      </c>
      <c r="I13" s="23">
        <v>42.430192449082377</v>
      </c>
      <c r="J13" s="5">
        <v>6395.7618457318795</v>
      </c>
      <c r="K13" s="31"/>
      <c r="L13" s="23">
        <v>1649771.9985543201</v>
      </c>
      <c r="M13" s="33">
        <v>720.43742857141683</v>
      </c>
      <c r="N13" s="5">
        <v>18</v>
      </c>
      <c r="O13" s="5">
        <v>78</v>
      </c>
      <c r="P13" s="33">
        <v>675.30082958660432</v>
      </c>
      <c r="Q13" s="5">
        <v>21.69350915438611</v>
      </c>
      <c r="R13" s="5">
        <v>5428.7913709000941</v>
      </c>
      <c r="S13" s="31"/>
      <c r="T13" s="23">
        <v>1872649.5400455929</v>
      </c>
      <c r="U13" s="33">
        <v>343.66514285713714</v>
      </c>
      <c r="V13" s="5">
        <v>10</v>
      </c>
      <c r="W13" s="5">
        <v>68</v>
      </c>
      <c r="X13" s="33">
        <v>1382.3501067889547</v>
      </c>
      <c r="Y13" s="5">
        <v>55.555238600255095</v>
      </c>
      <c r="Z13" s="5">
        <v>6927.2909103635438</v>
      </c>
      <c r="AA13" s="35"/>
    </row>
    <row r="14" spans="2:27" x14ac:dyDescent="0.2">
      <c r="B14" s="46" t="s">
        <v>3</v>
      </c>
      <c r="C14" s="47"/>
      <c r="D14" s="9">
        <f>MIN(D4:D13)</f>
        <v>1302682.6212871489</v>
      </c>
      <c r="E14" s="22">
        <f>INDEX(E4:E13, MATCH($D$14, D4:D13, 0))</f>
        <v>98.049142857115456</v>
      </c>
      <c r="F14" s="9">
        <f>INDEX(F4:F13, MATCH($D$14, D4:D13, 0))</f>
        <v>12</v>
      </c>
      <c r="G14" s="9">
        <f>INDEX(G4:G13, MATCH($D$14, D4:D13, 0))</f>
        <v>95.333333333333329</v>
      </c>
      <c r="H14" s="22">
        <f>INDEX(H4:H13, MATCH($D$14, D4:D13, 0))</f>
        <v>927.82239751237194</v>
      </c>
      <c r="I14" s="22">
        <f>INDEX(I4:I13, MATCH($D$14, D4:D13, 0))</f>
        <v>43.810873797015553</v>
      </c>
      <c r="J14" s="22">
        <f>INDEX(J4:J13, MATCH($D$14, D4:D13, 0))</f>
        <v>6257.799452640229</v>
      </c>
      <c r="K14" s="32" t="e">
        <f>(D14-$D$15)/$D$15</f>
        <v>#DIV/0!</v>
      </c>
      <c r="L14" s="16">
        <f>MIN(L4:L13)</f>
        <v>1615941.967883765</v>
      </c>
      <c r="M14" s="21">
        <f>INDEX(M4:M13, MATCH($L$14, L4:L13, 0))</f>
        <v>656.51799999999025</v>
      </c>
      <c r="N14" s="16">
        <f>INDEX(N4:N13, MATCH($L$14, L4:L13, 0))</f>
        <v>20</v>
      </c>
      <c r="O14" s="16">
        <f>INDEX(O4:O13, MATCH($L$14, L4:L13, 0))</f>
        <v>82</v>
      </c>
      <c r="P14" s="21">
        <f>INDEX(P4:P13, MATCH($L$14, L4:L13, 0))</f>
        <v>648.28475400693662</v>
      </c>
      <c r="Q14" s="21">
        <f>INDEX(Q4:Q13, MATCH($L$14, L4:L13, 0))</f>
        <v>20.622247058984229</v>
      </c>
      <c r="R14" s="21">
        <f>INDEX(R4:R13, MATCH($L$14, L4:L13, 0))</f>
        <v>5517.8534906162349</v>
      </c>
      <c r="S14" s="36" t="e">
        <f>(L14-$D$15)/$D$15</f>
        <v>#DIV/0!</v>
      </c>
      <c r="T14" s="38">
        <f>MIN(T4:T13)</f>
        <v>1758102.182236128</v>
      </c>
      <c r="U14" s="39">
        <f>INDEX(U4:U13, MATCH($T$14, T4:T13, 0))</f>
        <v>280.2591428571447</v>
      </c>
      <c r="V14" s="38">
        <f>INDEX(V4:V13, MATCH($T$14, T4:T13, 0))</f>
        <v>10</v>
      </c>
      <c r="W14" s="38">
        <f>INDEX(W4:W13, MATCH($T$14, T4:T13, 0))</f>
        <v>66.666666666666671</v>
      </c>
      <c r="X14" s="39">
        <f>INDEX(X4:X13, MATCH($T$14, T4:T13, 0))</f>
        <v>664.19853014407624</v>
      </c>
      <c r="Y14" s="39">
        <f>INDEX(Y4:Y13, MATCH($T$14, T4:T13, 0))</f>
        <v>51.839823190860535</v>
      </c>
      <c r="Z14" s="39">
        <f>INDEX(Z4:Z13, MATCH($T$14, T4:T13, 0))</f>
        <v>5955.6265428266443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8:C1048576">
    <cfRule type="duplicateValues" dxfId="99" priority="9"/>
    <cfRule type="duplicateValues" dxfId="98" priority="10"/>
  </conditionalFormatting>
  <conditionalFormatting sqref="C14">
    <cfRule type="duplicateValues" dxfId="97" priority="3"/>
    <cfRule type="duplicateValues" dxfId="96" priority="4"/>
  </conditionalFormatting>
  <conditionalFormatting sqref="C17:C37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B4CA1-741A-4118-9E33-9C2985CB64C4}">
  <dimension ref="B1:AA17"/>
  <sheetViews>
    <sheetView zoomScale="70" zoomScaleNormal="70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-0.97411233284030307</v>
      </c>
      <c r="J2" s="28" t="e">
        <f>(S14-J14)/J14</f>
        <v>#DIV/0!</v>
      </c>
      <c r="K2" s="28"/>
      <c r="L2" s="1" t="s">
        <v>19</v>
      </c>
      <c r="P2" s="1">
        <f>(P14-H14)/H14</f>
        <v>9.6350780535672115E-2</v>
      </c>
      <c r="R2" s="1">
        <f>(R14-J14)/J14</f>
        <v>-5.0389711414915196E-2</v>
      </c>
      <c r="T2" s="1" t="s">
        <v>20</v>
      </c>
      <c r="X2" s="1">
        <f>(X14-P14)/P14</f>
        <v>0.47017777489923052</v>
      </c>
      <c r="Z2" s="1">
        <f>(Z14-R14)/R14</f>
        <v>0.21171271930237545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481</v>
      </c>
      <c r="D4" s="23">
        <v>1358837.031226818</v>
      </c>
      <c r="E4" s="33">
        <v>117.84828571429742</v>
      </c>
      <c r="F4" s="5">
        <v>11</v>
      </c>
      <c r="G4" s="23">
        <v>95.333333333333329</v>
      </c>
      <c r="H4" s="33">
        <v>929.40477094002426</v>
      </c>
      <c r="I4" s="23">
        <v>44.599655349547845</v>
      </c>
      <c r="J4" s="5">
        <v>6689.4211083716118</v>
      </c>
      <c r="K4" s="31"/>
      <c r="L4" s="23">
        <v>1809107.2380401399</v>
      </c>
      <c r="M4" s="33">
        <v>205.70542857140703</v>
      </c>
      <c r="N4" s="5">
        <v>23</v>
      </c>
      <c r="O4" s="5">
        <v>85.333333333333329</v>
      </c>
      <c r="P4" s="33">
        <v>1352.7720681535768</v>
      </c>
      <c r="Q4" s="5">
        <v>18.129754396950762</v>
      </c>
      <c r="R4" s="5">
        <v>6492.2430385125153</v>
      </c>
      <c r="S4" s="31"/>
      <c r="T4" s="23">
        <v>1713799.264476672</v>
      </c>
      <c r="U4" s="33">
        <v>77.776857142868849</v>
      </c>
      <c r="V4" s="5">
        <v>12</v>
      </c>
      <c r="W4" s="5">
        <v>76.666666666666671</v>
      </c>
      <c r="X4" s="33">
        <v>1109.1389599594338</v>
      </c>
      <c r="Y4" s="5">
        <v>54.029779809042289</v>
      </c>
      <c r="Z4" s="5">
        <v>6784.1086068750201</v>
      </c>
      <c r="AA4" s="35"/>
    </row>
    <row r="5" spans="2:27" x14ac:dyDescent="0.2">
      <c r="B5" s="4">
        <v>2</v>
      </c>
      <c r="C5" s="4">
        <v>600</v>
      </c>
      <c r="D5" s="23">
        <v>1323214.3335222469</v>
      </c>
      <c r="E5" s="33">
        <v>75.263428571434432</v>
      </c>
      <c r="F5" s="5">
        <v>10</v>
      </c>
      <c r="G5" s="23">
        <v>93.333333333333329</v>
      </c>
      <c r="H5" s="33">
        <v>750.06640825056525</v>
      </c>
      <c r="I5" s="23">
        <v>47.473610656907731</v>
      </c>
      <c r="J5" s="5">
        <v>6415.5455147185176</v>
      </c>
      <c r="K5" s="31"/>
      <c r="L5" s="23">
        <v>1657027.644086906</v>
      </c>
      <c r="M5" s="33">
        <v>258.97771428572014</v>
      </c>
      <c r="N5" s="5">
        <v>27</v>
      </c>
      <c r="O5" s="5">
        <v>88.666666666666671</v>
      </c>
      <c r="P5" s="33">
        <v>912.23542526611982</v>
      </c>
      <c r="Q5" s="5">
        <v>16.708601984625343</v>
      </c>
      <c r="R5" s="5">
        <v>5625.9997753365178</v>
      </c>
      <c r="S5" s="31"/>
      <c r="T5" s="23">
        <v>1697710.6774757269</v>
      </c>
      <c r="U5" s="33">
        <v>82.611714285698596</v>
      </c>
      <c r="V5" s="5">
        <v>13</v>
      </c>
      <c r="W5" s="5">
        <v>80.666666666666671</v>
      </c>
      <c r="X5" s="33">
        <v>1323.1798969957313</v>
      </c>
      <c r="Y5" s="5">
        <v>53.242499533372353</v>
      </c>
      <c r="Z5" s="5">
        <v>7035.0367412298428</v>
      </c>
      <c r="AA5" s="35"/>
    </row>
    <row r="6" spans="2:27" x14ac:dyDescent="0.2">
      <c r="B6" s="4">
        <v>3</v>
      </c>
      <c r="C6" s="4">
        <v>673</v>
      </c>
      <c r="D6" s="23">
        <v>1454991.6232342799</v>
      </c>
      <c r="E6" s="33">
        <v>145.75885714284544</v>
      </c>
      <c r="F6" s="5">
        <v>10</v>
      </c>
      <c r="G6" s="23">
        <v>92</v>
      </c>
      <c r="H6" s="33">
        <v>1171.0900159998705</v>
      </c>
      <c r="I6" s="23">
        <v>46.518086928176658</v>
      </c>
      <c r="J6" s="5">
        <v>6886.0160135015058</v>
      </c>
      <c r="K6" s="31"/>
      <c r="L6" s="23">
        <v>1631360.5413872399</v>
      </c>
      <c r="M6" s="33">
        <v>529.31257142858317</v>
      </c>
      <c r="N6" s="5">
        <v>25</v>
      </c>
      <c r="O6" s="5">
        <v>88.666666666666671</v>
      </c>
      <c r="P6" s="33">
        <v>795.51257126421217</v>
      </c>
      <c r="Q6" s="5">
        <v>17.452702055979977</v>
      </c>
      <c r="R6" s="5">
        <v>5707.5230784780215</v>
      </c>
      <c r="S6" s="31"/>
      <c r="T6" s="23">
        <v>1689840.520708774</v>
      </c>
      <c r="U6" s="33">
        <v>88.718857142874725</v>
      </c>
      <c r="V6" s="5">
        <v>15</v>
      </c>
      <c r="W6" s="5">
        <v>84</v>
      </c>
      <c r="X6" s="33">
        <v>1428.2408662928999</v>
      </c>
      <c r="Y6" s="5">
        <v>50.521746545103696</v>
      </c>
      <c r="Z6" s="5">
        <v>7112.7102236589853</v>
      </c>
      <c r="AA6" s="35"/>
    </row>
    <row r="7" spans="2:27" x14ac:dyDescent="0.2">
      <c r="B7" s="4">
        <v>4</v>
      </c>
      <c r="C7" s="4">
        <v>696</v>
      </c>
      <c r="D7" s="23">
        <v>1463351.0226469859</v>
      </c>
      <c r="E7" s="33">
        <v>124.08057142857329</v>
      </c>
      <c r="F7" s="5">
        <v>9</v>
      </c>
      <c r="G7" s="23">
        <v>88.666666666666671</v>
      </c>
      <c r="H7" s="33">
        <v>1016.5954972578681</v>
      </c>
      <c r="I7" s="23">
        <v>50.703487020296855</v>
      </c>
      <c r="J7" s="5">
        <v>6735.1389344742947</v>
      </c>
      <c r="K7" s="31"/>
      <c r="L7" s="23">
        <v>1708605.695178896</v>
      </c>
      <c r="M7" s="33">
        <v>275.59371428570842</v>
      </c>
      <c r="N7" s="5">
        <v>20</v>
      </c>
      <c r="O7" s="5">
        <v>82.666666666666671</v>
      </c>
      <c r="P7" s="33">
        <v>825.09357446774811</v>
      </c>
      <c r="Q7" s="5">
        <v>19.841973361166023</v>
      </c>
      <c r="R7" s="5">
        <v>6022.3860094612819</v>
      </c>
      <c r="S7" s="31"/>
      <c r="T7" s="23">
        <v>1773419.3705163361</v>
      </c>
      <c r="U7" s="33">
        <v>138.67857142857142</v>
      </c>
      <c r="V7" s="5">
        <v>15</v>
      </c>
      <c r="W7" s="5">
        <v>78.666666666666671</v>
      </c>
      <c r="X7" s="33">
        <v>1434.3168587618304</v>
      </c>
      <c r="Y7" s="5">
        <v>47.694832948600798</v>
      </c>
      <c r="Z7" s="5">
        <v>7018.8767962904676</v>
      </c>
      <c r="AA7" s="35"/>
    </row>
    <row r="8" spans="2:27" x14ac:dyDescent="0.2">
      <c r="B8" s="4">
        <v>5</v>
      </c>
      <c r="C8" s="4">
        <v>350</v>
      </c>
      <c r="D8" s="23">
        <v>1354953.8111746891</v>
      </c>
      <c r="E8" s="33">
        <v>167.73685714286486</v>
      </c>
      <c r="F8" s="5">
        <v>10</v>
      </c>
      <c r="G8" s="23">
        <v>94</v>
      </c>
      <c r="H8" s="33">
        <v>891.4539970385382</v>
      </c>
      <c r="I8" s="23">
        <v>48.209310996832741</v>
      </c>
      <c r="J8" s="5">
        <v>6660.4729638187337</v>
      </c>
      <c r="K8" s="31"/>
      <c r="L8" s="23">
        <v>1607441.2866218139</v>
      </c>
      <c r="M8" s="33">
        <v>550.30799999999431</v>
      </c>
      <c r="N8" s="5">
        <v>27</v>
      </c>
      <c r="O8" s="5">
        <v>91.333333333333329</v>
      </c>
      <c r="P8" s="33">
        <v>804.14052940463955</v>
      </c>
      <c r="Q8" s="5">
        <v>17.196712949280716</v>
      </c>
      <c r="R8" s="5">
        <v>5735.088671982493</v>
      </c>
      <c r="S8" s="31"/>
      <c r="T8" s="23">
        <v>1987005.220560147</v>
      </c>
      <c r="U8" s="33">
        <v>135.63371428571241</v>
      </c>
      <c r="V8" s="5">
        <v>13</v>
      </c>
      <c r="W8" s="5">
        <v>69.333333333333329</v>
      </c>
      <c r="X8" s="33">
        <v>1644.7621985823</v>
      </c>
      <c r="Y8" s="5">
        <v>45.901943300816427</v>
      </c>
      <c r="Z8" s="5">
        <v>7371.4455711014598</v>
      </c>
      <c r="AA8" s="35"/>
    </row>
    <row r="9" spans="2:27" x14ac:dyDescent="0.2">
      <c r="B9" s="4">
        <v>6</v>
      </c>
      <c r="C9" s="4">
        <v>564</v>
      </c>
      <c r="D9" s="23">
        <v>1265403.6995729159</v>
      </c>
      <c r="E9" s="33">
        <v>173.77685714286886</v>
      </c>
      <c r="F9" s="5">
        <v>12</v>
      </c>
      <c r="G9" s="23">
        <v>96.666666666666671</v>
      </c>
      <c r="H9" s="33">
        <v>722.56033998449902</v>
      </c>
      <c r="I9" s="23">
        <v>43.502346724933034</v>
      </c>
      <c r="J9" s="5">
        <v>6304.5783025922738</v>
      </c>
      <c r="K9" s="31"/>
      <c r="L9" s="23">
        <v>1625716.514991906</v>
      </c>
      <c r="M9" s="33">
        <v>644.21885714284144</v>
      </c>
      <c r="N9" s="5">
        <v>24</v>
      </c>
      <c r="O9" s="5">
        <v>88</v>
      </c>
      <c r="P9" s="33">
        <v>926.01039837778671</v>
      </c>
      <c r="Q9" s="5">
        <v>18.284601738763623</v>
      </c>
      <c r="R9" s="5">
        <v>5780.3177564793532</v>
      </c>
      <c r="S9" s="31"/>
      <c r="T9" s="23">
        <v>1733976.1680974809</v>
      </c>
      <c r="U9" s="33">
        <v>130.51342857143442</v>
      </c>
      <c r="V9" s="5">
        <v>10</v>
      </c>
      <c r="W9" s="5">
        <v>73.333333333333329</v>
      </c>
      <c r="X9" s="33">
        <v>918.11568198583893</v>
      </c>
      <c r="Y9" s="5">
        <v>56.631320689152382</v>
      </c>
      <c r="Z9" s="5">
        <v>6699.3993804712263</v>
      </c>
      <c r="AA9" s="35"/>
    </row>
    <row r="10" spans="2:27" x14ac:dyDescent="0.2">
      <c r="B10" s="4">
        <v>7</v>
      </c>
      <c r="C10" s="4">
        <v>30</v>
      </c>
      <c r="D10" s="23">
        <v>1289766.7269004681</v>
      </c>
      <c r="E10" s="33">
        <v>113.79457142855972</v>
      </c>
      <c r="F10" s="5">
        <v>11</v>
      </c>
      <c r="G10" s="23">
        <v>97.333333333333329</v>
      </c>
      <c r="H10" s="33">
        <v>915.81756019852924</v>
      </c>
      <c r="I10" s="23">
        <v>46.869986225048024</v>
      </c>
      <c r="J10" s="5">
        <v>6510.46485142863</v>
      </c>
      <c r="K10" s="31"/>
      <c r="L10" s="23">
        <v>1598507.1181664951</v>
      </c>
      <c r="M10" s="33">
        <v>254.69657142859484</v>
      </c>
      <c r="N10" s="5">
        <v>31</v>
      </c>
      <c r="O10" s="5">
        <v>95.333333333333329</v>
      </c>
      <c r="P10" s="33">
        <v>884.93010075028917</v>
      </c>
      <c r="Q10" s="5">
        <v>15.968522465211111</v>
      </c>
      <c r="R10" s="5">
        <v>5694.0134838325666</v>
      </c>
      <c r="S10" s="31"/>
      <c r="T10" s="23">
        <v>1872970.873958051</v>
      </c>
      <c r="U10" s="33">
        <v>122.72314285713115</v>
      </c>
      <c r="V10" s="5">
        <v>11</v>
      </c>
      <c r="W10" s="5">
        <v>74</v>
      </c>
      <c r="X10" s="33">
        <v>1564.500965843509</v>
      </c>
      <c r="Y10" s="5">
        <v>55.277489602673633</v>
      </c>
      <c r="Z10" s="5">
        <v>7477.4317095163979</v>
      </c>
      <c r="AA10" s="35"/>
    </row>
    <row r="11" spans="2:27" x14ac:dyDescent="0.2">
      <c r="B11" s="4">
        <v>8</v>
      </c>
      <c r="C11" s="4">
        <v>557</v>
      </c>
      <c r="D11" s="23">
        <v>1324109.5735417169</v>
      </c>
      <c r="E11" s="33">
        <v>160.77685714283558</v>
      </c>
      <c r="F11" s="5">
        <v>11</v>
      </c>
      <c r="G11" s="23">
        <v>94.666666666666671</v>
      </c>
      <c r="H11" s="33">
        <v>818.00447728505924</v>
      </c>
      <c r="I11" s="23">
        <v>43.723658859303399</v>
      </c>
      <c r="J11" s="5">
        <v>6420.0753724141377</v>
      </c>
      <c r="K11" s="31"/>
      <c r="L11" s="23">
        <v>1571327.2142750761</v>
      </c>
      <c r="M11" s="33">
        <v>655.89285714285711</v>
      </c>
      <c r="N11" s="5">
        <v>23</v>
      </c>
      <c r="O11" s="5">
        <v>89.333333333333329</v>
      </c>
      <c r="P11" s="33">
        <v>819.98990239791624</v>
      </c>
      <c r="Q11" s="5">
        <v>19.362074661193713</v>
      </c>
      <c r="R11" s="5">
        <v>5726.5599110260309</v>
      </c>
      <c r="S11" s="31"/>
      <c r="T11" s="23">
        <v>2151163.828697436</v>
      </c>
      <c r="U11" s="33">
        <v>196.02657142856955</v>
      </c>
      <c r="V11" s="5">
        <v>19</v>
      </c>
      <c r="W11" s="5">
        <v>88.666666666666671</v>
      </c>
      <c r="X11" s="33">
        <v>3451.917071964634</v>
      </c>
      <c r="Y11" s="5">
        <v>47.506629144399739</v>
      </c>
      <c r="Z11" s="5">
        <v>9197.1317955075137</v>
      </c>
      <c r="AA11" s="35"/>
    </row>
    <row r="12" spans="2:27" x14ac:dyDescent="0.2">
      <c r="B12" s="4">
        <v>9</v>
      </c>
      <c r="C12" s="4">
        <v>189</v>
      </c>
      <c r="D12" s="23">
        <v>1396476.71992908</v>
      </c>
      <c r="E12" s="33">
        <v>199.21428571428572</v>
      </c>
      <c r="F12" s="5">
        <v>10</v>
      </c>
      <c r="G12" s="23">
        <v>96.666666666666671</v>
      </c>
      <c r="H12" s="33">
        <v>1233.2595348665134</v>
      </c>
      <c r="I12" s="23">
        <v>50.101335849441156</v>
      </c>
      <c r="J12" s="5">
        <v>7013.7971093874648</v>
      </c>
      <c r="K12" s="31"/>
      <c r="L12" s="23">
        <v>1590783.7549014881</v>
      </c>
      <c r="M12" s="33">
        <v>603.69199999997261</v>
      </c>
      <c r="N12" s="5">
        <v>22</v>
      </c>
      <c r="O12" s="5">
        <v>85.333333333333329</v>
      </c>
      <c r="P12" s="33">
        <v>616.18673290932259</v>
      </c>
      <c r="Q12" s="5">
        <v>18.794928742111647</v>
      </c>
      <c r="R12" s="5">
        <v>5479.2176280645508</v>
      </c>
      <c r="S12" s="31"/>
      <c r="T12" s="23">
        <v>1625624.0347891329</v>
      </c>
      <c r="U12" s="33">
        <v>182.00885714284544</v>
      </c>
      <c r="V12" s="5">
        <v>12</v>
      </c>
      <c r="W12" s="5">
        <v>82.666666666666671</v>
      </c>
      <c r="X12" s="33">
        <v>1205.5309301472057</v>
      </c>
      <c r="Y12" s="5">
        <v>56.883692419352379</v>
      </c>
      <c r="Z12" s="5">
        <v>6938.9454820373212</v>
      </c>
      <c r="AA12" s="35"/>
    </row>
    <row r="13" spans="2:27" x14ac:dyDescent="0.2">
      <c r="B13" s="4">
        <v>10</v>
      </c>
      <c r="C13" s="4">
        <v>245</v>
      </c>
      <c r="D13" s="23">
        <v>1225728.9680354521</v>
      </c>
      <c r="E13" s="33">
        <v>135.39742857141289</v>
      </c>
      <c r="F13" s="5">
        <v>11</v>
      </c>
      <c r="G13" s="23">
        <v>96</v>
      </c>
      <c r="H13" s="33">
        <v>747.92659152144063</v>
      </c>
      <c r="I13" s="23">
        <v>45.964944975846919</v>
      </c>
      <c r="J13" s="5">
        <v>6030.4316200686708</v>
      </c>
      <c r="K13" s="31"/>
      <c r="L13" s="23">
        <v>1627391.0348887171</v>
      </c>
      <c r="M13" s="33">
        <v>447.8034285714383</v>
      </c>
      <c r="N13" s="5">
        <v>26</v>
      </c>
      <c r="O13" s="5">
        <v>90</v>
      </c>
      <c r="P13" s="33">
        <v>924.91095209157857</v>
      </c>
      <c r="Q13" s="5">
        <v>17.373310749019524</v>
      </c>
      <c r="R13" s="5">
        <v>5751.7784537077505</v>
      </c>
      <c r="S13" s="31"/>
      <c r="T13" s="23">
        <v>1752655.74023388</v>
      </c>
      <c r="U13" s="33">
        <v>186.81257142858314</v>
      </c>
      <c r="V13" s="5">
        <v>16</v>
      </c>
      <c r="W13" s="5">
        <v>86</v>
      </c>
      <c r="X13" s="33">
        <v>1811.9243893407647</v>
      </c>
      <c r="Y13" s="5">
        <v>51.147442190312198</v>
      </c>
      <c r="Z13" s="5">
        <v>7434.9938775265637</v>
      </c>
      <c r="AA13" s="35"/>
    </row>
    <row r="14" spans="2:27" x14ac:dyDescent="0.2">
      <c r="B14" s="46" t="s">
        <v>3</v>
      </c>
      <c r="C14" s="47"/>
      <c r="D14" s="9">
        <f>MIN(D4:D13)</f>
        <v>1225728.9680354521</v>
      </c>
      <c r="E14" s="22">
        <f>INDEX(E4:E13, MATCH($D$14, D4:D13, 0))</f>
        <v>135.39742857141289</v>
      </c>
      <c r="F14" s="9">
        <f>INDEX(F4:F13, MATCH($D$14, D4:D13, 0))</f>
        <v>11</v>
      </c>
      <c r="G14" s="9">
        <f>INDEX(G4:G13, MATCH($D$14, D4:D13, 0))</f>
        <v>96</v>
      </c>
      <c r="H14" s="22">
        <f>INDEX(H4:H13, MATCH($D$14, D4:D13, 0))</f>
        <v>747.92659152144063</v>
      </c>
      <c r="I14" s="22">
        <f>INDEX(I4:I13, MATCH($D$14, D4:D13, 0))</f>
        <v>45.964944975846919</v>
      </c>
      <c r="J14" s="22">
        <f>INDEX(J4:J13, MATCH($D$14, D4:D13, 0))</f>
        <v>6030.4316200686708</v>
      </c>
      <c r="K14" s="32" t="e">
        <f>(D14-$D$15)/$D$15</f>
        <v>#DIV/0!</v>
      </c>
      <c r="L14" s="16">
        <f>MIN(L4:L13)</f>
        <v>1571327.2142750761</v>
      </c>
      <c r="M14" s="21">
        <f>INDEX(M4:M13, MATCH($L$14, L4:L13, 0))</f>
        <v>655.89285714285711</v>
      </c>
      <c r="N14" s="16">
        <f>INDEX(N4:N13, MATCH($L$14, L4:L13, 0))</f>
        <v>23</v>
      </c>
      <c r="O14" s="16">
        <f>INDEX(O4:O13, MATCH($L$14, L4:L13, 0))</f>
        <v>89.333333333333329</v>
      </c>
      <c r="P14" s="21">
        <f>INDEX(P4:P13, MATCH($L$14, L4:L13, 0))</f>
        <v>819.98990239791624</v>
      </c>
      <c r="Q14" s="21">
        <f>INDEX(Q4:Q13, MATCH($L$14, L4:L13, 0))</f>
        <v>19.362074661193713</v>
      </c>
      <c r="R14" s="21">
        <f>INDEX(R4:R13, MATCH($L$14, L4:L13, 0))</f>
        <v>5726.5599110260309</v>
      </c>
      <c r="S14" s="36" t="e">
        <f>(L14-$D$15)/$D$15</f>
        <v>#DIV/0!</v>
      </c>
      <c r="T14" s="38">
        <f>MIN(T4:T13)</f>
        <v>1625624.0347891329</v>
      </c>
      <c r="U14" s="39">
        <f>INDEX(U4:U13, MATCH($T$14, T4:T13, 0))</f>
        <v>182.00885714284544</v>
      </c>
      <c r="V14" s="38">
        <f>INDEX(V4:V13, MATCH($T$14, T4:T13, 0))</f>
        <v>12</v>
      </c>
      <c r="W14" s="38">
        <f>INDEX(W4:W13, MATCH($T$14, T4:T13, 0))</f>
        <v>82.666666666666671</v>
      </c>
      <c r="X14" s="39">
        <f>INDEX(X4:X13, MATCH($T$14, T4:T13, 0))</f>
        <v>1205.5309301472057</v>
      </c>
      <c r="Y14" s="39">
        <f>INDEX(Y4:Y13, MATCH($T$14, T4:T13, 0))</f>
        <v>56.883692419352379</v>
      </c>
      <c r="Z14" s="39">
        <f>INDEX(Z4:Z13, MATCH($T$14, T4:T13, 0))</f>
        <v>6938.9454820373212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8:C1048576">
    <cfRule type="duplicateValues" dxfId="93" priority="9"/>
    <cfRule type="duplicateValues" dxfId="92" priority="10"/>
  </conditionalFormatting>
  <conditionalFormatting sqref="C14">
    <cfRule type="duplicateValues" dxfId="91" priority="3"/>
    <cfRule type="duplicateValues" dxfId="90" priority="4"/>
  </conditionalFormatting>
  <conditionalFormatting sqref="C17:C37">
    <cfRule type="duplicateValues" dxfId="11" priority="1"/>
    <cfRule type="duplicateValues" dxfId="1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4C2BA-A85F-4BF7-8725-8E088C852127}">
  <dimension ref="B1:AA17"/>
  <sheetViews>
    <sheetView zoomScale="70" zoomScaleNormal="70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-0.96799250572676154</v>
      </c>
      <c r="J2" s="28" t="e">
        <f>(S14-J14)/J14</f>
        <v>#DIV/0!</v>
      </c>
      <c r="K2" s="28"/>
      <c r="L2" s="1" t="s">
        <v>19</v>
      </c>
      <c r="P2" s="1">
        <f>(P14-H14)/H14</f>
        <v>-0.64647537994520277</v>
      </c>
      <c r="R2" s="1">
        <f>(R14-J14)/J14</f>
        <v>-0.22848419068667533</v>
      </c>
      <c r="T2" s="1" t="s">
        <v>20</v>
      </c>
      <c r="X2" s="1">
        <f>(X14-P14)/P14</f>
        <v>3.4930341348901477</v>
      </c>
      <c r="Z2" s="1">
        <f>(Z14-R14)/R14</f>
        <v>0.37205669505939953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612</v>
      </c>
      <c r="D4" s="23">
        <v>1437415.582959557</v>
      </c>
      <c r="E4" s="33">
        <v>63.799142857148709</v>
      </c>
      <c r="F4" s="5">
        <v>12</v>
      </c>
      <c r="G4" s="23">
        <v>93.333333333333329</v>
      </c>
      <c r="H4" s="33">
        <v>1094.2879205518029</v>
      </c>
      <c r="I4" s="23">
        <v>46.320793571587792</v>
      </c>
      <c r="J4" s="5">
        <v>6838.1108447821189</v>
      </c>
      <c r="K4" s="31"/>
      <c r="L4" s="23">
        <v>1771793.391517394</v>
      </c>
      <c r="M4" s="33">
        <v>552.86628571428776</v>
      </c>
      <c r="N4" s="5">
        <v>21</v>
      </c>
      <c r="O4" s="5">
        <v>71.333333333333329</v>
      </c>
      <c r="P4" s="33">
        <v>355.60046679499442</v>
      </c>
      <c r="Q4" s="5">
        <v>18.0878700998874</v>
      </c>
      <c r="R4" s="5">
        <v>4883.4160219553787</v>
      </c>
      <c r="S4" s="31"/>
      <c r="T4" s="23">
        <v>1801982.3711710291</v>
      </c>
      <c r="U4" s="33">
        <v>110.39742857141289</v>
      </c>
      <c r="V4" s="5">
        <v>11</v>
      </c>
      <c r="W4" s="5">
        <v>72.666666666666671</v>
      </c>
      <c r="X4" s="33">
        <v>1228.2052314421444</v>
      </c>
      <c r="Y4" s="5">
        <v>62.053781205523656</v>
      </c>
      <c r="Z4" s="5">
        <v>6962.6359626442218</v>
      </c>
      <c r="AA4" s="35"/>
    </row>
    <row r="5" spans="2:27" x14ac:dyDescent="0.2">
      <c r="B5" s="4">
        <v>2</v>
      </c>
      <c r="C5" s="4">
        <v>675</v>
      </c>
      <c r="D5" s="23">
        <v>1232490.045043838</v>
      </c>
      <c r="E5" s="33">
        <v>167.165142857137</v>
      </c>
      <c r="F5" s="5">
        <v>13</v>
      </c>
      <c r="G5" s="23">
        <v>98</v>
      </c>
      <c r="H5" s="33">
        <v>742.64209590828648</v>
      </c>
      <c r="I5" s="23">
        <v>43.572231866561069</v>
      </c>
      <c r="J5" s="5">
        <v>6189.881979957092</v>
      </c>
      <c r="K5" s="31"/>
      <c r="L5" s="23">
        <v>1832860.413969205</v>
      </c>
      <c r="M5" s="33">
        <v>409.84828571426431</v>
      </c>
      <c r="N5" s="5">
        <v>27</v>
      </c>
      <c r="O5" s="5">
        <v>80</v>
      </c>
      <c r="P5" s="33">
        <v>853.74948512661297</v>
      </c>
      <c r="Q5" s="5">
        <v>16.890609198533273</v>
      </c>
      <c r="R5" s="5">
        <v>5662.9249401928737</v>
      </c>
      <c r="S5" s="31"/>
      <c r="T5" s="23">
        <v>1734760.3389396709</v>
      </c>
      <c r="U5" s="33">
        <v>253.57600000001756</v>
      </c>
      <c r="V5" s="5">
        <v>10</v>
      </c>
      <c r="W5" s="5">
        <v>73.333333333333329</v>
      </c>
      <c r="X5" s="33">
        <v>1027.0653778292824</v>
      </c>
      <c r="Y5" s="5">
        <v>61.945353875179173</v>
      </c>
      <c r="Z5" s="5">
        <v>6773.9953182152803</v>
      </c>
      <c r="AA5" s="35"/>
    </row>
    <row r="6" spans="2:27" x14ac:dyDescent="0.2">
      <c r="B6" s="4">
        <v>3</v>
      </c>
      <c r="C6" s="4">
        <v>524</v>
      </c>
      <c r="D6" s="23">
        <v>1228283.036659003</v>
      </c>
      <c r="E6" s="33">
        <v>313.84371428570859</v>
      </c>
      <c r="F6" s="5">
        <v>11</v>
      </c>
      <c r="G6" s="23">
        <v>96</v>
      </c>
      <c r="H6" s="33">
        <v>627.22252164327108</v>
      </c>
      <c r="I6" s="23">
        <v>50.145890115603883</v>
      </c>
      <c r="J6" s="5">
        <v>6192.6797896524358</v>
      </c>
      <c r="K6" s="31"/>
      <c r="L6" s="23">
        <v>2067178.3029585241</v>
      </c>
      <c r="M6" s="33">
        <v>171.75</v>
      </c>
      <c r="N6" s="5">
        <v>35</v>
      </c>
      <c r="O6" s="5">
        <v>88</v>
      </c>
      <c r="P6" s="33">
        <v>1656.7094187269042</v>
      </c>
      <c r="Q6" s="5">
        <v>13.988848244713687</v>
      </c>
      <c r="R6" s="5">
        <v>6740.0010557320793</v>
      </c>
      <c r="S6" s="31"/>
      <c r="T6" s="23">
        <v>1712321.98834006</v>
      </c>
      <c r="U6" s="33">
        <v>270.12514285713303</v>
      </c>
      <c r="V6" s="5">
        <v>10</v>
      </c>
      <c r="W6" s="5">
        <v>72</v>
      </c>
      <c r="X6" s="33">
        <v>761.43490392011893</v>
      </c>
      <c r="Y6" s="5">
        <v>61.100525124917205</v>
      </c>
      <c r="Z6" s="5">
        <v>6463.6634914472415</v>
      </c>
      <c r="AA6" s="35"/>
    </row>
    <row r="7" spans="2:27" x14ac:dyDescent="0.2">
      <c r="B7" s="4">
        <v>4</v>
      </c>
      <c r="C7" s="4">
        <v>925</v>
      </c>
      <c r="D7" s="23">
        <v>1360574.7224437681</v>
      </c>
      <c r="E7" s="33">
        <v>188.38828571426816</v>
      </c>
      <c r="F7" s="5">
        <v>13</v>
      </c>
      <c r="G7" s="23">
        <v>98.666666666666671</v>
      </c>
      <c r="H7" s="33">
        <v>1115.4793970450751</v>
      </c>
      <c r="I7" s="23">
        <v>44.529165914018066</v>
      </c>
      <c r="J7" s="5">
        <v>6795.8581859190535</v>
      </c>
      <c r="K7" s="31"/>
      <c r="L7" s="23">
        <v>1839112.5902938221</v>
      </c>
      <c r="M7" s="33">
        <v>274.82142857142856</v>
      </c>
      <c r="N7" s="5">
        <v>34</v>
      </c>
      <c r="O7" s="5">
        <v>88.666666666666671</v>
      </c>
      <c r="P7" s="33">
        <v>1112.6373960211356</v>
      </c>
      <c r="Q7" s="5">
        <v>15.188298109372264</v>
      </c>
      <c r="R7" s="5">
        <v>5881.3560615315728</v>
      </c>
      <c r="S7" s="31"/>
      <c r="T7" s="23">
        <v>1752056.3999998411</v>
      </c>
      <c r="U7" s="33">
        <v>161.084857142863</v>
      </c>
      <c r="V7" s="5">
        <v>11</v>
      </c>
      <c r="W7" s="5">
        <v>72</v>
      </c>
      <c r="X7" s="33">
        <v>929.56253426190074</v>
      </c>
      <c r="Y7" s="5">
        <v>59.620785398675565</v>
      </c>
      <c r="Z7" s="5">
        <v>6637.2288838348541</v>
      </c>
      <c r="AA7" s="35"/>
    </row>
    <row r="8" spans="2:27" x14ac:dyDescent="0.2">
      <c r="B8" s="4">
        <v>5</v>
      </c>
      <c r="C8" s="4">
        <v>622</v>
      </c>
      <c r="D8" s="23">
        <v>1306300.7688402091</v>
      </c>
      <c r="E8" s="33">
        <v>153.709999999996</v>
      </c>
      <c r="F8" s="5">
        <v>12</v>
      </c>
      <c r="G8" s="23">
        <v>93.333333333333329</v>
      </c>
      <c r="H8" s="33">
        <v>748.07642853075538</v>
      </c>
      <c r="I8" s="23">
        <v>44.746523357739648</v>
      </c>
      <c r="J8" s="5">
        <v>6152.882444821621</v>
      </c>
      <c r="K8" s="31"/>
      <c r="L8" s="23">
        <v>1817758.4485134559</v>
      </c>
      <c r="M8" s="33">
        <v>568.37057142857714</v>
      </c>
      <c r="N8" s="5">
        <v>19</v>
      </c>
      <c r="O8" s="5">
        <v>72.666666666666671</v>
      </c>
      <c r="P8" s="33">
        <v>783.59020617268288</v>
      </c>
      <c r="Q8" s="5">
        <v>20.731882261713711</v>
      </c>
      <c r="R8" s="5">
        <v>5578.2484799042959</v>
      </c>
      <c r="S8" s="31"/>
      <c r="T8" s="23">
        <v>1911577.732726315</v>
      </c>
      <c r="U8" s="33">
        <v>358.56685714287283</v>
      </c>
      <c r="V8" s="5">
        <v>13</v>
      </c>
      <c r="W8" s="5">
        <v>71.333333333333329</v>
      </c>
      <c r="X8" s="33">
        <v>1466.9389478444373</v>
      </c>
      <c r="Y8" s="5">
        <v>53.528562669090142</v>
      </c>
      <c r="Z8" s="5">
        <v>7235.5576027507341</v>
      </c>
      <c r="AA8" s="35"/>
    </row>
    <row r="9" spans="2:27" x14ac:dyDescent="0.2">
      <c r="B9" s="4">
        <v>6</v>
      </c>
      <c r="C9" s="4">
        <v>244</v>
      </c>
      <c r="D9" s="23">
        <v>1259406.7505624129</v>
      </c>
      <c r="E9" s="33">
        <v>287.37942857142286</v>
      </c>
      <c r="F9" s="5">
        <v>10</v>
      </c>
      <c r="G9" s="23">
        <v>96</v>
      </c>
      <c r="H9" s="33">
        <v>713.22045992643143</v>
      </c>
      <c r="I9" s="23">
        <v>55.147606840817147</v>
      </c>
      <c r="J9" s="5">
        <v>6457.3623965946963</v>
      </c>
      <c r="K9" s="31"/>
      <c r="L9" s="23">
        <v>1936458.401441823</v>
      </c>
      <c r="M9" s="33">
        <v>132.34828571429742</v>
      </c>
      <c r="N9" s="5">
        <v>23</v>
      </c>
      <c r="O9" s="5">
        <v>73.333333333333329</v>
      </c>
      <c r="P9" s="33">
        <v>946.82550408701627</v>
      </c>
      <c r="Q9" s="5">
        <v>16.423419294211598</v>
      </c>
      <c r="R9" s="5">
        <v>5884.9037071581715</v>
      </c>
      <c r="S9" s="31"/>
      <c r="T9" s="23">
        <v>1715256.3429048359</v>
      </c>
      <c r="U9" s="33">
        <v>158.56228571428386</v>
      </c>
      <c r="V9" s="5">
        <v>13</v>
      </c>
      <c r="W9" s="5">
        <v>78</v>
      </c>
      <c r="X9" s="33">
        <v>1135.1540572201668</v>
      </c>
      <c r="Y9" s="5">
        <v>54.277584094146661</v>
      </c>
      <c r="Z9" s="5">
        <v>6893.0266619631138</v>
      </c>
      <c r="AA9" s="35"/>
    </row>
    <row r="10" spans="2:27" x14ac:dyDescent="0.2">
      <c r="B10" s="4">
        <v>7</v>
      </c>
      <c r="C10" s="4">
        <v>57</v>
      </c>
      <c r="D10" s="23">
        <v>1582362.563115336</v>
      </c>
      <c r="E10" s="33">
        <v>190.209999999996</v>
      </c>
      <c r="F10" s="5">
        <v>13</v>
      </c>
      <c r="G10" s="23">
        <v>88.666666666666671</v>
      </c>
      <c r="H10" s="33">
        <v>1273.1971375915418</v>
      </c>
      <c r="I10" s="23">
        <v>41.603691763991797</v>
      </c>
      <c r="J10" s="5">
        <v>6909.1796398911256</v>
      </c>
      <c r="K10" s="31"/>
      <c r="L10" s="23">
        <v>2013955.0922300811</v>
      </c>
      <c r="M10" s="33">
        <v>268.79457142855972</v>
      </c>
      <c r="N10" s="5">
        <v>32</v>
      </c>
      <c r="O10" s="5">
        <v>83.333333333333329</v>
      </c>
      <c r="P10" s="33">
        <v>1387.4300649152028</v>
      </c>
      <c r="Q10" s="5">
        <v>14.858781749297702</v>
      </c>
      <c r="R10" s="5">
        <v>6389.4455545852798</v>
      </c>
      <c r="S10" s="31"/>
      <c r="T10" s="23">
        <v>1946450.797118128</v>
      </c>
      <c r="U10" s="33">
        <v>272.51799999999014</v>
      </c>
      <c r="V10" s="5">
        <v>18</v>
      </c>
      <c r="W10" s="5">
        <v>74.666666666666671</v>
      </c>
      <c r="X10" s="33">
        <v>1645.2870713030206</v>
      </c>
      <c r="Y10" s="5">
        <v>42.57673370537654</v>
      </c>
      <c r="Z10" s="5">
        <v>7209.1868382955008</v>
      </c>
      <c r="AA10" s="35"/>
    </row>
    <row r="11" spans="2:27" x14ac:dyDescent="0.2">
      <c r="B11" s="4">
        <v>8</v>
      </c>
      <c r="C11" s="4">
        <v>690</v>
      </c>
      <c r="D11" s="23">
        <v>1372460.915782541</v>
      </c>
      <c r="E11" s="33">
        <v>226.70971428569672</v>
      </c>
      <c r="F11" s="5">
        <v>12</v>
      </c>
      <c r="G11" s="23">
        <v>94.666666666666671</v>
      </c>
      <c r="H11" s="33">
        <v>970.09358372081988</v>
      </c>
      <c r="I11" s="23">
        <v>43.84198063956751</v>
      </c>
      <c r="J11" s="5">
        <v>6534.3926223787448</v>
      </c>
      <c r="K11" s="31"/>
      <c r="L11" s="23">
        <v>1816206.791935185</v>
      </c>
      <c r="M11" s="33">
        <v>160.14742857144614</v>
      </c>
      <c r="N11" s="5">
        <v>33</v>
      </c>
      <c r="O11" s="5">
        <v>88</v>
      </c>
      <c r="P11" s="33">
        <v>871.81225936054864</v>
      </c>
      <c r="Q11" s="5">
        <v>15.286313791466741</v>
      </c>
      <c r="R11" s="5">
        <v>5800.8413956057584</v>
      </c>
      <c r="S11" s="31"/>
      <c r="T11" s="23">
        <v>1646371.667001829</v>
      </c>
      <c r="U11" s="33">
        <v>620.03571428571433</v>
      </c>
      <c r="V11" s="5">
        <v>13</v>
      </c>
      <c r="W11" s="5">
        <v>78.666666666666671</v>
      </c>
      <c r="X11" s="33">
        <v>996.2791152391726</v>
      </c>
      <c r="Y11" s="5">
        <v>55.525441974774758</v>
      </c>
      <c r="Z11" s="5">
        <v>6555.3443683927017</v>
      </c>
      <c r="AA11" s="35"/>
    </row>
    <row r="12" spans="2:27" x14ac:dyDescent="0.2">
      <c r="B12" s="4">
        <v>9</v>
      </c>
      <c r="C12" s="4">
        <v>476</v>
      </c>
      <c r="D12" s="23">
        <v>1262815.7793424921</v>
      </c>
      <c r="E12" s="33">
        <v>235.30800000002742</v>
      </c>
      <c r="F12" s="5">
        <v>10</v>
      </c>
      <c r="G12" s="23">
        <v>96.666666666666671</v>
      </c>
      <c r="H12" s="33">
        <v>748.09741239484492</v>
      </c>
      <c r="I12" s="23">
        <v>56.163209060946222</v>
      </c>
      <c r="J12" s="5">
        <v>6507.2563351715453</v>
      </c>
      <c r="K12" s="31"/>
      <c r="L12" s="23">
        <v>1910336.037574745</v>
      </c>
      <c r="M12" s="33">
        <v>587.50885714284539</v>
      </c>
      <c r="N12" s="5">
        <v>33</v>
      </c>
      <c r="O12" s="5">
        <v>89.333333333333329</v>
      </c>
      <c r="P12" s="33">
        <v>1395.2418551311582</v>
      </c>
      <c r="Q12" s="5">
        <v>15.361020402703128</v>
      </c>
      <c r="R12" s="5">
        <v>6324.025693090286</v>
      </c>
      <c r="S12" s="31"/>
      <c r="T12" s="23">
        <v>2043190.5617043469</v>
      </c>
      <c r="U12" s="33">
        <v>383.04914285714858</v>
      </c>
      <c r="V12" s="5">
        <v>19</v>
      </c>
      <c r="W12" s="5">
        <v>88</v>
      </c>
      <c r="X12" s="33">
        <v>3152.2459936905475</v>
      </c>
      <c r="Y12" s="5">
        <v>55.270083089555747</v>
      </c>
      <c r="Z12" s="5">
        <v>8672.5567492686041</v>
      </c>
      <c r="AA12" s="35"/>
    </row>
    <row r="13" spans="2:27" x14ac:dyDescent="0.2">
      <c r="B13" s="4">
        <v>10</v>
      </c>
      <c r="C13" s="4">
        <v>860</v>
      </c>
      <c r="D13" s="23">
        <v>1296648.565120799</v>
      </c>
      <c r="E13" s="33">
        <v>189.03571428571428</v>
      </c>
      <c r="F13" s="5">
        <v>12</v>
      </c>
      <c r="G13" s="23">
        <v>94.666666666666671</v>
      </c>
      <c r="H13" s="33">
        <v>759.87331245417749</v>
      </c>
      <c r="I13" s="23">
        <v>45.734120655790598</v>
      </c>
      <c r="J13" s="5">
        <v>6277.0282585695586</v>
      </c>
      <c r="K13" s="31"/>
      <c r="L13" s="23">
        <v>1740001.550950293</v>
      </c>
      <c r="M13" s="33">
        <v>424.6965714285617</v>
      </c>
      <c r="N13" s="5">
        <v>18</v>
      </c>
      <c r="O13" s="5">
        <v>69.333333333333329</v>
      </c>
      <c r="P13" s="33">
        <v>221.73860365374927</v>
      </c>
      <c r="Q13" s="5">
        <v>20.075821269543205</v>
      </c>
      <c r="R13" s="5">
        <v>4777.7503597319683</v>
      </c>
      <c r="S13" s="31"/>
      <c r="T13" s="23">
        <v>1690686.0543273981</v>
      </c>
      <c r="U13" s="33">
        <v>435.07600000001742</v>
      </c>
      <c r="V13" s="5">
        <v>15</v>
      </c>
      <c r="W13" s="5">
        <v>82</v>
      </c>
      <c r="X13" s="33">
        <v>1356.1944864302968</v>
      </c>
      <c r="Y13" s="5">
        <v>56.435581233486417</v>
      </c>
      <c r="Z13" s="5">
        <v>6985.5377524809319</v>
      </c>
      <c r="AA13" s="35"/>
    </row>
    <row r="14" spans="2:27" x14ac:dyDescent="0.2">
      <c r="B14" s="46" t="s">
        <v>3</v>
      </c>
      <c r="C14" s="47"/>
      <c r="D14" s="9">
        <f>MIN(D4:D13)</f>
        <v>1228283.036659003</v>
      </c>
      <c r="E14" s="22">
        <f>INDEX(E4:E13, MATCH($D$14, D4:D13, 0))</f>
        <v>313.84371428570859</v>
      </c>
      <c r="F14" s="9">
        <f>INDEX(F4:F13, MATCH($D$14, D4:D13, 0))</f>
        <v>11</v>
      </c>
      <c r="G14" s="9">
        <f>INDEX(G4:G13, MATCH($D$14, D4:D13, 0))</f>
        <v>96</v>
      </c>
      <c r="H14" s="22">
        <f>INDEX(H4:H13, MATCH($D$14, D4:D13, 0))</f>
        <v>627.22252164327108</v>
      </c>
      <c r="I14" s="22">
        <f>INDEX(I4:I13, MATCH($D$14, D4:D13, 0))</f>
        <v>50.145890115603883</v>
      </c>
      <c r="J14" s="22">
        <f>INDEX(J4:J13, MATCH($D$14, D4:D13, 0))</f>
        <v>6192.6797896524358</v>
      </c>
      <c r="K14" s="32" t="e">
        <f>(D14-$D$15)/$D$15</f>
        <v>#DIV/0!</v>
      </c>
      <c r="L14" s="16">
        <f>MIN(L4:L13)</f>
        <v>1740001.550950293</v>
      </c>
      <c r="M14" s="21">
        <f>INDEX(M4:M13, MATCH($L$14, L4:L13, 0))</f>
        <v>424.6965714285617</v>
      </c>
      <c r="N14" s="16">
        <f>INDEX(N4:N13, MATCH($L$14, L4:L13, 0))</f>
        <v>18</v>
      </c>
      <c r="O14" s="16">
        <f>INDEX(O4:O13, MATCH($L$14, L4:L13, 0))</f>
        <v>69.333333333333329</v>
      </c>
      <c r="P14" s="21">
        <f>INDEX(P4:P13, MATCH($L$14, L4:L13, 0))</f>
        <v>221.73860365374927</v>
      </c>
      <c r="Q14" s="21">
        <f>INDEX(Q4:Q13, MATCH($L$14, L4:L13, 0))</f>
        <v>20.075821269543205</v>
      </c>
      <c r="R14" s="21">
        <f>INDEX(R4:R13, MATCH($L$14, L4:L13, 0))</f>
        <v>4777.7503597319683</v>
      </c>
      <c r="S14" s="36" t="e">
        <f>(L14-$D$15)/$D$15</f>
        <v>#DIV/0!</v>
      </c>
      <c r="T14" s="38">
        <f>MIN(T4:T13)</f>
        <v>1646371.667001829</v>
      </c>
      <c r="U14" s="39">
        <f>INDEX(U4:U13, MATCH($T$14, T4:T13, 0))</f>
        <v>620.03571428571433</v>
      </c>
      <c r="V14" s="38">
        <f>INDEX(V4:V13, MATCH($T$14, T4:T13, 0))</f>
        <v>13</v>
      </c>
      <c r="W14" s="38">
        <f>INDEX(W4:W13, MATCH($T$14, T4:T13, 0))</f>
        <v>78.666666666666671</v>
      </c>
      <c r="X14" s="39">
        <f>INDEX(X4:X13, MATCH($T$14, T4:T13, 0))</f>
        <v>996.2791152391726</v>
      </c>
      <c r="Y14" s="39">
        <f>INDEX(Y4:Y13, MATCH($T$14, T4:T13, 0))</f>
        <v>55.525441974774758</v>
      </c>
      <c r="Z14" s="39">
        <f>INDEX(Z4:Z13, MATCH($T$14, T4:T13, 0))</f>
        <v>6555.3443683927017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8:C1048576">
    <cfRule type="duplicateValues" dxfId="87" priority="9"/>
    <cfRule type="duplicateValues" dxfId="86" priority="10"/>
  </conditionalFormatting>
  <conditionalFormatting sqref="C14">
    <cfRule type="duplicateValues" dxfId="85" priority="3"/>
    <cfRule type="duplicateValues" dxfId="84" priority="4"/>
  </conditionalFormatting>
  <conditionalFormatting sqref="C17:C37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FE55-85ED-4116-9765-067D744A2987}">
  <dimension ref="B1:AA17"/>
  <sheetViews>
    <sheetView zoomScale="70" zoomScaleNormal="70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-0.97103776183607793</v>
      </c>
      <c r="J2" s="28" t="e">
        <f>(S14-J14)/J14</f>
        <v>#DIV/0!</v>
      </c>
      <c r="K2" s="28"/>
      <c r="L2" s="1" t="s">
        <v>19</v>
      </c>
      <c r="P2" s="1">
        <f>(P14-H14)/H14</f>
        <v>0.21630098956083887</v>
      </c>
      <c r="R2" s="1">
        <f>(R14-J14)/J14</f>
        <v>-0.13418577224089576</v>
      </c>
      <c r="T2" s="1" t="s">
        <v>20</v>
      </c>
      <c r="X2" s="1">
        <f>(X14-P14)/P14</f>
        <v>0.92093568928493497</v>
      </c>
      <c r="Z2" s="1">
        <f>(Z14-R14)/R14</f>
        <v>0.28226993219914787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695</v>
      </c>
      <c r="D4" s="23">
        <v>1282591.0088364789</v>
      </c>
      <c r="E4" s="33">
        <v>127.54457142855972</v>
      </c>
      <c r="F4" s="5">
        <v>11</v>
      </c>
      <c r="G4" s="23">
        <v>94.666666666666671</v>
      </c>
      <c r="H4" s="33">
        <v>756.96181208722749</v>
      </c>
      <c r="I4" s="23">
        <v>45.505628866800116</v>
      </c>
      <c r="J4" s="5">
        <v>6178.8621235336086</v>
      </c>
      <c r="K4" s="31"/>
      <c r="L4" s="23">
        <v>1630108.652636149</v>
      </c>
      <c r="M4" s="33">
        <v>231.665142857137</v>
      </c>
      <c r="N4" s="5">
        <v>30</v>
      </c>
      <c r="O4" s="5">
        <v>90.666666666666671</v>
      </c>
      <c r="P4" s="33">
        <v>644.2380115390738</v>
      </c>
      <c r="Q4" s="5">
        <v>15.164548947110417</v>
      </c>
      <c r="R4" s="5">
        <v>5417.3190892869861</v>
      </c>
      <c r="S4" s="31"/>
      <c r="T4" s="23">
        <v>1623398.544579237</v>
      </c>
      <c r="U4" s="33">
        <v>241.15171428573584</v>
      </c>
      <c r="V4" s="5">
        <v>14</v>
      </c>
      <c r="W4" s="5">
        <v>84</v>
      </c>
      <c r="X4" s="33">
        <v>1407.1602291346378</v>
      </c>
      <c r="Y4" s="5">
        <v>58.625815764530088</v>
      </c>
      <c r="Z4" s="5">
        <v>6842.9370387146873</v>
      </c>
      <c r="AA4" s="35"/>
    </row>
    <row r="5" spans="2:27" x14ac:dyDescent="0.2">
      <c r="B5" s="4">
        <v>2</v>
      </c>
      <c r="C5" s="4">
        <v>91</v>
      </c>
      <c r="D5" s="23">
        <v>1258412.5163082711</v>
      </c>
      <c r="E5" s="33">
        <v>126.28571428571429</v>
      </c>
      <c r="F5" s="5">
        <v>11</v>
      </c>
      <c r="G5" s="23">
        <v>95.333333333333329</v>
      </c>
      <c r="H5" s="33">
        <v>731.16916770502337</v>
      </c>
      <c r="I5" s="23">
        <v>48.535446133620439</v>
      </c>
      <c r="J5" s="5">
        <v>6140.2859076413115</v>
      </c>
      <c r="K5" s="31"/>
      <c r="L5" s="23">
        <v>1607649.0555606659</v>
      </c>
      <c r="M5" s="33">
        <v>159.93314285712717</v>
      </c>
      <c r="N5" s="5">
        <v>19</v>
      </c>
      <c r="O5" s="5">
        <v>79.333333333333329</v>
      </c>
      <c r="P5" s="33">
        <v>510.91029418236354</v>
      </c>
      <c r="Q5" s="5">
        <v>21.11060522849462</v>
      </c>
      <c r="R5" s="5">
        <v>5206.3840006022338</v>
      </c>
      <c r="S5" s="31"/>
      <c r="T5" s="23">
        <v>1640599.7280930709</v>
      </c>
      <c r="U5" s="33">
        <v>243.71428571428572</v>
      </c>
      <c r="V5" s="5">
        <v>13</v>
      </c>
      <c r="W5" s="5">
        <v>80</v>
      </c>
      <c r="X5" s="33">
        <v>1152.0625264950431</v>
      </c>
      <c r="Y5" s="5">
        <v>55.06945918402468</v>
      </c>
      <c r="Z5" s="5">
        <v>6557.7302188955773</v>
      </c>
      <c r="AA5" s="35"/>
    </row>
    <row r="6" spans="2:27" x14ac:dyDescent="0.2">
      <c r="B6" s="4">
        <v>3</v>
      </c>
      <c r="C6" s="4">
        <v>386</v>
      </c>
      <c r="D6" s="23">
        <v>1222811.6215185891</v>
      </c>
      <c r="E6" s="33">
        <v>175.09371428570844</v>
      </c>
      <c r="F6" s="5">
        <v>11</v>
      </c>
      <c r="G6" s="23">
        <v>96.666666666666671</v>
      </c>
      <c r="H6" s="33">
        <v>696.50413457624222</v>
      </c>
      <c r="I6" s="23">
        <v>48.00751277968655</v>
      </c>
      <c r="J6" s="5">
        <v>6092.4501858929661</v>
      </c>
      <c r="K6" s="31"/>
      <c r="L6" s="23">
        <v>1609959.2995277019</v>
      </c>
      <c r="M6" s="33">
        <v>175.60714285714286</v>
      </c>
      <c r="N6" s="5">
        <v>33</v>
      </c>
      <c r="O6" s="5">
        <v>95.333333333333329</v>
      </c>
      <c r="P6" s="33">
        <v>831.01306831992258</v>
      </c>
      <c r="Q6" s="5">
        <v>15.358388831685236</v>
      </c>
      <c r="R6" s="5">
        <v>5489.5739668826391</v>
      </c>
      <c r="S6" s="31"/>
      <c r="T6" s="23">
        <v>1640759.00141353</v>
      </c>
      <c r="U6" s="33">
        <v>260.08485714286297</v>
      </c>
      <c r="V6" s="5">
        <v>19</v>
      </c>
      <c r="W6" s="5">
        <v>88.666666666666671</v>
      </c>
      <c r="X6" s="33">
        <v>1397.0487660934125</v>
      </c>
      <c r="Y6" s="5">
        <v>45.128822868432373</v>
      </c>
      <c r="Z6" s="5">
        <v>6834.2076437008418</v>
      </c>
      <c r="AA6" s="35"/>
    </row>
    <row r="7" spans="2:27" x14ac:dyDescent="0.2">
      <c r="B7" s="4">
        <v>4</v>
      </c>
      <c r="C7" s="4">
        <v>123</v>
      </c>
      <c r="D7" s="23">
        <v>1173432.007163391</v>
      </c>
      <c r="E7" s="33">
        <v>402.32142857142856</v>
      </c>
      <c r="F7" s="5">
        <v>12</v>
      </c>
      <c r="G7" s="23">
        <v>96.666666666666671</v>
      </c>
      <c r="H7" s="33">
        <v>528.71970534199033</v>
      </c>
      <c r="I7" s="23">
        <v>45.0391746359442</v>
      </c>
      <c r="J7" s="5">
        <v>5810.4458518571228</v>
      </c>
      <c r="K7" s="31"/>
      <c r="L7" s="23">
        <v>1679462.63375377</v>
      </c>
      <c r="M7" s="33">
        <v>316.1162857142877</v>
      </c>
      <c r="N7" s="5">
        <v>30</v>
      </c>
      <c r="O7" s="5">
        <v>91.333333333333329</v>
      </c>
      <c r="P7" s="33">
        <v>825.6000422925697</v>
      </c>
      <c r="Q7" s="5">
        <v>16.128347822798297</v>
      </c>
      <c r="R7" s="5">
        <v>5806.8084564415931</v>
      </c>
      <c r="S7" s="31"/>
      <c r="T7" s="23">
        <v>1680639.4295413571</v>
      </c>
      <c r="U7" s="33">
        <v>149.6740000000157</v>
      </c>
      <c r="V7" s="5">
        <v>18</v>
      </c>
      <c r="W7" s="5">
        <v>84</v>
      </c>
      <c r="X7" s="33">
        <v>1305.2354455181633</v>
      </c>
      <c r="Y7" s="5">
        <v>41.524173874031924</v>
      </c>
      <c r="Z7" s="5">
        <v>6618.5152831959667</v>
      </c>
      <c r="AA7" s="35"/>
    </row>
    <row r="8" spans="2:27" x14ac:dyDescent="0.2">
      <c r="B8" s="4">
        <v>5</v>
      </c>
      <c r="C8" s="4">
        <v>224</v>
      </c>
      <c r="D8" s="23">
        <v>1190689.4478937041</v>
      </c>
      <c r="E8" s="33">
        <v>373.48199999997661</v>
      </c>
      <c r="F8" s="5">
        <v>10</v>
      </c>
      <c r="G8" s="23">
        <v>95.333333333333329</v>
      </c>
      <c r="H8" s="33">
        <v>524.23266996592997</v>
      </c>
      <c r="I8" s="23">
        <v>51.534468129199354</v>
      </c>
      <c r="J8" s="5">
        <v>5962.3371015823886</v>
      </c>
      <c r="K8" s="31"/>
      <c r="L8" s="23">
        <v>1575488.4860026389</v>
      </c>
      <c r="M8" s="33">
        <v>339.55799999999425</v>
      </c>
      <c r="N8" s="5">
        <v>23</v>
      </c>
      <c r="O8" s="5">
        <v>84.666666666666671</v>
      </c>
      <c r="P8" s="33">
        <v>543.07640779874316</v>
      </c>
      <c r="Q8" s="5">
        <v>18.964142885218202</v>
      </c>
      <c r="R8" s="5">
        <v>5151.9511101533562</v>
      </c>
      <c r="S8" s="31"/>
      <c r="T8" s="23">
        <v>1672628.1039458551</v>
      </c>
      <c r="U8" s="33">
        <v>431.10714285714283</v>
      </c>
      <c r="V8" s="5">
        <v>13</v>
      </c>
      <c r="W8" s="5">
        <v>78</v>
      </c>
      <c r="X8" s="33">
        <v>1059.2635092122623</v>
      </c>
      <c r="Y8" s="5">
        <v>52.625144795349456</v>
      </c>
      <c r="Z8" s="5">
        <v>6505.2861835293688</v>
      </c>
      <c r="AA8" s="35"/>
    </row>
    <row r="9" spans="2:27" x14ac:dyDescent="0.2">
      <c r="B9" s="4">
        <v>6</v>
      </c>
      <c r="C9" s="4">
        <v>551</v>
      </c>
      <c r="D9" s="23">
        <v>1164497.60938274</v>
      </c>
      <c r="E9" s="33">
        <v>174.81228571428386</v>
      </c>
      <c r="F9" s="5">
        <v>10</v>
      </c>
      <c r="G9" s="23">
        <v>97.333333333333329</v>
      </c>
      <c r="H9" s="33">
        <v>552.35745016988972</v>
      </c>
      <c r="I9" s="23">
        <v>53.154722313302877</v>
      </c>
      <c r="J9" s="5">
        <v>6037.2125429881235</v>
      </c>
      <c r="K9" s="31"/>
      <c r="L9" s="23">
        <v>1560934.3775838269</v>
      </c>
      <c r="M9" s="33">
        <v>547.65628571429147</v>
      </c>
      <c r="N9" s="5">
        <v>31</v>
      </c>
      <c r="O9" s="5">
        <v>93.333333333333329</v>
      </c>
      <c r="P9" s="33">
        <v>671.83291323293861</v>
      </c>
      <c r="Q9" s="5">
        <v>15.997508023437037</v>
      </c>
      <c r="R9" s="5">
        <v>5227.10451572484</v>
      </c>
      <c r="S9" s="31"/>
      <c r="T9" s="23">
        <v>1617723.5790616921</v>
      </c>
      <c r="U9" s="33">
        <v>508.34371428570859</v>
      </c>
      <c r="V9" s="5">
        <v>16</v>
      </c>
      <c r="W9" s="5">
        <v>83.333333333333329</v>
      </c>
      <c r="X9" s="33">
        <v>1156.1001560478337</v>
      </c>
      <c r="Y9" s="5">
        <v>46.410293477318532</v>
      </c>
      <c r="Z9" s="5">
        <v>6445.950974964504</v>
      </c>
      <c r="AA9" s="35"/>
    </row>
    <row r="10" spans="2:27" x14ac:dyDescent="0.2">
      <c r="B10" s="4">
        <v>7</v>
      </c>
      <c r="C10" s="4">
        <v>419</v>
      </c>
      <c r="D10" s="23">
        <v>1273503.631692905</v>
      </c>
      <c r="E10" s="33">
        <v>129.94657142859486</v>
      </c>
      <c r="F10" s="5">
        <v>10</v>
      </c>
      <c r="G10" s="23">
        <v>94.666666666666671</v>
      </c>
      <c r="H10" s="33">
        <v>676.65425186524794</v>
      </c>
      <c r="I10" s="23">
        <v>50.159342010399826</v>
      </c>
      <c r="J10" s="5">
        <v>6295.227803716135</v>
      </c>
      <c r="K10" s="31"/>
      <c r="L10" s="23">
        <v>1636313.5484332431</v>
      </c>
      <c r="M10" s="33">
        <v>425.72771428572003</v>
      </c>
      <c r="N10" s="5">
        <v>28</v>
      </c>
      <c r="O10" s="5">
        <v>91.333333333333329</v>
      </c>
      <c r="P10" s="33">
        <v>902.97449120504132</v>
      </c>
      <c r="Q10" s="5">
        <v>17.018395831787604</v>
      </c>
      <c r="R10" s="5">
        <v>5686.3656883766434</v>
      </c>
      <c r="S10" s="31"/>
      <c r="T10" s="23">
        <v>1624182.1058594091</v>
      </c>
      <c r="U10" s="33">
        <v>267.75885714284544</v>
      </c>
      <c r="V10" s="5">
        <v>14</v>
      </c>
      <c r="W10" s="5">
        <v>85.333333333333329</v>
      </c>
      <c r="X10" s="33">
        <v>1409.1598999058433</v>
      </c>
      <c r="Y10" s="5">
        <v>56.065085317911311</v>
      </c>
      <c r="Z10" s="5">
        <v>6953.7751247209862</v>
      </c>
      <c r="AA10" s="35"/>
    </row>
    <row r="11" spans="2:27" x14ac:dyDescent="0.2">
      <c r="B11" s="4">
        <v>8</v>
      </c>
      <c r="C11" s="4">
        <v>865</v>
      </c>
      <c r="D11" s="23">
        <v>1226541.4244066011</v>
      </c>
      <c r="E11" s="33">
        <v>436.06714285713889</v>
      </c>
      <c r="F11" s="5">
        <v>10</v>
      </c>
      <c r="G11" s="23">
        <v>97.333333333333329</v>
      </c>
      <c r="H11" s="33">
        <v>765.2149124196801</v>
      </c>
      <c r="I11" s="23">
        <v>53.330910475677548</v>
      </c>
      <c r="J11" s="5">
        <v>6271.6367669723586</v>
      </c>
      <c r="K11" s="31"/>
      <c r="L11" s="23">
        <v>1758134.208157361</v>
      </c>
      <c r="M11" s="33">
        <v>242.31228571428386</v>
      </c>
      <c r="N11" s="5">
        <v>30</v>
      </c>
      <c r="O11" s="5">
        <v>89.333333333333329</v>
      </c>
      <c r="P11" s="33">
        <v>1076.4304071622198</v>
      </c>
      <c r="Q11" s="5">
        <v>15.358821335351909</v>
      </c>
      <c r="R11" s="5">
        <v>5881.5827407649549</v>
      </c>
      <c r="S11" s="31"/>
      <c r="T11" s="23">
        <v>1866811.3292051749</v>
      </c>
      <c r="U11" s="33">
        <v>140.20971428569672</v>
      </c>
      <c r="V11" s="5">
        <v>18</v>
      </c>
      <c r="W11" s="5">
        <v>78.666666666666671</v>
      </c>
      <c r="X11" s="33">
        <v>1612.3234850005649</v>
      </c>
      <c r="Y11" s="5">
        <v>43.40015809587279</v>
      </c>
      <c r="Z11" s="5">
        <v>7175.0083086816312</v>
      </c>
      <c r="AA11" s="35"/>
    </row>
    <row r="12" spans="2:27" x14ac:dyDescent="0.2">
      <c r="B12" s="4">
        <v>9</v>
      </c>
      <c r="C12" s="4">
        <v>987</v>
      </c>
      <c r="D12" s="23">
        <v>1170305.8149554911</v>
      </c>
      <c r="E12" s="33">
        <v>396.7634285714343</v>
      </c>
      <c r="F12" s="5">
        <v>10</v>
      </c>
      <c r="G12" s="23">
        <v>96.666666666666671</v>
      </c>
      <c r="H12" s="33">
        <v>506.95352727625203</v>
      </c>
      <c r="I12" s="23">
        <v>53.169243473582355</v>
      </c>
      <c r="J12" s="5">
        <v>6007.1542634347161</v>
      </c>
      <c r="K12" s="31"/>
      <c r="L12" s="23">
        <v>1610032.6103646019</v>
      </c>
      <c r="M12" s="33">
        <v>313.209999999996</v>
      </c>
      <c r="N12" s="5">
        <v>29</v>
      </c>
      <c r="O12" s="5">
        <v>90.666666666666671</v>
      </c>
      <c r="P12" s="33">
        <v>751.05187161583365</v>
      </c>
      <c r="Q12" s="5">
        <v>15.666627125000401</v>
      </c>
      <c r="R12" s="5">
        <v>5374.7002741528731</v>
      </c>
      <c r="S12" s="31"/>
      <c r="T12" s="23">
        <v>1934270.2431008511</v>
      </c>
      <c r="U12" s="33">
        <v>133.02685714286886</v>
      </c>
      <c r="V12" s="5">
        <v>19</v>
      </c>
      <c r="W12" s="5">
        <v>90.666666666666671</v>
      </c>
      <c r="X12" s="33">
        <v>2753.8554874597321</v>
      </c>
      <c r="Y12" s="5">
        <v>48.047922458734057</v>
      </c>
      <c r="Z12" s="5">
        <v>8344.3205830057559</v>
      </c>
      <c r="AA12" s="35"/>
    </row>
    <row r="13" spans="2:27" x14ac:dyDescent="0.2">
      <c r="B13" s="4">
        <v>10</v>
      </c>
      <c r="C13" s="4">
        <v>549</v>
      </c>
      <c r="D13" s="23">
        <v>1243898.934890429</v>
      </c>
      <c r="E13" s="33">
        <v>331.37057142857714</v>
      </c>
      <c r="F13" s="5">
        <v>12</v>
      </c>
      <c r="G13" s="23">
        <v>96.666666666666671</v>
      </c>
      <c r="H13" s="33">
        <v>695.48861303637284</v>
      </c>
      <c r="I13" s="23">
        <v>44.266328186160159</v>
      </c>
      <c r="J13" s="5">
        <v>6140.4455325666722</v>
      </c>
      <c r="K13" s="31"/>
      <c r="L13" s="23">
        <v>1602581.3860620279</v>
      </c>
      <c r="M13" s="33">
        <v>319.40171428573569</v>
      </c>
      <c r="N13" s="5">
        <v>27</v>
      </c>
      <c r="O13" s="5">
        <v>90</v>
      </c>
      <c r="P13" s="33">
        <v>801.40109885119614</v>
      </c>
      <c r="Q13" s="5">
        <v>16.981903175273104</v>
      </c>
      <c r="R13" s="5">
        <v>5479.1463007112015</v>
      </c>
      <c r="S13" s="31"/>
      <c r="T13" s="23">
        <v>1581998.0409952849</v>
      </c>
      <c r="U13" s="33">
        <v>485.84828571426431</v>
      </c>
      <c r="V13" s="5">
        <v>15</v>
      </c>
      <c r="W13" s="5">
        <v>86</v>
      </c>
      <c r="X13" s="33">
        <v>1290.5478202654208</v>
      </c>
      <c r="Y13" s="5">
        <v>53.882720270056673</v>
      </c>
      <c r="Z13" s="5">
        <v>6702.5589529763502</v>
      </c>
      <c r="AA13" s="35"/>
    </row>
    <row r="14" spans="2:27" x14ac:dyDescent="0.2">
      <c r="B14" s="46" t="s">
        <v>3</v>
      </c>
      <c r="C14" s="47"/>
      <c r="D14" s="9">
        <f>MIN(D4:D13)</f>
        <v>1164497.60938274</v>
      </c>
      <c r="E14" s="22">
        <f>INDEX(E4:E13, MATCH($D$14, D4:D13, 0))</f>
        <v>174.81228571428386</v>
      </c>
      <c r="F14" s="9">
        <f>INDEX(F4:F13, MATCH($D$14, D4:D13, 0))</f>
        <v>10</v>
      </c>
      <c r="G14" s="9">
        <f>INDEX(G4:G13, MATCH($D$14, D4:D13, 0))</f>
        <v>97.333333333333329</v>
      </c>
      <c r="H14" s="22">
        <f>INDEX(H4:H13, MATCH($D$14, D4:D13, 0))</f>
        <v>552.35745016988972</v>
      </c>
      <c r="I14" s="22">
        <f>INDEX(I4:I13, MATCH($D$14, D4:D13, 0))</f>
        <v>53.154722313302877</v>
      </c>
      <c r="J14" s="22">
        <f>INDEX(J4:J13, MATCH($D$14, D4:D13, 0))</f>
        <v>6037.2125429881235</v>
      </c>
      <c r="K14" s="32" t="e">
        <f>(D14-$D$15)/$D$15</f>
        <v>#DIV/0!</v>
      </c>
      <c r="L14" s="16">
        <f>MIN(L4:L13)</f>
        <v>1560934.3775838269</v>
      </c>
      <c r="M14" s="21">
        <f>INDEX(M4:M13, MATCH($L$14, L4:L13, 0))</f>
        <v>547.65628571429147</v>
      </c>
      <c r="N14" s="16">
        <f>INDEX(N4:N13, MATCH($L$14, L4:L13, 0))</f>
        <v>31</v>
      </c>
      <c r="O14" s="16">
        <f>INDEX(O4:O13, MATCH($L$14, L4:L13, 0))</f>
        <v>93.333333333333329</v>
      </c>
      <c r="P14" s="21">
        <f>INDEX(P4:P13, MATCH($L$14, L4:L13, 0))</f>
        <v>671.83291323293861</v>
      </c>
      <c r="Q14" s="21">
        <f>INDEX(Q4:Q13, MATCH($L$14, L4:L13, 0))</f>
        <v>15.997508023437037</v>
      </c>
      <c r="R14" s="21">
        <f>INDEX(R4:R13, MATCH($L$14, L4:L13, 0))</f>
        <v>5227.10451572484</v>
      </c>
      <c r="S14" s="36" t="e">
        <f>(L14-$D$15)/$D$15</f>
        <v>#DIV/0!</v>
      </c>
      <c r="T14" s="38">
        <f>MIN(T4:T13)</f>
        <v>1581998.0409952849</v>
      </c>
      <c r="U14" s="39">
        <f>INDEX(U4:U13, MATCH($T$14, T4:T13, 0))</f>
        <v>485.84828571426431</v>
      </c>
      <c r="V14" s="38">
        <f>INDEX(V4:V13, MATCH($T$14, T4:T13, 0))</f>
        <v>15</v>
      </c>
      <c r="W14" s="38">
        <f>INDEX(W4:W13, MATCH($T$14, T4:T13, 0))</f>
        <v>86</v>
      </c>
      <c r="X14" s="39">
        <f>INDEX(X4:X13, MATCH($T$14, T4:T13, 0))</f>
        <v>1290.5478202654208</v>
      </c>
      <c r="Y14" s="39">
        <f>INDEX(Y4:Y13, MATCH($T$14, T4:T13, 0))</f>
        <v>53.882720270056673</v>
      </c>
      <c r="Z14" s="39">
        <f>INDEX(Z4:Z13, MATCH($T$14, T4:T13, 0))</f>
        <v>6702.5589529763502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8:C1048576">
    <cfRule type="duplicateValues" dxfId="81" priority="11"/>
    <cfRule type="duplicateValues" dxfId="80" priority="12"/>
  </conditionalFormatting>
  <conditionalFormatting sqref="C14">
    <cfRule type="duplicateValues" dxfId="79" priority="3"/>
    <cfRule type="duplicateValues" dxfId="78" priority="4"/>
  </conditionalFormatting>
  <conditionalFormatting sqref="C17:C37">
    <cfRule type="duplicateValues" dxfId="7" priority="1"/>
    <cfRule type="duplicateValues" dxfId="6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A4EC-6D30-4C72-BB6B-00B1F9EFBFF2}">
  <dimension ref="B1:AA17"/>
  <sheetViews>
    <sheetView zoomScale="70" zoomScaleNormal="70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-0.94428505738061796</v>
      </c>
      <c r="J2" s="28" t="e">
        <f>(S14-J14)/J14</f>
        <v>#DIV/0!</v>
      </c>
      <c r="K2" s="28"/>
      <c r="L2" s="1" t="s">
        <v>19</v>
      </c>
      <c r="P2" s="1">
        <f>(P14-H14)/H14</f>
        <v>1.1676122090469765</v>
      </c>
      <c r="R2" s="1">
        <f>(R14-J14)/J14</f>
        <v>-4.7499834572283829E-2</v>
      </c>
      <c r="T2" s="1" t="s">
        <v>20</v>
      </c>
      <c r="X2" s="1">
        <f>(X14-P14)/P14</f>
        <v>0.83915602059915317</v>
      </c>
      <c r="Z2" s="1">
        <f>(Z14-R14)/R14</f>
        <v>0.26541798000046163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241</v>
      </c>
      <c r="D4" s="23">
        <v>1233963.1702662341</v>
      </c>
      <c r="E4" s="33">
        <v>66.307999999994152</v>
      </c>
      <c r="F4" s="5">
        <v>10</v>
      </c>
      <c r="G4" s="23">
        <v>92</v>
      </c>
      <c r="H4" s="33">
        <v>433.05408088496063</v>
      </c>
      <c r="I4" s="23">
        <v>45.225287623171987</v>
      </c>
      <c r="J4" s="5">
        <v>5762.8689805485319</v>
      </c>
      <c r="K4" s="31"/>
      <c r="L4" s="23">
        <v>1574033.40361527</v>
      </c>
      <c r="M4" s="33">
        <v>382.31257142855003</v>
      </c>
      <c r="N4" s="5">
        <v>21</v>
      </c>
      <c r="O4" s="5">
        <v>82.666666666666671</v>
      </c>
      <c r="P4" s="33">
        <v>416.29308845659676</v>
      </c>
      <c r="Q4" s="5">
        <v>18.05676954433973</v>
      </c>
      <c r="R4" s="5">
        <v>5233.2963357379012</v>
      </c>
      <c r="S4" s="31"/>
      <c r="T4" s="23">
        <v>1752310.4938756591</v>
      </c>
      <c r="U4" s="33">
        <v>87.165142857136999</v>
      </c>
      <c r="V4" s="5">
        <v>18</v>
      </c>
      <c r="W4" s="5">
        <v>92.666666666666671</v>
      </c>
      <c r="X4" s="33">
        <v>2160.3035313977311</v>
      </c>
      <c r="Y4" s="5">
        <v>50.921315306452215</v>
      </c>
      <c r="Z4" s="5">
        <v>7823.8048983974995</v>
      </c>
      <c r="AA4" s="35"/>
    </row>
    <row r="5" spans="2:27" x14ac:dyDescent="0.2">
      <c r="B5" s="4">
        <v>2</v>
      </c>
      <c r="C5" s="4">
        <v>642</v>
      </c>
      <c r="D5" s="23">
        <v>1143967.1955210411</v>
      </c>
      <c r="E5" s="33">
        <v>63.245714285710285</v>
      </c>
      <c r="F5" s="5">
        <v>11</v>
      </c>
      <c r="G5" s="23">
        <v>94.666666666666671</v>
      </c>
      <c r="H5" s="33">
        <v>318.51298188466575</v>
      </c>
      <c r="I5" s="23">
        <v>39.430581933008526</v>
      </c>
      <c r="J5" s="5">
        <v>5528.3817788957567</v>
      </c>
      <c r="K5" s="31"/>
      <c r="L5" s="23">
        <v>1573203.761793894</v>
      </c>
      <c r="M5" s="33">
        <v>401.51800000002339</v>
      </c>
      <c r="N5" s="5">
        <v>21</v>
      </c>
      <c r="O5" s="5">
        <v>82.666666666666671</v>
      </c>
      <c r="P5" s="33">
        <v>509.00661191361218</v>
      </c>
      <c r="Q5" s="5">
        <v>17.990099515372719</v>
      </c>
      <c r="R5" s="5">
        <v>5232.2520465588213</v>
      </c>
      <c r="S5" s="31"/>
      <c r="T5" s="23">
        <v>1555182.735896532</v>
      </c>
      <c r="U5" s="33">
        <v>105.55799999999415</v>
      </c>
      <c r="V5" s="5">
        <v>17</v>
      </c>
      <c r="W5" s="5">
        <v>86</v>
      </c>
      <c r="X5" s="33">
        <v>995.95761543623507</v>
      </c>
      <c r="Y5" s="5">
        <v>42.395824658462452</v>
      </c>
      <c r="Z5" s="5">
        <v>6372.2352070320885</v>
      </c>
      <c r="AA5" s="35"/>
    </row>
    <row r="6" spans="2:27" x14ac:dyDescent="0.2">
      <c r="B6" s="4">
        <v>3</v>
      </c>
      <c r="C6" s="4">
        <v>372</v>
      </c>
      <c r="D6" s="23">
        <v>1400010.056708666</v>
      </c>
      <c r="E6" s="33">
        <v>150.81714285713886</v>
      </c>
      <c r="F6" s="5">
        <v>11</v>
      </c>
      <c r="G6" s="23">
        <v>88.666666666666671</v>
      </c>
      <c r="H6" s="33">
        <v>720.49252671578881</v>
      </c>
      <c r="I6" s="23">
        <v>39.499091688320341</v>
      </c>
      <c r="J6" s="5">
        <v>6151.798703870355</v>
      </c>
      <c r="K6" s="31"/>
      <c r="L6" s="23">
        <v>1542498.476963118</v>
      </c>
      <c r="M6" s="33">
        <v>580.28571428571433</v>
      </c>
      <c r="N6" s="5">
        <v>30</v>
      </c>
      <c r="O6" s="5">
        <v>92</v>
      </c>
      <c r="P6" s="33">
        <v>570.63747720763718</v>
      </c>
      <c r="Q6" s="5">
        <v>14.147056025220165</v>
      </c>
      <c r="R6" s="5">
        <v>5094.2347311434933</v>
      </c>
      <c r="S6" s="31"/>
      <c r="T6" s="23">
        <v>1718967.3544663179</v>
      </c>
      <c r="U6" s="33">
        <v>59.634000000011717</v>
      </c>
      <c r="V6" s="5">
        <v>10</v>
      </c>
      <c r="W6" s="5">
        <v>74.666666666666671</v>
      </c>
      <c r="X6" s="33">
        <v>986.3755709416273</v>
      </c>
      <c r="Y6" s="5">
        <v>60.782750377858164</v>
      </c>
      <c r="Z6" s="5">
        <v>6742.3654321366612</v>
      </c>
      <c r="AA6" s="35"/>
    </row>
    <row r="7" spans="2:27" x14ac:dyDescent="0.2">
      <c r="B7" s="4">
        <v>4</v>
      </c>
      <c r="C7" s="4">
        <v>366</v>
      </c>
      <c r="D7" s="23">
        <v>1389644.032457849</v>
      </c>
      <c r="E7" s="33">
        <v>170.57142857142858</v>
      </c>
      <c r="F7" s="5">
        <v>10</v>
      </c>
      <c r="G7" s="23">
        <v>88.666666666666671</v>
      </c>
      <c r="H7" s="33">
        <v>682.8214891702047</v>
      </c>
      <c r="I7" s="23">
        <v>41.284408949490384</v>
      </c>
      <c r="J7" s="5">
        <v>6215.3470666074481</v>
      </c>
      <c r="K7" s="31"/>
      <c r="L7" s="23">
        <v>1564814.2525352051</v>
      </c>
      <c r="M7" s="33">
        <v>195.754571428589</v>
      </c>
      <c r="N7" s="5">
        <v>29</v>
      </c>
      <c r="O7" s="5">
        <v>90</v>
      </c>
      <c r="P7" s="33">
        <v>531.6657140975168</v>
      </c>
      <c r="Q7" s="5">
        <v>14.325455810729943</v>
      </c>
      <c r="R7" s="5">
        <v>5129.7146143003638</v>
      </c>
      <c r="S7" s="31"/>
      <c r="T7" s="23">
        <v>1592177.161433921</v>
      </c>
      <c r="U7" s="33">
        <v>178.82600000001756</v>
      </c>
      <c r="V7" s="5">
        <v>17</v>
      </c>
      <c r="W7" s="5">
        <v>93.333333333333329</v>
      </c>
      <c r="X7" s="33">
        <v>1686.4836456494572</v>
      </c>
      <c r="Y7" s="5">
        <v>52.522879877742334</v>
      </c>
      <c r="Z7" s="5">
        <v>7233.7159689235159</v>
      </c>
      <c r="AA7" s="35"/>
    </row>
    <row r="8" spans="2:27" x14ac:dyDescent="0.2">
      <c r="B8" s="4">
        <v>5</v>
      </c>
      <c r="C8" s="4">
        <v>561</v>
      </c>
      <c r="D8" s="23">
        <v>1118324.917413105</v>
      </c>
      <c r="E8" s="33">
        <v>132.29457142855972</v>
      </c>
      <c r="F8" s="5">
        <v>12</v>
      </c>
      <c r="G8" s="23">
        <v>94.666666666666671</v>
      </c>
      <c r="H8" s="33">
        <v>324.06589261711196</v>
      </c>
      <c r="I8" s="23">
        <v>37.605102429456998</v>
      </c>
      <c r="J8" s="5">
        <v>5238.9733582871213</v>
      </c>
      <c r="K8" s="31"/>
      <c r="L8" s="23">
        <v>1623689.5571670339</v>
      </c>
      <c r="M8" s="33">
        <v>295.42399999998258</v>
      </c>
      <c r="N8" s="5">
        <v>31</v>
      </c>
      <c r="O8" s="5">
        <v>92.666666666666671</v>
      </c>
      <c r="P8" s="33">
        <v>730.732735618633</v>
      </c>
      <c r="Q8" s="5">
        <v>13.842980381686534</v>
      </c>
      <c r="R8" s="5">
        <v>5457.3808886681481</v>
      </c>
      <c r="S8" s="31"/>
      <c r="T8" s="23">
        <v>1752935.4814832271</v>
      </c>
      <c r="U8" s="33">
        <v>205.24571428571031</v>
      </c>
      <c r="V8" s="5">
        <v>16</v>
      </c>
      <c r="W8" s="5">
        <v>82.666666666666671</v>
      </c>
      <c r="X8" s="33">
        <v>1617.2116142632206</v>
      </c>
      <c r="Y8" s="5">
        <v>43.098259176811617</v>
      </c>
      <c r="Z8" s="5">
        <v>7033.8042666083547</v>
      </c>
      <c r="AA8" s="35"/>
    </row>
    <row r="9" spans="2:27" x14ac:dyDescent="0.2">
      <c r="B9" s="4">
        <v>6</v>
      </c>
      <c r="C9" s="4">
        <v>537</v>
      </c>
      <c r="D9" s="23">
        <v>1192781.4065246109</v>
      </c>
      <c r="E9" s="33">
        <v>307.3034285714383</v>
      </c>
      <c r="F9" s="5">
        <v>10</v>
      </c>
      <c r="G9" s="23">
        <v>94.666666666666671</v>
      </c>
      <c r="H9" s="33">
        <v>455.75709547586081</v>
      </c>
      <c r="I9" s="23">
        <v>44.049594433187252</v>
      </c>
      <c r="J9" s="5">
        <v>5873.6925161821919</v>
      </c>
      <c r="K9" s="31"/>
      <c r="L9" s="23">
        <v>1540239.9913278569</v>
      </c>
      <c r="M9" s="33">
        <v>264.22342857143042</v>
      </c>
      <c r="N9" s="5">
        <v>30</v>
      </c>
      <c r="O9" s="5">
        <v>92</v>
      </c>
      <c r="P9" s="33">
        <v>563.13496684324764</v>
      </c>
      <c r="Q9" s="5">
        <v>14.474467450261164</v>
      </c>
      <c r="R9" s="5">
        <v>5196.9314715168002</v>
      </c>
      <c r="S9" s="31"/>
      <c r="T9" s="23">
        <v>1635523.0397470421</v>
      </c>
      <c r="U9" s="33">
        <v>207.5088571428787</v>
      </c>
      <c r="V9" s="5">
        <v>15</v>
      </c>
      <c r="W9" s="5">
        <v>90</v>
      </c>
      <c r="X9" s="33">
        <v>1642.3183776631604</v>
      </c>
      <c r="Y9" s="5">
        <v>56.364354976265879</v>
      </c>
      <c r="Z9" s="5">
        <v>7325.6910026624537</v>
      </c>
      <c r="AA9" s="35"/>
    </row>
    <row r="10" spans="2:27" x14ac:dyDescent="0.2">
      <c r="B10" s="4">
        <v>7</v>
      </c>
      <c r="C10" s="4">
        <v>115</v>
      </c>
      <c r="D10" s="23">
        <v>1174216.134068067</v>
      </c>
      <c r="E10" s="33">
        <v>240.169714285726</v>
      </c>
      <c r="F10" s="5">
        <v>11</v>
      </c>
      <c r="G10" s="23">
        <v>94</v>
      </c>
      <c r="H10" s="33">
        <v>400.69077513869314</v>
      </c>
      <c r="I10" s="23">
        <v>39.757456849953684</v>
      </c>
      <c r="J10" s="5">
        <v>5568.3171886103792</v>
      </c>
      <c r="K10" s="31"/>
      <c r="L10" s="23">
        <v>1552817.114834365</v>
      </c>
      <c r="M10" s="33">
        <v>236.05371428570444</v>
      </c>
      <c r="N10" s="5">
        <v>21</v>
      </c>
      <c r="O10" s="5">
        <v>82.666666666666671</v>
      </c>
      <c r="P10" s="33">
        <v>448.55925459591009</v>
      </c>
      <c r="Q10" s="5">
        <v>17.708063463623009</v>
      </c>
      <c r="R10" s="5">
        <v>5015.3822181586938</v>
      </c>
      <c r="S10" s="31"/>
      <c r="T10" s="23">
        <v>1468136.619202005</v>
      </c>
      <c r="U10" s="33">
        <v>373.32142857142856</v>
      </c>
      <c r="V10" s="5">
        <v>15</v>
      </c>
      <c r="W10" s="5">
        <v>91.333333333333329</v>
      </c>
      <c r="X10" s="33">
        <v>1217.3215124035319</v>
      </c>
      <c r="Y10" s="5">
        <v>54.37922871588831</v>
      </c>
      <c r="Z10" s="5">
        <v>6763.3404262063177</v>
      </c>
      <c r="AA10" s="35"/>
    </row>
    <row r="11" spans="2:27" x14ac:dyDescent="0.2">
      <c r="B11" s="4">
        <v>8</v>
      </c>
      <c r="C11" s="4">
        <v>530</v>
      </c>
      <c r="D11" s="23">
        <v>1157971.131665878</v>
      </c>
      <c r="E11" s="33">
        <v>161.97342857143045</v>
      </c>
      <c r="F11" s="5">
        <v>9</v>
      </c>
      <c r="G11" s="23">
        <v>94.666666666666671</v>
      </c>
      <c r="H11" s="33">
        <v>465.89660840629045</v>
      </c>
      <c r="I11" s="23">
        <v>49.196037244273235</v>
      </c>
      <c r="J11" s="5">
        <v>5814.675016709597</v>
      </c>
      <c r="K11" s="31"/>
      <c r="L11" s="23">
        <v>1585728.697308376</v>
      </c>
      <c r="M11" s="33">
        <v>298.98200000000969</v>
      </c>
      <c r="N11" s="5">
        <v>31</v>
      </c>
      <c r="O11" s="5">
        <v>90</v>
      </c>
      <c r="P11" s="33">
        <v>472.60423873645215</v>
      </c>
      <c r="Q11" s="5">
        <v>13.500012647673694</v>
      </c>
      <c r="R11" s="5">
        <v>4981.5659432187895</v>
      </c>
      <c r="S11" s="31"/>
      <c r="T11" s="23">
        <v>1438806.583051811</v>
      </c>
      <c r="U11" s="33">
        <v>295.830285714274</v>
      </c>
      <c r="V11" s="5">
        <v>16</v>
      </c>
      <c r="W11" s="5">
        <v>92</v>
      </c>
      <c r="X11" s="33">
        <v>1035.6930646796634</v>
      </c>
      <c r="Y11" s="5">
        <v>52.829192626353482</v>
      </c>
      <c r="Z11" s="5">
        <v>6576.2905248876159</v>
      </c>
      <c r="AA11" s="35"/>
    </row>
    <row r="12" spans="2:27" x14ac:dyDescent="0.2">
      <c r="B12" s="4">
        <v>9</v>
      </c>
      <c r="C12" s="4">
        <v>587</v>
      </c>
      <c r="D12" s="23">
        <v>1112252.858739007</v>
      </c>
      <c r="E12" s="33">
        <v>90.107142857142861</v>
      </c>
      <c r="F12" s="5">
        <v>10</v>
      </c>
      <c r="G12" s="23">
        <v>94.666666666666671</v>
      </c>
      <c r="H12" s="33">
        <v>259.79507058176171</v>
      </c>
      <c r="I12" s="23">
        <v>43.392350163450118</v>
      </c>
      <c r="J12" s="5">
        <v>5456.0950854881376</v>
      </c>
      <c r="K12" s="31"/>
      <c r="L12" s="23">
        <v>1543763.05588091</v>
      </c>
      <c r="M12" s="33">
        <v>592.12485714283378</v>
      </c>
      <c r="N12" s="5">
        <v>27</v>
      </c>
      <c r="O12" s="5">
        <v>88.666666666666671</v>
      </c>
      <c r="P12" s="33">
        <v>550.48720826227486</v>
      </c>
      <c r="Q12" s="5">
        <v>15.312474131948553</v>
      </c>
      <c r="R12" s="5">
        <v>5013.3047996417527</v>
      </c>
      <c r="S12" s="31"/>
      <c r="T12" s="23">
        <v>1540374.8992192519</v>
      </c>
      <c r="U12" s="33">
        <v>334.44657142859484</v>
      </c>
      <c r="V12" s="5">
        <v>14</v>
      </c>
      <c r="W12" s="5">
        <v>86.666666666666671</v>
      </c>
      <c r="X12" s="33">
        <v>1147.6508728945976</v>
      </c>
      <c r="Y12" s="5">
        <v>53.567239889088299</v>
      </c>
      <c r="Z12" s="5">
        <v>6657.1830528864739</v>
      </c>
      <c r="AA12" s="35"/>
    </row>
    <row r="13" spans="2:27" x14ac:dyDescent="0.2">
      <c r="B13" s="4">
        <v>10</v>
      </c>
      <c r="C13" s="4">
        <v>541</v>
      </c>
      <c r="D13" s="23">
        <v>1224845.513824821</v>
      </c>
      <c r="E13" s="33">
        <v>141.50428571428972</v>
      </c>
      <c r="F13" s="5">
        <v>11</v>
      </c>
      <c r="G13" s="23">
        <v>94</v>
      </c>
      <c r="H13" s="33">
        <v>566.45004789772906</v>
      </c>
      <c r="I13" s="23">
        <v>40.154180335668421</v>
      </c>
      <c r="J13" s="5">
        <v>5814.5542262003064</v>
      </c>
      <c r="K13" s="31"/>
      <c r="L13" s="23">
        <v>1585088.6294143409</v>
      </c>
      <c r="M13" s="33">
        <v>411.28571428571428</v>
      </c>
      <c r="N13" s="5">
        <v>29</v>
      </c>
      <c r="O13" s="5">
        <v>90</v>
      </c>
      <c r="P13" s="33">
        <v>533.53656354429108</v>
      </c>
      <c r="Q13" s="5">
        <v>14.269550232038382</v>
      </c>
      <c r="R13" s="5">
        <v>5128.4993434542257</v>
      </c>
      <c r="S13" s="31"/>
      <c r="T13" s="23">
        <v>1618148.8193579861</v>
      </c>
      <c r="U13" s="33">
        <v>190.28114285715856</v>
      </c>
      <c r="V13" s="5">
        <v>18</v>
      </c>
      <c r="W13" s="5">
        <v>86</v>
      </c>
      <c r="X13" s="33">
        <v>1311.5426435103027</v>
      </c>
      <c r="Y13" s="5">
        <v>43.75931560133828</v>
      </c>
      <c r="Z13" s="5">
        <v>6548.3848039610457</v>
      </c>
      <c r="AA13" s="35"/>
    </row>
    <row r="14" spans="2:27" x14ac:dyDescent="0.2">
      <c r="B14" s="46" t="s">
        <v>3</v>
      </c>
      <c r="C14" s="47"/>
      <c r="D14" s="9">
        <f>MIN(D4:D13)</f>
        <v>1112252.858739007</v>
      </c>
      <c r="E14" s="22">
        <f>INDEX(E4:E13, MATCH($D$14, D4:D13, 0))</f>
        <v>90.107142857142861</v>
      </c>
      <c r="F14" s="9">
        <f>INDEX(F4:F13, MATCH($D$14, D4:D13, 0))</f>
        <v>10</v>
      </c>
      <c r="G14" s="9">
        <f>INDEX(G4:G13, MATCH($D$14, D4:D13, 0))</f>
        <v>94.666666666666671</v>
      </c>
      <c r="H14" s="22">
        <f>INDEX(H4:H13, MATCH($D$14, D4:D13, 0))</f>
        <v>259.79507058176171</v>
      </c>
      <c r="I14" s="22">
        <f>INDEX(I4:I13, MATCH($D$14, D4:D13, 0))</f>
        <v>43.392350163450118</v>
      </c>
      <c r="J14" s="22">
        <f>INDEX(J4:J13, MATCH($D$14, D4:D13, 0))</f>
        <v>5456.0950854881376</v>
      </c>
      <c r="K14" s="32" t="e">
        <f>(D14-$D$15)/$D$15</f>
        <v>#DIV/0!</v>
      </c>
      <c r="L14" s="16">
        <f>MIN(L4:L13)</f>
        <v>1540239.9913278569</v>
      </c>
      <c r="M14" s="21">
        <f>INDEX(M4:M13, MATCH($L$14, L4:L13, 0))</f>
        <v>264.22342857143042</v>
      </c>
      <c r="N14" s="16">
        <f>INDEX(N4:N13, MATCH($L$14, L4:L13, 0))</f>
        <v>30</v>
      </c>
      <c r="O14" s="16">
        <f>INDEX(O4:O13, MATCH($L$14, L4:L13, 0))</f>
        <v>92</v>
      </c>
      <c r="P14" s="21">
        <f>INDEX(P4:P13, MATCH($L$14, L4:L13, 0))</f>
        <v>563.13496684324764</v>
      </c>
      <c r="Q14" s="21">
        <f>INDEX(Q4:Q13, MATCH($L$14, L4:L13, 0))</f>
        <v>14.474467450261164</v>
      </c>
      <c r="R14" s="21">
        <f>INDEX(R4:R13, MATCH($L$14, L4:L13, 0))</f>
        <v>5196.9314715168002</v>
      </c>
      <c r="S14" s="36" t="e">
        <f>(L14-$D$15)/$D$15</f>
        <v>#DIV/0!</v>
      </c>
      <c r="T14" s="38">
        <f>MIN(T4:T13)</f>
        <v>1438806.583051811</v>
      </c>
      <c r="U14" s="39">
        <f>INDEX(U4:U13, MATCH($T$14, T4:T13, 0))</f>
        <v>295.830285714274</v>
      </c>
      <c r="V14" s="38">
        <f>INDEX(V4:V13, MATCH($T$14, T4:T13, 0))</f>
        <v>16</v>
      </c>
      <c r="W14" s="38">
        <f>INDEX(W4:W13, MATCH($T$14, T4:T13, 0))</f>
        <v>92</v>
      </c>
      <c r="X14" s="39">
        <f>INDEX(X4:X13, MATCH($T$14, T4:T13, 0))</f>
        <v>1035.6930646796634</v>
      </c>
      <c r="Y14" s="39">
        <f>INDEX(Y4:Y13, MATCH($T$14, T4:T13, 0))</f>
        <v>52.829192626353482</v>
      </c>
      <c r="Z14" s="39">
        <f>INDEX(Z4:Z13, MATCH($T$14, T4:T13, 0))</f>
        <v>6576.2905248876159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8:C1048576">
    <cfRule type="duplicateValues" dxfId="73" priority="11"/>
    <cfRule type="duplicateValues" dxfId="72" priority="12"/>
  </conditionalFormatting>
  <conditionalFormatting sqref="C14">
    <cfRule type="duplicateValues" dxfId="71" priority="3"/>
    <cfRule type="duplicateValues" dxfId="70" priority="4"/>
  </conditionalFormatting>
  <conditionalFormatting sqref="C17:C37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EA581-2A50-476F-BDDF-90C490C18907}">
  <dimension ref="B1:AA17"/>
  <sheetViews>
    <sheetView zoomScale="70" zoomScaleNormal="70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-0.98534102919762201</v>
      </c>
      <c r="J2" s="28" t="e">
        <f>(S14-J14)/J14</f>
        <v>#DIV/0!</v>
      </c>
      <c r="K2" s="28"/>
      <c r="L2" s="1" t="s">
        <v>19</v>
      </c>
      <c r="P2" s="1">
        <f>(P14-H14)/H14</f>
        <v>-0.23507420687728672</v>
      </c>
      <c r="R2" s="1">
        <f>(R14-J14)/J14</f>
        <v>-0.13198728207179114</v>
      </c>
      <c r="T2" s="1" t="s">
        <v>20</v>
      </c>
      <c r="X2" s="1">
        <f>(X14-P14)/P14</f>
        <v>-0.11177014711705399</v>
      </c>
      <c r="Z2" s="1">
        <f>(Z14-R14)/R14</f>
        <v>9.5407368618781629E-2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248</v>
      </c>
      <c r="D4" s="23">
        <v>1554969.3823375329</v>
      </c>
      <c r="E4" s="33">
        <v>392.00885714284544</v>
      </c>
      <c r="F4" s="5">
        <v>13</v>
      </c>
      <c r="G4" s="23">
        <v>88</v>
      </c>
      <c r="H4" s="33">
        <v>1180.1497182903458</v>
      </c>
      <c r="I4" s="23">
        <v>35.651868423995289</v>
      </c>
      <c r="J4" s="5">
        <v>6690.3494833713194</v>
      </c>
      <c r="K4" s="31"/>
      <c r="L4" s="23">
        <v>1940379.599024422</v>
      </c>
      <c r="M4" s="33">
        <v>181.09828571429742</v>
      </c>
      <c r="N4" s="5">
        <v>20</v>
      </c>
      <c r="O4" s="5">
        <v>68</v>
      </c>
      <c r="P4" s="33">
        <v>827.95584691465922</v>
      </c>
      <c r="Q4" s="5">
        <v>16.556433217631845</v>
      </c>
      <c r="R4" s="5">
        <v>5580.1218640014249</v>
      </c>
      <c r="S4" s="31"/>
      <c r="T4" s="23">
        <v>2166035.5427601351</v>
      </c>
      <c r="U4" s="33">
        <v>81.267999999990138</v>
      </c>
      <c r="V4" s="5">
        <v>9</v>
      </c>
      <c r="W4" s="5">
        <v>52</v>
      </c>
      <c r="X4" s="33">
        <v>1384.5197509903001</v>
      </c>
      <c r="Y4" s="5">
        <v>44.878511561631917</v>
      </c>
      <c r="Z4" s="5">
        <v>6842.1262166453134</v>
      </c>
      <c r="AA4" s="35"/>
    </row>
    <row r="5" spans="2:27" x14ac:dyDescent="0.2">
      <c r="B5" s="4">
        <v>2</v>
      </c>
      <c r="C5" s="4">
        <v>334</v>
      </c>
      <c r="D5" s="23">
        <v>1444699.0746093569</v>
      </c>
      <c r="E5" s="33">
        <v>313.07571428571828</v>
      </c>
      <c r="F5" s="5">
        <v>14</v>
      </c>
      <c r="G5" s="23">
        <v>94.666666666666671</v>
      </c>
      <c r="H5" s="33">
        <v>1226.942828701955</v>
      </c>
      <c r="I5" s="23">
        <v>36.367954572407932</v>
      </c>
      <c r="J5" s="5">
        <v>6596.810545626694</v>
      </c>
      <c r="K5" s="31"/>
      <c r="L5" s="23">
        <v>2010854.1650678229</v>
      </c>
      <c r="M5" s="33">
        <v>390.64742857141289</v>
      </c>
      <c r="N5" s="5">
        <v>33</v>
      </c>
      <c r="O5" s="5">
        <v>88</v>
      </c>
      <c r="P5" s="33">
        <v>1666.5129476603311</v>
      </c>
      <c r="Q5" s="5">
        <v>14.503751340992556</v>
      </c>
      <c r="R5" s="5">
        <v>6673.144257198961</v>
      </c>
      <c r="S5" s="31"/>
      <c r="T5" s="23">
        <v>2240996.1719184979</v>
      </c>
      <c r="U5" s="33">
        <v>114.47314285713115</v>
      </c>
      <c r="V5" s="5">
        <v>15</v>
      </c>
      <c r="W5" s="5">
        <v>62</v>
      </c>
      <c r="X5" s="33">
        <v>2376.089082756283</v>
      </c>
      <c r="Y5" s="5">
        <v>32.45305774816174</v>
      </c>
      <c r="Z5" s="5">
        <v>7738.0666116295315</v>
      </c>
      <c r="AA5" s="35"/>
    </row>
    <row r="6" spans="2:27" x14ac:dyDescent="0.2">
      <c r="B6" s="4">
        <v>3</v>
      </c>
      <c r="C6" s="4">
        <v>429</v>
      </c>
      <c r="D6" s="23">
        <v>1482129.394812081</v>
      </c>
      <c r="E6" s="33">
        <v>364.46885714287458</v>
      </c>
      <c r="F6" s="5">
        <v>16</v>
      </c>
      <c r="G6" s="23">
        <v>94.666666666666671</v>
      </c>
      <c r="H6" s="33">
        <v>1235.5035575019244</v>
      </c>
      <c r="I6" s="23">
        <v>31.797314900414023</v>
      </c>
      <c r="J6" s="5">
        <v>6529.6181135375864</v>
      </c>
      <c r="K6" s="31"/>
      <c r="L6" s="23">
        <v>1901889.0350518071</v>
      </c>
      <c r="M6" s="33">
        <v>227.96428571428572</v>
      </c>
      <c r="N6" s="5">
        <v>26</v>
      </c>
      <c r="O6" s="5">
        <v>80.666666666666671</v>
      </c>
      <c r="P6" s="33">
        <v>1213.680120908034</v>
      </c>
      <c r="Q6" s="5">
        <v>16.510396318209398</v>
      </c>
      <c r="R6" s="5">
        <v>6231.8282270749014</v>
      </c>
      <c r="S6" s="31"/>
      <c r="T6" s="23">
        <v>1966246.5162110489</v>
      </c>
      <c r="U6" s="33">
        <v>164.19199999997258</v>
      </c>
      <c r="V6" s="5">
        <v>10</v>
      </c>
      <c r="W6" s="5">
        <v>60.666666666666657</v>
      </c>
      <c r="X6" s="33">
        <v>1023.3523350533738</v>
      </c>
      <c r="Y6" s="5">
        <v>49.634980272949996</v>
      </c>
      <c r="Z6" s="5">
        <v>6584.3834363091582</v>
      </c>
      <c r="AA6" s="35"/>
    </row>
    <row r="7" spans="2:27" x14ac:dyDescent="0.2">
      <c r="B7" s="4">
        <v>4</v>
      </c>
      <c r="C7" s="4">
        <v>163</v>
      </c>
      <c r="D7" s="23">
        <v>1539509.113789177</v>
      </c>
      <c r="E7" s="33">
        <v>341.54914285714858</v>
      </c>
      <c r="F7" s="5">
        <v>13</v>
      </c>
      <c r="G7" s="23">
        <v>89.333333333333329</v>
      </c>
      <c r="H7" s="33">
        <v>1229.5510851925594</v>
      </c>
      <c r="I7" s="23">
        <v>36.669346506041968</v>
      </c>
      <c r="J7" s="5">
        <v>6685.1302304270639</v>
      </c>
      <c r="K7" s="31"/>
      <c r="L7" s="23">
        <v>1843760.9882455501</v>
      </c>
      <c r="M7" s="33">
        <v>361.67400000001572</v>
      </c>
      <c r="N7" s="5">
        <v>22</v>
      </c>
      <c r="O7" s="5">
        <v>76</v>
      </c>
      <c r="P7" s="33">
        <v>938.52021636106826</v>
      </c>
      <c r="Q7" s="5">
        <v>17.985719102128897</v>
      </c>
      <c r="R7" s="5">
        <v>5726.1154513668971</v>
      </c>
      <c r="S7" s="31"/>
      <c r="T7" s="23">
        <v>2093673.823692007</v>
      </c>
      <c r="U7" s="33">
        <v>181.34828571429742</v>
      </c>
      <c r="V7" s="5">
        <v>10</v>
      </c>
      <c r="W7" s="5">
        <v>62</v>
      </c>
      <c r="X7" s="33">
        <v>1877.5103382350442</v>
      </c>
      <c r="Y7" s="5">
        <v>53.471951389480083</v>
      </c>
      <c r="Z7" s="5">
        <v>7569.8522670090506</v>
      </c>
      <c r="AA7" s="35"/>
    </row>
    <row r="8" spans="2:27" x14ac:dyDescent="0.2">
      <c r="B8" s="4">
        <v>5</v>
      </c>
      <c r="C8" s="4">
        <v>743</v>
      </c>
      <c r="D8" s="23">
        <v>1494894.0755180181</v>
      </c>
      <c r="E8" s="33">
        <v>363.65171428570255</v>
      </c>
      <c r="F8" s="5">
        <v>11</v>
      </c>
      <c r="G8" s="23">
        <v>86.666666666666671</v>
      </c>
      <c r="H8" s="33">
        <v>1001.6520438664436</v>
      </c>
      <c r="I8" s="23">
        <v>42.171388139759536</v>
      </c>
      <c r="J8" s="5">
        <v>6461.9760672707616</v>
      </c>
      <c r="K8" s="31"/>
      <c r="L8" s="23">
        <v>1993202.127258864</v>
      </c>
      <c r="M8" s="33">
        <v>112.46428571428571</v>
      </c>
      <c r="N8" s="5">
        <v>20</v>
      </c>
      <c r="O8" s="5">
        <v>68</v>
      </c>
      <c r="P8" s="33">
        <v>984.75579629034655</v>
      </c>
      <c r="Q8" s="5">
        <v>17.365708995159366</v>
      </c>
      <c r="R8" s="5">
        <v>5947.0847411925797</v>
      </c>
      <c r="S8" s="31"/>
      <c r="T8" s="23">
        <v>2051908.6898625339</v>
      </c>
      <c r="U8" s="33">
        <v>76.263428571434432</v>
      </c>
      <c r="V8" s="5">
        <v>10</v>
      </c>
      <c r="W8" s="5">
        <v>61.333333333333343</v>
      </c>
      <c r="X8" s="33">
        <v>1548.8568041897718</v>
      </c>
      <c r="Y8" s="5">
        <v>49.097273098982043</v>
      </c>
      <c r="Z8" s="5">
        <v>7268.0740501646487</v>
      </c>
      <c r="AA8" s="35"/>
    </row>
    <row r="9" spans="2:27" x14ac:dyDescent="0.2">
      <c r="B9" s="4">
        <v>6</v>
      </c>
      <c r="C9" s="4">
        <v>833</v>
      </c>
      <c r="D9" s="23">
        <v>1456829.6776699489</v>
      </c>
      <c r="E9" s="33">
        <v>269.25457142858897</v>
      </c>
      <c r="F9" s="5">
        <v>12</v>
      </c>
      <c r="G9" s="23">
        <v>91.333333333333329</v>
      </c>
      <c r="H9" s="33">
        <v>1158.6028316329969</v>
      </c>
      <c r="I9" s="23">
        <v>40.18226619638201</v>
      </c>
      <c r="J9" s="5">
        <v>6611.2743945083257</v>
      </c>
      <c r="K9" s="31"/>
      <c r="L9" s="23">
        <v>2001019.244014476</v>
      </c>
      <c r="M9" s="33">
        <v>248.90171428573584</v>
      </c>
      <c r="N9" s="5">
        <v>29</v>
      </c>
      <c r="O9" s="5">
        <v>84.666666666666671</v>
      </c>
      <c r="P9" s="33">
        <v>1673.847687277816</v>
      </c>
      <c r="Q9" s="5">
        <v>15.088923055619286</v>
      </c>
      <c r="R9" s="5">
        <v>6636.1173569680768</v>
      </c>
      <c r="S9" s="31"/>
      <c r="T9" s="23">
        <v>2017748.4049270409</v>
      </c>
      <c r="U9" s="33">
        <v>239.05342857143842</v>
      </c>
      <c r="V9" s="5">
        <v>10</v>
      </c>
      <c r="W9" s="5">
        <v>59.333333333333343</v>
      </c>
      <c r="X9" s="33">
        <v>1113.5228315898758</v>
      </c>
      <c r="Y9" s="5">
        <v>44.974165571551524</v>
      </c>
      <c r="Z9" s="5">
        <v>6694.588122780201</v>
      </c>
      <c r="AA9" s="35"/>
    </row>
    <row r="10" spans="2:27" x14ac:dyDescent="0.2">
      <c r="B10" s="4">
        <v>7</v>
      </c>
      <c r="C10" s="4">
        <v>898</v>
      </c>
      <c r="D10" s="23">
        <v>1448816.1357598549</v>
      </c>
      <c r="E10" s="33">
        <v>469.5134285714343</v>
      </c>
      <c r="F10" s="5">
        <v>14</v>
      </c>
      <c r="G10" s="23">
        <v>93.333333333333329</v>
      </c>
      <c r="H10" s="33">
        <v>1081.864600656834</v>
      </c>
      <c r="I10" s="23">
        <v>35.266554608230216</v>
      </c>
      <c r="J10" s="5">
        <v>6542.7788525865608</v>
      </c>
      <c r="K10" s="31"/>
      <c r="L10" s="23">
        <v>1929033.9394916261</v>
      </c>
      <c r="M10" s="33">
        <v>277.44199999997261</v>
      </c>
      <c r="N10" s="5">
        <v>23</v>
      </c>
      <c r="O10" s="5">
        <v>72.666666666666671</v>
      </c>
      <c r="P10" s="33">
        <v>974.63258561552004</v>
      </c>
      <c r="Q10" s="5">
        <v>15.695779476285571</v>
      </c>
      <c r="R10" s="5">
        <v>5761.3681112763179</v>
      </c>
      <c r="S10" s="31"/>
      <c r="T10" s="23">
        <v>1947447.7736510769</v>
      </c>
      <c r="U10" s="33">
        <v>210.57142857142858</v>
      </c>
      <c r="V10" s="5">
        <v>10</v>
      </c>
      <c r="W10" s="5">
        <v>60</v>
      </c>
      <c r="X10" s="33">
        <v>833.62167370606232</v>
      </c>
      <c r="Y10" s="5">
        <v>43.074293314884386</v>
      </c>
      <c r="Z10" s="5">
        <v>6272.4290589891598</v>
      </c>
      <c r="AA10" s="35"/>
    </row>
    <row r="11" spans="2:27" x14ac:dyDescent="0.2">
      <c r="B11" s="4">
        <v>8</v>
      </c>
      <c r="C11" s="4">
        <v>383</v>
      </c>
      <c r="D11" s="23">
        <v>1536969.7652044159</v>
      </c>
      <c r="E11" s="33">
        <v>157.62057142857728</v>
      </c>
      <c r="F11" s="5">
        <v>13</v>
      </c>
      <c r="G11" s="23">
        <v>90</v>
      </c>
      <c r="H11" s="33">
        <v>1275.8702860669562</v>
      </c>
      <c r="I11" s="23">
        <v>37.627891475052529</v>
      </c>
      <c r="J11" s="5">
        <v>6736.4162297682178</v>
      </c>
      <c r="K11" s="31"/>
      <c r="L11" s="23">
        <v>1865276.258044807</v>
      </c>
      <c r="M11" s="33">
        <v>616.74114285712142</v>
      </c>
      <c r="N11" s="5">
        <v>22</v>
      </c>
      <c r="O11" s="5">
        <v>76.666666666666671</v>
      </c>
      <c r="P11" s="33">
        <v>1096.2202474832486</v>
      </c>
      <c r="Q11" s="5">
        <v>17.827006716727002</v>
      </c>
      <c r="R11" s="5">
        <v>5933.6662355423823</v>
      </c>
      <c r="S11" s="31"/>
      <c r="T11" s="23">
        <v>2209704.8516131421</v>
      </c>
      <c r="U11" s="33">
        <v>144.69200000000586</v>
      </c>
      <c r="V11" s="5">
        <v>15</v>
      </c>
      <c r="W11" s="5">
        <v>56.666666666666657</v>
      </c>
      <c r="X11" s="33">
        <v>1596.1054537923944</v>
      </c>
      <c r="Y11" s="5">
        <v>39.725033049596924</v>
      </c>
      <c r="Z11" s="5">
        <v>7011.4656538632644</v>
      </c>
      <c r="AA11" s="35"/>
    </row>
    <row r="12" spans="2:27" x14ac:dyDescent="0.2">
      <c r="B12" s="4">
        <v>9</v>
      </c>
      <c r="C12" s="4">
        <v>155</v>
      </c>
      <c r="D12" s="23">
        <v>1712082.8957082371</v>
      </c>
      <c r="E12" s="33">
        <v>184.09371428570844</v>
      </c>
      <c r="F12" s="5">
        <v>14</v>
      </c>
      <c r="G12" s="23">
        <v>90.666666666666671</v>
      </c>
      <c r="H12" s="33">
        <v>1868.8359339216181</v>
      </c>
      <c r="I12" s="23">
        <v>36.132794190013648</v>
      </c>
      <c r="J12" s="5">
        <v>7461.289967365783</v>
      </c>
      <c r="K12" s="31"/>
      <c r="L12" s="23">
        <v>1983725.3292334159</v>
      </c>
      <c r="M12" s="33">
        <v>376.66514285713714</v>
      </c>
      <c r="N12" s="5">
        <v>30</v>
      </c>
      <c r="O12" s="5">
        <v>83.333333333333329</v>
      </c>
      <c r="P12" s="33">
        <v>1536.2907135877381</v>
      </c>
      <c r="Q12" s="5">
        <v>15.001836890167315</v>
      </c>
      <c r="R12" s="5">
        <v>6415.2298606132827</v>
      </c>
      <c r="S12" s="31"/>
      <c r="T12" s="23">
        <v>2332126.2897333661</v>
      </c>
      <c r="U12" s="33">
        <v>313.17857142857144</v>
      </c>
      <c r="V12" s="5">
        <v>13</v>
      </c>
      <c r="W12" s="5">
        <v>66</v>
      </c>
      <c r="X12" s="33">
        <v>3287.032192449818</v>
      </c>
      <c r="Y12" s="5">
        <v>50.384709769985008</v>
      </c>
      <c r="Z12" s="5">
        <v>8969.8932464904137</v>
      </c>
      <c r="AA12" s="35"/>
    </row>
    <row r="13" spans="2:27" x14ac:dyDescent="0.2">
      <c r="B13" s="4">
        <v>10</v>
      </c>
      <c r="C13" s="4">
        <v>464</v>
      </c>
      <c r="D13" s="23">
        <v>1721023.2590148321</v>
      </c>
      <c r="E13" s="33">
        <v>177.86600000002156</v>
      </c>
      <c r="F13" s="5">
        <v>12</v>
      </c>
      <c r="G13" s="23">
        <v>88.666666666666671</v>
      </c>
      <c r="H13" s="33">
        <v>1964.1004951600205</v>
      </c>
      <c r="I13" s="23">
        <v>43.257496745165106</v>
      </c>
      <c r="J13" s="5">
        <v>7496.5132407842757</v>
      </c>
      <c r="K13" s="31"/>
      <c r="L13" s="23">
        <v>1990242.441152809</v>
      </c>
      <c r="M13" s="33">
        <v>417.59799999999802</v>
      </c>
      <c r="N13" s="5">
        <v>32</v>
      </c>
      <c r="O13" s="5">
        <v>88.666666666666671</v>
      </c>
      <c r="P13" s="33">
        <v>1795.4099664971898</v>
      </c>
      <c r="Q13" s="5">
        <v>14.858948347616646</v>
      </c>
      <c r="R13" s="5">
        <v>6743.2358739194315</v>
      </c>
      <c r="S13" s="31"/>
      <c r="T13" s="23">
        <v>2277847.8105761302</v>
      </c>
      <c r="U13" s="33">
        <v>295.73200000000969</v>
      </c>
      <c r="V13" s="5">
        <v>7</v>
      </c>
      <c r="W13" s="5">
        <v>51.333333333333343</v>
      </c>
      <c r="X13" s="33">
        <v>2385.7990911083234</v>
      </c>
      <c r="Y13" s="5">
        <v>60.897837510593888</v>
      </c>
      <c r="Z13" s="5">
        <v>7872.328666761885</v>
      </c>
      <c r="AA13" s="35"/>
    </row>
    <row r="14" spans="2:27" x14ac:dyDescent="0.2">
      <c r="B14" s="46" t="s">
        <v>3</v>
      </c>
      <c r="C14" s="47"/>
      <c r="D14" s="9">
        <f>MIN(D4:D13)</f>
        <v>1444699.0746093569</v>
      </c>
      <c r="E14" s="22">
        <f>INDEX(E4:E13, MATCH($D$14, D4:D13, 0))</f>
        <v>313.07571428571828</v>
      </c>
      <c r="F14" s="9">
        <f>INDEX(F4:F13, MATCH($D$14, D4:D13, 0))</f>
        <v>14</v>
      </c>
      <c r="G14" s="9">
        <f>INDEX(G4:G13, MATCH($D$14, D4:D13, 0))</f>
        <v>94.666666666666671</v>
      </c>
      <c r="H14" s="22">
        <f>INDEX(H4:H13, MATCH($D$14, D4:D13, 0))</f>
        <v>1226.942828701955</v>
      </c>
      <c r="I14" s="22">
        <f>INDEX(I4:I13, MATCH($D$14, D4:D13, 0))</f>
        <v>36.367954572407932</v>
      </c>
      <c r="J14" s="22">
        <f>INDEX(J4:J13, MATCH($D$14, D4:D13, 0))</f>
        <v>6596.810545626694</v>
      </c>
      <c r="K14" s="32" t="e">
        <f>(D14-$D$15)/$D$15</f>
        <v>#DIV/0!</v>
      </c>
      <c r="L14" s="16">
        <f>MIN(L4:L13)</f>
        <v>1843760.9882455501</v>
      </c>
      <c r="M14" s="21">
        <f>INDEX(M4:M13, MATCH($L$14, L4:L13, 0))</f>
        <v>361.67400000001572</v>
      </c>
      <c r="N14" s="16">
        <f>INDEX(N4:N13, MATCH($L$14, L4:L13, 0))</f>
        <v>22</v>
      </c>
      <c r="O14" s="16">
        <f>INDEX(O4:O13, MATCH($L$14, L4:L13, 0))</f>
        <v>76</v>
      </c>
      <c r="P14" s="21">
        <f>INDEX(P4:P13, MATCH($L$14, L4:L13, 0))</f>
        <v>938.52021636106826</v>
      </c>
      <c r="Q14" s="21">
        <f>INDEX(Q4:Q13, MATCH($L$14, L4:L13, 0))</f>
        <v>17.985719102128897</v>
      </c>
      <c r="R14" s="21">
        <f>INDEX(R4:R13, MATCH($L$14, L4:L13, 0))</f>
        <v>5726.1154513668971</v>
      </c>
      <c r="S14" s="36" t="e">
        <f>(L14-$D$15)/$D$15</f>
        <v>#DIV/0!</v>
      </c>
      <c r="T14" s="38">
        <f>MIN(T4:T13)</f>
        <v>1947447.7736510769</v>
      </c>
      <c r="U14" s="39">
        <f>INDEX(U4:U13, MATCH($T$14, T4:T13, 0))</f>
        <v>210.57142857142858</v>
      </c>
      <c r="V14" s="38">
        <f>INDEX(V4:V13, MATCH($T$14, T4:T13, 0))</f>
        <v>10</v>
      </c>
      <c r="W14" s="38">
        <f>INDEX(W4:W13, MATCH($T$14, T4:T13, 0))</f>
        <v>60</v>
      </c>
      <c r="X14" s="39">
        <f>INDEX(X4:X13, MATCH($T$14, T4:T13, 0))</f>
        <v>833.62167370606232</v>
      </c>
      <c r="Y14" s="39">
        <f>INDEX(Y4:Y13, MATCH($T$14, T4:T13, 0))</f>
        <v>43.074293314884386</v>
      </c>
      <c r="Z14" s="39">
        <f>INDEX(Z4:Z13, MATCH($T$14, T4:T13, 0))</f>
        <v>6272.4290589891598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8:C1048576">
    <cfRule type="duplicateValues" dxfId="65" priority="11"/>
    <cfRule type="duplicateValues" dxfId="64" priority="12"/>
  </conditionalFormatting>
  <conditionalFormatting sqref="C14">
    <cfRule type="duplicateValues" dxfId="63" priority="3"/>
    <cfRule type="duplicateValues" dxfId="62" priority="4"/>
  </conditionalFormatting>
  <conditionalFormatting sqref="C17:C37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CB87-62F6-4881-A430-B456BABB923C}">
  <dimension ref="B1:AA17"/>
  <sheetViews>
    <sheetView tabSelected="1" zoomScale="70" zoomScaleNormal="70" workbookViewId="0">
      <selection activeCell="U20" sqref="U20:U29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150</v>
      </c>
      <c r="H2" s="28">
        <f>(Q14-H14)/H14</f>
        <v>-0.97709957752341858</v>
      </c>
      <c r="J2" s="28" t="e">
        <f>(S14-J14)/J14</f>
        <v>#DIV/0!</v>
      </c>
      <c r="K2" s="28"/>
      <c r="L2" s="1" t="s">
        <v>19</v>
      </c>
      <c r="P2" s="1">
        <f>(P14-H14)/H14</f>
        <v>4.3544108247439282E-2</v>
      </c>
      <c r="R2" s="1">
        <f>(R14-J14)/J14</f>
        <v>-4.2232648171490111E-2</v>
      </c>
      <c r="T2" s="1" t="s">
        <v>20</v>
      </c>
      <c r="X2" s="1">
        <f>(X14-P14)/P14</f>
        <v>-0.13195909068321562</v>
      </c>
      <c r="Z2" s="1">
        <f>(Z14-R14)/R14</f>
        <v>8.1121935331248229E-2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528</v>
      </c>
      <c r="D4" s="23">
        <v>1467489.006627338</v>
      </c>
      <c r="E4" s="33">
        <v>278.99114285715456</v>
      </c>
      <c r="F4" s="5">
        <v>12</v>
      </c>
      <c r="G4" s="23">
        <v>86</v>
      </c>
      <c r="H4" s="33">
        <v>843.66690139725995</v>
      </c>
      <c r="I4" s="23">
        <v>43.453404528528345</v>
      </c>
      <c r="J4" s="5">
        <v>6175.5583630817837</v>
      </c>
      <c r="K4" s="31"/>
      <c r="L4" s="23">
        <v>1868249.9316739701</v>
      </c>
      <c r="M4" s="33">
        <v>316.83914285715258</v>
      </c>
      <c r="N4" s="5">
        <v>24</v>
      </c>
      <c r="O4" s="5">
        <v>74</v>
      </c>
      <c r="P4" s="33">
        <v>826.64513749275727</v>
      </c>
      <c r="Q4" s="5">
        <v>18.04258535106554</v>
      </c>
      <c r="R4" s="5">
        <v>5460.256927605591</v>
      </c>
      <c r="S4" s="31"/>
      <c r="T4" s="23">
        <v>2044584.65645406</v>
      </c>
      <c r="U4" s="33">
        <v>136.1340000000117</v>
      </c>
      <c r="V4" s="5">
        <v>10</v>
      </c>
      <c r="W4" s="5">
        <v>57.333333333333343</v>
      </c>
      <c r="X4" s="33">
        <v>992.16894120249822</v>
      </c>
      <c r="Y4" s="5">
        <v>54.685178752048543</v>
      </c>
      <c r="Z4" s="5">
        <v>6744.1465001002352</v>
      </c>
      <c r="AA4" s="35"/>
    </row>
    <row r="5" spans="2:27" x14ac:dyDescent="0.2">
      <c r="B5" s="4">
        <v>2</v>
      </c>
      <c r="C5" s="4">
        <v>273</v>
      </c>
      <c r="D5" s="23">
        <v>1501734.7944830561</v>
      </c>
      <c r="E5" s="33">
        <v>177.77685714286886</v>
      </c>
      <c r="F5" s="5">
        <v>13</v>
      </c>
      <c r="G5" s="23">
        <v>89.333333333333329</v>
      </c>
      <c r="H5" s="33">
        <v>1117.5157026841307</v>
      </c>
      <c r="I5" s="23">
        <v>43.139724099536807</v>
      </c>
      <c r="J5" s="5">
        <v>6541.73281048028</v>
      </c>
      <c r="K5" s="31"/>
      <c r="L5" s="23">
        <v>1935065.6130269021</v>
      </c>
      <c r="M5" s="33">
        <v>366.03571428571428</v>
      </c>
      <c r="N5" s="5">
        <v>35</v>
      </c>
      <c r="O5" s="5">
        <v>88.666666666666671</v>
      </c>
      <c r="P5" s="33">
        <v>1426.5122521009625</v>
      </c>
      <c r="Q5" s="5">
        <v>16.129482155395415</v>
      </c>
      <c r="R5" s="5">
        <v>6184.6533684557398</v>
      </c>
      <c r="S5" s="31"/>
      <c r="T5" s="23">
        <v>1961840.749663451</v>
      </c>
      <c r="U5" s="33">
        <v>194.48200000000983</v>
      </c>
      <c r="V5" s="5">
        <v>10</v>
      </c>
      <c r="W5" s="5">
        <v>59.333333333333343</v>
      </c>
      <c r="X5" s="33">
        <v>866.95817347085631</v>
      </c>
      <c r="Y5" s="5">
        <v>61.913197679547785</v>
      </c>
      <c r="Z5" s="5">
        <v>6484.5869537687549</v>
      </c>
      <c r="AA5" s="35"/>
    </row>
    <row r="6" spans="2:27" x14ac:dyDescent="0.2">
      <c r="B6" s="4">
        <v>3</v>
      </c>
      <c r="C6" s="4">
        <v>782</v>
      </c>
      <c r="D6" s="23">
        <v>1466502.038147544</v>
      </c>
      <c r="E6" s="33">
        <v>693.63371428571224</v>
      </c>
      <c r="F6" s="5">
        <v>13</v>
      </c>
      <c r="G6" s="23">
        <v>87.333333333333329</v>
      </c>
      <c r="H6" s="33">
        <v>880.03759944559408</v>
      </c>
      <c r="I6" s="23">
        <v>41.18791904880009</v>
      </c>
      <c r="J6" s="5">
        <v>6170.3489980243985</v>
      </c>
      <c r="K6" s="31"/>
      <c r="L6" s="23">
        <v>1868640.4606377</v>
      </c>
      <c r="M6" s="33">
        <v>370.00885714287858</v>
      </c>
      <c r="N6" s="5">
        <v>20</v>
      </c>
      <c r="O6" s="5">
        <v>68.666666666666671</v>
      </c>
      <c r="P6" s="33">
        <v>521.8897217600603</v>
      </c>
      <c r="Q6" s="5">
        <v>19.658704012541833</v>
      </c>
      <c r="R6" s="5">
        <v>5318.9264728416501</v>
      </c>
      <c r="S6" s="31"/>
      <c r="T6" s="23">
        <v>2111387.0684025148</v>
      </c>
      <c r="U6" s="33">
        <v>210.80342857143842</v>
      </c>
      <c r="V6" s="5">
        <v>10</v>
      </c>
      <c r="W6" s="5">
        <v>55.333333333333343</v>
      </c>
      <c r="X6" s="33">
        <v>1193.8018221753632</v>
      </c>
      <c r="Y6" s="5">
        <v>51.592477380076673</v>
      </c>
      <c r="Z6" s="5">
        <v>6984.3778676394168</v>
      </c>
      <c r="AA6" s="35"/>
    </row>
    <row r="7" spans="2:27" x14ac:dyDescent="0.2">
      <c r="B7" s="4">
        <v>4</v>
      </c>
      <c r="C7" s="4">
        <v>932</v>
      </c>
      <c r="D7" s="23">
        <v>1535293.671306388</v>
      </c>
      <c r="E7" s="33">
        <v>134.71428571428572</v>
      </c>
      <c r="F7" s="5">
        <v>10</v>
      </c>
      <c r="G7" s="23">
        <v>83.333333333333329</v>
      </c>
      <c r="H7" s="33">
        <v>904.30292361814361</v>
      </c>
      <c r="I7" s="23">
        <v>50.816372380718306</v>
      </c>
      <c r="J7" s="5">
        <v>6441.4271275064129</v>
      </c>
      <c r="K7" s="31"/>
      <c r="L7" s="23">
        <v>1923193.6129617731</v>
      </c>
      <c r="M7" s="33">
        <v>295.61599999998828</v>
      </c>
      <c r="N7" s="5">
        <v>26</v>
      </c>
      <c r="O7" s="5">
        <v>74.666666666666671</v>
      </c>
      <c r="P7" s="33">
        <v>833.77480207313965</v>
      </c>
      <c r="Q7" s="5">
        <v>16.421924101602201</v>
      </c>
      <c r="R7" s="5">
        <v>5606.7840496703693</v>
      </c>
      <c r="S7" s="31"/>
      <c r="T7" s="23">
        <v>1987130.858342936</v>
      </c>
      <c r="U7" s="33">
        <v>263.54914285714869</v>
      </c>
      <c r="V7" s="5">
        <v>10</v>
      </c>
      <c r="W7" s="5">
        <v>60</v>
      </c>
      <c r="X7" s="33">
        <v>1068.6241217194774</v>
      </c>
      <c r="Y7" s="5">
        <v>58.014236079511214</v>
      </c>
      <c r="Z7" s="5">
        <v>6721.240176774686</v>
      </c>
      <c r="AA7" s="35"/>
    </row>
    <row r="8" spans="2:27" x14ac:dyDescent="0.2">
      <c r="B8" s="4">
        <v>5</v>
      </c>
      <c r="C8" s="4">
        <v>583</v>
      </c>
      <c r="D8" s="23">
        <v>1517791.5512146279</v>
      </c>
      <c r="E8" s="33">
        <v>522.64285714285711</v>
      </c>
      <c r="F8" s="5">
        <v>12</v>
      </c>
      <c r="G8" s="23">
        <v>88.666666666666671</v>
      </c>
      <c r="H8" s="33">
        <v>1106.4810084925089</v>
      </c>
      <c r="I8" s="23">
        <v>46.083197397318123</v>
      </c>
      <c r="J8" s="5">
        <v>6717.1860028195088</v>
      </c>
      <c r="K8" s="31"/>
      <c r="L8" s="23">
        <v>1876431.19940511</v>
      </c>
      <c r="M8" s="33">
        <v>508.75885714287858</v>
      </c>
      <c r="N8" s="5">
        <v>26</v>
      </c>
      <c r="O8" s="5">
        <v>72.666666666666671</v>
      </c>
      <c r="P8" s="33">
        <v>519.21070026957534</v>
      </c>
      <c r="Q8" s="5">
        <v>16.12125762929351</v>
      </c>
      <c r="R8" s="5">
        <v>5112.9996794741428</v>
      </c>
      <c r="S8" s="31"/>
      <c r="T8" s="23">
        <v>2078591.6104334849</v>
      </c>
      <c r="U8" s="33">
        <v>116.05371428570443</v>
      </c>
      <c r="V8" s="5">
        <v>11</v>
      </c>
      <c r="W8" s="5">
        <v>60</v>
      </c>
      <c r="X8" s="33">
        <v>1517.9787658300795</v>
      </c>
      <c r="Y8" s="5">
        <v>54.262474625534153</v>
      </c>
      <c r="Z8" s="5">
        <v>7143.3002221979641</v>
      </c>
      <c r="AA8" s="35"/>
    </row>
    <row r="9" spans="2:27" x14ac:dyDescent="0.2">
      <c r="B9" s="4">
        <v>6</v>
      </c>
      <c r="C9" s="4">
        <v>599</v>
      </c>
      <c r="D9" s="23">
        <v>1551844.026617896</v>
      </c>
      <c r="E9" s="33">
        <v>259.10714285714283</v>
      </c>
      <c r="F9" s="5">
        <v>12</v>
      </c>
      <c r="G9" s="23">
        <v>86.666666666666671</v>
      </c>
      <c r="H9" s="33">
        <v>1143.8640447631544</v>
      </c>
      <c r="I9" s="23">
        <v>44.619627613360421</v>
      </c>
      <c r="J9" s="5">
        <v>6691.6019298337196</v>
      </c>
      <c r="K9" s="31"/>
      <c r="L9" s="23">
        <v>2039852.874660457</v>
      </c>
      <c r="M9" s="33">
        <v>358.92857142857144</v>
      </c>
      <c r="N9" s="5">
        <v>27</v>
      </c>
      <c r="O9" s="5">
        <v>72</v>
      </c>
      <c r="P9" s="33">
        <v>963.67548955460802</v>
      </c>
      <c r="Q9" s="5">
        <v>16.037850442347327</v>
      </c>
      <c r="R9" s="5">
        <v>5899.9682320238253</v>
      </c>
      <c r="S9" s="31"/>
      <c r="T9" s="23">
        <v>1977605.5085755009</v>
      </c>
      <c r="U9" s="33">
        <v>466.61600000002142</v>
      </c>
      <c r="V9" s="5">
        <v>10</v>
      </c>
      <c r="W9" s="5">
        <v>60.666666666666657</v>
      </c>
      <c r="X9" s="33">
        <v>997.80308299960961</v>
      </c>
      <c r="Y9" s="5">
        <v>56.48587801583367</v>
      </c>
      <c r="Z9" s="5">
        <v>6681.1654041734482</v>
      </c>
      <c r="AA9" s="35"/>
    </row>
    <row r="10" spans="2:27" x14ac:dyDescent="0.2">
      <c r="B10" s="4">
        <v>7</v>
      </c>
      <c r="C10" s="4">
        <v>158</v>
      </c>
      <c r="D10" s="23">
        <v>1590587.6642104699</v>
      </c>
      <c r="E10" s="33">
        <v>332.72342857143059</v>
      </c>
      <c r="F10" s="5">
        <v>11</v>
      </c>
      <c r="G10" s="23">
        <v>83.333333333333329</v>
      </c>
      <c r="H10" s="33">
        <v>1086.4169793050676</v>
      </c>
      <c r="I10" s="23">
        <v>44.684498497716248</v>
      </c>
      <c r="J10" s="5">
        <v>6620.4536362971066</v>
      </c>
      <c r="K10" s="31"/>
      <c r="L10" s="23">
        <v>2099408.0490402309</v>
      </c>
      <c r="M10" s="33">
        <v>242.54028571427003</v>
      </c>
      <c r="N10" s="5">
        <v>32</v>
      </c>
      <c r="O10" s="5">
        <v>82</v>
      </c>
      <c r="P10" s="33">
        <v>1805.0722029487169</v>
      </c>
      <c r="Q10" s="5">
        <v>15.690468529860317</v>
      </c>
      <c r="R10" s="5">
        <v>6534.2262886949247</v>
      </c>
      <c r="S10" s="31"/>
      <c r="T10" s="23">
        <v>2082459.036680039</v>
      </c>
      <c r="U10" s="33">
        <v>339.98199999997661</v>
      </c>
      <c r="V10" s="5">
        <v>9</v>
      </c>
      <c r="W10" s="5">
        <v>52</v>
      </c>
      <c r="X10" s="33">
        <v>807.432385091995</v>
      </c>
      <c r="Y10" s="5">
        <v>61.61840116733908</v>
      </c>
      <c r="Z10" s="5">
        <v>6406.9242386049282</v>
      </c>
      <c r="AA10" s="35"/>
    </row>
    <row r="11" spans="2:27" x14ac:dyDescent="0.2">
      <c r="B11" s="4">
        <v>8</v>
      </c>
      <c r="C11" s="4">
        <v>572</v>
      </c>
      <c r="D11" s="23">
        <v>1503645.2935681229</v>
      </c>
      <c r="E11" s="33">
        <v>244.73657142859884</v>
      </c>
      <c r="F11" s="5">
        <v>13</v>
      </c>
      <c r="G11" s="23">
        <v>88.666666666666671</v>
      </c>
      <c r="H11" s="33">
        <v>1063.393928328828</v>
      </c>
      <c r="I11" s="23">
        <v>41.94254630326855</v>
      </c>
      <c r="J11" s="5">
        <v>6482.3852657003417</v>
      </c>
      <c r="K11" s="31"/>
      <c r="L11" s="23">
        <v>1857251.062516992</v>
      </c>
      <c r="M11" s="33">
        <v>281.24571428571028</v>
      </c>
      <c r="N11" s="5">
        <v>22</v>
      </c>
      <c r="O11" s="5">
        <v>74</v>
      </c>
      <c r="P11" s="33">
        <v>881.0244923492844</v>
      </c>
      <c r="Q11" s="5">
        <v>20.035276936735695</v>
      </c>
      <c r="R11" s="5">
        <v>5660.7169283949352</v>
      </c>
      <c r="S11" s="31"/>
      <c r="T11" s="23">
        <v>1942484.3475460161</v>
      </c>
      <c r="U11" s="33">
        <v>376.54028571427</v>
      </c>
      <c r="V11" s="5">
        <v>10</v>
      </c>
      <c r="W11" s="5">
        <v>60</v>
      </c>
      <c r="X11" s="33">
        <v>797.17235848236544</v>
      </c>
      <c r="Y11" s="5">
        <v>59.996995097613897</v>
      </c>
      <c r="Z11" s="5">
        <v>6389.169892490142</v>
      </c>
      <c r="AA11" s="35"/>
    </row>
    <row r="12" spans="2:27" x14ac:dyDescent="0.2">
      <c r="B12" s="4">
        <v>9</v>
      </c>
      <c r="C12" s="4">
        <v>704</v>
      </c>
      <c r="D12" s="23">
        <v>1581349.3647809471</v>
      </c>
      <c r="E12" s="33">
        <v>149.24085714285528</v>
      </c>
      <c r="F12" s="5">
        <v>14</v>
      </c>
      <c r="G12" s="23">
        <v>88</v>
      </c>
      <c r="H12" s="33">
        <v>1201.6080992937234</v>
      </c>
      <c r="I12" s="23">
        <v>39.283833392537836</v>
      </c>
      <c r="J12" s="5">
        <v>6691.9990111590123</v>
      </c>
      <c r="K12" s="31"/>
      <c r="L12" s="23">
        <v>1848973.9170958761</v>
      </c>
      <c r="M12" s="33">
        <v>701.49114285715461</v>
      </c>
      <c r="N12" s="5">
        <v>23</v>
      </c>
      <c r="O12" s="5">
        <v>76.666666666666671</v>
      </c>
      <c r="P12" s="33">
        <v>918.35805193766964</v>
      </c>
      <c r="Q12" s="5">
        <v>20.153232822580716</v>
      </c>
      <c r="R12" s="5">
        <v>5909.7588196955276</v>
      </c>
      <c r="S12" s="31"/>
      <c r="T12" s="23">
        <v>1957428.231773091</v>
      </c>
      <c r="U12" s="33">
        <v>207.55828571429342</v>
      </c>
      <c r="V12" s="5">
        <v>10</v>
      </c>
      <c r="W12" s="5">
        <v>59.333333333333343</v>
      </c>
      <c r="X12" s="33">
        <v>815.79347927188928</v>
      </c>
      <c r="Y12" s="5">
        <v>57.204996866293961</v>
      </c>
      <c r="Z12" s="5">
        <v>6431.0845734342747</v>
      </c>
      <c r="AA12" s="35"/>
    </row>
    <row r="13" spans="2:27" x14ac:dyDescent="0.2">
      <c r="B13" s="4">
        <v>10</v>
      </c>
      <c r="C13" s="4">
        <v>858</v>
      </c>
      <c r="D13" s="23">
        <v>1545675.2680855561</v>
      </c>
      <c r="E13" s="33">
        <v>368.919714285726</v>
      </c>
      <c r="F13" s="5">
        <v>13</v>
      </c>
      <c r="G13" s="23">
        <v>86</v>
      </c>
      <c r="H13" s="33">
        <v>1015.2742098610885</v>
      </c>
      <c r="I13" s="23">
        <v>42.259772061185878</v>
      </c>
      <c r="J13" s="5">
        <v>6427.1767689185044</v>
      </c>
      <c r="K13" s="31"/>
      <c r="L13" s="23">
        <v>1941091.896348513</v>
      </c>
      <c r="M13" s="33">
        <v>306.669714285726</v>
      </c>
      <c r="N13" s="5">
        <v>25</v>
      </c>
      <c r="O13" s="5">
        <v>73.333333333333329</v>
      </c>
      <c r="P13" s="33">
        <v>881.09189998551119</v>
      </c>
      <c r="Q13" s="5">
        <v>16.870550579432308</v>
      </c>
      <c r="R13" s="5">
        <v>5643.2701645215002</v>
      </c>
      <c r="S13" s="31"/>
      <c r="T13" s="23">
        <v>2027000.506726536</v>
      </c>
      <c r="U13" s="33">
        <v>435.84828571429745</v>
      </c>
      <c r="V13" s="5">
        <v>10</v>
      </c>
      <c r="W13" s="5">
        <v>57.333333333333343</v>
      </c>
      <c r="X13" s="33">
        <v>1026.8662488241273</v>
      </c>
      <c r="Y13" s="5">
        <v>56.569381699312622</v>
      </c>
      <c r="Z13" s="5">
        <v>6653.5595623559229</v>
      </c>
      <c r="AA13" s="35"/>
    </row>
    <row r="14" spans="2:27" x14ac:dyDescent="0.2">
      <c r="B14" s="46" t="s">
        <v>3</v>
      </c>
      <c r="C14" s="47"/>
      <c r="D14" s="9">
        <f>MIN(D4:D13)</f>
        <v>1466502.038147544</v>
      </c>
      <c r="E14" s="22">
        <f>INDEX(E4:E13, MATCH($D$14, D4:D13, 0))</f>
        <v>693.63371428571224</v>
      </c>
      <c r="F14" s="9">
        <f>INDEX(F4:F13, MATCH($D$14, D4:D13, 0))</f>
        <v>13</v>
      </c>
      <c r="G14" s="9">
        <f>INDEX(G4:G13, MATCH($D$14, D4:D13, 0))</f>
        <v>87.333333333333329</v>
      </c>
      <c r="H14" s="22">
        <f>INDEX(H4:H13, MATCH($D$14, D4:D13, 0))</f>
        <v>880.03759944559408</v>
      </c>
      <c r="I14" s="22">
        <f>INDEX(I4:I13, MATCH($D$14, D4:D13, 0))</f>
        <v>41.18791904880009</v>
      </c>
      <c r="J14" s="22">
        <f>INDEX(J4:J13, MATCH($D$14, D4:D13, 0))</f>
        <v>6170.3489980243985</v>
      </c>
      <c r="K14" s="32" t="e">
        <f>(D14-$D$15)/$D$15</f>
        <v>#DIV/0!</v>
      </c>
      <c r="L14" s="16">
        <f>MIN(L4:L13)</f>
        <v>1848973.9170958761</v>
      </c>
      <c r="M14" s="21">
        <f>INDEX(M4:M13, MATCH($L$14, L4:L13, 0))</f>
        <v>701.49114285715461</v>
      </c>
      <c r="N14" s="16">
        <f>INDEX(N4:N13, MATCH($L$14, L4:L13, 0))</f>
        <v>23</v>
      </c>
      <c r="O14" s="16">
        <f>INDEX(O4:O13, MATCH($L$14, L4:L13, 0))</f>
        <v>76.666666666666671</v>
      </c>
      <c r="P14" s="21">
        <f>INDEX(P4:P13, MATCH($L$14, L4:L13, 0))</f>
        <v>918.35805193766964</v>
      </c>
      <c r="Q14" s="21">
        <f>INDEX(Q4:Q13, MATCH($L$14, L4:L13, 0))</f>
        <v>20.153232822580716</v>
      </c>
      <c r="R14" s="21">
        <f>INDEX(R4:R13, MATCH($L$14, L4:L13, 0))</f>
        <v>5909.7588196955276</v>
      </c>
      <c r="S14" s="36" t="e">
        <f>(L14-$D$15)/$D$15</f>
        <v>#DIV/0!</v>
      </c>
      <c r="T14" s="38">
        <f>MIN(T4:T13)</f>
        <v>1942484.3475460161</v>
      </c>
      <c r="U14" s="39">
        <f>INDEX(U4:U13, MATCH($T$14, T4:T13, 0))</f>
        <v>376.54028571427</v>
      </c>
      <c r="V14" s="38">
        <f>INDEX(V4:V13, MATCH($T$14, T4:T13, 0))</f>
        <v>10</v>
      </c>
      <c r="W14" s="38">
        <f>INDEX(W4:W13, MATCH($T$14, T4:T13, 0))</f>
        <v>60</v>
      </c>
      <c r="X14" s="39">
        <f>INDEX(X4:X13, MATCH($T$14, T4:T13, 0))</f>
        <v>797.17235848236544</v>
      </c>
      <c r="Y14" s="39">
        <f>INDEX(Y4:Y13, MATCH($T$14, T4:T13, 0))</f>
        <v>59.996995097613897</v>
      </c>
      <c r="Z14" s="39">
        <f>INDEX(Z4:Z13, MATCH($T$14, T4:T13, 0))</f>
        <v>6389.169892490142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38:C1048576">
    <cfRule type="duplicateValues" dxfId="57" priority="11"/>
    <cfRule type="duplicateValues" dxfId="56" priority="12"/>
  </conditionalFormatting>
  <conditionalFormatting sqref="C14">
    <cfRule type="duplicateValues" dxfId="55" priority="3"/>
    <cfRule type="duplicateValues" dxfId="54" priority="4"/>
  </conditionalFormatting>
  <conditionalFormatting sqref="C17:C3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832031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9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48" priority="1"/>
  </conditionalFormatting>
  <conditionalFormatting sqref="L14">
    <cfRule type="duplicateValues" dxfId="4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46" priority="1"/>
  </conditionalFormatting>
  <conditionalFormatting sqref="L14">
    <cfRule type="duplicateValues" dxfId="45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4" priority="1"/>
  </conditionalFormatting>
  <conditionalFormatting sqref="L14">
    <cfRule type="duplicateValues" dxfId="43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2" priority="1"/>
  </conditionalFormatting>
  <conditionalFormatting sqref="L14">
    <cfRule type="duplicateValues" dxfId="41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0" priority="1"/>
  </conditionalFormatting>
  <conditionalFormatting sqref="L14">
    <cfRule type="duplicateValues" dxfId="39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8" priority="1"/>
    <cfRule type="duplicateValues" dxfId="37" priority="2"/>
  </conditionalFormatting>
  <conditionalFormatting sqref="L14">
    <cfRule type="duplicateValues" dxfId="36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5" priority="1"/>
  </conditionalFormatting>
  <conditionalFormatting sqref="L14">
    <cfRule type="duplicateValues" dxfId="34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3" priority="1"/>
  </conditionalFormatting>
  <conditionalFormatting sqref="L14">
    <cfRule type="duplicateValues" dxfId="32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1" priority="1"/>
  </conditionalFormatting>
  <conditionalFormatting sqref="L14">
    <cfRule type="duplicateValues" dxfId="3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29" priority="1"/>
  </conditionalFormatting>
  <conditionalFormatting sqref="L14">
    <cfRule type="duplicateValues" dxfId="28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7" priority="1"/>
  </conditionalFormatting>
  <conditionalFormatting sqref="L14">
    <cfRule type="duplicateValues" dxfId="26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5" priority="1"/>
  </conditionalFormatting>
  <conditionalFormatting sqref="L14">
    <cfRule type="duplicateValues" dxfId="24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3" priority="1"/>
  </conditionalFormatting>
  <conditionalFormatting sqref="L14">
    <cfRule type="duplicateValues" dxfId="22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results112</vt:lpstr>
      <vt:lpstr>results127</vt:lpstr>
      <vt:lpstr>results179</vt:lpstr>
      <vt:lpstr>results212</vt:lpstr>
      <vt:lpstr>results313</vt:lpstr>
      <vt:lpstr>results450</vt:lpstr>
      <vt:lpstr>results613</vt:lpstr>
      <vt:lpstr>results661</vt:lpstr>
      <vt:lpstr>results819</vt:lpstr>
      <vt:lpstr>results919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2026-10-21T20:17:55Z</dcterms:modified>
</cp:coreProperties>
</file>