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50-10-10/"/>
    </mc:Choice>
  </mc:AlternateContent>
  <xr:revisionPtr revIDLastSave="0" documentId="13_ncr:1_{392F75E5-0BE8-A549-A72F-DD5ADAB47E65}" xr6:coauthVersionLast="47" xr6:coauthVersionMax="47" xr10:uidLastSave="{00000000-0000-0000-0000-000000000000}"/>
  <bookViews>
    <workbookView xWindow="0" yWindow="760" windowWidth="34560" windowHeight="20540" tabRatio="817" xr2:uid="{41E620E7-D6DF-9342-B452-EA60AB3B07C5}"/>
  </bookViews>
  <sheets>
    <sheet name="Summary" sheetId="68" r:id="rId1"/>
    <sheet name="results45" sheetId="57" r:id="rId2"/>
    <sheet name="results229" sheetId="58" r:id="rId3"/>
    <sheet name="results268" sheetId="59" r:id="rId4"/>
    <sheet name="results346" sheetId="60" r:id="rId5"/>
    <sheet name="results418" sheetId="61" r:id="rId6"/>
    <sheet name="results464" sheetId="62" r:id="rId7"/>
    <sheet name="results658" sheetId="63" r:id="rId8"/>
    <sheet name="results720" sheetId="64" r:id="rId9"/>
    <sheet name="results846" sheetId="65" r:id="rId10"/>
    <sheet name="results910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2" i="68" a="1"/>
  <c r="H4" i="68" a="1"/>
  <c r="W10" i="68" a="1"/>
  <c r="Q9" i="68" a="1"/>
  <c r="E6" i="68" a="1"/>
  <c r="Q5" i="68" a="1"/>
  <c r="X4" i="68" a="1"/>
  <c r="P9" i="68" a="1"/>
  <c r="I3" i="68" a="1"/>
  <c r="G6" i="68" a="1"/>
  <c r="V8" i="68" a="1"/>
  <c r="X5" i="68" a="1"/>
  <c r="N8" i="68" a="1"/>
  <c r="W8" i="68" a="1"/>
  <c r="W12" i="68" a="1"/>
  <c r="Y4" i="68" a="1"/>
  <c r="M10" i="68" a="1"/>
  <c r="E4" i="68" a="1"/>
  <c r="U5" i="68" a="1"/>
  <c r="P10" i="68" a="1"/>
  <c r="O12" i="68" a="1"/>
  <c r="F7" i="68" a="1"/>
  <c r="O10" i="68" a="1"/>
  <c r="W5" i="68" a="1"/>
  <c r="Y9" i="68" a="1"/>
  <c r="Y5" i="68" a="1"/>
  <c r="E7" i="68" a="1"/>
  <c r="V6" i="68" a="1"/>
  <c r="I10" i="68" a="1"/>
  <c r="O11" i="68" a="1"/>
  <c r="O3" i="68" a="1"/>
  <c r="S5" i="68" a="1"/>
  <c r="S7" i="68" a="1"/>
  <c r="U10" i="68" a="1"/>
  <c r="Q7" i="68" a="1"/>
  <c r="S9" i="68" a="1"/>
  <c r="F8" i="68" a="1"/>
  <c r="Y6" i="68" a="1"/>
  <c r="Y10" i="68" a="1"/>
  <c r="O5" i="68" a="1"/>
  <c r="U9" i="68" a="1"/>
  <c r="M6" i="68" a="1"/>
  <c r="H3" i="68" a="1"/>
  <c r="G12" i="68" a="1"/>
  <c r="E8" i="68" a="1"/>
  <c r="Y8" i="68" a="1"/>
  <c r="C12" i="68" a="1"/>
  <c r="H9" i="68" a="1"/>
  <c r="M4" i="68" a="1"/>
  <c r="H11" i="68" a="1"/>
  <c r="G4" i="68" a="1"/>
  <c r="M8" i="68" a="1"/>
  <c r="E10" i="68" a="1"/>
  <c r="V10" i="68" a="1"/>
  <c r="H7" i="68" a="1"/>
  <c r="Q3" i="68" a="1"/>
  <c r="C11" i="68" a="1"/>
  <c r="C9" i="68" a="1"/>
  <c r="E5" i="68" a="1"/>
  <c r="X3" i="68" a="1"/>
  <c r="U8" i="68" a="1"/>
  <c r="U3" i="68" a="1"/>
  <c r="E9" i="68" a="1"/>
  <c r="E12" i="68" a="1"/>
  <c r="Q10" i="68" a="1"/>
  <c r="Q12" i="68" a="1"/>
  <c r="U12" i="68" a="1"/>
  <c r="F11" i="68" a="1"/>
  <c r="P11" i="68" a="1"/>
  <c r="V11" i="68" a="1"/>
  <c r="H8" i="68" a="1"/>
  <c r="P7" i="68" a="1"/>
  <c r="E3" i="68" a="1"/>
  <c r="K10" i="68" a="1"/>
  <c r="F3" i="68" a="1"/>
  <c r="V3" i="68" a="1"/>
  <c r="G8" i="68" a="1"/>
  <c r="I11" i="68" a="1"/>
  <c r="X6" i="68" a="1"/>
  <c r="V12" i="68" a="1"/>
  <c r="N3" i="68" a="1"/>
  <c r="E11" i="68" a="1"/>
  <c r="N5" i="68" a="1"/>
  <c r="O9" i="68" a="1"/>
  <c r="X12" i="68" a="1"/>
  <c r="O7" i="68" a="1"/>
  <c r="P3" i="68" a="1"/>
  <c r="Q8" i="68" a="1"/>
  <c r="U4" i="68" a="1"/>
  <c r="I4" i="68" a="1"/>
  <c r="I7" i="68" a="1"/>
  <c r="M5" i="68" a="1"/>
  <c r="H12" i="68" a="1"/>
  <c r="U7" i="68" a="1"/>
  <c r="X8" i="68" a="1"/>
  <c r="X9" i="68" a="1"/>
  <c r="S6" i="68" a="1"/>
  <c r="C3" i="68" a="1"/>
  <c r="S3" i="68" a="1"/>
  <c r="G9" i="68" a="1"/>
  <c r="S12" i="68" a="1"/>
  <c r="G3" i="68" a="1"/>
  <c r="H10" i="68" a="1"/>
  <c r="K6" i="68" a="1"/>
  <c r="V9" i="68" a="1"/>
  <c r="U6" i="68" a="1"/>
  <c r="K9" i="68" a="1"/>
  <c r="M11" i="68" a="1"/>
  <c r="I5" i="68" a="1"/>
  <c r="W9" i="68" a="1"/>
  <c r="H5" i="68" a="1"/>
  <c r="F4" i="68" a="1"/>
  <c r="Y12" i="68" a="1"/>
  <c r="I8" i="68" a="1"/>
  <c r="N7" i="68" a="1"/>
  <c r="S11" i="68" a="1"/>
  <c r="M7" i="68" a="1"/>
  <c r="Q11" i="68" a="1"/>
  <c r="C5" i="68" a="1"/>
  <c r="C10" i="68" a="1"/>
  <c r="F5" i="68" a="1"/>
  <c r="P5" i="68" a="1"/>
  <c r="G10" i="68" a="1"/>
  <c r="F10" i="68" a="1"/>
  <c r="S8" i="68" a="1"/>
  <c r="K4" i="68" a="1"/>
  <c r="I12" i="68" a="1"/>
  <c r="N10" i="68" a="1"/>
  <c r="C6" i="68" a="1"/>
  <c r="N12" i="68" a="1"/>
  <c r="S10" i="68" a="1"/>
  <c r="F9" i="68" a="1"/>
  <c r="P4" i="68" a="1"/>
  <c r="C7" i="68" a="1"/>
  <c r="M3" i="68" a="1"/>
  <c r="K12" i="68" a="1"/>
  <c r="Y3" i="68" a="1"/>
  <c r="W7" i="68" a="1"/>
  <c r="I9" i="68" a="1"/>
  <c r="G5" i="68" a="1"/>
  <c r="M12" i="68" a="1"/>
  <c r="Y7" i="68" a="1"/>
  <c r="P6" i="68" a="1"/>
  <c r="G7" i="68" a="1"/>
  <c r="Q6" i="68" a="1"/>
  <c r="F6" i="68" a="1"/>
  <c r="M9" i="68" a="1"/>
  <c r="S4" i="68" a="1"/>
  <c r="K7" i="68" a="1"/>
  <c r="K8" i="68" a="1"/>
  <c r="W3" i="68" a="1"/>
  <c r="O8" i="68" a="1"/>
  <c r="O6" i="68" a="1"/>
  <c r="V4" i="68" a="1"/>
  <c r="W4" i="68" a="1"/>
  <c r="X10" i="68" a="1"/>
  <c r="P12" i="68" a="1"/>
  <c r="W6" i="68" a="1"/>
  <c r="Y11" i="68" a="1"/>
  <c r="P8" i="68" a="1"/>
  <c r="O4" i="68" a="1"/>
  <c r="N4" i="68" a="1"/>
  <c r="V7" i="68" a="1"/>
  <c r="X11" i="68" a="1"/>
  <c r="Q4" i="68" a="1"/>
  <c r="U11" i="68" a="1"/>
  <c r="C4" i="68" a="1"/>
  <c r="C8" i="68" a="1"/>
  <c r="W11" i="68" a="1"/>
  <c r="N11" i="68" a="1"/>
  <c r="N9" i="68" a="1"/>
  <c r="K3" i="68" a="1"/>
  <c r="K5" i="68" a="1"/>
  <c r="I6" i="68" a="1"/>
  <c r="H6" i="68" a="1"/>
  <c r="G11" i="68" a="1"/>
  <c r="N6" i="68" a="1"/>
  <c r="K11" i="68" a="1"/>
  <c r="V5" i="68" a="1"/>
  <c r="X7" i="68" a="1"/>
  <c r="P3" i="68" l="1"/>
  <c r="O11" i="68"/>
  <c r="X7" i="68"/>
  <c r="E3" i="68"/>
  <c r="S10" i="68"/>
  <c r="N7" i="68"/>
  <c r="Q6" i="68"/>
  <c r="W11" i="68"/>
  <c r="W3" i="68"/>
  <c r="C7" i="68"/>
  <c r="E4" i="68"/>
  <c r="P12" i="68"/>
  <c r="M5" i="68"/>
  <c r="Y3" i="68"/>
  <c r="I7" i="68"/>
  <c r="Y7" i="68"/>
  <c r="V12" i="68"/>
  <c r="K4" i="68"/>
  <c r="V4" i="68"/>
  <c r="M3" i="68"/>
  <c r="X6" i="68"/>
  <c r="M4" i="68"/>
  <c r="X9" i="68"/>
  <c r="P6" i="68"/>
  <c r="X8" i="68"/>
  <c r="K12" i="68"/>
  <c r="I4" i="68"/>
  <c r="I5" i="68"/>
  <c r="G5" i="68"/>
  <c r="G10" i="68"/>
  <c r="M7" i="68"/>
  <c r="O4" i="68"/>
  <c r="G7" i="68"/>
  <c r="G11" i="68"/>
  <c r="Y9" i="68"/>
  <c r="H6" i="68"/>
  <c r="P11" i="68"/>
  <c r="I6" i="68"/>
  <c r="S7" i="68"/>
  <c r="S8" i="68"/>
  <c r="O3" i="68"/>
  <c r="Y5" i="68"/>
  <c r="W9" i="68"/>
  <c r="H9" i="68"/>
  <c r="F10" i="68"/>
  <c r="C12" i="68"/>
  <c r="F8" i="68"/>
  <c r="M8" i="68"/>
  <c r="W5" i="68"/>
  <c r="V3" i="68"/>
  <c r="H5" i="68"/>
  <c r="E12" i="68"/>
  <c r="E6" i="68"/>
  <c r="N3" i="68"/>
  <c r="V10" i="68"/>
  <c r="E10" i="68"/>
  <c r="Y8" i="68"/>
  <c r="Y12" i="68"/>
  <c r="V6" i="68"/>
  <c r="V9" i="68"/>
  <c r="G3" i="68"/>
  <c r="S5" i="68"/>
  <c r="P8" i="68"/>
  <c r="E9" i="68"/>
  <c r="U5" i="68"/>
  <c r="C3" i="68"/>
  <c r="S6" i="68"/>
  <c r="K9" i="68"/>
  <c r="X3" i="68"/>
  <c r="Q8" i="68"/>
  <c r="S4" i="68"/>
  <c r="Q9" i="68"/>
  <c r="F3" i="68"/>
  <c r="W10" i="68"/>
  <c r="P9" i="68"/>
  <c r="Q12" i="68"/>
  <c r="H7" i="68"/>
  <c r="U8" i="68"/>
  <c r="U4" i="68"/>
  <c r="G12" i="68"/>
  <c r="U9" i="68"/>
  <c r="C10" i="68"/>
  <c r="G6" i="68"/>
  <c r="G8" i="68"/>
  <c r="I3" i="68"/>
  <c r="Q11" i="68"/>
  <c r="H4" i="68"/>
  <c r="Q3" i="68"/>
  <c r="H12" i="68"/>
  <c r="E8" i="68"/>
  <c r="V8" i="68"/>
  <c r="S12" i="68"/>
  <c r="M9" i="68"/>
  <c r="G9" i="68"/>
  <c r="S3" i="68"/>
  <c r="F6" i="68"/>
  <c r="H10" i="68"/>
  <c r="O7" i="68"/>
  <c r="H11" i="68"/>
  <c r="F12" i="68"/>
  <c r="O5" i="68"/>
  <c r="C4" i="68"/>
  <c r="F4" i="68"/>
  <c r="K11" i="68"/>
  <c r="E7" i="68"/>
  <c r="O9" i="68"/>
  <c r="X5" i="68"/>
  <c r="K3" i="68"/>
  <c r="Q5" i="68"/>
  <c r="N6" i="68"/>
  <c r="N4" i="68"/>
  <c r="N5" i="68"/>
  <c r="I8" i="68"/>
  <c r="N12" i="68"/>
  <c r="I10" i="68"/>
  <c r="M6" i="68"/>
  <c r="V11" i="68"/>
  <c r="N10" i="68"/>
  <c r="U7" i="68"/>
  <c r="W6" i="68"/>
  <c r="C6" i="68"/>
  <c r="V7" i="68"/>
  <c r="K7" i="68"/>
  <c r="V5" i="68"/>
  <c r="E5" i="68"/>
  <c r="I12" i="68"/>
  <c r="C9" i="68"/>
  <c r="Y10" i="68"/>
  <c r="C11" i="68"/>
  <c r="H3" i="68"/>
  <c r="C8" i="68"/>
  <c r="K8" i="68"/>
  <c r="P4" i="68"/>
  <c r="U6" i="68"/>
  <c r="U11" i="68"/>
  <c r="Q10" i="68"/>
  <c r="Q4" i="68"/>
  <c r="O10" i="68"/>
  <c r="E11" i="68"/>
  <c r="G4" i="68"/>
  <c r="Y6" i="68"/>
  <c r="H8" i="68"/>
  <c r="S9" i="68"/>
  <c r="P5" i="68"/>
  <c r="U12" i="68"/>
  <c r="N9" i="68"/>
  <c r="M11" i="68"/>
  <c r="N11" i="68"/>
  <c r="O12" i="68"/>
  <c r="W4" i="68"/>
  <c r="K5" i="68"/>
  <c r="U10" i="68"/>
  <c r="I9" i="68"/>
  <c r="F7" i="68"/>
  <c r="K10" i="68"/>
  <c r="W8" i="68"/>
  <c r="I11" i="68"/>
  <c r="Q7" i="68"/>
  <c r="N8" i="68"/>
  <c r="F5" i="68"/>
  <c r="X4" i="68"/>
  <c r="P7" i="68"/>
  <c r="Y4" i="68"/>
  <c r="W7" i="68"/>
  <c r="F9" i="68"/>
  <c r="O8" i="68"/>
  <c r="M10" i="68"/>
  <c r="X11" i="68"/>
  <c r="Y11" i="68"/>
  <c r="F11" i="68"/>
  <c r="C5" i="68"/>
  <c r="P10" i="68"/>
  <c r="S11" i="68"/>
  <c r="K6" i="68"/>
  <c r="O6" i="68"/>
  <c r="U3" i="68"/>
  <c r="X10" i="68"/>
  <c r="W12" i="68"/>
  <c r="M12" i="68"/>
  <c r="X12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K16" i="68" l="1"/>
  <c r="S16" i="68"/>
  <c r="C16" i="68"/>
  <c r="N13" i="68"/>
  <c r="I13" i="68"/>
  <c r="C13" i="68"/>
  <c r="J13" i="68" s="1"/>
  <c r="S13" i="68"/>
  <c r="H13" i="68"/>
  <c r="W13" i="68"/>
  <c r="K13" i="68"/>
  <c r="G13" i="68"/>
  <c r="F13" i="68"/>
  <c r="V13" i="68"/>
  <c r="U13" i="68"/>
  <c r="O13" i="68"/>
  <c r="Y13" i="68"/>
  <c r="E13" i="68"/>
  <c r="Q13" i="68"/>
  <c r="X13" i="68"/>
  <c r="M13" i="68"/>
  <c r="P13" i="68"/>
  <c r="P14" i="68" s="1"/>
  <c r="T14" i="57"/>
  <c r="AA14" i="57"/>
  <c r="Z14" i="57"/>
  <c r="Y14" i="57"/>
  <c r="X14" i="57"/>
  <c r="V14" i="57"/>
  <c r="W14" i="57"/>
  <c r="U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T3" i="68" a="1"/>
  <c r="T3" i="68" l="1"/>
  <c r="Q14" i="68"/>
  <c r="Y14" i="68"/>
  <c r="X14" i="68"/>
  <c r="M14" i="68"/>
  <c r="O14" i="68"/>
  <c r="U14" i="68"/>
  <c r="V14" i="68"/>
  <c r="R13" i="68"/>
  <c r="K14" i="68"/>
  <c r="W14" i="68"/>
  <c r="N14" i="68"/>
  <c r="S14" i="68"/>
  <c r="Z13" i="68"/>
  <c r="T14" i="59"/>
  <c r="W14" i="59" s="1"/>
  <c r="Y14" i="59"/>
  <c r="U14" i="59"/>
  <c r="V14" i="59"/>
  <c r="Z14" i="59"/>
  <c r="T14" i="58"/>
  <c r="G14" i="26"/>
  <c r="E14" i="26"/>
  <c r="D14" i="26"/>
  <c r="K14" i="26"/>
  <c r="P14" i="25"/>
  <c r="N14" i="25"/>
  <c r="M14" i="25"/>
  <c r="T14" i="25"/>
  <c r="D14" i="25"/>
  <c r="T5" i="68" a="1"/>
  <c r="H4" i="23" a="1"/>
  <c r="I4" i="23" a="1"/>
  <c r="T5" i="68" l="1"/>
  <c r="D14" i="65"/>
  <c r="G14" i="65" s="1"/>
  <c r="W15" i="65" s="1"/>
  <c r="D14" i="64"/>
  <c r="J14" i="64" s="1"/>
  <c r="D14" i="62"/>
  <c r="I14" i="62" s="1"/>
  <c r="Y15" i="62" s="1"/>
  <c r="D14" i="60"/>
  <c r="D14" i="57"/>
  <c r="T15" i="57" s="1"/>
  <c r="L14" i="64"/>
  <c r="L14" i="66"/>
  <c r="R14" i="66" s="1"/>
  <c r="L14" i="65"/>
  <c r="L14" i="63"/>
  <c r="N14" i="63" s="1"/>
  <c r="L14" i="60"/>
  <c r="R14" i="60" s="1"/>
  <c r="L14" i="61"/>
  <c r="L14" i="59"/>
  <c r="S14" i="65"/>
  <c r="L15" i="65"/>
  <c r="F14" i="65"/>
  <c r="V15" i="65" s="1"/>
  <c r="T15" i="65"/>
  <c r="F14" i="64"/>
  <c r="V15" i="64" s="1"/>
  <c r="T15" i="64"/>
  <c r="R14" i="64"/>
  <c r="L15" i="64"/>
  <c r="R14" i="63"/>
  <c r="R14" i="61"/>
  <c r="F14" i="60"/>
  <c r="V15" i="60" s="1"/>
  <c r="T15" i="60"/>
  <c r="M14" i="59"/>
  <c r="L15" i="57"/>
  <c r="L14" i="58"/>
  <c r="L14" i="62"/>
  <c r="O14" i="62" s="1"/>
  <c r="L14" i="57"/>
  <c r="S14" i="57" s="1"/>
  <c r="T14" i="66"/>
  <c r="Z14" i="66" s="1"/>
  <c r="T14" i="65"/>
  <c r="AA14" i="65" s="1"/>
  <c r="T14" i="64"/>
  <c r="Y14" i="64" s="1"/>
  <c r="T14" i="63"/>
  <c r="Y14" i="63" s="1"/>
  <c r="T14" i="62"/>
  <c r="AA14" i="62" s="1"/>
  <c r="E14" i="62"/>
  <c r="J14" i="62"/>
  <c r="G14" i="62"/>
  <c r="W15" i="62" s="1"/>
  <c r="T14" i="61"/>
  <c r="Z14" i="61" s="1"/>
  <c r="Q14" i="66"/>
  <c r="P14" i="61"/>
  <c r="S14" i="61"/>
  <c r="F14" i="57"/>
  <c r="G14" i="57"/>
  <c r="J14" i="57"/>
  <c r="F14" i="62"/>
  <c r="V15" i="62" s="1"/>
  <c r="O14" i="64"/>
  <c r="P14" i="65"/>
  <c r="N14" i="65"/>
  <c r="N14" i="64"/>
  <c r="X14" i="65"/>
  <c r="M14" i="64"/>
  <c r="W14" i="65"/>
  <c r="P14" i="63"/>
  <c r="AA14" i="64"/>
  <c r="H14" i="60"/>
  <c r="X15" i="60" s="1"/>
  <c r="G14" i="60"/>
  <c r="W15" i="60" s="1"/>
  <c r="Q14" i="65"/>
  <c r="O14" i="61"/>
  <c r="H14" i="62"/>
  <c r="X15" i="62" s="1"/>
  <c r="D14" i="66"/>
  <c r="P14" i="58"/>
  <c r="AA14" i="66"/>
  <c r="O14" i="59"/>
  <c r="O14" i="63"/>
  <c r="N14" i="61"/>
  <c r="O14" i="58"/>
  <c r="D14" i="63"/>
  <c r="I14" i="65"/>
  <c r="Y15" i="65" s="1"/>
  <c r="H14" i="64"/>
  <c r="X15" i="64" s="1"/>
  <c r="R14" i="59"/>
  <c r="I14" i="57"/>
  <c r="N14" i="58"/>
  <c r="H14" i="57"/>
  <c r="Q14" i="63"/>
  <c r="K14" i="57"/>
  <c r="R14" i="58"/>
  <c r="M14" i="58"/>
  <c r="Q14" i="61"/>
  <c r="Q14" i="58"/>
  <c r="S14" i="60"/>
  <c r="E14" i="64"/>
  <c r="Q14" i="60"/>
  <c r="T14" i="60"/>
  <c r="E14" i="60"/>
  <c r="I14" i="60"/>
  <c r="Y15" i="60" s="1"/>
  <c r="D14" i="61"/>
  <c r="J14" i="60"/>
  <c r="Z15" i="60" s="1"/>
  <c r="K14" i="60"/>
  <c r="S14" i="64"/>
  <c r="N14" i="59"/>
  <c r="O14" i="65"/>
  <c r="S14" i="59"/>
  <c r="P14" i="60"/>
  <c r="D14" i="59"/>
  <c r="T15" i="59" s="1"/>
  <c r="X14" i="63"/>
  <c r="Z14" i="65"/>
  <c r="O14" i="66"/>
  <c r="Z14" i="63"/>
  <c r="Y14" i="65"/>
  <c r="H14" i="65"/>
  <c r="X15" i="65" s="1"/>
  <c r="W14" i="66"/>
  <c r="Q14" i="64"/>
  <c r="M14" i="60"/>
  <c r="K14" i="65"/>
  <c r="M14" i="61"/>
  <c r="P14" i="59"/>
  <c r="E14" i="65"/>
  <c r="U14" i="65"/>
  <c r="W14" i="63"/>
  <c r="J14" i="65"/>
  <c r="U14" i="66"/>
  <c r="Q14" i="59"/>
  <c r="P14" i="64"/>
  <c r="M14" i="65"/>
  <c r="AA14" i="63"/>
  <c r="D14" i="58"/>
  <c r="R14" i="65"/>
  <c r="V14" i="63"/>
  <c r="AA14" i="59"/>
  <c r="X14" i="59"/>
  <c r="AA14" i="58"/>
  <c r="Y14" i="58"/>
  <c r="V14" i="58"/>
  <c r="Z14" i="58"/>
  <c r="X14" i="58"/>
  <c r="W14" i="58"/>
  <c r="U14" i="58"/>
  <c r="H4" i="23"/>
  <c r="I4" i="23"/>
  <c r="T12" i="68" a="1"/>
  <c r="T11" i="68" a="1"/>
  <c r="L11" i="68" a="1"/>
  <c r="D11" i="68" a="1"/>
  <c r="L10" i="68" a="1"/>
  <c r="D10" i="68" a="1"/>
  <c r="D8" i="68" a="1"/>
  <c r="L7" i="68" a="1"/>
  <c r="L6" i="68" a="1"/>
  <c r="D6" i="68" a="1"/>
  <c r="L5" i="68" a="1"/>
  <c r="T4" i="68" a="1"/>
  <c r="L4" i="68" a="1"/>
  <c r="E10" i="23" a="1"/>
  <c r="E6" i="23" a="1"/>
  <c r="G5" i="23" a="1"/>
  <c r="E7" i="23" a="1"/>
  <c r="F5" i="23" a="1"/>
  <c r="D5" i="23" a="1"/>
  <c r="G12" i="23" a="1"/>
  <c r="E11" i="23" a="1"/>
  <c r="E9" i="23" a="1"/>
  <c r="G11" i="23" a="1"/>
  <c r="F7" i="23" a="1"/>
  <c r="F9" i="23" a="1"/>
  <c r="E8" i="23" a="1"/>
  <c r="E12" i="23" a="1"/>
  <c r="F8" i="23" a="1"/>
  <c r="E4" i="23" a="1"/>
  <c r="E13" i="23" a="1"/>
  <c r="F10" i="23" a="1"/>
  <c r="G13" i="23" a="1"/>
  <c r="G8" i="23" a="1"/>
  <c r="D10" i="23" a="1"/>
  <c r="D9" i="23" a="1"/>
  <c r="D4" i="23" a="1"/>
  <c r="F6" i="23" a="1"/>
  <c r="G7" i="23" a="1"/>
  <c r="E5" i="23" a="1"/>
  <c r="F4" i="23" a="1"/>
  <c r="D13" i="23" a="1"/>
  <c r="D6" i="23" a="1"/>
  <c r="D8" i="23" a="1"/>
  <c r="D7" i="23" a="1"/>
  <c r="G9" i="23" a="1"/>
  <c r="G4" i="23" a="1"/>
  <c r="D11" i="23" a="1"/>
  <c r="F13" i="23" a="1"/>
  <c r="F12" i="23" a="1"/>
  <c r="F11" i="23" a="1"/>
  <c r="G10" i="23" a="1"/>
  <c r="G6" i="23" a="1"/>
  <c r="D12" i="23" a="1"/>
  <c r="T12" i="68" l="1"/>
  <c r="T11" i="68"/>
  <c r="L11" i="68"/>
  <c r="D11" i="68"/>
  <c r="U15" i="65"/>
  <c r="L10" i="68"/>
  <c r="D10" i="68"/>
  <c r="D8" i="68"/>
  <c r="L7" i="68"/>
  <c r="L6" i="68"/>
  <c r="D6" i="68"/>
  <c r="L5" i="68"/>
  <c r="T4" i="68"/>
  <c r="L4" i="68"/>
  <c r="K14" i="64"/>
  <c r="G14" i="64"/>
  <c r="W15" i="64" s="1"/>
  <c r="I14" i="64"/>
  <c r="Y15" i="64" s="1"/>
  <c r="K14" i="62"/>
  <c r="T15" i="62"/>
  <c r="E14" i="57"/>
  <c r="S14" i="66"/>
  <c r="P14" i="66"/>
  <c r="N14" i="66"/>
  <c r="M14" i="66"/>
  <c r="S14" i="63"/>
  <c r="M14" i="63"/>
  <c r="L15" i="60"/>
  <c r="O14" i="60"/>
  <c r="N14" i="60"/>
  <c r="N15" i="64"/>
  <c r="L15" i="59"/>
  <c r="N15" i="65"/>
  <c r="Z2" i="66"/>
  <c r="Z2" i="61"/>
  <c r="O15" i="62"/>
  <c r="G14" i="66"/>
  <c r="W15" i="66" s="1"/>
  <c r="T15" i="66"/>
  <c r="L15" i="66"/>
  <c r="J2" i="65"/>
  <c r="Z15" i="65"/>
  <c r="O15" i="65"/>
  <c r="P15" i="65"/>
  <c r="M15" i="64"/>
  <c r="Z2" i="63"/>
  <c r="Q15" i="65"/>
  <c r="R15" i="65"/>
  <c r="M15" i="65"/>
  <c r="R2" i="64"/>
  <c r="Z15" i="64"/>
  <c r="P15" i="64"/>
  <c r="R15" i="64"/>
  <c r="N15" i="60"/>
  <c r="J14" i="63"/>
  <c r="R15" i="63" s="1"/>
  <c r="T15" i="63"/>
  <c r="L15" i="63"/>
  <c r="S14" i="62"/>
  <c r="J2" i="62" s="1"/>
  <c r="L15" i="62"/>
  <c r="R15" i="60"/>
  <c r="P15" i="60"/>
  <c r="R14" i="62"/>
  <c r="R15" i="62" s="1"/>
  <c r="Z15" i="62"/>
  <c r="J14" i="61"/>
  <c r="J2" i="61" s="1"/>
  <c r="T15" i="61"/>
  <c r="M14" i="62"/>
  <c r="M15" i="60"/>
  <c r="P14" i="62"/>
  <c r="P15" i="62" s="1"/>
  <c r="L15" i="61"/>
  <c r="Q15" i="60"/>
  <c r="Q14" i="62"/>
  <c r="Q15" i="62" s="1"/>
  <c r="O15" i="60"/>
  <c r="Z2" i="59"/>
  <c r="G14" i="58"/>
  <c r="W15" i="58" s="1"/>
  <c r="T15" i="58"/>
  <c r="S14" i="58"/>
  <c r="L15" i="58"/>
  <c r="P15" i="57"/>
  <c r="X15" i="57"/>
  <c r="R15" i="57"/>
  <c r="Z15" i="57"/>
  <c r="O15" i="57"/>
  <c r="W15" i="57"/>
  <c r="Q15" i="57"/>
  <c r="Y15" i="57"/>
  <c r="N15" i="57"/>
  <c r="V15" i="57"/>
  <c r="N14" i="62"/>
  <c r="N15" i="62" s="1"/>
  <c r="O14" i="57"/>
  <c r="Q14" i="57"/>
  <c r="H2" i="57" s="1"/>
  <c r="R14" i="57"/>
  <c r="Z2" i="57" s="1"/>
  <c r="P14" i="57"/>
  <c r="X2" i="57" s="1"/>
  <c r="N14" i="57"/>
  <c r="M14" i="57"/>
  <c r="J2" i="57"/>
  <c r="V14" i="66"/>
  <c r="X14" i="66"/>
  <c r="X2" i="66" s="1"/>
  <c r="Y14" i="66"/>
  <c r="V14" i="65"/>
  <c r="U14" i="64"/>
  <c r="X14" i="64"/>
  <c r="Z14" i="64"/>
  <c r="Z2" i="64" s="1"/>
  <c r="W14" i="64"/>
  <c r="V14" i="64"/>
  <c r="U14" i="63"/>
  <c r="X14" i="62"/>
  <c r="Z14" i="62"/>
  <c r="Y14" i="62"/>
  <c r="V14" i="62"/>
  <c r="W14" i="62"/>
  <c r="U14" i="62"/>
  <c r="U14" i="61"/>
  <c r="X14" i="61"/>
  <c r="AA14" i="61"/>
  <c r="W14" i="61"/>
  <c r="Y14" i="61"/>
  <c r="V14" i="61"/>
  <c r="X2" i="61"/>
  <c r="P2" i="65"/>
  <c r="X2" i="65"/>
  <c r="X2" i="58"/>
  <c r="F14" i="66"/>
  <c r="V15" i="66" s="1"/>
  <c r="E14" i="66"/>
  <c r="X2" i="63"/>
  <c r="K14" i="66"/>
  <c r="J14" i="66"/>
  <c r="H14" i="66"/>
  <c r="Z2" i="58"/>
  <c r="H2" i="60"/>
  <c r="P2" i="57"/>
  <c r="K14" i="63"/>
  <c r="X2" i="64"/>
  <c r="I14" i="63"/>
  <c r="Y15" i="63" s="1"/>
  <c r="G14" i="63"/>
  <c r="W15" i="63" s="1"/>
  <c r="F14" i="63"/>
  <c r="V15" i="63" s="1"/>
  <c r="J2" i="60"/>
  <c r="H14" i="63"/>
  <c r="P15" i="63" s="1"/>
  <c r="E14" i="63"/>
  <c r="H2" i="64"/>
  <c r="R2" i="57"/>
  <c r="I14" i="66"/>
  <c r="Y15" i="66" s="1"/>
  <c r="R2" i="65"/>
  <c r="H2" i="65"/>
  <c r="J2" i="64"/>
  <c r="Z2" i="65"/>
  <c r="I14" i="58"/>
  <c r="Y15" i="58" s="1"/>
  <c r="Z14" i="60"/>
  <c r="Z2" i="60" s="1"/>
  <c r="Y14" i="60"/>
  <c r="W14" i="60"/>
  <c r="V14" i="60"/>
  <c r="U14" i="60"/>
  <c r="X14" i="60"/>
  <c r="X2" i="60" s="1"/>
  <c r="AA14" i="60"/>
  <c r="E14" i="58"/>
  <c r="G14" i="61"/>
  <c r="W15" i="61" s="1"/>
  <c r="F14" i="58"/>
  <c r="V15" i="58" s="1"/>
  <c r="K14" i="58"/>
  <c r="P2" i="64"/>
  <c r="P2" i="60"/>
  <c r="J14" i="58"/>
  <c r="E14" i="61"/>
  <c r="X2" i="59"/>
  <c r="G14" i="59"/>
  <c r="W15" i="59" s="1"/>
  <c r="K14" i="59"/>
  <c r="J14" i="59"/>
  <c r="Z15" i="59" s="1"/>
  <c r="F14" i="59"/>
  <c r="V15" i="59" s="1"/>
  <c r="E14" i="59"/>
  <c r="I14" i="59"/>
  <c r="Y15" i="59" s="1"/>
  <c r="H14" i="59"/>
  <c r="X15" i="59" s="1"/>
  <c r="R2" i="60"/>
  <c r="I14" i="61"/>
  <c r="Y15" i="61" s="1"/>
  <c r="H14" i="58"/>
  <c r="P15" i="58" s="1"/>
  <c r="H14" i="61"/>
  <c r="F14" i="61"/>
  <c r="V15" i="61" s="1"/>
  <c r="K14" i="61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L12" i="68" a="1"/>
  <c r="D12" i="68" a="1"/>
  <c r="T10" i="68" a="1"/>
  <c r="T9" i="68" a="1"/>
  <c r="L9" i="68" a="1"/>
  <c r="D9" i="68" a="1"/>
  <c r="T8" i="68" a="1"/>
  <c r="L8" i="68" a="1"/>
  <c r="T7" i="68" a="1"/>
  <c r="D7" i="68" a="1"/>
  <c r="T6" i="68" a="1"/>
  <c r="D5" i="68" a="1"/>
  <c r="D4" i="68" a="1"/>
  <c r="L3" i="68" a="1"/>
  <c r="D3" i="68" a="1"/>
  <c r="L12" i="68" l="1"/>
  <c r="D12" i="68"/>
  <c r="U15" i="66"/>
  <c r="T10" i="68"/>
  <c r="U15" i="64"/>
  <c r="T9" i="68"/>
  <c r="L9" i="68"/>
  <c r="D9" i="68"/>
  <c r="U15" i="63"/>
  <c r="T8" i="68"/>
  <c r="U15" i="62"/>
  <c r="L8" i="68"/>
  <c r="M15" i="62"/>
  <c r="T7" i="68"/>
  <c r="D7" i="68"/>
  <c r="U15" i="61"/>
  <c r="T6" i="68"/>
  <c r="U15" i="60"/>
  <c r="D5" i="68"/>
  <c r="U15" i="59"/>
  <c r="D4" i="68"/>
  <c r="U15" i="58"/>
  <c r="L3" i="68"/>
  <c r="D3" i="68"/>
  <c r="M15" i="57"/>
  <c r="O15" i="64"/>
  <c r="Q15" i="64"/>
  <c r="U15" i="57"/>
  <c r="R15" i="59"/>
  <c r="P15" i="59"/>
  <c r="N15" i="59"/>
  <c r="O15" i="59"/>
  <c r="Q15" i="59"/>
  <c r="M15" i="59"/>
  <c r="O15" i="66"/>
  <c r="N15" i="66"/>
  <c r="P2" i="62"/>
  <c r="P2" i="66"/>
  <c r="X15" i="66"/>
  <c r="R2" i="66"/>
  <c r="Z15" i="66"/>
  <c r="R15" i="66"/>
  <c r="P15" i="66"/>
  <c r="M15" i="66"/>
  <c r="Q15" i="66"/>
  <c r="R2" i="62"/>
  <c r="Q15" i="63"/>
  <c r="H2" i="63"/>
  <c r="X15" i="63"/>
  <c r="O15" i="63"/>
  <c r="R2" i="63"/>
  <c r="Z15" i="63"/>
  <c r="J2" i="63"/>
  <c r="M15" i="63"/>
  <c r="N15" i="63"/>
  <c r="H2" i="62"/>
  <c r="R15" i="61"/>
  <c r="Z2" i="62"/>
  <c r="X2" i="62"/>
  <c r="H2" i="61"/>
  <c r="X15" i="61"/>
  <c r="Q15" i="61"/>
  <c r="N15" i="61"/>
  <c r="M15" i="61"/>
  <c r="P15" i="61"/>
  <c r="R2" i="61"/>
  <c r="Z15" i="61"/>
  <c r="O15" i="61"/>
  <c r="H2" i="59"/>
  <c r="R2" i="58"/>
  <c r="Z15" i="58"/>
  <c r="N15" i="58"/>
  <c r="R15" i="58"/>
  <c r="Q15" i="58"/>
  <c r="M15" i="58"/>
  <c r="H2" i="58"/>
  <c r="X15" i="58"/>
  <c r="O15" i="58"/>
  <c r="J2" i="66"/>
  <c r="H2" i="66"/>
  <c r="P2" i="63"/>
  <c r="J2" i="58"/>
  <c r="P2" i="61"/>
  <c r="J2" i="59"/>
  <c r="R2" i="59"/>
  <c r="P2" i="58"/>
  <c r="P2" i="59"/>
  <c r="T13" i="68" l="1"/>
  <c r="L13" i="68"/>
  <c r="D13" i="68"/>
  <c r="L14" i="68" l="1"/>
  <c r="T14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<sst xmlns="http://schemas.openxmlformats.org/spreadsheetml/2006/main" count="677" uniqueCount="22">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</sst>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0A55-0742-4854-8C15-38690FC20815}">
  <dimension ref="B2:Z16"/>
  <sheetViews>
    <sheetView tabSelected="1" zoomScale="85" zoomScaleNormal="85" workbookViewId="0">
      <selection activeCell="D3" sqref="D3:D12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1106574.174858863</v>
      </c>
      <c r="D3" s="33" cm="1">
        <f t="array" aca="1" ref="D3" ca="1">INDIRECT("'results" &amp; $B3 &amp; "'!E$14")</f>
        <v>68.140085800015356</v>
      </c>
      <c r="E3" s="5" cm="1">
        <f t="array" aca="1" ref="E3" ca="1">INDIRECT("'results" &amp; $B3 &amp; "'!F$14")</f>
        <v>12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423.52788010826777</v>
      </c>
      <c r="H3" s="33" cm="1">
        <f t="array" aca="1" ref="H3" ca="1">INDIRECT("'results" &amp; $B3 &amp; "'!I$14")</f>
        <v>44.143835549105489</v>
      </c>
      <c r="I3" s="5" cm="1">
        <f t="array" aca="1" ref="I3" ca="1">INDIRECT("'results" &amp; $B3 &amp; "'!J$14")</f>
        <v>5379.2174669544975</v>
      </c>
      <c r="J3" s="5"/>
      <c r="K3" s="5" cm="1">
        <f t="array" aca="1" ref="K3" ca="1">INDIRECT("'results" &amp; $B3 &amp; "'!L$14")</f>
        <v>1510933.6187437519</v>
      </c>
      <c r="L3" s="5" cm="1">
        <f t="array" aca="1" ref="L3" ca="1">INDIRECT("'results" &amp; $B3 &amp; "'!M$14")</f>
        <v>183.7781991600059</v>
      </c>
      <c r="M3" s="5" cm="1">
        <f t="array" aca="1" ref="M3" ca="1">INDIRECT("'results" &amp; $B3 &amp; "'!N$14")</f>
        <v>28</v>
      </c>
      <c r="N3" s="5" cm="1">
        <f t="array" aca="1" ref="N3" ca="1">INDIRECT("'results" &amp; $B3 &amp; "'!O$14")</f>
        <v>88</v>
      </c>
      <c r="O3" s="5" cm="1">
        <f t="array" aca="1" ref="O3" ca="1">INDIRECT("'results" &amp; $B3 &amp; "'!P$14")</f>
        <v>479.91105847822871</v>
      </c>
      <c r="P3" s="5" cm="1">
        <f t="array" aca="1" ref="P3" ca="1">INDIRECT("'results" &amp; $B3 &amp; "'!Q$14")</f>
        <v>17.154562205061854</v>
      </c>
      <c r="Q3" s="5" cm="1">
        <f t="array" aca="1" ref="Q3" ca="1">INDIRECT("'results" &amp; $B3 &amp; "'!R$14")</f>
        <v>4685.0398824548665</v>
      </c>
      <c r="R3" s="5"/>
      <c r="S3" s="5" cm="1">
        <f t="array" aca="1" ref="S3" ca="1">INDIRECT("'results" &amp; $B3 &amp; "'!T$14")</f>
        <v>1537048.6897092769</v>
      </c>
      <c r="T3" s="5" cm="1">
        <f t="array" aca="1" ref="T3" ca="1">INDIRECT("'results" &amp; $B3 &amp; "'!U$14")</f>
        <v>346.56610333999862</v>
      </c>
      <c r="U3" s="5" cm="1">
        <f t="array" aca="1" ref="U3" ca="1">INDIRECT("'results" &amp; $B3 &amp; "'!V$14")</f>
        <v>15</v>
      </c>
      <c r="V3" s="5" cm="1">
        <f t="array" aca="1" ref="V3" ca="1">INDIRECT("'results" &amp; $B3 &amp; "'!W$14")</f>
        <v>85.333333333333329</v>
      </c>
      <c r="W3" s="5" cm="1">
        <f t="array" aca="1" ref="W3" ca="1">INDIRECT("'results" &amp; $B3 &amp; "'!X$14")</f>
        <v>1136.186698404101</v>
      </c>
      <c r="X3" s="5" cm="1">
        <f t="array" aca="1" ref="X3" ca="1">INDIRECT("'results" &amp; $B3 &amp; "'!Y$14")</f>
        <v>55.896357040032264</v>
      </c>
      <c r="Y3" s="5" cm="1">
        <f t="array" aca="1" ref="Y3" ca="1">INDIRECT("'results" &amp; $B3 &amp; "'!Z$14")</f>
        <v>6482.3549888635989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961863.05624849012</v>
      </c>
      <c r="D4" s="33" cm="1">
        <f t="array" aca="1" ref="D4" ca="1">INDIRECT("'results" &amp; $B4 &amp; "'!E$14")</f>
        <v>87.108391440007836</v>
      </c>
      <c r="E4" s="5" cm="1">
        <f t="array" aca="1" ref="E4" ca="1">INDIRECT("'results" &amp; $B4 &amp; "'!F$14")</f>
        <v>12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107.20985967235805</v>
      </c>
      <c r="H4" s="33" cm="1">
        <f t="array" aca="1" ref="H4" ca="1">INDIRECT("'results" &amp; $B4 &amp; "'!I$14")</f>
        <v>37.78329131050139</v>
      </c>
      <c r="I4" s="5" cm="1">
        <f t="array" aca="1" ref="I4" ca="1">INDIRECT("'results" &amp; $B4 &amp; "'!J$14")</f>
        <v>4585.4596356402853</v>
      </c>
      <c r="J4" s="5"/>
      <c r="K4" s="5" cm="1">
        <f t="array" aca="1" ref="K4" ca="1">INDIRECT("'results" &amp; $B4 &amp; "'!L$14")</f>
        <v>1363823.595863732</v>
      </c>
      <c r="L4" s="5" cm="1">
        <f t="array" aca="1" ref="L4" ca="1">INDIRECT("'results" &amp; $B4 &amp; "'!M$14")</f>
        <v>202.8155646399828</v>
      </c>
      <c r="M4" s="5" cm="1">
        <f t="array" aca="1" ref="M4" ca="1">INDIRECT("'results" &amp; $B4 &amp; "'!N$14")</f>
        <v>24</v>
      </c>
      <c r="N4" s="5" cm="1">
        <f t="array" aca="1" ref="N4" ca="1">INDIRECT("'results" &amp; $B4 &amp; "'!O$14")</f>
        <v>86.666666666666671</v>
      </c>
      <c r="O4" s="5" cm="1">
        <f t="array" aca="1" ref="O4" ca="1">INDIRECT("'results" &amp; $B4 &amp; "'!P$14")</f>
        <v>170.464212993872</v>
      </c>
      <c r="P4" s="5" cm="1">
        <f t="array" aca="1" ref="P4" ca="1">INDIRECT("'results" &amp; $B4 &amp; "'!Q$14")</f>
        <v>16.225831869122317</v>
      </c>
      <c r="Q4" s="5" cm="1">
        <f t="array" aca="1" ref="Q4" ca="1">INDIRECT("'results" &amp; $B4 &amp; "'!R$14")</f>
        <v>4097.0541818128522</v>
      </c>
      <c r="R4" s="5"/>
      <c r="S4" s="5" cm="1">
        <f t="array" aca="1" ref="S4" ca="1">INDIRECT("'results" &amp; $B4 &amp; "'!T$14")</f>
        <v>1325349.6617429</v>
      </c>
      <c r="T4" s="5" cm="1">
        <f t="array" aca="1" ref="T4" ca="1">INDIRECT("'results" &amp; $B4 &amp; "'!U$14")</f>
        <v>315.0064581400016</v>
      </c>
      <c r="U4" s="5" cm="1">
        <f t="array" aca="1" ref="U4" ca="1">INDIRECT("'results" &amp; $B4 &amp; "'!V$14")</f>
        <v>14</v>
      </c>
      <c r="V4" s="5" cm="1">
        <f t="array" aca="1" ref="V4" ca="1">INDIRECT("'results" &amp; $B4 &amp; "'!W$14")</f>
        <v>90.666666666666671</v>
      </c>
      <c r="W4" s="5" cm="1">
        <f t="array" aca="1" ref="W4" ca="1">INDIRECT("'results" &amp; $B4 &amp; "'!X$14")</f>
        <v>804.25104849096135</v>
      </c>
      <c r="X4" s="5" cm="1">
        <f t="array" aca="1" ref="X4" ca="1">INDIRECT("'results" &amp; $B4 &amp; "'!Y$14")</f>
        <v>53.316112014812767</v>
      </c>
      <c r="Y4" s="5" cm="1">
        <f t="array" aca="1" ref="Y4" ca="1">INDIRECT("'results" &amp; $B4 &amp; "'!Z$14")</f>
        <v>5932.2033255745791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1194793.3772036631</v>
      </c>
      <c r="D5" s="33" cm="1">
        <f t="array" aca="1" ref="D5" ca="1">INDIRECT("'results" &amp; $B5 &amp; "'!E$14")</f>
        <v>149.19834539999721</v>
      </c>
      <c r="E5" s="5" cm="1">
        <f t="array" aca="1" ref="E5" ca="1">INDIRECT("'results" &amp; $B5 &amp; "'!F$14")</f>
        <v>15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702.98875736372281</v>
      </c>
      <c r="H5" s="33" cm="1">
        <f t="array" aca="1" ref="H5" ca="1">INDIRECT("'results" &amp; $B5 &amp; "'!I$14")</f>
        <v>43.542376458131457</v>
      </c>
      <c r="I5" s="5" cm="1">
        <f t="array" aca="1" ref="I5" ca="1">INDIRECT("'results" &amp; $B5 &amp; "'!J$14")</f>
        <v>5716.7167590046702</v>
      </c>
      <c r="J5" s="5"/>
      <c r="K5" s="5" cm="1">
        <f t="array" aca="1" ref="K5" ca="1">INDIRECT("'results" &amp; $B5 &amp; "'!L$14")</f>
        <v>1576485.7786569491</v>
      </c>
      <c r="L5" s="5" cm="1">
        <f t="array" aca="1" ref="L5" ca="1">INDIRECT("'results" &amp; $B5 &amp; "'!M$14")</f>
        <v>342.2821939200162</v>
      </c>
      <c r="M5" s="5" cm="1">
        <f t="array" aca="1" ref="M5" ca="1">INDIRECT("'results" &amp; $B5 &amp; "'!N$14")</f>
        <v>27</v>
      </c>
      <c r="N5" s="5" cm="1">
        <f t="array" aca="1" ref="N5" ca="1">INDIRECT("'results" &amp; $B5 &amp; "'!O$14")</f>
        <v>86.666666666666671</v>
      </c>
      <c r="O5" s="5" cm="1">
        <f t="array" aca="1" ref="O5" ca="1">INDIRECT("'results" &amp; $B5 &amp; "'!P$14")</f>
        <v>652.76896875066825</v>
      </c>
      <c r="P5" s="5" cm="1">
        <f t="array" aca="1" ref="P5" ca="1">INDIRECT("'results" &amp; $B5 &amp; "'!Q$14")</f>
        <v>20.344439725579576</v>
      </c>
      <c r="Q5" s="5" cm="1">
        <f t="array" aca="1" ref="Q5" ca="1">INDIRECT("'results" &amp; $B5 &amp; "'!R$14")</f>
        <v>5052.3398434747542</v>
      </c>
      <c r="R5" s="5"/>
      <c r="S5" s="5" cm="1">
        <f t="array" aca="1" ref="S5" ca="1">INDIRECT("'results" &amp; $B5 &amp; "'!T$14")</f>
        <v>1573567.491690164</v>
      </c>
      <c r="T5" s="5" cm="1">
        <f t="array" aca="1" ref="T5" ca="1">INDIRECT("'results" &amp; $B5 &amp; "'!U$14")</f>
        <v>172.18274763999506</v>
      </c>
      <c r="U5" s="5" cm="1">
        <f t="array" aca="1" ref="U5" ca="1">INDIRECT("'results" &amp; $B5 &amp; "'!V$14")</f>
        <v>14</v>
      </c>
      <c r="V5" s="5" cm="1">
        <f t="array" aca="1" ref="V5" ca="1">INDIRECT("'results" &amp; $B5 &amp; "'!W$14")</f>
        <v>81.333333333333329</v>
      </c>
      <c r="W5" s="5" cm="1">
        <f t="array" aca="1" ref="W5" ca="1">INDIRECT("'results" &amp; $B5 &amp; "'!X$14")</f>
        <v>998.52330488010591</v>
      </c>
      <c r="X5" s="5" cm="1">
        <f t="array" aca="1" ref="X5" ca="1">INDIRECT("'results" &amp; $B5 &amp; "'!Y$14")</f>
        <v>58.197086178654772</v>
      </c>
      <c r="Y5" s="5" cm="1">
        <f t="array" aca="1" ref="Y5" ca="1">INDIRECT("'results" &amp; $B5 &amp; "'!Z$14")</f>
        <v>6348.1356601180669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1141132.4272836379</v>
      </c>
      <c r="D6" s="33" cm="1">
        <f t="array" aca="1" ref="D6" ca="1">INDIRECT("'results" &amp; $B6 &amp; "'!E$14")</f>
        <v>192.01956426000689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249.26421765947603</v>
      </c>
      <c r="H6" s="33" cm="1">
        <f t="array" aca="1" ref="H6" ca="1">INDIRECT("'results" &amp; $B6 &amp; "'!I$14")</f>
        <v>38.526374201442657</v>
      </c>
      <c r="I6" s="5" cm="1">
        <f t="array" aca="1" ref="I6" ca="1">INDIRECT("'results" &amp; $B6 &amp; "'!J$14")</f>
        <v>5220.8408929702146</v>
      </c>
      <c r="J6" s="5"/>
      <c r="K6" s="5" cm="1">
        <f t="array" aca="1" ref="K6" ca="1">INDIRECT("'results" &amp; $B6 &amp; "'!L$14")</f>
        <v>1552620.471026629</v>
      </c>
      <c r="L6" s="5" cm="1">
        <f t="array" aca="1" ref="L6" ca="1">INDIRECT("'results" &amp; $B6 &amp; "'!M$14")</f>
        <v>531.20662510001557</v>
      </c>
      <c r="M6" s="5" cm="1">
        <f t="array" aca="1" ref="M6" ca="1">INDIRECT("'results" &amp; $B6 &amp; "'!N$14")</f>
        <v>24</v>
      </c>
      <c r="N6" s="5" cm="1">
        <f t="array" aca="1" ref="N6" ca="1">INDIRECT("'results" &amp; $B6 &amp; "'!O$14")</f>
        <v>80.666666666666671</v>
      </c>
      <c r="O6" s="5" cm="1">
        <f t="array" aca="1" ref="O6" ca="1">INDIRECT("'results" &amp; $B6 &amp; "'!P$14")</f>
        <v>185.3451012995335</v>
      </c>
      <c r="P6" s="5" cm="1">
        <f t="array" aca="1" ref="P6" ca="1">INDIRECT("'results" &amp; $B6 &amp; "'!Q$14")</f>
        <v>18.134028345218947</v>
      </c>
      <c r="Q6" s="5" cm="1">
        <f t="array" aca="1" ref="Q6" ca="1">INDIRECT("'results" &amp; $B6 &amp; "'!R$14")</f>
        <v>4464.047944097797</v>
      </c>
      <c r="R6" s="5"/>
      <c r="S6" s="5" cm="1">
        <f t="array" aca="1" ref="S6" ca="1">INDIRECT("'results" &amp; $B6 &amp; "'!T$14")</f>
        <v>1527928.4219461561</v>
      </c>
      <c r="T6" s="5" cm="1">
        <f t="array" aca="1" ref="T6" ca="1">INDIRECT("'results" &amp; $B6 &amp; "'!U$14")</f>
        <v>301.7187155999942</v>
      </c>
      <c r="U6" s="5" cm="1">
        <f t="array" aca="1" ref="U6" ca="1">INDIRECT("'results" &amp; $B6 &amp; "'!V$14")</f>
        <v>17</v>
      </c>
      <c r="V6" s="5" cm="1">
        <f t="array" aca="1" ref="V6" ca="1">INDIRECT("'results" &amp; $B6 &amp; "'!W$14")</f>
        <v>86</v>
      </c>
      <c r="W6" s="5" cm="1">
        <f t="array" aca="1" ref="W6" ca="1">INDIRECT("'results" &amp; $B6 &amp; "'!X$14")</f>
        <v>962.01344908056751</v>
      </c>
      <c r="X6" s="5" cm="1">
        <f t="array" aca="1" ref="X6" ca="1">INDIRECT("'results" &amp; $B6 &amp; "'!Y$14")</f>
        <v>51.551522803159003</v>
      </c>
      <c r="Y6" s="5" cm="1">
        <f t="array" aca="1" ref="Y6" ca="1">INDIRECT("'results" &amp; $B6 &amp; "'!Z$14")</f>
        <v>6441.4874904200487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1137104.532637944</v>
      </c>
      <c r="D7" s="33" cm="1">
        <f t="array" aca="1" ref="D7" ca="1">INDIRECT("'results" &amp; $B7 &amp; "'!E$14")</f>
        <v>171.31255005998537</v>
      </c>
      <c r="E7" s="5" cm="1">
        <f t="array" aca="1" ref="E7" ca="1">INDIRECT("'results" &amp; $B7 &amp; "'!F$14")</f>
        <v>12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271.90715798630686</v>
      </c>
      <c r="H7" s="33" cm="1">
        <f t="array" aca="1" ref="H7" ca="1">INDIRECT("'results" &amp; $B7 &amp; "'!I$14")</f>
        <v>45.825925703730384</v>
      </c>
      <c r="I7" s="5" cm="1">
        <f t="array" aca="1" ref="I7" ca="1">INDIRECT("'results" &amp; $B7 &amp; "'!J$14")</f>
        <v>5355.1646631740059</v>
      </c>
      <c r="J7" s="5"/>
      <c r="K7" s="5" cm="1">
        <f t="array" aca="1" ref="K7" ca="1">INDIRECT("'results" &amp; $B7 &amp; "'!L$14")</f>
        <v>1487316.047748605</v>
      </c>
      <c r="L7" s="5" cm="1">
        <f t="array" aca="1" ref="L7" ca="1">INDIRECT("'results" &amp; $B7 &amp; "'!M$14")</f>
        <v>529.27651803998742</v>
      </c>
      <c r="M7" s="5" cm="1">
        <f t="array" aca="1" ref="M7" ca="1">INDIRECT("'results" &amp; $B7 &amp; "'!N$14")</f>
        <v>23</v>
      </c>
      <c r="N7" s="5" cm="1">
        <f t="array" aca="1" ref="N7" ca="1">INDIRECT("'results" &amp; $B7 &amp; "'!O$14")</f>
        <v>83.333333333333329</v>
      </c>
      <c r="O7" s="5" cm="1">
        <f t="array" aca="1" ref="O7" ca="1">INDIRECT("'results" &amp; $B7 &amp; "'!P$14")</f>
        <v>280.40190834258851</v>
      </c>
      <c r="P7" s="5" cm="1">
        <f t="array" aca="1" ref="P7" ca="1">INDIRECT("'results" &amp; $B7 &amp; "'!Q$14")</f>
        <v>20.879001819612288</v>
      </c>
      <c r="Q7" s="5" cm="1">
        <f t="array" aca="1" ref="Q7" ca="1">INDIRECT("'results" &amp; $B7 &amp; "'!R$14")</f>
        <v>4574.565712636605</v>
      </c>
      <c r="R7" s="5"/>
      <c r="S7" s="5" cm="1">
        <f t="array" aca="1" ref="S7" ca="1">INDIRECT("'results" &amp; $B7 &amp; "'!T$14")</f>
        <v>1563524.304728773</v>
      </c>
      <c r="T7" s="5" cm="1">
        <f t="array" aca="1" ref="T7" ca="1">INDIRECT("'results" &amp; $B7 &amp; "'!U$14")</f>
        <v>279.9877987799934</v>
      </c>
      <c r="U7" s="5" cm="1">
        <f t="array" aca="1" ref="U7" ca="1">INDIRECT("'results" &amp; $B7 &amp; "'!V$14")</f>
        <v>13</v>
      </c>
      <c r="V7" s="5" cm="1">
        <f t="array" aca="1" ref="V7" ca="1">INDIRECT("'results" &amp; $B7 &amp; "'!W$14")</f>
        <v>81.333333333333329</v>
      </c>
      <c r="W7" s="5" cm="1">
        <f t="array" aca="1" ref="W7" ca="1">INDIRECT("'results" &amp; $B7 &amp; "'!X$14")</f>
        <v>922.40119180112367</v>
      </c>
      <c r="X7" s="5" cm="1">
        <f t="array" aca="1" ref="X7" ca="1">INDIRECT("'results" &amp; $B7 &amp; "'!Y$14")</f>
        <v>62.011679232080141</v>
      </c>
      <c r="Y7" s="5" cm="1">
        <f t="array" aca="1" ref="Y7" ca="1">INDIRECT("'results" &amp; $B7 &amp; "'!Z$14")</f>
        <v>6430.1118435724948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1109174.084444887</v>
      </c>
      <c r="D8" s="33" cm="1">
        <f t="array" aca="1" ref="D8" ca="1">INDIRECT("'results" &amp; $B8 &amp; "'!E$14")</f>
        <v>288.43918659999042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546.21249789908541</v>
      </c>
      <c r="H8" s="33" cm="1">
        <f t="array" aca="1" ref="H8" ca="1">INDIRECT("'results" &amp; $B8 &amp; "'!I$14")</f>
        <v>46.523123798038554</v>
      </c>
      <c r="I8" s="5" cm="1">
        <f t="array" aca="1" ref="I8" ca="1">INDIRECT("'results" &amp; $B8 &amp; "'!J$14")</f>
        <v>5681.9443473768242</v>
      </c>
      <c r="J8" s="5"/>
      <c r="K8" s="5" cm="1">
        <f t="array" aca="1" ref="K8" ca="1">INDIRECT("'results" &amp; $B8 &amp; "'!L$14")</f>
        <v>1545922.3965462011</v>
      </c>
      <c r="L8" s="5" cm="1">
        <f t="array" aca="1" ref="L8" ca="1">INDIRECT("'results" &amp; $B8 &amp; "'!M$14")</f>
        <v>296.03931559999478</v>
      </c>
      <c r="M8" s="5" cm="1">
        <f t="array" aca="1" ref="M8" ca="1">INDIRECT("'results" &amp; $B8 &amp; "'!N$14")</f>
        <v>27</v>
      </c>
      <c r="N8" s="5" cm="1">
        <f t="array" aca="1" ref="N8" ca="1">INDIRECT("'results" &amp; $B8 &amp; "'!O$14")</f>
        <v>83.333333333333329</v>
      </c>
      <c r="O8" s="5" cm="1">
        <f t="array" aca="1" ref="O8" ca="1">INDIRECT("'results" &amp; $B8 &amp; "'!P$14")</f>
        <v>358.92234039704857</v>
      </c>
      <c r="P8" s="5" cm="1">
        <f t="array" aca="1" ref="P8" ca="1">INDIRECT("'results" &amp; $B8 &amp; "'!Q$14")</f>
        <v>17.009614524245023</v>
      </c>
      <c r="Q8" s="5" cm="1">
        <f t="array" aca="1" ref="Q8" ca="1">INDIRECT("'results" &amp; $B8 &amp; "'!R$14")</f>
        <v>4493.3176097555524</v>
      </c>
      <c r="R8" s="5"/>
      <c r="S8" s="5" cm="1">
        <f t="array" aca="1" ref="S8" ca="1">INDIRECT("'results" &amp; $B8 &amp; "'!T$14")</f>
        <v>1558972.741662466</v>
      </c>
      <c r="T8" s="5" cm="1">
        <f t="array" aca="1" ref="T8" ca="1">INDIRECT("'results" &amp; $B8 &amp; "'!U$14")</f>
        <v>489.16750691998743</v>
      </c>
      <c r="U8" s="5" cm="1">
        <f t="array" aca="1" ref="U8" ca="1">INDIRECT("'results" &amp; $B8 &amp; "'!V$14")</f>
        <v>15</v>
      </c>
      <c r="V8" s="5" cm="1">
        <f t="array" aca="1" ref="V8" ca="1">INDIRECT("'results" &amp; $B8 &amp; "'!W$14")</f>
        <v>83.333333333333329</v>
      </c>
      <c r="W8" s="5" cm="1">
        <f t="array" aca="1" ref="W8" ca="1">INDIRECT("'results" &amp; $B8 &amp; "'!X$14")</f>
        <v>1120.192281615932</v>
      </c>
      <c r="X8" s="5" cm="1">
        <f t="array" aca="1" ref="X8" ca="1">INDIRECT("'results" &amp; $B8 &amp; "'!Y$14")</f>
        <v>58.494523179146427</v>
      </c>
      <c r="Y8" s="5" cm="1">
        <f t="array" aca="1" ref="Y8" ca="1">INDIRECT("'results" &amp; $B8 &amp; "'!Z$14")</f>
        <v>6556.6110684651294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1046515.472792777</v>
      </c>
      <c r="D9" s="33" cm="1">
        <f t="array" aca="1" ref="D9" ca="1">INDIRECT("'results" &amp; $B9 &amp; "'!E$14")</f>
        <v>467.08091895999377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364.63398462770698</v>
      </c>
      <c r="H9" s="33" cm="1">
        <f t="array" aca="1" ref="H9" ca="1">INDIRECT("'results" &amp; $B9 &amp; "'!I$14")</f>
        <v>37.408747131984477</v>
      </c>
      <c r="I9" s="5" cm="1">
        <f t="array" aca="1" ref="I9" ca="1">INDIRECT("'results" &amp; $B9 &amp; "'!J$14")</f>
        <v>4866.3761466063479</v>
      </c>
      <c r="J9" s="5"/>
      <c r="K9" s="5" cm="1">
        <f t="array" aca="1" ref="K9" ca="1">INDIRECT("'results" &amp; $B9 &amp; "'!L$14")</f>
        <v>1475233.2307520341</v>
      </c>
      <c r="L9" s="5" cm="1">
        <f t="array" aca="1" ref="L9" ca="1">INDIRECT("'results" &amp; $B9 &amp; "'!M$14")</f>
        <v>234.45393404001379</v>
      </c>
      <c r="M9" s="5" cm="1">
        <f t="array" aca="1" ref="M9" ca="1">INDIRECT("'results" &amp; $B9 &amp; "'!N$14")</f>
        <v>25</v>
      </c>
      <c r="N9" s="5" cm="1">
        <f t="array" aca="1" ref="N9" ca="1">INDIRECT("'results" &amp; $B9 &amp; "'!O$14")</f>
        <v>86</v>
      </c>
      <c r="O9" s="5" cm="1">
        <f t="array" aca="1" ref="O9" ca="1">INDIRECT("'results" &amp; $B9 &amp; "'!P$14")</f>
        <v>352.32908932619063</v>
      </c>
      <c r="P9" s="5" cm="1">
        <f t="array" aca="1" ref="P9" ca="1">INDIRECT("'results" &amp; $B9 &amp; "'!Q$14")</f>
        <v>18.155458158935993</v>
      </c>
      <c r="Q9" s="5" cm="1">
        <f t="array" aca="1" ref="Q9" ca="1">INDIRECT("'results" &amp; $B9 &amp; "'!R$14")</f>
        <v>4574.2800605603106</v>
      </c>
      <c r="R9" s="5"/>
      <c r="S9" s="5" cm="1">
        <f t="array" aca="1" ref="S9" ca="1">INDIRECT("'results" &amp; $B9 &amp; "'!T$14")</f>
        <v>1486909.7854637769</v>
      </c>
      <c r="T9" s="5" cm="1">
        <f t="array" aca="1" ref="T9" ca="1">INDIRECT("'results" &amp; $B9 &amp; "'!U$14")</f>
        <v>387.1994887599954</v>
      </c>
      <c r="U9" s="5" cm="1">
        <f t="array" aca="1" ref="U9" ca="1">INDIRECT("'results" &amp; $B9 &amp; "'!V$14")</f>
        <v>16</v>
      </c>
      <c r="V9" s="5" cm="1">
        <f t="array" aca="1" ref="V9" ca="1">INDIRECT("'results" &amp; $B9 &amp; "'!W$14")</f>
        <v>86</v>
      </c>
      <c r="W9" s="5" cm="1">
        <f t="array" aca="1" ref="W9" ca="1">INDIRECT("'results" &amp; $B9 &amp; "'!X$14")</f>
        <v>950.30696685356111</v>
      </c>
      <c r="X9" s="5" cm="1">
        <f t="array" aca="1" ref="X9" ca="1">INDIRECT("'results" &amp; $B9 &amp; "'!Y$14")</f>
        <v>55.549860580989431</v>
      </c>
      <c r="Y9" s="5" cm="1">
        <f t="array" aca="1" ref="Y9" ca="1">INDIRECT("'results" &amp; $B9 &amp; "'!Z$14")</f>
        <v>6207.5934961701505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1295685.380306324</v>
      </c>
      <c r="D10" s="33" cm="1">
        <f t="array" aca="1" ref="D10" ca="1">INDIRECT("'results" &amp; $B10 &amp; "'!E$14")</f>
        <v>317.36297822000921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558.9151076202794</v>
      </c>
      <c r="H10" s="33" cm="1">
        <f t="array" aca="1" ref="H10" ca="1">INDIRECT("'results" &amp; $B10 &amp; "'!I$14")</f>
        <v>34.222952634548705</v>
      </c>
      <c r="I10" s="5" cm="1">
        <f t="array" aca="1" ref="I10" ca="1">INDIRECT("'results" &amp; $B10 &amp; "'!J$14")</f>
        <v>5744.9556589577269</v>
      </c>
      <c r="J10" s="5"/>
      <c r="K10" s="5" cm="1">
        <f t="array" aca="1" ref="K10" ca="1">INDIRECT("'results" &amp; $B10 &amp; "'!L$14")</f>
        <v>1526959.3305236029</v>
      </c>
      <c r="L10" s="5" cm="1">
        <f t="array" aca="1" ref="L10" ca="1">INDIRECT("'results" &amp; $B10 &amp; "'!M$14")</f>
        <v>441.60056701998701</v>
      </c>
      <c r="M10" s="5" cm="1">
        <f t="array" aca="1" ref="M10" ca="1">INDIRECT("'results" &amp; $B10 &amp; "'!N$14")</f>
        <v>25</v>
      </c>
      <c r="N10" s="5" cm="1">
        <f t="array" aca="1" ref="N10" ca="1">INDIRECT("'results" &amp; $B10 &amp; "'!O$14")</f>
        <v>88</v>
      </c>
      <c r="O10" s="5" cm="1">
        <f t="array" aca="1" ref="O10" ca="1">INDIRECT("'results" &amp; $B10 &amp; "'!P$14")</f>
        <v>587.16997702999186</v>
      </c>
      <c r="P10" s="5" cm="1">
        <f t="array" aca="1" ref="P10" ca="1">INDIRECT("'results" &amp; $B10 &amp; "'!Q$14")</f>
        <v>19.513520031629398</v>
      </c>
      <c r="Q10" s="5" cm="1">
        <f t="array" aca="1" ref="Q10" ca="1">INDIRECT("'results" &amp; $B10 &amp; "'!R$14")</f>
        <v>5154.1423360467652</v>
      </c>
      <c r="R10" s="5"/>
      <c r="S10" s="5" cm="1">
        <f t="array" aca="1" ref="S10" ca="1">INDIRECT("'results" &amp; $B10 &amp; "'!T$14")</f>
        <v>1706967.741199567</v>
      </c>
      <c r="T10" s="5" cm="1">
        <f t="array" aca="1" ref="T10" ca="1">INDIRECT("'results" &amp; $B10 &amp; "'!U$14")</f>
        <v>114.87386328000575</v>
      </c>
      <c r="U10" s="5" cm="1">
        <f t="array" aca="1" ref="U10" ca="1">INDIRECT("'results" &amp; $B10 &amp; "'!V$14")</f>
        <v>12</v>
      </c>
      <c r="V10" s="5" cm="1">
        <f t="array" aca="1" ref="V10" ca="1">INDIRECT("'results" &amp; $B10 &amp; "'!W$14")</f>
        <v>75.333333333333329</v>
      </c>
      <c r="W10" s="5" cm="1">
        <f t="array" aca="1" ref="W10" ca="1">INDIRECT("'results" &amp; $B10 &amp; "'!X$14")</f>
        <v>915.66040329203372</v>
      </c>
      <c r="X10" s="5" cm="1">
        <f t="array" aca="1" ref="X10" ca="1">INDIRECT("'results" &amp; $B10 &amp; "'!Y$14")</f>
        <v>48.920910596319089</v>
      </c>
      <c r="Y10" s="5" cm="1">
        <f t="array" aca="1" ref="Y10" ca="1">INDIRECT("'results" &amp; $B10 &amp; "'!Z$14")</f>
        <v>6531.4531676617107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1168815.9378534721</v>
      </c>
      <c r="D11" s="33" cm="1">
        <f t="array" aca="1" ref="D11" ca="1">INDIRECT("'results" &amp; $B11 &amp; "'!E$14")</f>
        <v>254.69789970000278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94.666666666666671</v>
      </c>
      <c r="G11" s="5" cm="1">
        <f t="array" aca="1" ref="G11" ca="1">INDIRECT("'results" &amp; $B11 &amp; "'!H$14")</f>
        <v>398.63514892840021</v>
      </c>
      <c r="H11" s="33" cm="1">
        <f t="array" aca="1" ref="H11" ca="1">INDIRECT("'results" &amp; $B11 &amp; "'!I$14")</f>
        <v>40.605468390842283</v>
      </c>
      <c r="I11" s="5" cm="1">
        <f t="array" aca="1" ref="I11" ca="1">INDIRECT("'results" &amp; $B11 &amp; "'!J$14")</f>
        <v>5479.9902392924632</v>
      </c>
      <c r="J11" s="5"/>
      <c r="K11" s="5" cm="1">
        <f t="array" aca="1" ref="K11" ca="1">INDIRECT("'results" &amp; $B11 &amp; "'!L$14")</f>
        <v>1441803.54965499</v>
      </c>
      <c r="L11" s="5" cm="1">
        <f t="array" aca="1" ref="L11" ca="1">INDIRECT("'results" &amp; $B11 &amp; "'!M$14")</f>
        <v>502.38248495999721</v>
      </c>
      <c r="M11" s="5" cm="1">
        <f t="array" aca="1" ref="M11" ca="1">INDIRECT("'results" &amp; $B11 &amp; "'!N$14")</f>
        <v>22</v>
      </c>
      <c r="N11" s="5" cm="1">
        <f t="array" aca="1" ref="N11" ca="1">INDIRECT("'results" &amp; $B11 &amp; "'!O$14")</f>
        <v>86</v>
      </c>
      <c r="O11" s="5" cm="1">
        <f t="array" aca="1" ref="O11" ca="1">INDIRECT("'results" &amp; $B11 &amp; "'!P$14")</f>
        <v>364.73535145570946</v>
      </c>
      <c r="P11" s="5" cm="1">
        <f t="array" aca="1" ref="P11" ca="1">INDIRECT("'results" &amp; $B11 &amp; "'!Q$14")</f>
        <v>20.715302434167906</v>
      </c>
      <c r="Q11" s="5" cm="1">
        <f t="array" aca="1" ref="Q11" ca="1">INDIRECT("'results" &amp; $B11 &amp; "'!R$14")</f>
        <v>4755.8985655655315</v>
      </c>
      <c r="R11" s="5"/>
      <c r="S11" s="5" cm="1">
        <f t="array" aca="1" ref="S11" ca="1">INDIRECT("'results" &amp; $B11 &amp; "'!T$14")</f>
        <v>1523945.1217853699</v>
      </c>
      <c r="T11" s="5" cm="1">
        <f t="array" aca="1" ref="T11" ca="1">INDIRECT("'results" &amp; $B11 &amp; "'!U$14")</f>
        <v>242.65761883999221</v>
      </c>
      <c r="U11" s="5" cm="1">
        <f t="array" aca="1" ref="U11" ca="1">INDIRECT("'results" &amp; $B11 &amp; "'!V$14")</f>
        <v>14</v>
      </c>
      <c r="V11" s="5" cm="1">
        <f t="array" aca="1" ref="V11" ca="1">INDIRECT("'results" &amp; $B11 &amp; "'!W$14")</f>
        <v>84</v>
      </c>
      <c r="W11" s="5" cm="1">
        <f t="array" aca="1" ref="W11" ca="1">INDIRECT("'results" &amp; $B11 &amp; "'!X$14")</f>
        <v>922.0949389515489</v>
      </c>
      <c r="X11" s="5" cm="1">
        <f t="array" aca="1" ref="X11" ca="1">INDIRECT("'results" &amp; $B11 &amp; "'!Y$14")</f>
        <v>57.658630544622028</v>
      </c>
      <c r="Y11" s="5" cm="1">
        <f t="array" aca="1" ref="Y11" ca="1">INDIRECT("'results" &amp; $B11 &amp; "'!Z$14")</f>
        <v>6446.4691835225585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1207454.3716814709</v>
      </c>
      <c r="D12" s="33" cm="1">
        <f t="array" aca="1" ref="D12" ca="1">INDIRECT("'results" &amp; $B12 &amp; "'!E$14")</f>
        <v>110.53574692001567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377.77077794581396</v>
      </c>
      <c r="H12" s="33" cm="1">
        <f t="array" aca="1" ref="H12" ca="1">INDIRECT("'results" &amp; $B12 &amp; "'!I$14")</f>
        <v>38.438377991390709</v>
      </c>
      <c r="I12" s="5" cm="1">
        <f t="array" aca="1" ref="I12" ca="1">INDIRECT("'results" &amp; $B12 &amp; "'!J$14")</f>
        <v>5471.2172078051572</v>
      </c>
      <c r="J12" s="5"/>
      <c r="K12" s="5" cm="1">
        <f t="array" aca="1" ref="K12" ca="1">INDIRECT("'results" &amp; $B12 &amp; "'!L$14")</f>
        <v>1511453.4328471471</v>
      </c>
      <c r="L12" s="5" cm="1">
        <f t="array" aca="1" ref="L12" ca="1">INDIRECT("'results" &amp; $B12 &amp; "'!M$14")</f>
        <v>208.71010852002081</v>
      </c>
      <c r="M12" s="5" cm="1">
        <f t="array" aca="1" ref="M12" ca="1">INDIRECT("'results" &amp; $B12 &amp; "'!N$14")</f>
        <v>23</v>
      </c>
      <c r="N12" s="5" cm="1">
        <f t="array" aca="1" ref="N12" ca="1">INDIRECT("'results" &amp; $B12 &amp; "'!O$14")</f>
        <v>84</v>
      </c>
      <c r="O12" s="5" cm="1">
        <f t="array" aca="1" ref="O12" ca="1">INDIRECT("'results" &amp; $B12 &amp; "'!P$14")</f>
        <v>340.22866024092707</v>
      </c>
      <c r="P12" s="5" cm="1">
        <f t="array" aca="1" ref="P12" ca="1">INDIRECT("'results" &amp; $B12 &amp; "'!Q$14")</f>
        <v>17.355081777996254</v>
      </c>
      <c r="Q12" s="5" cm="1">
        <f t="array" aca="1" ref="Q12" ca="1">INDIRECT("'results" &amp; $B12 &amp; "'!R$14")</f>
        <v>4660.7753243395427</v>
      </c>
      <c r="R12" s="5"/>
      <c r="S12" s="5" cm="1">
        <f t="array" aca="1" ref="S12" ca="1">INDIRECT("'results" &amp; $B12 &amp; "'!T$14")</f>
        <v>1657063.3092443049</v>
      </c>
      <c r="T12" s="5" cm="1">
        <f t="array" aca="1" ref="T12" ca="1">INDIRECT("'results" &amp; $B12 &amp; "'!U$14")</f>
        <v>175.42891188000795</v>
      </c>
      <c r="U12" s="5" cm="1">
        <f t="array" aca="1" ref="U12" ca="1">INDIRECT("'results" &amp; $B12 &amp; "'!V$14")</f>
        <v>11</v>
      </c>
      <c r="V12" s="5" cm="1">
        <f t="array" aca="1" ref="V12" ca="1">INDIRECT("'results" &amp; $B12 &amp; "'!W$14")</f>
        <v>76</v>
      </c>
      <c r="W12" s="5" cm="1">
        <f t="array" aca="1" ref="W12" ca="1">INDIRECT("'results" &amp; $B12 &amp; "'!X$14")</f>
        <v>908.40666573681347</v>
      </c>
      <c r="X12" s="5" cm="1">
        <f t="array" aca="1" ref="X12" ca="1">INDIRECT("'results" &amp; $B12 &amp; "'!Y$14")</f>
        <v>55.68246768010966</v>
      </c>
      <c r="Y12" s="5" cm="1">
        <f t="array" aca="1" ref="Y12" ca="1">INDIRECT("'results" &amp; $B12 &amp; "'!Z$14")</f>
        <v>6415.0109921954499</v>
      </c>
      <c r="Z12" s="5"/>
    </row>
    <row r="13" spans="2:26" x14ac:dyDescent="0.2">
      <c r="B13" s="8" t="s">
        <v>3</v>
      </c>
      <c r="C13" s="9">
        <f ca="1">AVERAGE(C3:C12)</f>
        <v>1136911.2815311528</v>
      </c>
      <c r="D13" s="10">
        <f t="shared" ref="D13:I13" ca="1" si="0">AVERAGE(D3:D12)</f>
        <v>210.58956673600247</v>
      </c>
      <c r="E13" s="9">
        <f t="shared" ca="1" si="0"/>
        <v>13.2</v>
      </c>
      <c r="F13" s="9">
        <f t="shared" ca="1" si="0"/>
        <v>95.333333333333329</v>
      </c>
      <c r="G13" s="9">
        <f t="shared" ca="1" si="0"/>
        <v>400.1065389811418</v>
      </c>
      <c r="H13" s="10">
        <f t="shared" ca="1" si="0"/>
        <v>40.702047316971608</v>
      </c>
      <c r="I13" s="9">
        <f t="shared" ca="1" si="0"/>
        <v>5350.1883017782193</v>
      </c>
      <c r="J13" s="32" t="e">
        <f ca="1">(C13-$D$15)/$D$15</f>
        <v>#DIV/0!</v>
      </c>
      <c r="K13" s="16">
        <f ca="1">AVERAGE(K3:K12)</f>
        <v>1499255.1452363643</v>
      </c>
      <c r="L13" s="42">
        <f t="shared" ref="L13:Q13" ca="1" si="1">AVERAGE(L3:L12)</f>
        <v>347.25455110000212</v>
      </c>
      <c r="M13" s="16">
        <f t="shared" ca="1" si="1"/>
        <v>24.8</v>
      </c>
      <c r="N13" s="16">
        <f ca="1">AVERAGE(N3:N12)</f>
        <v>85.26666666666668</v>
      </c>
      <c r="O13" s="16">
        <f t="shared" ca="1" si="1"/>
        <v>377.22766683147586</v>
      </c>
      <c r="P13" s="42">
        <f t="shared" ca="1" si="1"/>
        <v>18.548684089156954</v>
      </c>
      <c r="Q13" s="16">
        <f t="shared" ca="1" si="1"/>
        <v>4651.1461460744586</v>
      </c>
      <c r="R13" s="43" t="e">
        <f ca="1">(K13-$D$15)/$D$15</f>
        <v>#DIV/0!</v>
      </c>
      <c r="S13" s="38">
        <f ca="1">AVERAGE(S3:S12)</f>
        <v>1546127.7269172757</v>
      </c>
      <c r="T13" s="44">
        <f t="shared" ref="T13:Y13" ca="1" si="2">AVERAGE(T3:T12)</f>
        <v>282.47892131799716</v>
      </c>
      <c r="U13" s="38">
        <f t="shared" ca="1" si="2"/>
        <v>14.1</v>
      </c>
      <c r="V13" s="38">
        <f t="shared" ca="1" si="2"/>
        <v>82.933333333333337</v>
      </c>
      <c r="W13" s="38">
        <f t="shared" ca="1" si="2"/>
        <v>964.00369491067488</v>
      </c>
      <c r="X13" s="44">
        <f t="shared" ca="1" si="2"/>
        <v>55.727914984992559</v>
      </c>
      <c r="Y13" s="38">
        <f t="shared" ca="1" si="2"/>
        <v>6379.1431216563788</v>
      </c>
      <c r="Z13" s="45" t="e">
        <f ca="1">(S13-$D$15)/$D$15</f>
        <v>#DIV/0!</v>
      </c>
    </row>
    <row r="14" spans="2:26" x14ac:dyDescent="0.2">
      <c r="K14" s="46">
        <f ca="1">(K13-C13)/C13</f>
        <v>0.31870900534755831</v>
      </c>
      <c r="L14" s="46">
        <f t="shared" ref="L14:Q14" ca="1" si="3">(L13-D13)/D13</f>
        <v>0.64896369977969737</v>
      </c>
      <c r="M14" s="46">
        <f t="shared" ca="1" si="3"/>
        <v>0.8787878787878789</v>
      </c>
      <c r="N14" s="46">
        <f t="shared" ca="1" si="3"/>
        <v>-0.10559440559440542</v>
      </c>
      <c r="O14" s="46">
        <f t="shared" ca="1" si="3"/>
        <v>-5.7181950107404483E-2</v>
      </c>
      <c r="P14" s="46">
        <f t="shared" ca="1" si="3"/>
        <v>-0.54428130003616126</v>
      </c>
      <c r="Q14" s="46">
        <f t="shared" ca="1" si="3"/>
        <v>-0.13065748647976055</v>
      </c>
      <c r="S14" s="46">
        <f ca="1">(S13-C13)/C13</f>
        <v>0.35993700830816311</v>
      </c>
      <c r="T14" s="46">
        <f t="shared" ref="T14:Y14" ca="1" si="4">(T13-D13)/D13</f>
        <v>0.34137187181792356</v>
      </c>
      <c r="U14" s="46">
        <f t="shared" ca="1" si="4"/>
        <v>6.8181818181818218E-2</v>
      </c>
      <c r="V14" s="46">
        <f ca="1">(V13-F13)/F13</f>
        <v>-0.13006993006992998</v>
      </c>
      <c r="W14" s="46">
        <f t="shared" ca="1" si="4"/>
        <v>1.4093675083778403</v>
      </c>
      <c r="X14" s="46">
        <f t="shared" ca="1" si="4"/>
        <v>0.36916736770033642</v>
      </c>
      <c r="Y14" s="46">
        <f t="shared" ca="1" si="4"/>
        <v>0.19232123466311835</v>
      </c>
    </row>
    <row r="16" spans="2:26" x14ac:dyDescent="0.2">
      <c r="B16" s="1" t="s">
        <v>21</v>
      </c>
      <c r="C16">
        <f ca="1">_xlfn.STDEV.S(C3:C12)</f>
        <v>91332.492135595632</v>
      </c>
      <c r="J16" s="1" t="s">
        <v>21</v>
      </c>
      <c r="K16">
        <f ca="1">_xlfn.STDEV.S(K3:K12)</f>
        <v>61828.573717282823</v>
      </c>
      <c r="R16" s="1" t="s">
        <v>21</v>
      </c>
      <c r="S16">
        <f ca="1">_xlfn.STDEV.S(S3:S12)</f>
        <v>101407.98778276065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EA07-50A1-4986-9EA2-C71186940272}">
  <dimension ref="B1:AA17"/>
  <sheetViews>
    <sheetView zoomScale="90" zoomScaleNormal="90" workbookViewId="0">
      <selection activeCell="U19" sqref="U19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-0.95949602609236362</v>
      </c>
      <c r="J2" s="28" t="e">
        <f>(S14-J14)/J14</f>
        <v>#DIV/0!</v>
      </c>
      <c r="K2" s="28"/>
      <c r="L2" s="1" t="s">
        <v>19</v>
      </c>
      <c r="P2" s="1">
        <f>(P14-H14)/H14</f>
        <v>0.13312743037258265</v>
      </c>
      <c r="R2" s="1">
        <f>(R14-J14)/J14</f>
        <v>-0.12904806112861006</v>
      </c>
      <c r="T2" s="1" t="s">
        <v>20</v>
      </c>
      <c r="X2" s="1">
        <f>(X14-P14)/P14</f>
        <v>1.3674943061468219</v>
      </c>
      <c r="Z2" s="1">
        <f>(Z14-R14)/R14</f>
        <v>0.38362856058910977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106</v>
      </c>
      <c r="D4" s="23">
        <v>1126682.9916717601</v>
      </c>
      <c r="E4" s="33">
        <v>166.3656988200033</v>
      </c>
      <c r="F4" s="5">
        <v>11</v>
      </c>
      <c r="G4" s="23">
        <v>94.666666666666671</v>
      </c>
      <c r="H4" s="33">
        <v>336.77922459537615</v>
      </c>
      <c r="I4" s="23">
        <v>48.507401519347461</v>
      </c>
      <c r="J4" s="5">
        <v>5529.4543143216943</v>
      </c>
      <c r="K4" s="31"/>
      <c r="L4" s="23">
        <v>1541608.7345008559</v>
      </c>
      <c r="M4" s="33">
        <v>488.54532383999322</v>
      </c>
      <c r="N4" s="5">
        <v>26</v>
      </c>
      <c r="O4" s="5">
        <v>85.333333333333329</v>
      </c>
      <c r="P4" s="33">
        <v>512.48635229519323</v>
      </c>
      <c r="Q4" s="5">
        <v>17.932472477132553</v>
      </c>
      <c r="R4" s="5">
        <v>4778.6595125874483</v>
      </c>
      <c r="S4" s="35"/>
      <c r="T4" s="23">
        <v>1555573.9085276611</v>
      </c>
      <c r="U4" s="33">
        <v>228.3688143800012</v>
      </c>
      <c r="V4" s="5">
        <v>14</v>
      </c>
      <c r="W4" s="5">
        <v>82.666666666666671</v>
      </c>
      <c r="X4" s="33">
        <v>1053.2778915245331</v>
      </c>
      <c r="Y4" s="5">
        <v>56.184394426734251</v>
      </c>
      <c r="Z4" s="5">
        <v>6392.6780510182434</v>
      </c>
      <c r="AA4" s="35"/>
    </row>
    <row r="5" spans="2:27" x14ac:dyDescent="0.2">
      <c r="B5" s="4">
        <v>2</v>
      </c>
      <c r="C5" s="4">
        <v>241</v>
      </c>
      <c r="D5" s="23">
        <v>1140194.5183981869</v>
      </c>
      <c r="E5" s="33">
        <v>81.849294200004081</v>
      </c>
      <c r="F5" s="5">
        <v>13</v>
      </c>
      <c r="G5" s="23">
        <v>96</v>
      </c>
      <c r="H5" s="33">
        <v>423.61272103173121</v>
      </c>
      <c r="I5" s="23">
        <v>40.965421033500107</v>
      </c>
      <c r="J5" s="5">
        <v>5480.572578356896</v>
      </c>
      <c r="K5" s="31"/>
      <c r="L5" s="23">
        <v>1541019.2168862219</v>
      </c>
      <c r="M5" s="33">
        <v>168.11701511999127</v>
      </c>
      <c r="N5" s="5">
        <v>24</v>
      </c>
      <c r="O5" s="5">
        <v>81.333333333333329</v>
      </c>
      <c r="P5" s="33">
        <v>324.59629455193749</v>
      </c>
      <c r="Q5" s="5">
        <v>18.331255579898343</v>
      </c>
      <c r="R5" s="5">
        <v>4501.142716843161</v>
      </c>
      <c r="S5" s="35"/>
      <c r="T5" s="23">
        <v>1617203.5668047131</v>
      </c>
      <c r="U5" s="33">
        <v>266.31571205999938</v>
      </c>
      <c r="V5" s="5">
        <v>14</v>
      </c>
      <c r="W5" s="5">
        <v>81.333333333333329</v>
      </c>
      <c r="X5" s="33">
        <v>1173.928501553155</v>
      </c>
      <c r="Y5" s="5">
        <v>55.553970336791807</v>
      </c>
      <c r="Z5" s="5">
        <v>6535.4341092604373</v>
      </c>
      <c r="AA5" s="35"/>
    </row>
    <row r="6" spans="2:27" x14ac:dyDescent="0.2">
      <c r="B6" s="4">
        <v>3</v>
      </c>
      <c r="C6" s="4">
        <v>265</v>
      </c>
      <c r="D6" s="23">
        <v>1167993.3274551539</v>
      </c>
      <c r="E6" s="33">
        <v>178.78267377999146</v>
      </c>
      <c r="F6" s="5">
        <v>13</v>
      </c>
      <c r="G6" s="23">
        <v>95.333333333333329</v>
      </c>
      <c r="H6" s="33">
        <v>494.306991640175</v>
      </c>
      <c r="I6" s="23">
        <v>41.470094722359512</v>
      </c>
      <c r="J6" s="5">
        <v>5518.7756020208144</v>
      </c>
      <c r="K6" s="31"/>
      <c r="L6" s="23">
        <v>1530070.064012612</v>
      </c>
      <c r="M6" s="33">
        <v>178.30220067999326</v>
      </c>
      <c r="N6" s="5">
        <v>25</v>
      </c>
      <c r="O6" s="5">
        <v>83.333333333333329</v>
      </c>
      <c r="P6" s="33">
        <v>353.98785217647077</v>
      </c>
      <c r="Q6" s="5">
        <v>18.22132455197276</v>
      </c>
      <c r="R6" s="5">
        <v>4580.5239890406128</v>
      </c>
      <c r="S6" s="35"/>
      <c r="T6" s="23">
        <v>1607056.707891067</v>
      </c>
      <c r="U6" s="33">
        <v>83.408266720001123</v>
      </c>
      <c r="V6" s="5">
        <v>11</v>
      </c>
      <c r="W6" s="5">
        <v>76</v>
      </c>
      <c r="X6" s="33">
        <v>796.95551103365256</v>
      </c>
      <c r="Y6" s="5">
        <v>62.905956704166897</v>
      </c>
      <c r="Z6" s="5">
        <v>6251.6203825620059</v>
      </c>
      <c r="AA6" s="35"/>
    </row>
    <row r="7" spans="2:27" x14ac:dyDescent="0.2">
      <c r="B7" s="4">
        <v>4</v>
      </c>
      <c r="C7" s="4">
        <v>646</v>
      </c>
      <c r="D7" s="23">
        <v>1145004.826358499</v>
      </c>
      <c r="E7" s="33">
        <v>47.443965779989959</v>
      </c>
      <c r="F7" s="5">
        <v>12</v>
      </c>
      <c r="G7" s="23">
        <v>95.333333333333329</v>
      </c>
      <c r="H7" s="33">
        <v>453.54915844727441</v>
      </c>
      <c r="I7" s="23">
        <v>44.190442852894499</v>
      </c>
      <c r="J7" s="5">
        <v>5531.243710689313</v>
      </c>
      <c r="K7" s="31"/>
      <c r="L7" s="23">
        <v>1554878.601755356</v>
      </c>
      <c r="M7" s="33">
        <v>95.213366060005498</v>
      </c>
      <c r="N7" s="5">
        <v>25</v>
      </c>
      <c r="O7" s="5">
        <v>83.333333333333329</v>
      </c>
      <c r="P7" s="33">
        <v>353.08069152444045</v>
      </c>
      <c r="Q7" s="5">
        <v>17.579969421359412</v>
      </c>
      <c r="R7" s="5">
        <v>4719.7992244861707</v>
      </c>
      <c r="S7" s="35"/>
      <c r="T7" s="23">
        <v>1569396.57084881</v>
      </c>
      <c r="U7" s="33">
        <v>108.69666613999289</v>
      </c>
      <c r="V7" s="5">
        <v>14</v>
      </c>
      <c r="W7" s="5">
        <v>82</v>
      </c>
      <c r="X7" s="33">
        <v>1139.3209519147599</v>
      </c>
      <c r="Y7" s="5">
        <v>56.069273374253768</v>
      </c>
      <c r="Z7" s="5">
        <v>6331.4261939424177</v>
      </c>
      <c r="AA7" s="35"/>
    </row>
    <row r="8" spans="2:27" x14ac:dyDescent="0.2">
      <c r="B8" s="4">
        <v>5</v>
      </c>
      <c r="C8" s="4">
        <v>900</v>
      </c>
      <c r="D8" s="23">
        <v>1146765.4914571249</v>
      </c>
      <c r="E8" s="33">
        <v>82.198479119990964</v>
      </c>
      <c r="F8" s="5">
        <v>12</v>
      </c>
      <c r="G8" s="23">
        <v>96</v>
      </c>
      <c r="H8" s="33">
        <v>507.39293161293085</v>
      </c>
      <c r="I8" s="23">
        <v>43.725784427109069</v>
      </c>
      <c r="J8" s="5">
        <v>5574.8072158781706</v>
      </c>
      <c r="K8" s="31"/>
      <c r="L8" s="23">
        <v>1523531.4642931779</v>
      </c>
      <c r="M8" s="33">
        <v>163.42637914000079</v>
      </c>
      <c r="N8" s="5">
        <v>27</v>
      </c>
      <c r="O8" s="5">
        <v>85.333333333333329</v>
      </c>
      <c r="P8" s="33">
        <v>360.85767584098772</v>
      </c>
      <c r="Q8" s="5">
        <v>17.272210119617071</v>
      </c>
      <c r="R8" s="5">
        <v>4566.8340784399334</v>
      </c>
      <c r="S8" s="35"/>
      <c r="T8" s="23">
        <v>1537048.6897092769</v>
      </c>
      <c r="U8" s="33">
        <v>346.56610333999862</v>
      </c>
      <c r="V8" s="5">
        <v>15</v>
      </c>
      <c r="W8" s="5">
        <v>85.333333333333329</v>
      </c>
      <c r="X8" s="33">
        <v>1136.186698404101</v>
      </c>
      <c r="Y8" s="5">
        <v>55.896357040032264</v>
      </c>
      <c r="Z8" s="5">
        <v>6482.3549888635989</v>
      </c>
      <c r="AA8" s="35"/>
    </row>
    <row r="9" spans="2:27" x14ac:dyDescent="0.2">
      <c r="B9" s="4">
        <v>6</v>
      </c>
      <c r="C9" s="4">
        <v>450</v>
      </c>
      <c r="D9" s="23">
        <v>1106574.174858863</v>
      </c>
      <c r="E9" s="33">
        <v>68.140085800015356</v>
      </c>
      <c r="F9" s="5">
        <v>12</v>
      </c>
      <c r="G9" s="23">
        <v>96</v>
      </c>
      <c r="H9" s="33">
        <v>423.52788010826777</v>
      </c>
      <c r="I9" s="23">
        <v>44.143835549105489</v>
      </c>
      <c r="J9" s="5">
        <v>5379.2174669544975</v>
      </c>
      <c r="K9" s="31"/>
      <c r="L9" s="23">
        <v>1552563.357497039</v>
      </c>
      <c r="M9" s="33">
        <v>174.84368944000454</v>
      </c>
      <c r="N9" s="5">
        <v>25</v>
      </c>
      <c r="O9" s="5">
        <v>84.666666666666671</v>
      </c>
      <c r="P9" s="33">
        <v>520.26504471178396</v>
      </c>
      <c r="Q9" s="5">
        <v>18.19346567005185</v>
      </c>
      <c r="R9" s="5">
        <v>4835.4255926065316</v>
      </c>
      <c r="S9" s="35"/>
      <c r="T9" s="23">
        <v>1642560.6448519861</v>
      </c>
      <c r="U9" s="33">
        <v>117.17842076000525</v>
      </c>
      <c r="V9" s="5">
        <v>11</v>
      </c>
      <c r="W9" s="5">
        <v>76</v>
      </c>
      <c r="X9" s="33">
        <v>931.82109265059216</v>
      </c>
      <c r="Y9" s="5">
        <v>60.836529998003783</v>
      </c>
      <c r="Z9" s="5">
        <v>6432.3199480701423</v>
      </c>
      <c r="AA9" s="35"/>
    </row>
    <row r="10" spans="2:27" x14ac:dyDescent="0.2">
      <c r="B10" s="4">
        <v>7</v>
      </c>
      <c r="C10" s="4">
        <v>991</v>
      </c>
      <c r="D10" s="23">
        <v>1172424.1568015921</v>
      </c>
      <c r="E10" s="33">
        <v>126.77229558001272</v>
      </c>
      <c r="F10" s="5">
        <v>12</v>
      </c>
      <c r="G10" s="23">
        <v>96</v>
      </c>
      <c r="H10" s="33">
        <v>535.66666903239764</v>
      </c>
      <c r="I10" s="23">
        <v>43.889826807413932</v>
      </c>
      <c r="J10" s="5">
        <v>5716.0599050135706</v>
      </c>
      <c r="K10" s="31"/>
      <c r="L10" s="23">
        <v>1561852.9716039479</v>
      </c>
      <c r="M10" s="33">
        <v>177.13250296001789</v>
      </c>
      <c r="N10" s="5">
        <v>23</v>
      </c>
      <c r="O10" s="5">
        <v>80.666666666666671</v>
      </c>
      <c r="P10" s="33">
        <v>433.7896645962341</v>
      </c>
      <c r="Q10" s="5">
        <v>18.526367591734303</v>
      </c>
      <c r="R10" s="5">
        <v>4571.7548634761106</v>
      </c>
      <c r="S10" s="35"/>
      <c r="T10" s="23">
        <v>1579512.1195018729</v>
      </c>
      <c r="U10" s="33">
        <v>139.08334922000068</v>
      </c>
      <c r="V10" s="5">
        <v>13</v>
      </c>
      <c r="W10" s="5">
        <v>80.666666666666671</v>
      </c>
      <c r="X10" s="33">
        <v>1009.7069398335523</v>
      </c>
      <c r="Y10" s="5">
        <v>55.678407423610551</v>
      </c>
      <c r="Z10" s="5">
        <v>6358.6247894416629</v>
      </c>
      <c r="AA10" s="35"/>
    </row>
    <row r="11" spans="2:27" x14ac:dyDescent="0.2">
      <c r="B11" s="4">
        <v>8</v>
      </c>
      <c r="C11" s="4">
        <v>258</v>
      </c>
      <c r="D11" s="23">
        <v>1126723.2517943981</v>
      </c>
      <c r="E11" s="33">
        <v>314.02970845999664</v>
      </c>
      <c r="F11" s="5">
        <v>11</v>
      </c>
      <c r="G11" s="23">
        <v>94.666666666666671</v>
      </c>
      <c r="H11" s="33">
        <v>336.06936544044657</v>
      </c>
      <c r="I11" s="23">
        <v>48.475348011358122</v>
      </c>
      <c r="J11" s="5">
        <v>5527.5275537583129</v>
      </c>
      <c r="K11" s="31"/>
      <c r="L11" s="23">
        <v>1595940.1771686219</v>
      </c>
      <c r="M11" s="33">
        <v>105.62772547998466</v>
      </c>
      <c r="N11" s="5">
        <v>22</v>
      </c>
      <c r="O11" s="5">
        <v>78.666666666666671</v>
      </c>
      <c r="P11" s="33">
        <v>423.66185924157827</v>
      </c>
      <c r="Q11" s="5">
        <v>19.093049750087051</v>
      </c>
      <c r="R11" s="5">
        <v>4629.5569949418341</v>
      </c>
      <c r="S11" s="35"/>
      <c r="T11" s="23">
        <v>1563794.592912921</v>
      </c>
      <c r="U11" s="33">
        <v>388.04088844000364</v>
      </c>
      <c r="V11" s="5">
        <v>15</v>
      </c>
      <c r="W11" s="5">
        <v>84.666666666666671</v>
      </c>
      <c r="X11" s="33">
        <v>1192.3083547219364</v>
      </c>
      <c r="Y11" s="5">
        <v>54.674598891640088</v>
      </c>
      <c r="Z11" s="5">
        <v>6519.7112740961647</v>
      </c>
      <c r="AA11" s="35"/>
    </row>
    <row r="12" spans="2:27" x14ac:dyDescent="0.2">
      <c r="B12" s="4">
        <v>9</v>
      </c>
      <c r="C12" s="4">
        <v>156</v>
      </c>
      <c r="D12" s="23">
        <v>1139834.559835281</v>
      </c>
      <c r="E12" s="33">
        <v>180.76983823999763</v>
      </c>
      <c r="F12" s="5">
        <v>12</v>
      </c>
      <c r="G12" s="23">
        <v>96</v>
      </c>
      <c r="H12" s="33">
        <v>487.56460763627973</v>
      </c>
      <c r="I12" s="23">
        <v>43.675053534058115</v>
      </c>
      <c r="J12" s="5">
        <v>5516.2670008107343</v>
      </c>
      <c r="K12" s="31"/>
      <c r="L12" s="23">
        <v>1582261.135304956</v>
      </c>
      <c r="M12" s="33">
        <v>158.44164368000347</v>
      </c>
      <c r="N12" s="5">
        <v>27</v>
      </c>
      <c r="O12" s="5">
        <v>86</v>
      </c>
      <c r="P12" s="33">
        <v>643.96622201719333</v>
      </c>
      <c r="Q12" s="5">
        <v>17.342886335622936</v>
      </c>
      <c r="R12" s="5">
        <v>4887.3906031255656</v>
      </c>
      <c r="S12" s="35"/>
      <c r="T12" s="23">
        <v>1564229.639292961</v>
      </c>
      <c r="U12" s="33">
        <v>630.97659269999724</v>
      </c>
      <c r="V12" s="5">
        <v>15</v>
      </c>
      <c r="W12" s="5">
        <v>84</v>
      </c>
      <c r="X12" s="33">
        <v>1172.4918114643137</v>
      </c>
      <c r="Y12" s="5">
        <v>54.42077466558537</v>
      </c>
      <c r="Z12" s="5">
        <v>6443.4359392924034</v>
      </c>
      <c r="AA12" s="35"/>
    </row>
    <row r="13" spans="2:27" x14ac:dyDescent="0.2">
      <c r="B13" s="4">
        <v>10</v>
      </c>
      <c r="C13" s="4">
        <v>225</v>
      </c>
      <c r="D13" s="23">
        <v>1123333.276713135</v>
      </c>
      <c r="E13" s="33">
        <v>94.123947020014739</v>
      </c>
      <c r="F13" s="5">
        <v>13</v>
      </c>
      <c r="G13" s="23">
        <v>96</v>
      </c>
      <c r="H13" s="33">
        <v>394.77085697360735</v>
      </c>
      <c r="I13" s="23">
        <v>40.672127989224698</v>
      </c>
      <c r="J13" s="5">
        <v>5377.7060292424949</v>
      </c>
      <c r="K13" s="31"/>
      <c r="L13" s="23">
        <v>1510933.6187437519</v>
      </c>
      <c r="M13" s="33">
        <v>183.7781991600059</v>
      </c>
      <c r="N13" s="5">
        <v>28</v>
      </c>
      <c r="O13" s="5">
        <v>88</v>
      </c>
      <c r="P13" s="33">
        <v>479.91105847822871</v>
      </c>
      <c r="Q13" s="5">
        <v>17.154562205061854</v>
      </c>
      <c r="R13" s="5">
        <v>4685.0398824548665</v>
      </c>
      <c r="S13" s="35"/>
      <c r="T13" s="23">
        <v>1627598.4210993741</v>
      </c>
      <c r="U13" s="33">
        <v>204.4343166799984</v>
      </c>
      <c r="V13" s="5">
        <v>12</v>
      </c>
      <c r="W13" s="5">
        <v>77.333333333333329</v>
      </c>
      <c r="X13" s="33">
        <v>909.78500206279966</v>
      </c>
      <c r="Y13" s="5">
        <v>59.60886134622757</v>
      </c>
      <c r="Z13" s="5">
        <v>6353.2349194547969</v>
      </c>
      <c r="AA13" s="35"/>
    </row>
    <row r="14" spans="2:27" x14ac:dyDescent="0.2">
      <c r="B14" s="47" t="s">
        <v>3</v>
      </c>
      <c r="C14" s="48"/>
      <c r="D14" s="9">
        <f>MIN(D4:D13)</f>
        <v>1106574.174858863</v>
      </c>
      <c r="E14" s="22">
        <f>INDEX(E4:E13, MATCH($D$14, D4:D13, 0))</f>
        <v>68.140085800015356</v>
      </c>
      <c r="F14" s="9">
        <f>INDEX(F4:F13, MATCH($D$14, D4:D13, 0))</f>
        <v>12</v>
      </c>
      <c r="G14" s="9">
        <f>INDEX(G4:G13, MATCH($D$14, D4:D13, 0))</f>
        <v>96</v>
      </c>
      <c r="H14" s="22">
        <f>INDEX(H4:H13, MATCH($D$14, D4:D13, 0))</f>
        <v>423.52788010826777</v>
      </c>
      <c r="I14" s="22">
        <f>INDEX(I4:I13, MATCH($D$14, D4:D13, 0))</f>
        <v>44.143835549105489</v>
      </c>
      <c r="J14" s="22">
        <f>INDEX(J4:J13, MATCH($D$14, D4:D13, 0))</f>
        <v>5379.2174669544975</v>
      </c>
      <c r="K14" s="32" t="e">
        <f>(D14-$D$15)/$D$15</f>
        <v>#DIV/0!</v>
      </c>
      <c r="L14" s="16">
        <f>MIN(L4:L13)</f>
        <v>1510933.6187437519</v>
      </c>
      <c r="M14" s="21">
        <f>INDEX(M4:M13, MATCH($L$14, L4:L13, 0))</f>
        <v>183.7781991600059</v>
      </c>
      <c r="N14" s="16">
        <f>INDEX(N4:N13, MATCH($L$14, L4:L13, 0))</f>
        <v>28</v>
      </c>
      <c r="O14" s="16">
        <f>INDEX(O4:O13, MATCH($L$14, L4:L13, 0))</f>
        <v>88</v>
      </c>
      <c r="P14" s="21">
        <f>INDEX(P4:P13, MATCH($L$14, L4:L13, 0))</f>
        <v>479.91105847822871</v>
      </c>
      <c r="Q14" s="21">
        <f>INDEX(Q4:Q13, MATCH($L$14, L4:L13, 0))</f>
        <v>17.154562205061854</v>
      </c>
      <c r="R14" s="21">
        <f>INDEX(R4:R13, MATCH($L$14, L4:L13, 0))</f>
        <v>4685.0398824548665</v>
      </c>
      <c r="S14" s="36" t="e">
        <f>(L14-$D$15)/$D$15</f>
        <v>#DIV/0!</v>
      </c>
      <c r="T14" s="38">
        <f>MIN(T4:T13)</f>
        <v>1537048.6897092769</v>
      </c>
      <c r="U14" s="39">
        <f>INDEX(U4:U13, MATCH($T$14, T4:T13, 0))</f>
        <v>346.56610333999862</v>
      </c>
      <c r="V14" s="38">
        <f>INDEX(V4:V13, MATCH($T$14, T4:T13, 0))</f>
        <v>15</v>
      </c>
      <c r="W14" s="38">
        <f>INDEX(W4:W13, MATCH($T$14, T4:T13, 0))</f>
        <v>85.333333333333329</v>
      </c>
      <c r="X14" s="39">
        <f>INDEX(X4:X13, MATCH($T$14, T4:T13, 0))</f>
        <v>1136.186698404101</v>
      </c>
      <c r="Y14" s="39">
        <f>INDEX(Y4:Y13, MATCH($T$14, T4:T13, 0))</f>
        <v>55.896357040032264</v>
      </c>
      <c r="Z14" s="39">
        <f>INDEX(Z4:Z13, MATCH($T$14, T4:T13, 0))</f>
        <v>6482.3549888635989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0.36541557996910828</v>
      </c>
      <c r="M15" s="41">
        <f t="shared" ref="M15:R15" si="0">(M14-E14)/E14</f>
        <v>1.6970643931881353</v>
      </c>
      <c r="N15" s="41">
        <f t="shared" si="0"/>
        <v>1.3333333333333333</v>
      </c>
      <c r="O15" s="41">
        <f t="shared" si="0"/>
        <v>-8.3333333333333329E-2</v>
      </c>
      <c r="P15" s="41">
        <f t="shared" si="0"/>
        <v>0.13312743037258265</v>
      </c>
      <c r="Q15" s="41">
        <f t="shared" si="0"/>
        <v>-0.61139393549119303</v>
      </c>
      <c r="R15" s="41">
        <f t="shared" si="0"/>
        <v>-0.12904806112861006</v>
      </c>
      <c r="T15" s="41">
        <f>(T14-D14)/D14</f>
        <v>0.38901550807049912</v>
      </c>
      <c r="U15" s="41">
        <f t="shared" ref="U15:Z15" si="1">(U14-E14)/E14</f>
        <v>4.086082579307825</v>
      </c>
      <c r="V15" s="41">
        <f t="shared" si="1"/>
        <v>0.25</v>
      </c>
      <c r="W15" s="41">
        <f t="shared" si="1"/>
        <v>-0.11111111111111116</v>
      </c>
      <c r="X15" s="41">
        <f t="shared" si="1"/>
        <v>1.6826727395458689</v>
      </c>
      <c r="Y15" s="41">
        <f t="shared" si="1"/>
        <v>0.26623245000659945</v>
      </c>
      <c r="Z15" s="41">
        <f t="shared" si="1"/>
        <v>0.20507397752291556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11" priority="3"/>
    <cfRule type="duplicateValues" dxfId="110" priority="4"/>
  </conditionalFormatting>
  <conditionalFormatting sqref="C14">
    <cfRule type="duplicateValues" dxfId="109" priority="1"/>
    <cfRule type="duplicateValues" dxfId="10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BA95-4882-4A73-B507-5DAD88B941FB}">
  <dimension ref="B1:AA17"/>
  <sheetViews>
    <sheetView zoomScale="90" zoomScaleNormal="90" workbookViewId="0">
      <selection activeCell="U19" sqref="U19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-0.84865354810919669</v>
      </c>
      <c r="J2" s="28" t="e">
        <f>(S14-J14)/J14</f>
        <v>#DIV/0!</v>
      </c>
      <c r="K2" s="28"/>
      <c r="L2" s="1" t="s">
        <v>19</v>
      </c>
      <c r="P2" s="1">
        <f>(P14-H14)/H14</f>
        <v>0.59000500061117822</v>
      </c>
      <c r="R2" s="1">
        <f>(R14-J14)/J14</f>
        <v>-0.10651177692882148</v>
      </c>
      <c r="T2" s="1" t="s">
        <v>20</v>
      </c>
      <c r="X2" s="1">
        <f>(X14-P14)/P14</f>
        <v>3.718005230340478</v>
      </c>
      <c r="Z2" s="1">
        <f>(Z14-R14)/R14</f>
        <v>0.44791917859131547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784</v>
      </c>
      <c r="D4" s="23">
        <v>1046653.860037205</v>
      </c>
      <c r="E4" s="33">
        <v>77.834836740000185</v>
      </c>
      <c r="F4" s="5">
        <v>12</v>
      </c>
      <c r="G4" s="23">
        <v>96</v>
      </c>
      <c r="H4" s="33">
        <v>273.1035087478096</v>
      </c>
      <c r="I4" s="23">
        <v>37.696699590542764</v>
      </c>
      <c r="J4" s="5">
        <v>5037.7151119702748</v>
      </c>
      <c r="K4" s="31"/>
      <c r="L4" s="23">
        <v>1414603.834135483</v>
      </c>
      <c r="M4" s="33">
        <v>215.48014990000519</v>
      </c>
      <c r="N4" s="5">
        <v>24</v>
      </c>
      <c r="O4" s="5">
        <v>86.666666666666671</v>
      </c>
      <c r="P4" s="33">
        <v>261.46536454537113</v>
      </c>
      <c r="Q4" s="5">
        <v>16.358480560365322</v>
      </c>
      <c r="R4" s="5">
        <v>4374.7146453304376</v>
      </c>
      <c r="S4" s="35"/>
      <c r="T4" s="23">
        <v>1408951.7032791129</v>
      </c>
      <c r="U4" s="33">
        <v>96.82815816000803</v>
      </c>
      <c r="V4" s="5">
        <v>12</v>
      </c>
      <c r="W4" s="5">
        <v>87.333333333333329</v>
      </c>
      <c r="X4" s="33">
        <v>841.73453581091258</v>
      </c>
      <c r="Y4" s="5">
        <v>59.584046766918988</v>
      </c>
      <c r="Z4" s="5">
        <v>6274.4176781027563</v>
      </c>
      <c r="AA4" s="35"/>
    </row>
    <row r="5" spans="2:27" x14ac:dyDescent="0.2">
      <c r="B5" s="4">
        <v>2</v>
      </c>
      <c r="C5" s="4">
        <v>857</v>
      </c>
      <c r="D5" s="23">
        <v>975030.25964622875</v>
      </c>
      <c r="E5" s="33">
        <v>63.673078299989001</v>
      </c>
      <c r="F5" s="5">
        <v>11</v>
      </c>
      <c r="G5" s="23">
        <v>96</v>
      </c>
      <c r="H5" s="33">
        <v>181.62937635581511</v>
      </c>
      <c r="I5" s="23">
        <v>41.090355711073329</v>
      </c>
      <c r="J5" s="5">
        <v>4740.3882847012428</v>
      </c>
      <c r="K5" s="31"/>
      <c r="L5" s="23">
        <v>1456293.4266319601</v>
      </c>
      <c r="M5" s="33">
        <v>485.87332991999585</v>
      </c>
      <c r="N5" s="5">
        <v>24</v>
      </c>
      <c r="O5" s="5">
        <v>84</v>
      </c>
      <c r="P5" s="33">
        <v>245.18945213772929</v>
      </c>
      <c r="Q5" s="5">
        <v>16.492000033357151</v>
      </c>
      <c r="R5" s="5">
        <v>4290.6734873545847</v>
      </c>
      <c r="S5" s="35"/>
      <c r="T5" s="23">
        <v>1376785.7382378399</v>
      </c>
      <c r="U5" s="33">
        <v>108.53891701999819</v>
      </c>
      <c r="V5" s="5">
        <v>11</v>
      </c>
      <c r="W5" s="5">
        <v>84.666666666666671</v>
      </c>
      <c r="X5" s="33">
        <v>563.22292406723489</v>
      </c>
      <c r="Y5" s="5">
        <v>59.204024818506397</v>
      </c>
      <c r="Z5" s="5">
        <v>5871.0819257801804</v>
      </c>
      <c r="AA5" s="35"/>
    </row>
    <row r="6" spans="2:27" x14ac:dyDescent="0.2">
      <c r="B6" s="4">
        <v>3</v>
      </c>
      <c r="C6" s="4">
        <v>979</v>
      </c>
      <c r="D6" s="23">
        <v>975030.25964622875</v>
      </c>
      <c r="E6" s="33">
        <v>47.062638380005964</v>
      </c>
      <c r="F6" s="5">
        <v>11</v>
      </c>
      <c r="G6" s="23">
        <v>96</v>
      </c>
      <c r="H6" s="33">
        <v>181.62937635581511</v>
      </c>
      <c r="I6" s="23">
        <v>41.090355711073329</v>
      </c>
      <c r="J6" s="5">
        <v>4740.3882847012428</v>
      </c>
      <c r="K6" s="31"/>
      <c r="L6" s="23">
        <v>1448976.267686235</v>
      </c>
      <c r="M6" s="33">
        <v>110.61311869998462</v>
      </c>
      <c r="N6" s="5">
        <v>22</v>
      </c>
      <c r="O6" s="5">
        <v>82</v>
      </c>
      <c r="P6" s="33">
        <v>258.04899157547152</v>
      </c>
      <c r="Q6" s="5">
        <v>16.866787356727624</v>
      </c>
      <c r="R6" s="5">
        <v>4096.2263298920279</v>
      </c>
      <c r="S6" s="35"/>
      <c r="T6" s="23">
        <v>1377662.6376488879</v>
      </c>
      <c r="U6" s="33">
        <v>137.39749395999826</v>
      </c>
      <c r="V6" s="5">
        <v>11</v>
      </c>
      <c r="W6" s="5">
        <v>85.333333333333329</v>
      </c>
      <c r="X6" s="33">
        <v>619.51540401877332</v>
      </c>
      <c r="Y6" s="5">
        <v>59.919263688751407</v>
      </c>
      <c r="Z6" s="5">
        <v>5952.5733642083851</v>
      </c>
      <c r="AA6" s="35"/>
    </row>
    <row r="7" spans="2:27" x14ac:dyDescent="0.2">
      <c r="B7" s="4">
        <v>4</v>
      </c>
      <c r="C7" s="4">
        <v>365</v>
      </c>
      <c r="D7" s="23">
        <v>968127.96556841256</v>
      </c>
      <c r="E7" s="33">
        <v>56.77496492001228</v>
      </c>
      <c r="F7" s="5">
        <v>11</v>
      </c>
      <c r="G7" s="23">
        <v>96</v>
      </c>
      <c r="H7" s="33">
        <v>148.27568864938823</v>
      </c>
      <c r="I7" s="23">
        <v>41.044499047729488</v>
      </c>
      <c r="J7" s="5">
        <v>4730.6926525659674</v>
      </c>
      <c r="K7" s="31"/>
      <c r="L7" s="23">
        <v>1392042.665064215</v>
      </c>
      <c r="M7" s="33">
        <v>297.96787823999762</v>
      </c>
      <c r="N7" s="5">
        <v>25</v>
      </c>
      <c r="O7" s="5">
        <v>88.666666666666671</v>
      </c>
      <c r="P7" s="33">
        <v>298.62773167491878</v>
      </c>
      <c r="Q7" s="5">
        <v>15.899402566737574</v>
      </c>
      <c r="R7" s="5">
        <v>4401.6860566642345</v>
      </c>
      <c r="S7" s="35"/>
      <c r="T7" s="23">
        <v>1341752.4200153579</v>
      </c>
      <c r="U7" s="33">
        <v>141.96590208000271</v>
      </c>
      <c r="V7" s="5">
        <v>11</v>
      </c>
      <c r="W7" s="5">
        <v>86.666666666666671</v>
      </c>
      <c r="X7" s="33">
        <v>615.7867921654763</v>
      </c>
      <c r="Y7" s="5">
        <v>61.04104655248215</v>
      </c>
      <c r="Z7" s="5">
        <v>5894.9820794948237</v>
      </c>
      <c r="AA7" s="35"/>
    </row>
    <row r="8" spans="2:27" x14ac:dyDescent="0.2">
      <c r="B8" s="4">
        <v>5</v>
      </c>
      <c r="C8" s="4">
        <v>218</v>
      </c>
      <c r="D8" s="23">
        <v>985289.4411093418</v>
      </c>
      <c r="E8" s="33">
        <v>113.45433155999054</v>
      </c>
      <c r="F8" s="5">
        <v>11</v>
      </c>
      <c r="G8" s="23">
        <v>96</v>
      </c>
      <c r="H8" s="33">
        <v>141.89025809120915</v>
      </c>
      <c r="I8" s="23">
        <v>40.833445667701973</v>
      </c>
      <c r="J8" s="5">
        <v>4840.8344972644027</v>
      </c>
      <c r="K8" s="31"/>
      <c r="L8" s="23">
        <v>1373259.798393758</v>
      </c>
      <c r="M8" s="33">
        <v>238.17871828000062</v>
      </c>
      <c r="N8" s="5">
        <v>26</v>
      </c>
      <c r="O8" s="5">
        <v>89.333333333333329</v>
      </c>
      <c r="P8" s="33">
        <v>239.14893571392199</v>
      </c>
      <c r="Q8" s="5">
        <v>15.650332803883202</v>
      </c>
      <c r="R8" s="5">
        <v>4264.9840737657796</v>
      </c>
      <c r="S8" s="35"/>
      <c r="T8" s="23">
        <v>1358073.6514841609</v>
      </c>
      <c r="U8" s="33">
        <v>96.279126239998746</v>
      </c>
      <c r="V8" s="5">
        <v>11</v>
      </c>
      <c r="W8" s="5">
        <v>86</v>
      </c>
      <c r="X8" s="33">
        <v>596.80898069515786</v>
      </c>
      <c r="Y8" s="5">
        <v>59.847163619695564</v>
      </c>
      <c r="Z8" s="5">
        <v>5925.1916160113833</v>
      </c>
      <c r="AA8" s="35"/>
    </row>
    <row r="9" spans="2:27" x14ac:dyDescent="0.2">
      <c r="B9" s="4">
        <v>6</v>
      </c>
      <c r="C9" s="4">
        <v>330</v>
      </c>
      <c r="D9" s="23">
        <v>1065543.2000822199</v>
      </c>
      <c r="E9" s="33">
        <v>51.898463119985536</v>
      </c>
      <c r="F9" s="5">
        <v>11</v>
      </c>
      <c r="G9" s="23">
        <v>96</v>
      </c>
      <c r="H9" s="33">
        <v>290.95749174819264</v>
      </c>
      <c r="I9" s="23">
        <v>41.36941416029223</v>
      </c>
      <c r="J9" s="5">
        <v>5268.3047633131764</v>
      </c>
      <c r="K9" s="31"/>
      <c r="L9" s="23">
        <v>1383951.9916072071</v>
      </c>
      <c r="M9" s="33">
        <v>222.19968451999597</v>
      </c>
      <c r="N9" s="5">
        <v>26</v>
      </c>
      <c r="O9" s="5">
        <v>88</v>
      </c>
      <c r="P9" s="33">
        <v>218.703209594241</v>
      </c>
      <c r="Q9" s="5">
        <v>15.367373016893655</v>
      </c>
      <c r="R9" s="5">
        <v>4142.5678015742524</v>
      </c>
      <c r="S9" s="35"/>
      <c r="T9" s="23">
        <v>1347234.2801862161</v>
      </c>
      <c r="U9" s="33">
        <v>233.32058720000782</v>
      </c>
      <c r="V9" s="5">
        <v>12</v>
      </c>
      <c r="W9" s="5">
        <v>86.666666666666671</v>
      </c>
      <c r="X9" s="33">
        <v>624.93901306290172</v>
      </c>
      <c r="Y9" s="5">
        <v>58.500560897769311</v>
      </c>
      <c r="Z9" s="5">
        <v>5841.5209920896068</v>
      </c>
      <c r="AA9" s="35"/>
    </row>
    <row r="10" spans="2:27" x14ac:dyDescent="0.2">
      <c r="B10" s="4">
        <v>7</v>
      </c>
      <c r="C10" s="4">
        <v>72</v>
      </c>
      <c r="D10" s="23">
        <v>997141.10041163792</v>
      </c>
      <c r="E10" s="33">
        <v>59.416751780011701</v>
      </c>
      <c r="F10" s="5">
        <v>13</v>
      </c>
      <c r="G10" s="23">
        <v>96</v>
      </c>
      <c r="H10" s="33">
        <v>164.93566833506719</v>
      </c>
      <c r="I10" s="23">
        <v>34.692524458310984</v>
      </c>
      <c r="J10" s="5">
        <v>4645.2145271131722</v>
      </c>
      <c r="K10" s="31"/>
      <c r="L10" s="23">
        <v>1374137.0352015111</v>
      </c>
      <c r="M10" s="33">
        <v>224.0364084800006</v>
      </c>
      <c r="N10" s="5">
        <v>26</v>
      </c>
      <c r="O10" s="5">
        <v>88.666666666666671</v>
      </c>
      <c r="P10" s="33">
        <v>215.44383917618711</v>
      </c>
      <c r="Q10" s="5">
        <v>15.511436018371548</v>
      </c>
      <c r="R10" s="5">
        <v>4172.1220053549741</v>
      </c>
      <c r="S10" s="35"/>
      <c r="T10" s="23">
        <v>1368069.967255852</v>
      </c>
      <c r="U10" s="33">
        <v>107.91060354000656</v>
      </c>
      <c r="V10" s="5">
        <v>11</v>
      </c>
      <c r="W10" s="5">
        <v>85.333333333333329</v>
      </c>
      <c r="X10" s="33">
        <v>583.53569810734348</v>
      </c>
      <c r="Y10" s="5">
        <v>60.121777798924519</v>
      </c>
      <c r="Z10" s="5">
        <v>5924.286518665258</v>
      </c>
      <c r="AA10" s="35"/>
    </row>
    <row r="11" spans="2:27" x14ac:dyDescent="0.2">
      <c r="B11" s="4">
        <v>8</v>
      </c>
      <c r="C11" s="4">
        <v>169</v>
      </c>
      <c r="D11" s="23">
        <v>961863.05624849012</v>
      </c>
      <c r="E11" s="33">
        <v>87.108391440007836</v>
      </c>
      <c r="F11" s="5">
        <v>12</v>
      </c>
      <c r="G11" s="23">
        <v>96</v>
      </c>
      <c r="H11" s="33">
        <v>107.20985967235805</v>
      </c>
      <c r="I11" s="23">
        <v>37.78329131050139</v>
      </c>
      <c r="J11" s="5">
        <v>4585.4596356402853</v>
      </c>
      <c r="K11" s="31"/>
      <c r="L11" s="23">
        <v>1378299.049749794</v>
      </c>
      <c r="M11" s="33">
        <v>304.23169797998861</v>
      </c>
      <c r="N11" s="5">
        <v>23</v>
      </c>
      <c r="O11" s="5">
        <v>84.666666666666671</v>
      </c>
      <c r="P11" s="33">
        <v>101.68936539899931</v>
      </c>
      <c r="Q11" s="5">
        <v>16.448344218804976</v>
      </c>
      <c r="R11" s="5">
        <v>4000.2852981714204</v>
      </c>
      <c r="S11" s="35"/>
      <c r="T11" s="23">
        <v>1326925.4323988729</v>
      </c>
      <c r="U11" s="33">
        <v>271.13104423999323</v>
      </c>
      <c r="V11" s="5">
        <v>12</v>
      </c>
      <c r="W11" s="5">
        <v>89.333333333333329</v>
      </c>
      <c r="X11" s="33">
        <v>734.8604234452273</v>
      </c>
      <c r="Y11" s="5">
        <v>60.811254086832271</v>
      </c>
      <c r="Z11" s="5">
        <v>6061.1103602974044</v>
      </c>
      <c r="AA11" s="35"/>
    </row>
    <row r="12" spans="2:27" x14ac:dyDescent="0.2">
      <c r="B12" s="4">
        <v>9</v>
      </c>
      <c r="C12" s="4">
        <v>18</v>
      </c>
      <c r="D12" s="23">
        <v>968127.96556841256</v>
      </c>
      <c r="E12" s="33">
        <v>62.795331799983977</v>
      </c>
      <c r="F12" s="5">
        <v>11</v>
      </c>
      <c r="G12" s="23">
        <v>96</v>
      </c>
      <c r="H12" s="33">
        <v>148.27568864938823</v>
      </c>
      <c r="I12" s="23">
        <v>41.044499047729488</v>
      </c>
      <c r="J12" s="5">
        <v>4730.6926525659674</v>
      </c>
      <c r="K12" s="31"/>
      <c r="L12" s="23">
        <v>1375103.8220297249</v>
      </c>
      <c r="M12" s="33">
        <v>181.67328689999414</v>
      </c>
      <c r="N12" s="5">
        <v>23</v>
      </c>
      <c r="O12" s="5">
        <v>85.333333333333329</v>
      </c>
      <c r="P12" s="33">
        <v>147.27143122783082</v>
      </c>
      <c r="Q12" s="5">
        <v>16.399500929050923</v>
      </c>
      <c r="R12" s="5">
        <v>4076.7015201673476</v>
      </c>
      <c r="S12" s="35"/>
      <c r="T12" s="23">
        <v>1325349.6617429</v>
      </c>
      <c r="U12" s="33">
        <v>315.0064581400016</v>
      </c>
      <c r="V12" s="5">
        <v>14</v>
      </c>
      <c r="W12" s="5">
        <v>90.666666666666671</v>
      </c>
      <c r="X12" s="33">
        <v>804.25104849096135</v>
      </c>
      <c r="Y12" s="5">
        <v>53.316112014812767</v>
      </c>
      <c r="Z12" s="5">
        <v>5932.2033255745791</v>
      </c>
      <c r="AA12" s="35"/>
    </row>
    <row r="13" spans="2:27" x14ac:dyDescent="0.2">
      <c r="B13" s="4">
        <v>10</v>
      </c>
      <c r="C13" s="4">
        <v>785</v>
      </c>
      <c r="D13" s="23">
        <v>968127.96556841256</v>
      </c>
      <c r="E13" s="33">
        <v>84.7331085999962</v>
      </c>
      <c r="F13" s="5">
        <v>11</v>
      </c>
      <c r="G13" s="23">
        <v>96</v>
      </c>
      <c r="H13" s="33">
        <v>148.27568864938823</v>
      </c>
      <c r="I13" s="23">
        <v>41.044499047729488</v>
      </c>
      <c r="J13" s="5">
        <v>4730.6926525659674</v>
      </c>
      <c r="K13" s="31"/>
      <c r="L13" s="23">
        <v>1363823.595863732</v>
      </c>
      <c r="M13" s="33">
        <v>202.8155646399828</v>
      </c>
      <c r="N13" s="5">
        <v>24</v>
      </c>
      <c r="O13" s="5">
        <v>86.666666666666671</v>
      </c>
      <c r="P13" s="33">
        <v>170.464212993872</v>
      </c>
      <c r="Q13" s="5">
        <v>16.225831869122317</v>
      </c>
      <c r="R13" s="5">
        <v>4097.0541818128522</v>
      </c>
      <c r="S13" s="35"/>
      <c r="T13" s="23">
        <v>1405566.220157366</v>
      </c>
      <c r="U13" s="33">
        <v>226.24974934000062</v>
      </c>
      <c r="V13" s="5">
        <v>12</v>
      </c>
      <c r="W13" s="5">
        <v>86</v>
      </c>
      <c r="X13" s="33">
        <v>737.70523992511676</v>
      </c>
      <c r="Y13" s="5">
        <v>56.3474884175372</v>
      </c>
      <c r="Z13" s="5">
        <v>6065.5738264182464</v>
      </c>
      <c r="AA13" s="35"/>
    </row>
    <row r="14" spans="2:27" x14ac:dyDescent="0.2">
      <c r="B14" s="47" t="s">
        <v>3</v>
      </c>
      <c r="C14" s="48"/>
      <c r="D14" s="9">
        <f>MIN(D4:D13)</f>
        <v>961863.05624849012</v>
      </c>
      <c r="E14" s="22">
        <f>INDEX(E4:E13, MATCH($D$14, D4:D13, 0))</f>
        <v>87.108391440007836</v>
      </c>
      <c r="F14" s="9">
        <f>INDEX(F4:F13, MATCH($D$14, D4:D13, 0))</f>
        <v>12</v>
      </c>
      <c r="G14" s="9">
        <f>INDEX(G4:G13, MATCH($D$14, D4:D13, 0))</f>
        <v>96</v>
      </c>
      <c r="H14" s="22">
        <f>INDEX(H4:H13, MATCH($D$14, D4:D13, 0))</f>
        <v>107.20985967235805</v>
      </c>
      <c r="I14" s="22">
        <f>INDEX(I4:I13, MATCH($D$14, D4:D13, 0))</f>
        <v>37.78329131050139</v>
      </c>
      <c r="J14" s="22">
        <f>INDEX(J4:J13, MATCH($D$14, D4:D13, 0))</f>
        <v>4585.4596356402853</v>
      </c>
      <c r="K14" s="32" t="e">
        <f>(D14-$D$15)/$D$15</f>
        <v>#DIV/0!</v>
      </c>
      <c r="L14" s="16">
        <f>MIN(L4:L13)</f>
        <v>1363823.595863732</v>
      </c>
      <c r="M14" s="21">
        <f>INDEX(M4:M13, MATCH($L$14, L4:L13, 0))</f>
        <v>202.8155646399828</v>
      </c>
      <c r="N14" s="16">
        <f>INDEX(N4:N13, MATCH($L$14, L4:L13, 0))</f>
        <v>24</v>
      </c>
      <c r="O14" s="16">
        <f>INDEX(O4:O13, MATCH($L$14, L4:L13, 0))</f>
        <v>86.666666666666671</v>
      </c>
      <c r="P14" s="21">
        <f>INDEX(P4:P13, MATCH($L$14, L4:L13, 0))</f>
        <v>170.464212993872</v>
      </c>
      <c r="Q14" s="21">
        <f>INDEX(Q4:Q13, MATCH($L$14, L4:L13, 0))</f>
        <v>16.225831869122317</v>
      </c>
      <c r="R14" s="21">
        <f>INDEX(R4:R13, MATCH($L$14, L4:L13, 0))</f>
        <v>4097.0541818128522</v>
      </c>
      <c r="S14" s="36" t="e">
        <f>(L14-$D$15)/$D$15</f>
        <v>#DIV/0!</v>
      </c>
      <c r="T14" s="38">
        <f>MIN(T4:T13)</f>
        <v>1325349.6617429</v>
      </c>
      <c r="U14" s="39">
        <f>INDEX(U4:U13, MATCH($T$14, T4:T13, 0))</f>
        <v>315.0064581400016</v>
      </c>
      <c r="V14" s="38">
        <f>INDEX(V4:V13, MATCH($T$14, T4:T13, 0))</f>
        <v>14</v>
      </c>
      <c r="W14" s="38">
        <f>INDEX(W4:W13, MATCH($T$14, T4:T13, 0))</f>
        <v>90.666666666666671</v>
      </c>
      <c r="X14" s="39">
        <f>INDEX(X4:X13, MATCH($T$14, T4:T13, 0))</f>
        <v>804.25104849096135</v>
      </c>
      <c r="Y14" s="39">
        <f>INDEX(Y4:Y13, MATCH($T$14, T4:T13, 0))</f>
        <v>53.316112014812767</v>
      </c>
      <c r="Z14" s="39">
        <f>INDEX(Z4:Z13, MATCH($T$14, T4:T13, 0))</f>
        <v>5932.2033255745791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0.4178978878583714</v>
      </c>
      <c r="M15" s="41">
        <f t="shared" ref="M15:R15" si="0">(M14-E14)/E14</f>
        <v>1.3283125917858707</v>
      </c>
      <c r="N15" s="41">
        <f t="shared" si="0"/>
        <v>1</v>
      </c>
      <c r="O15" s="41">
        <f t="shared" si="0"/>
        <v>-9.7222222222222168E-2</v>
      </c>
      <c r="P15" s="41">
        <f t="shared" si="0"/>
        <v>0.59000500061117822</v>
      </c>
      <c r="Q15" s="41">
        <f t="shared" si="0"/>
        <v>-0.57055536173968646</v>
      </c>
      <c r="R15" s="41">
        <f t="shared" si="0"/>
        <v>-0.10651177692882148</v>
      </c>
      <c r="T15" s="41">
        <f>(T14-D14)/D14</f>
        <v>0.37789849930623165</v>
      </c>
      <c r="U15" s="41">
        <f t="shared" ref="U15:Z15" si="1">(U14-E14)/E14</f>
        <v>2.6162584675547449</v>
      </c>
      <c r="V15" s="41">
        <f t="shared" si="1"/>
        <v>0.16666666666666666</v>
      </c>
      <c r="W15" s="41">
        <f t="shared" si="1"/>
        <v>-5.5555555555555504E-2</v>
      </c>
      <c r="X15" s="41">
        <f t="shared" si="1"/>
        <v>6.5016519091510547</v>
      </c>
      <c r="Y15" s="41">
        <f t="shared" si="1"/>
        <v>0.4111029019855193</v>
      </c>
      <c r="Z15" s="41">
        <f t="shared" si="1"/>
        <v>0.29369873403023483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107" priority="7"/>
    <cfRule type="duplicateValues" dxfId="106" priority="8"/>
  </conditionalFormatting>
  <conditionalFormatting sqref="C14">
    <cfRule type="duplicateValues" dxfId="105" priority="5"/>
    <cfRule type="duplicateValues" dxfId="104" priority="6"/>
  </conditionalFormatting>
  <conditionalFormatting sqref="C15">
    <cfRule type="duplicateValues" dxfId="103" priority="3"/>
    <cfRule type="duplicateValues" dxfId="102" priority="4"/>
  </conditionalFormatting>
  <conditionalFormatting sqref="C19:C28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70CC-C440-4169-8387-7B2AD7BF833B}">
  <dimension ref="B1:AA17"/>
  <sheetViews>
    <sheetView zoomScale="90" zoomScaleNormal="90" workbookViewId="0">
      <selection activeCell="U19" sqref="U19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-0.97106007811295125</v>
      </c>
      <c r="J2" s="28" t="e">
        <f>(S14-J14)/J14</f>
        <v>#DIV/0!</v>
      </c>
      <c r="K2" s="28"/>
      <c r="L2" s="1" t="s">
        <v>19</v>
      </c>
      <c r="P2" s="1">
        <f>(P14-H14)/H14</f>
        <v>-7.1437541620699208E-2</v>
      </c>
      <c r="R2" s="1">
        <f>(R14-J14)/J14</f>
        <v>-0.11621651789612011</v>
      </c>
      <c r="T2" s="1" t="s">
        <v>20</v>
      </c>
      <c r="X2" s="1">
        <f>(X14-P14)/P14</f>
        <v>0.5296733648218227</v>
      </c>
      <c r="Z2" s="1">
        <f>(Z14-R14)/R14</f>
        <v>0.2564743973659791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774</v>
      </c>
      <c r="D4" s="23">
        <v>1216923.0495122429</v>
      </c>
      <c r="E4" s="33">
        <v>283.67327445999257</v>
      </c>
      <c r="F4" s="5">
        <v>14</v>
      </c>
      <c r="G4" s="23">
        <v>95.333333333333329</v>
      </c>
      <c r="H4" s="33">
        <v>676.74555550453567</v>
      </c>
      <c r="I4" s="23">
        <v>45.07771737047203</v>
      </c>
      <c r="J4" s="5">
        <v>5706.1381014410726</v>
      </c>
      <c r="K4" s="31"/>
      <c r="L4" s="23">
        <v>1577287.283076237</v>
      </c>
      <c r="M4" s="33">
        <v>470.17565778000278</v>
      </c>
      <c r="N4" s="5">
        <v>26</v>
      </c>
      <c r="O4" s="5">
        <v>86</v>
      </c>
      <c r="P4" s="33">
        <v>636.02912835192592</v>
      </c>
      <c r="Q4" s="5">
        <v>20.790033012954112</v>
      </c>
      <c r="R4" s="5">
        <v>5020.1606677763939</v>
      </c>
      <c r="S4" s="35"/>
      <c r="T4" s="23">
        <v>1683355.5324249801</v>
      </c>
      <c r="U4" s="33">
        <v>134.00870564000215</v>
      </c>
      <c r="V4" s="5">
        <v>13</v>
      </c>
      <c r="W4" s="5">
        <v>76</v>
      </c>
      <c r="X4" s="33">
        <v>912.32366477003677</v>
      </c>
      <c r="Y4" s="5">
        <v>53.88684476204849</v>
      </c>
      <c r="Z4" s="5">
        <v>6400.6217528441657</v>
      </c>
      <c r="AA4" s="35"/>
    </row>
    <row r="5" spans="2:27" x14ac:dyDescent="0.2">
      <c r="B5" s="4">
        <v>2</v>
      </c>
      <c r="C5" s="4">
        <v>169</v>
      </c>
      <c r="D5" s="23">
        <v>1239643.2571437219</v>
      </c>
      <c r="E5" s="33">
        <v>252.95461225998579</v>
      </c>
      <c r="F5" s="5">
        <v>16</v>
      </c>
      <c r="G5" s="23">
        <v>97.333333333333329</v>
      </c>
      <c r="H5" s="33">
        <v>843.35718869101822</v>
      </c>
      <c r="I5" s="23">
        <v>39.29749169632403</v>
      </c>
      <c r="J5" s="5">
        <v>5757.7745952510222</v>
      </c>
      <c r="K5" s="31"/>
      <c r="L5" s="23">
        <v>1638257.643388777</v>
      </c>
      <c r="M5" s="33">
        <v>177.40251092000398</v>
      </c>
      <c r="N5" s="5">
        <v>22</v>
      </c>
      <c r="O5" s="5">
        <v>78</v>
      </c>
      <c r="P5" s="33">
        <v>532.73099649358801</v>
      </c>
      <c r="Q5" s="5">
        <v>22.257660609550943</v>
      </c>
      <c r="R5" s="5">
        <v>4826.3969936607664</v>
      </c>
      <c r="S5" s="35"/>
      <c r="T5" s="23">
        <v>1603175.093937424</v>
      </c>
      <c r="U5" s="33">
        <v>169.7102322599967</v>
      </c>
      <c r="V5" s="5">
        <v>13</v>
      </c>
      <c r="W5" s="5">
        <v>80.666666666666671</v>
      </c>
      <c r="X5" s="33">
        <v>1102.07132023125</v>
      </c>
      <c r="Y5" s="5">
        <v>62.971587770127634</v>
      </c>
      <c r="Z5" s="5">
        <v>6589.7217287295998</v>
      </c>
      <c r="AA5" s="35"/>
    </row>
    <row r="6" spans="2:27" x14ac:dyDescent="0.2">
      <c r="B6" s="4">
        <v>3</v>
      </c>
      <c r="C6" s="4">
        <v>84</v>
      </c>
      <c r="D6" s="23">
        <v>1194793.3772036631</v>
      </c>
      <c r="E6" s="33">
        <v>149.19834539999721</v>
      </c>
      <c r="F6" s="5">
        <v>15</v>
      </c>
      <c r="G6" s="23">
        <v>97.333333333333329</v>
      </c>
      <c r="H6" s="33">
        <v>702.98875736372281</v>
      </c>
      <c r="I6" s="23">
        <v>43.542376458131457</v>
      </c>
      <c r="J6" s="5">
        <v>5716.7167590046702</v>
      </c>
      <c r="K6" s="31"/>
      <c r="L6" s="23">
        <v>1649394.623132471</v>
      </c>
      <c r="M6" s="33">
        <v>278.53150903999341</v>
      </c>
      <c r="N6" s="5">
        <v>22</v>
      </c>
      <c r="O6" s="5">
        <v>80.666666666666671</v>
      </c>
      <c r="P6" s="33">
        <v>721.86135909415589</v>
      </c>
      <c r="Q6" s="5">
        <v>22.903001972668982</v>
      </c>
      <c r="R6" s="5">
        <v>5284.8402317708606</v>
      </c>
      <c r="S6" s="35"/>
      <c r="T6" s="23">
        <v>1674314.4550335249</v>
      </c>
      <c r="U6" s="33">
        <v>181.64382076000328</v>
      </c>
      <c r="V6" s="5">
        <v>12</v>
      </c>
      <c r="W6" s="5">
        <v>75.333333333333329</v>
      </c>
      <c r="X6" s="33">
        <v>988.33435025282984</v>
      </c>
      <c r="Y6" s="5">
        <v>58.078773710681652</v>
      </c>
      <c r="Z6" s="5">
        <v>6384.7319238625405</v>
      </c>
      <c r="AA6" s="35"/>
    </row>
    <row r="7" spans="2:27" x14ac:dyDescent="0.2">
      <c r="B7" s="4">
        <v>4</v>
      </c>
      <c r="C7" s="4">
        <v>901</v>
      </c>
      <c r="D7" s="23">
        <v>1244178.3243732899</v>
      </c>
      <c r="E7" s="33">
        <v>468.75373134000699</v>
      </c>
      <c r="F7" s="5">
        <v>16</v>
      </c>
      <c r="G7" s="23">
        <v>96.666666666666671</v>
      </c>
      <c r="H7" s="33">
        <v>699.85624404755799</v>
      </c>
      <c r="I7" s="23">
        <v>39.646117275330958</v>
      </c>
      <c r="J7" s="5">
        <v>5780.4539078766184</v>
      </c>
      <c r="K7" s="31"/>
      <c r="L7" s="23">
        <v>1594163.832343613</v>
      </c>
      <c r="M7" s="33">
        <v>202.2408533599926</v>
      </c>
      <c r="N7" s="5">
        <v>24</v>
      </c>
      <c r="O7" s="5">
        <v>83.333333333333329</v>
      </c>
      <c r="P7" s="33">
        <v>624.62880108282718</v>
      </c>
      <c r="Q7" s="5">
        <v>21.493552577839456</v>
      </c>
      <c r="R7" s="5">
        <v>5043.2433600201539</v>
      </c>
      <c r="S7" s="35"/>
      <c r="T7" s="23">
        <v>1718145.9570341229</v>
      </c>
      <c r="U7" s="33">
        <v>195.89598384000129</v>
      </c>
      <c r="V7" s="5">
        <v>13</v>
      </c>
      <c r="W7" s="5">
        <v>73.333333333333329</v>
      </c>
      <c r="X7" s="33">
        <v>931.7373009683846</v>
      </c>
      <c r="Y7" s="5">
        <v>55.522191655977608</v>
      </c>
      <c r="Z7" s="5">
        <v>6359.9822129406857</v>
      </c>
      <c r="AA7" s="35"/>
    </row>
    <row r="8" spans="2:27" x14ac:dyDescent="0.2">
      <c r="B8" s="4">
        <v>5</v>
      </c>
      <c r="C8" s="4">
        <v>202</v>
      </c>
      <c r="D8" s="23">
        <v>1195874.55149322</v>
      </c>
      <c r="E8" s="33">
        <v>267.51988301998938</v>
      </c>
      <c r="F8" s="5">
        <v>15</v>
      </c>
      <c r="G8" s="23">
        <v>97.333333333333329</v>
      </c>
      <c r="H8" s="33">
        <v>687.63202542082661</v>
      </c>
      <c r="I8" s="23">
        <v>43.238451192275349</v>
      </c>
      <c r="J8" s="5">
        <v>5716.7130826593011</v>
      </c>
      <c r="K8" s="31"/>
      <c r="L8" s="23">
        <v>1581623.453887119</v>
      </c>
      <c r="M8" s="33">
        <v>466.3592297799886</v>
      </c>
      <c r="N8" s="5">
        <v>28</v>
      </c>
      <c r="O8" s="5">
        <v>88.666666666666671</v>
      </c>
      <c r="P8" s="33">
        <v>725.8101993387379</v>
      </c>
      <c r="Q8" s="5">
        <v>20.196770543776505</v>
      </c>
      <c r="R8" s="5">
        <v>5197.77609263669</v>
      </c>
      <c r="S8" s="35"/>
      <c r="T8" s="23">
        <v>1767269.263320372</v>
      </c>
      <c r="U8" s="33">
        <v>100.76771793999941</v>
      </c>
      <c r="V8" s="5">
        <v>12</v>
      </c>
      <c r="W8" s="5">
        <v>72</v>
      </c>
      <c r="X8" s="33">
        <v>1117.7703836839009</v>
      </c>
      <c r="Y8" s="5">
        <v>58.731777527908669</v>
      </c>
      <c r="Z8" s="5">
        <v>6584.3881528453248</v>
      </c>
      <c r="AA8" s="35"/>
    </row>
    <row r="9" spans="2:27" x14ac:dyDescent="0.2">
      <c r="B9" s="4">
        <v>6</v>
      </c>
      <c r="C9" s="4">
        <v>703</v>
      </c>
      <c r="D9" s="23">
        <v>1229277.940566763</v>
      </c>
      <c r="E9" s="33">
        <v>235.35541254000282</v>
      </c>
      <c r="F9" s="5">
        <v>16</v>
      </c>
      <c r="G9" s="23">
        <v>97.333333333333329</v>
      </c>
      <c r="H9" s="33">
        <v>673.84347190909864</v>
      </c>
      <c r="I9" s="23">
        <v>40.124787175419321</v>
      </c>
      <c r="J9" s="5">
        <v>5759.5937474767979</v>
      </c>
      <c r="K9" s="31"/>
      <c r="L9" s="23">
        <v>1617637.2040973259</v>
      </c>
      <c r="M9" s="33">
        <v>454.33340086000982</v>
      </c>
      <c r="N9" s="5">
        <v>25</v>
      </c>
      <c r="O9" s="5">
        <v>84.666666666666671</v>
      </c>
      <c r="P9" s="33">
        <v>728.82275622424515</v>
      </c>
      <c r="Q9" s="5">
        <v>21.498653526442496</v>
      </c>
      <c r="R9" s="5">
        <v>5204.7806542308726</v>
      </c>
      <c r="S9" s="35"/>
      <c r="T9" s="23">
        <v>1617397.8695462721</v>
      </c>
      <c r="U9" s="33">
        <v>305.29713080000363</v>
      </c>
      <c r="V9" s="5">
        <v>16</v>
      </c>
      <c r="W9" s="5">
        <v>82.666666666666671</v>
      </c>
      <c r="X9" s="33">
        <v>1190.1935204339391</v>
      </c>
      <c r="Y9" s="5">
        <v>50.686981923826231</v>
      </c>
      <c r="Z9" s="5">
        <v>6417.0618728727241</v>
      </c>
      <c r="AA9" s="35"/>
    </row>
    <row r="10" spans="2:27" x14ac:dyDescent="0.2">
      <c r="B10" s="4">
        <v>7</v>
      </c>
      <c r="C10" s="4">
        <v>778</v>
      </c>
      <c r="D10" s="23">
        <v>1203410.2677146071</v>
      </c>
      <c r="E10" s="33">
        <v>203.43198808000881</v>
      </c>
      <c r="F10" s="5">
        <v>15</v>
      </c>
      <c r="G10" s="23">
        <v>96</v>
      </c>
      <c r="H10" s="33">
        <v>588.99204266572133</v>
      </c>
      <c r="I10" s="23">
        <v>42.49355025478355</v>
      </c>
      <c r="J10" s="5">
        <v>5595.3741277172994</v>
      </c>
      <c r="K10" s="31"/>
      <c r="L10" s="23">
        <v>1594818.533675533</v>
      </c>
      <c r="M10" s="33">
        <v>189.87197928000242</v>
      </c>
      <c r="N10" s="5">
        <v>23</v>
      </c>
      <c r="O10" s="5">
        <v>81.333333333333329</v>
      </c>
      <c r="P10" s="33">
        <v>574.4880556190293</v>
      </c>
      <c r="Q10" s="5">
        <v>21.942597660534048</v>
      </c>
      <c r="R10" s="5">
        <v>4881.036986763771</v>
      </c>
      <c r="S10" s="35"/>
      <c r="T10" s="23">
        <v>1649478.353516218</v>
      </c>
      <c r="U10" s="33">
        <v>124.42271666000597</v>
      </c>
      <c r="V10" s="5">
        <v>15</v>
      </c>
      <c r="W10" s="5">
        <v>80.666666666666671</v>
      </c>
      <c r="X10" s="33">
        <v>1187.4870294376278</v>
      </c>
      <c r="Y10" s="5">
        <v>54.559724384556041</v>
      </c>
      <c r="Z10" s="5">
        <v>6561.9243006884135</v>
      </c>
      <c r="AA10" s="35"/>
    </row>
    <row r="11" spans="2:27" x14ac:dyDescent="0.2">
      <c r="B11" s="4">
        <v>8</v>
      </c>
      <c r="C11" s="4">
        <v>709</v>
      </c>
      <c r="D11" s="23">
        <v>1211263.739711307</v>
      </c>
      <c r="E11" s="33">
        <v>133.20692988000809</v>
      </c>
      <c r="F11" s="5">
        <v>15</v>
      </c>
      <c r="G11" s="23">
        <v>97.333333333333329</v>
      </c>
      <c r="H11" s="33">
        <v>706.25023403099692</v>
      </c>
      <c r="I11" s="23">
        <v>41.605152835416781</v>
      </c>
      <c r="J11" s="5">
        <v>5760.1085839854195</v>
      </c>
      <c r="K11" s="31"/>
      <c r="L11" s="23">
        <v>1636529.31112775</v>
      </c>
      <c r="M11" s="33">
        <v>489.18241560000462</v>
      </c>
      <c r="N11" s="5">
        <v>22</v>
      </c>
      <c r="O11" s="5">
        <v>78.666666666666671</v>
      </c>
      <c r="P11" s="33">
        <v>578.43569755492092</v>
      </c>
      <c r="Q11" s="5">
        <v>22.708555181219769</v>
      </c>
      <c r="R11" s="5">
        <v>4886.9049116213691</v>
      </c>
      <c r="S11" s="35"/>
      <c r="T11" s="23">
        <v>1626105.8750264889</v>
      </c>
      <c r="U11" s="33">
        <v>193.76962918000063</v>
      </c>
      <c r="V11" s="5">
        <v>14</v>
      </c>
      <c r="W11" s="5">
        <v>80</v>
      </c>
      <c r="X11" s="33">
        <v>1098.7334195849164</v>
      </c>
      <c r="Y11" s="5">
        <v>58.672067259904438</v>
      </c>
      <c r="Z11" s="5">
        <v>6510.164409731753</v>
      </c>
      <c r="AA11" s="35"/>
    </row>
    <row r="12" spans="2:27" x14ac:dyDescent="0.2">
      <c r="B12" s="4">
        <v>9</v>
      </c>
      <c r="C12" s="4">
        <v>527</v>
      </c>
      <c r="D12" s="23">
        <v>1275467.237117673</v>
      </c>
      <c r="E12" s="33">
        <v>132.52254494000226</v>
      </c>
      <c r="F12" s="5">
        <v>16</v>
      </c>
      <c r="G12" s="23">
        <v>97.333333333333329</v>
      </c>
      <c r="H12" s="33">
        <v>828.04868893090566</v>
      </c>
      <c r="I12" s="23">
        <v>39.427910246551527</v>
      </c>
      <c r="J12" s="5">
        <v>5920.7979573615294</v>
      </c>
      <c r="K12" s="31"/>
      <c r="L12" s="23">
        <v>1576485.7786569491</v>
      </c>
      <c r="M12" s="33">
        <v>342.2821939200162</v>
      </c>
      <c r="N12" s="5">
        <v>27</v>
      </c>
      <c r="O12" s="5">
        <v>86.666666666666671</v>
      </c>
      <c r="P12" s="33">
        <v>652.76896875066825</v>
      </c>
      <c r="Q12" s="5">
        <v>20.344439725579576</v>
      </c>
      <c r="R12" s="5">
        <v>5052.3398434747542</v>
      </c>
      <c r="S12" s="35"/>
      <c r="T12" s="23">
        <v>1573567.491690164</v>
      </c>
      <c r="U12" s="33">
        <v>172.18274763999506</v>
      </c>
      <c r="V12" s="5">
        <v>14</v>
      </c>
      <c r="W12" s="5">
        <v>81.333333333333329</v>
      </c>
      <c r="X12" s="33">
        <v>998.52330488010591</v>
      </c>
      <c r="Y12" s="5">
        <v>58.197086178654772</v>
      </c>
      <c r="Z12" s="5">
        <v>6348.1356601180669</v>
      </c>
      <c r="AA12" s="35"/>
    </row>
    <row r="13" spans="2:27" x14ac:dyDescent="0.2">
      <c r="B13" s="4">
        <v>10</v>
      </c>
      <c r="C13" s="4">
        <v>240</v>
      </c>
      <c r="D13" s="23">
        <v>1328631.1849066881</v>
      </c>
      <c r="E13" s="33">
        <v>285.93823589999221</v>
      </c>
      <c r="F13" s="5">
        <v>17</v>
      </c>
      <c r="G13" s="23">
        <v>96</v>
      </c>
      <c r="H13" s="33">
        <v>944.8748124402747</v>
      </c>
      <c r="I13" s="23">
        <v>37.243025918934052</v>
      </c>
      <c r="J13" s="5">
        <v>5929.5462369771312</v>
      </c>
      <c r="K13" s="31"/>
      <c r="L13" s="23">
        <v>1601200.0412549551</v>
      </c>
      <c r="M13" s="33">
        <v>357.2192450199974</v>
      </c>
      <c r="N13" s="5">
        <v>26</v>
      </c>
      <c r="O13" s="5">
        <v>85.333333333333329</v>
      </c>
      <c r="P13" s="33">
        <v>636.23377695252134</v>
      </c>
      <c r="Q13" s="5">
        <v>20.889179051421273</v>
      </c>
      <c r="R13" s="5">
        <v>5145.0358075455251</v>
      </c>
      <c r="S13" s="35"/>
      <c r="T13" s="23">
        <v>1607456.6935500449</v>
      </c>
      <c r="U13" s="33">
        <v>193.65239734000062</v>
      </c>
      <c r="V13" s="5">
        <v>12</v>
      </c>
      <c r="W13" s="5">
        <v>76.666666666666671</v>
      </c>
      <c r="X13" s="33">
        <v>849.49534246261817</v>
      </c>
      <c r="Y13" s="5">
        <v>63.716877498457308</v>
      </c>
      <c r="Z13" s="5">
        <v>6221.0139341401682</v>
      </c>
      <c r="AA13" s="35"/>
    </row>
    <row r="14" spans="2:27" x14ac:dyDescent="0.2">
      <c r="B14" s="47" t="s">
        <v>3</v>
      </c>
      <c r="C14" s="48"/>
      <c r="D14" s="9">
        <f>MIN(D4:D13)</f>
        <v>1194793.3772036631</v>
      </c>
      <c r="E14" s="22">
        <f>INDEX(E4:E13, MATCH($D$14, D4:D13, 0))</f>
        <v>149.19834539999721</v>
      </c>
      <c r="F14" s="9">
        <f>INDEX(F4:F13, MATCH($D$14, D4:D13, 0))</f>
        <v>15</v>
      </c>
      <c r="G14" s="9">
        <f>INDEX(G4:G13, MATCH($D$14, D4:D13, 0))</f>
        <v>97.333333333333329</v>
      </c>
      <c r="H14" s="22">
        <f>INDEX(H4:H13, MATCH($D$14, D4:D13, 0))</f>
        <v>702.98875736372281</v>
      </c>
      <c r="I14" s="22">
        <f>INDEX(I4:I13, MATCH($D$14, D4:D13, 0))</f>
        <v>43.542376458131457</v>
      </c>
      <c r="J14" s="22">
        <f>INDEX(J4:J13, MATCH($D$14, D4:D13, 0))</f>
        <v>5716.7167590046702</v>
      </c>
      <c r="K14" s="32" t="e">
        <f>(D14-$D$15)/$D$15</f>
        <v>#DIV/0!</v>
      </c>
      <c r="L14" s="16">
        <f>MIN(L4:L13)</f>
        <v>1576485.7786569491</v>
      </c>
      <c r="M14" s="21">
        <f>INDEX(M4:M13, MATCH($L$14, L4:L13, 0))</f>
        <v>342.2821939200162</v>
      </c>
      <c r="N14" s="16">
        <f>INDEX(N4:N13, MATCH($L$14, L4:L13, 0))</f>
        <v>27</v>
      </c>
      <c r="O14" s="16">
        <f>INDEX(O4:O13, MATCH($L$14, L4:L13, 0))</f>
        <v>86.666666666666671</v>
      </c>
      <c r="P14" s="21">
        <f>INDEX(P4:P13, MATCH($L$14, L4:L13, 0))</f>
        <v>652.76896875066825</v>
      </c>
      <c r="Q14" s="21">
        <f>INDEX(Q4:Q13, MATCH($L$14, L4:L13, 0))</f>
        <v>20.344439725579576</v>
      </c>
      <c r="R14" s="21">
        <f>INDEX(R4:R13, MATCH($L$14, L4:L13, 0))</f>
        <v>5052.3398434747542</v>
      </c>
      <c r="S14" s="36" t="e">
        <f>(L14-$D$15)/$D$15</f>
        <v>#DIV/0!</v>
      </c>
      <c r="T14" s="38">
        <f>MIN(T4:T13)</f>
        <v>1573567.491690164</v>
      </c>
      <c r="U14" s="39">
        <f>INDEX(U4:U13, MATCH($T$14, T4:T13, 0))</f>
        <v>172.18274763999506</v>
      </c>
      <c r="V14" s="38">
        <f>INDEX(V4:V13, MATCH($T$14, T4:T13, 0))</f>
        <v>14</v>
      </c>
      <c r="W14" s="38">
        <f>INDEX(W4:W13, MATCH($T$14, T4:T13, 0))</f>
        <v>81.333333333333329</v>
      </c>
      <c r="X14" s="39">
        <f>INDEX(X4:X13, MATCH($T$14, T4:T13, 0))</f>
        <v>998.52330488010591</v>
      </c>
      <c r="Y14" s="39">
        <f>INDEX(Y4:Y13, MATCH($T$14, T4:T13, 0))</f>
        <v>58.197086178654772</v>
      </c>
      <c r="Z14" s="39">
        <f>INDEX(Z4:Z13, MATCH($T$14, T4:T13, 0))</f>
        <v>6348.1356601180669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0.31946310444623688</v>
      </c>
      <c r="M15" s="41">
        <f t="shared" ref="M15:R15" si="0">(M14-E14)/E14</f>
        <v>1.2941420228378926</v>
      </c>
      <c r="N15" s="41">
        <f t="shared" si="0"/>
        <v>0.8</v>
      </c>
      <c r="O15" s="41">
        <f t="shared" si="0"/>
        <v>-0.10958904109589032</v>
      </c>
      <c r="P15" s="41">
        <f t="shared" si="0"/>
        <v>-7.1437541620699208E-2</v>
      </c>
      <c r="Q15" s="41">
        <f t="shared" si="0"/>
        <v>-0.53276689559785639</v>
      </c>
      <c r="R15" s="41">
        <f t="shared" si="0"/>
        <v>-0.11621651789612011</v>
      </c>
      <c r="T15" s="41">
        <f>(T14-D14)/D14</f>
        <v>0.31702060097872092</v>
      </c>
      <c r="U15" s="41">
        <f t="shared" ref="U15:Z15" si="1">(U14-E14)/E14</f>
        <v>0.15405266176630319</v>
      </c>
      <c r="V15" s="41">
        <f t="shared" si="1"/>
        <v>-6.6666666666666666E-2</v>
      </c>
      <c r="W15" s="41">
        <f t="shared" si="1"/>
        <v>-0.16438356164383564</v>
      </c>
      <c r="X15" s="41">
        <f t="shared" si="1"/>
        <v>0.4203972601562887</v>
      </c>
      <c r="Y15" s="41">
        <f t="shared" si="1"/>
        <v>0.33656200953144289</v>
      </c>
      <c r="Z15" s="41">
        <f t="shared" si="1"/>
        <v>0.11045131807847905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101" priority="9"/>
    <cfRule type="duplicateValues" dxfId="100" priority="10"/>
  </conditionalFormatting>
  <conditionalFormatting sqref="C14">
    <cfRule type="duplicateValues" dxfId="99" priority="7"/>
    <cfRule type="duplicateValues" dxfId="98" priority="8"/>
  </conditionalFormatting>
  <conditionalFormatting sqref="C15">
    <cfRule type="duplicateValues" dxfId="97" priority="3"/>
    <cfRule type="duplicateValues" dxfId="96" priority="4"/>
  </conditionalFormatting>
  <conditionalFormatting sqref="C19:C28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8173-0C39-4EEE-B972-F446CAF0EAE4}">
  <dimension ref="B1:AA17"/>
  <sheetViews>
    <sheetView zoomScale="90" zoomScaleNormal="90" workbookViewId="0">
      <selection activeCell="U19" sqref="U19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-0.92724977329079716</v>
      </c>
      <c r="J2" s="28" t="e">
        <f>(S14-J14)/J14</f>
        <v>#DIV/0!</v>
      </c>
      <c r="K2" s="28"/>
      <c r="L2" s="1" t="s">
        <v>19</v>
      </c>
      <c r="P2" s="1">
        <f>(P14-H14)/H14</f>
        <v>-0.25643117556192319</v>
      </c>
      <c r="R2" s="1">
        <f>(R14-J14)/J14</f>
        <v>-0.14495614104835644</v>
      </c>
      <c r="T2" s="1" t="s">
        <v>20</v>
      </c>
      <c r="X2" s="1">
        <f>(X14-P14)/P14</f>
        <v>4.1903904788175206</v>
      </c>
      <c r="Z2" s="1">
        <f>(Z14-R14)/R14</f>
        <v>0.4429700511923827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87</v>
      </c>
      <c r="D4" s="23">
        <v>1161446.12186909</v>
      </c>
      <c r="E4" s="33">
        <v>199.34235594000202</v>
      </c>
      <c r="F4" s="5">
        <v>13</v>
      </c>
      <c r="G4" s="23">
        <v>94</v>
      </c>
      <c r="H4" s="33">
        <v>406.45286472716788</v>
      </c>
      <c r="I4" s="23">
        <v>41.347357892906366</v>
      </c>
      <c r="J4" s="5">
        <v>5364.05900323273</v>
      </c>
      <c r="K4" s="31"/>
      <c r="L4" s="23">
        <v>1584610.7603465</v>
      </c>
      <c r="M4" s="33">
        <v>642.15126104000956</v>
      </c>
      <c r="N4" s="5">
        <v>23</v>
      </c>
      <c r="O4" s="5">
        <v>78.666666666666671</v>
      </c>
      <c r="P4" s="33">
        <v>216.44498387304597</v>
      </c>
      <c r="Q4" s="5">
        <v>19.024017113453329</v>
      </c>
      <c r="R4" s="5">
        <v>4479.2505179222017</v>
      </c>
      <c r="S4" s="35"/>
      <c r="T4" s="23">
        <v>1629833.7771096691</v>
      </c>
      <c r="U4" s="33">
        <v>134.97211710000411</v>
      </c>
      <c r="V4" s="5">
        <v>14</v>
      </c>
      <c r="W4" s="5">
        <v>78</v>
      </c>
      <c r="X4" s="33">
        <v>923.44817286496573</v>
      </c>
      <c r="Y4" s="5">
        <v>57.34487741729356</v>
      </c>
      <c r="Z4" s="5">
        <v>6384.689925667416</v>
      </c>
      <c r="AA4" s="35"/>
    </row>
    <row r="5" spans="2:27" x14ac:dyDescent="0.2">
      <c r="B5" s="4">
        <v>2</v>
      </c>
      <c r="C5" s="4">
        <v>771</v>
      </c>
      <c r="D5" s="23">
        <v>1141784.3108230541</v>
      </c>
      <c r="E5" s="33">
        <v>187.70839362000115</v>
      </c>
      <c r="F5" s="5">
        <v>14</v>
      </c>
      <c r="G5" s="23">
        <v>94</v>
      </c>
      <c r="H5" s="33">
        <v>252.67433533981188</v>
      </c>
      <c r="I5" s="23">
        <v>38.715866153874387</v>
      </c>
      <c r="J5" s="5">
        <v>5204.1445330675078</v>
      </c>
      <c r="K5" s="31"/>
      <c r="L5" s="23">
        <v>1639131.664472122</v>
      </c>
      <c r="M5" s="33">
        <v>293.13718276000583</v>
      </c>
      <c r="N5" s="5">
        <v>20</v>
      </c>
      <c r="O5" s="5">
        <v>74.666666666666671</v>
      </c>
      <c r="P5" s="33">
        <v>253.5919959416795</v>
      </c>
      <c r="Q5" s="5">
        <v>19.95270276316981</v>
      </c>
      <c r="R5" s="5">
        <v>4637.4619374248578</v>
      </c>
      <c r="S5" s="35"/>
      <c r="T5" s="23">
        <v>1604436.6505118699</v>
      </c>
      <c r="U5" s="33">
        <v>165.18511301998515</v>
      </c>
      <c r="V5" s="5">
        <v>13</v>
      </c>
      <c r="W5" s="5">
        <v>78.666666666666671</v>
      </c>
      <c r="X5" s="33">
        <v>853.123013044142</v>
      </c>
      <c r="Y5" s="5">
        <v>58.252648511090605</v>
      </c>
      <c r="Z5" s="5">
        <v>6364.441897264488</v>
      </c>
      <c r="AA5" s="35"/>
    </row>
    <row r="6" spans="2:27" x14ac:dyDescent="0.2">
      <c r="B6" s="4">
        <v>3</v>
      </c>
      <c r="C6" s="4">
        <v>5</v>
      </c>
      <c r="D6" s="23">
        <v>1152035.2211825871</v>
      </c>
      <c r="E6" s="33">
        <v>193.3987991400063</v>
      </c>
      <c r="F6" s="5">
        <v>14</v>
      </c>
      <c r="G6" s="23">
        <v>94</v>
      </c>
      <c r="H6" s="33">
        <v>273.45421093110815</v>
      </c>
      <c r="I6" s="23">
        <v>37.862655085274518</v>
      </c>
      <c r="J6" s="5">
        <v>5252.2010857610794</v>
      </c>
      <c r="K6" s="31"/>
      <c r="L6" s="23">
        <v>1571745.6481629249</v>
      </c>
      <c r="M6" s="33">
        <v>226.69853598000481</v>
      </c>
      <c r="N6" s="5">
        <v>24</v>
      </c>
      <c r="O6" s="5">
        <v>79.333333333333329</v>
      </c>
      <c r="P6" s="33">
        <v>161.26622550376371</v>
      </c>
      <c r="Q6" s="5">
        <v>18.128451850315095</v>
      </c>
      <c r="R6" s="5">
        <v>4375.9445308885852</v>
      </c>
      <c r="S6" s="35"/>
      <c r="T6" s="23">
        <v>1598203.405925083</v>
      </c>
      <c r="U6" s="33">
        <v>173.32925179998855</v>
      </c>
      <c r="V6" s="5">
        <v>13</v>
      </c>
      <c r="W6" s="5">
        <v>78.666666666666671</v>
      </c>
      <c r="X6" s="33">
        <v>813.53911437477484</v>
      </c>
      <c r="Y6" s="5">
        <v>59.147379224941396</v>
      </c>
      <c r="Z6" s="5">
        <v>6424.4018034382798</v>
      </c>
      <c r="AA6" s="35"/>
    </row>
    <row r="7" spans="2:27" x14ac:dyDescent="0.2">
      <c r="B7" s="4">
        <v>4</v>
      </c>
      <c r="C7" s="4">
        <v>546</v>
      </c>
      <c r="D7" s="23">
        <v>1148603.6963395709</v>
      </c>
      <c r="E7" s="33">
        <v>159.33500062001403</v>
      </c>
      <c r="F7" s="5">
        <v>14</v>
      </c>
      <c r="G7" s="23">
        <v>94</v>
      </c>
      <c r="H7" s="33">
        <v>275.36024141693377</v>
      </c>
      <c r="I7" s="23">
        <v>37.285396315020748</v>
      </c>
      <c r="J7" s="5">
        <v>5221.5896470969137</v>
      </c>
      <c r="K7" s="31"/>
      <c r="L7" s="23">
        <v>1552620.471026629</v>
      </c>
      <c r="M7" s="33">
        <v>531.20662510001557</v>
      </c>
      <c r="N7" s="5">
        <v>24</v>
      </c>
      <c r="O7" s="5">
        <v>80.666666666666671</v>
      </c>
      <c r="P7" s="33">
        <v>185.3451012995335</v>
      </c>
      <c r="Q7" s="5">
        <v>18.134028345218947</v>
      </c>
      <c r="R7" s="5">
        <v>4464.047944097797</v>
      </c>
      <c r="S7" s="35"/>
      <c r="T7" s="23">
        <v>1575286.000648435</v>
      </c>
      <c r="U7" s="33">
        <v>207.56910545998261</v>
      </c>
      <c r="V7" s="5">
        <v>14</v>
      </c>
      <c r="W7" s="5">
        <v>80.666666666666671</v>
      </c>
      <c r="X7" s="33">
        <v>914.61535868338649</v>
      </c>
      <c r="Y7" s="5">
        <v>57.390101829847978</v>
      </c>
      <c r="Z7" s="5">
        <v>6385.2240093112014</v>
      </c>
      <c r="AA7" s="35"/>
    </row>
    <row r="8" spans="2:27" x14ac:dyDescent="0.2">
      <c r="B8" s="4">
        <v>5</v>
      </c>
      <c r="C8" s="4">
        <v>308</v>
      </c>
      <c r="D8" s="23">
        <v>1163571.85006295</v>
      </c>
      <c r="E8" s="33">
        <v>96.252215540013282</v>
      </c>
      <c r="F8" s="5">
        <v>15</v>
      </c>
      <c r="G8" s="23">
        <v>94</v>
      </c>
      <c r="H8" s="33">
        <v>362.04423532917855</v>
      </c>
      <c r="I8" s="23">
        <v>36.539488507970511</v>
      </c>
      <c r="J8" s="5">
        <v>5185.4553867249961</v>
      </c>
      <c r="K8" s="31"/>
      <c r="L8" s="23">
        <v>1591943.284546206</v>
      </c>
      <c r="M8" s="33">
        <v>430.86192308000761</v>
      </c>
      <c r="N8" s="5">
        <v>24</v>
      </c>
      <c r="O8" s="5">
        <v>80.666666666666671</v>
      </c>
      <c r="P8" s="33">
        <v>312.34828339917169</v>
      </c>
      <c r="Q8" s="5">
        <v>18.120178022245476</v>
      </c>
      <c r="R8" s="5">
        <v>4683.4616024503684</v>
      </c>
      <c r="S8" s="35"/>
      <c r="T8" s="23">
        <v>1664203.5861776851</v>
      </c>
      <c r="U8" s="33">
        <v>247.64092987999319</v>
      </c>
      <c r="V8" s="5">
        <v>14</v>
      </c>
      <c r="W8" s="5">
        <v>76.666666666666671</v>
      </c>
      <c r="X8" s="33">
        <v>810.53512158867693</v>
      </c>
      <c r="Y8" s="5">
        <v>51.781560061851636</v>
      </c>
      <c r="Z8" s="5">
        <v>6367.1003411869633</v>
      </c>
      <c r="AA8" s="35"/>
    </row>
    <row r="9" spans="2:27" x14ac:dyDescent="0.2">
      <c r="B9" s="4">
        <v>6</v>
      </c>
      <c r="C9" s="4">
        <v>253</v>
      </c>
      <c r="D9" s="23">
        <v>1141132.4272836379</v>
      </c>
      <c r="E9" s="33">
        <v>192.01956426000689</v>
      </c>
      <c r="F9" s="5">
        <v>14</v>
      </c>
      <c r="G9" s="23">
        <v>94</v>
      </c>
      <c r="H9" s="33">
        <v>249.26421765947603</v>
      </c>
      <c r="I9" s="23">
        <v>38.526374201442657</v>
      </c>
      <c r="J9" s="5">
        <v>5220.8408929702146</v>
      </c>
      <c r="K9" s="31"/>
      <c r="L9" s="23">
        <v>1575498.913925935</v>
      </c>
      <c r="M9" s="33">
        <v>377.55744111998939</v>
      </c>
      <c r="N9" s="5">
        <v>23</v>
      </c>
      <c r="O9" s="5">
        <v>78.666666666666671</v>
      </c>
      <c r="P9" s="33">
        <v>198.03580488695764</v>
      </c>
      <c r="Q9" s="5">
        <v>18.624107187935792</v>
      </c>
      <c r="R9" s="5">
        <v>4456.0200573939583</v>
      </c>
      <c r="S9" s="35"/>
      <c r="T9" s="23">
        <v>1590777.055294438</v>
      </c>
      <c r="U9" s="33">
        <v>144.91122228000313</v>
      </c>
      <c r="V9" s="5">
        <v>16</v>
      </c>
      <c r="W9" s="5">
        <v>83.333333333333329</v>
      </c>
      <c r="X9" s="33">
        <v>1017.811074935281</v>
      </c>
      <c r="Y9" s="5">
        <v>52.756818146964598</v>
      </c>
      <c r="Z9" s="5">
        <v>6580.145166625377</v>
      </c>
      <c r="AA9" s="35"/>
    </row>
    <row r="10" spans="2:27" x14ac:dyDescent="0.2">
      <c r="B10" s="4">
        <v>7</v>
      </c>
      <c r="C10" s="4">
        <v>282</v>
      </c>
      <c r="D10" s="23">
        <v>1154701.0373253429</v>
      </c>
      <c r="E10" s="33">
        <v>241.79551902001259</v>
      </c>
      <c r="F10" s="5">
        <v>14</v>
      </c>
      <c r="G10" s="23">
        <v>94</v>
      </c>
      <c r="H10" s="33">
        <v>293.40023099969295</v>
      </c>
      <c r="I10" s="23">
        <v>37.35610333093355</v>
      </c>
      <c r="J10" s="5">
        <v>5262.3007801975918</v>
      </c>
      <c r="K10" s="31"/>
      <c r="L10" s="23">
        <v>1588248.9009833101</v>
      </c>
      <c r="M10" s="33">
        <v>223.98496428001681</v>
      </c>
      <c r="N10" s="5">
        <v>24</v>
      </c>
      <c r="O10" s="5">
        <v>80</v>
      </c>
      <c r="P10" s="33">
        <v>242.34672899210346</v>
      </c>
      <c r="Q10" s="5">
        <v>18.379347255412306</v>
      </c>
      <c r="R10" s="5">
        <v>4584.728360907382</v>
      </c>
      <c r="S10" s="35"/>
      <c r="T10" s="23">
        <v>1592702.912812093</v>
      </c>
      <c r="U10" s="33">
        <v>151.0870327200042</v>
      </c>
      <c r="V10" s="5">
        <v>13</v>
      </c>
      <c r="W10" s="5">
        <v>79.333333333333329</v>
      </c>
      <c r="X10" s="33">
        <v>871.58632130742649</v>
      </c>
      <c r="Y10" s="5">
        <v>58.984099015175246</v>
      </c>
      <c r="Z10" s="5">
        <v>6416.4335156872839</v>
      </c>
      <c r="AA10" s="35"/>
    </row>
    <row r="11" spans="2:27" x14ac:dyDescent="0.2">
      <c r="B11" s="4">
        <v>8</v>
      </c>
      <c r="C11" s="4">
        <v>945</v>
      </c>
      <c r="D11" s="23">
        <v>1164964.840757258</v>
      </c>
      <c r="E11" s="33">
        <v>104.23317731998395</v>
      </c>
      <c r="F11" s="5">
        <v>15</v>
      </c>
      <c r="G11" s="23">
        <v>94</v>
      </c>
      <c r="H11" s="33">
        <v>318.76109452787949</v>
      </c>
      <c r="I11" s="23">
        <v>35.727682477004336</v>
      </c>
      <c r="J11" s="5">
        <v>5174.6785123948512</v>
      </c>
      <c r="K11" s="31"/>
      <c r="L11" s="23">
        <v>1602670.233846439</v>
      </c>
      <c r="M11" s="33">
        <v>162.5686257999856</v>
      </c>
      <c r="N11" s="5">
        <v>20</v>
      </c>
      <c r="O11" s="5">
        <v>74.666666666666671</v>
      </c>
      <c r="P11" s="33">
        <v>156.80640240834069</v>
      </c>
      <c r="Q11" s="5">
        <v>19.709203937768542</v>
      </c>
      <c r="R11" s="5">
        <v>4370.2989893418635</v>
      </c>
      <c r="S11" s="35"/>
      <c r="T11" s="23">
        <v>1543985.8842412799</v>
      </c>
      <c r="U11" s="33">
        <v>326.8419865200064</v>
      </c>
      <c r="V11" s="5">
        <v>17</v>
      </c>
      <c r="W11" s="5">
        <v>84.666666666666671</v>
      </c>
      <c r="X11" s="33">
        <v>941.78946313320876</v>
      </c>
      <c r="Y11" s="5">
        <v>50.476515447635592</v>
      </c>
      <c r="Z11" s="5">
        <v>6368.6659509103638</v>
      </c>
      <c r="AA11" s="35"/>
    </row>
    <row r="12" spans="2:27" x14ac:dyDescent="0.2">
      <c r="B12" s="4">
        <v>9</v>
      </c>
      <c r="C12" s="4">
        <v>974</v>
      </c>
      <c r="D12" s="23">
        <v>1195160.440632531</v>
      </c>
      <c r="E12" s="33">
        <v>220.11984002001117</v>
      </c>
      <c r="F12" s="5">
        <v>14</v>
      </c>
      <c r="G12" s="23">
        <v>94</v>
      </c>
      <c r="H12" s="33">
        <v>442.87249974032852</v>
      </c>
      <c r="I12" s="23">
        <v>37.918812241419666</v>
      </c>
      <c r="J12" s="5">
        <v>5415.5942300019096</v>
      </c>
      <c r="K12" s="31"/>
      <c r="L12" s="23">
        <v>1570192.2750133269</v>
      </c>
      <c r="M12" s="33">
        <v>243.66813904000441</v>
      </c>
      <c r="N12" s="5">
        <v>26</v>
      </c>
      <c r="O12" s="5">
        <v>82.666666666666671</v>
      </c>
      <c r="P12" s="33">
        <v>291.15525433486835</v>
      </c>
      <c r="Q12" s="5">
        <v>17.87243536879598</v>
      </c>
      <c r="R12" s="5">
        <v>4623.7324145292587</v>
      </c>
      <c r="S12" s="35"/>
      <c r="T12" s="23">
        <v>1527928.4219461561</v>
      </c>
      <c r="U12" s="33">
        <v>301.7187155999942</v>
      </c>
      <c r="V12" s="5">
        <v>17</v>
      </c>
      <c r="W12" s="5">
        <v>86</v>
      </c>
      <c r="X12" s="33">
        <v>962.01344908056751</v>
      </c>
      <c r="Y12" s="5">
        <v>51.551522803159003</v>
      </c>
      <c r="Z12" s="5">
        <v>6441.4874904200487</v>
      </c>
      <c r="AA12" s="35"/>
    </row>
    <row r="13" spans="2:27" x14ac:dyDescent="0.2">
      <c r="B13" s="4">
        <v>10</v>
      </c>
      <c r="C13" s="4">
        <v>80</v>
      </c>
      <c r="D13" s="23">
        <v>1192494.7005033491</v>
      </c>
      <c r="E13" s="33">
        <v>170.1091955000069</v>
      </c>
      <c r="F13" s="5">
        <v>14</v>
      </c>
      <c r="G13" s="23">
        <v>94</v>
      </c>
      <c r="H13" s="33">
        <v>399.09388604352313</v>
      </c>
      <c r="I13" s="23">
        <v>38.044430872375877</v>
      </c>
      <c r="J13" s="5">
        <v>5441.0878895195165</v>
      </c>
      <c r="K13" s="31"/>
      <c r="L13" s="23">
        <v>1584890.3285363209</v>
      </c>
      <c r="M13" s="33">
        <v>524.29946157999802</v>
      </c>
      <c r="N13" s="5">
        <v>26</v>
      </c>
      <c r="O13" s="5">
        <v>82.666666666666671</v>
      </c>
      <c r="P13" s="33">
        <v>371.17734323662154</v>
      </c>
      <c r="Q13" s="5">
        <v>17.500479190266013</v>
      </c>
      <c r="R13" s="5">
        <v>4656.581797554144</v>
      </c>
      <c r="S13" s="35"/>
      <c r="T13" s="23">
        <v>1565961.7234179489</v>
      </c>
      <c r="U13" s="33">
        <v>308.7013091600034</v>
      </c>
      <c r="V13" s="5">
        <v>15</v>
      </c>
      <c r="W13" s="5">
        <v>82.666666666666671</v>
      </c>
      <c r="X13" s="33">
        <v>1003.1418953990114</v>
      </c>
      <c r="Y13" s="5">
        <v>55.302391752806138</v>
      </c>
      <c r="Z13" s="5">
        <v>6496.9586127654784</v>
      </c>
      <c r="AA13" s="35"/>
    </row>
    <row r="14" spans="2:27" x14ac:dyDescent="0.2">
      <c r="B14" s="47" t="s">
        <v>3</v>
      </c>
      <c r="C14" s="48"/>
      <c r="D14" s="9">
        <f>MIN(D4:D13)</f>
        <v>1141132.4272836379</v>
      </c>
      <c r="E14" s="22">
        <f>INDEX(E4:E13, MATCH($D$14, D4:D13, 0))</f>
        <v>192.01956426000689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249.26421765947603</v>
      </c>
      <c r="I14" s="22">
        <f>INDEX(I4:I13, MATCH($D$14, D4:D13, 0))</f>
        <v>38.526374201442657</v>
      </c>
      <c r="J14" s="22">
        <f>INDEX(J4:J13, MATCH($D$14, D4:D13, 0))</f>
        <v>5220.8408929702146</v>
      </c>
      <c r="K14" s="32" t="e">
        <f>(D14-$D$15)/$D$15</f>
        <v>#DIV/0!</v>
      </c>
      <c r="L14" s="16">
        <f>MIN(L4:L13)</f>
        <v>1552620.471026629</v>
      </c>
      <c r="M14" s="21">
        <f>INDEX(M4:M13, MATCH($L$14, L4:L13, 0))</f>
        <v>531.20662510001557</v>
      </c>
      <c r="N14" s="16">
        <f>INDEX(N4:N13, MATCH($L$14, L4:L13, 0))</f>
        <v>24</v>
      </c>
      <c r="O14" s="16">
        <f>INDEX(O4:O13, MATCH($L$14, L4:L13, 0))</f>
        <v>80.666666666666671</v>
      </c>
      <c r="P14" s="21">
        <f>INDEX(P4:P13, MATCH($L$14, L4:L13, 0))</f>
        <v>185.3451012995335</v>
      </c>
      <c r="Q14" s="21">
        <f>INDEX(Q4:Q13, MATCH($L$14, L4:L13, 0))</f>
        <v>18.134028345218947</v>
      </c>
      <c r="R14" s="21">
        <f>INDEX(R4:R13, MATCH($L$14, L4:L13, 0))</f>
        <v>4464.047944097797</v>
      </c>
      <c r="S14" s="36" t="e">
        <f>(L14-$D$15)/$D$15</f>
        <v>#DIV/0!</v>
      </c>
      <c r="T14" s="38">
        <f>MIN(T4:T13)</f>
        <v>1527928.4219461561</v>
      </c>
      <c r="U14" s="39">
        <f>INDEX(U4:U13, MATCH($T$14, T4:T13, 0))</f>
        <v>301.7187155999942</v>
      </c>
      <c r="V14" s="38">
        <f>INDEX(V4:V13, MATCH($T$14, T4:T13, 0))</f>
        <v>17</v>
      </c>
      <c r="W14" s="38">
        <f>INDEX(W4:W13, MATCH($T$14, T4:T13, 0))</f>
        <v>86</v>
      </c>
      <c r="X14" s="39">
        <f>INDEX(X4:X13, MATCH($T$14, T4:T13, 0))</f>
        <v>962.01344908056751</v>
      </c>
      <c r="Y14" s="39">
        <f>INDEX(Y4:Y13, MATCH($T$14, T4:T13, 0))</f>
        <v>51.551522803159003</v>
      </c>
      <c r="Z14" s="39">
        <f>INDEX(Z4:Z13, MATCH($T$14, T4:T13, 0))</f>
        <v>6441.4874904200487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0.36059622345716785</v>
      </c>
      <c r="M15" s="41">
        <f t="shared" ref="M15:R15" si="0">(M14-E14)/E14</f>
        <v>1.7664192820515285</v>
      </c>
      <c r="N15" s="41">
        <f t="shared" si="0"/>
        <v>0.7142857142857143</v>
      </c>
      <c r="O15" s="41">
        <f t="shared" si="0"/>
        <v>-0.14184397163120563</v>
      </c>
      <c r="P15" s="41">
        <f t="shared" si="0"/>
        <v>-0.25643117556192319</v>
      </c>
      <c r="Q15" s="41">
        <f t="shared" si="0"/>
        <v>-0.52930872107503169</v>
      </c>
      <c r="R15" s="41">
        <f t="shared" si="0"/>
        <v>-0.14495614104835644</v>
      </c>
      <c r="T15" s="41">
        <f>(T14-D14)/D14</f>
        <v>0.33895802574224526</v>
      </c>
      <c r="U15" s="41">
        <f t="shared" ref="U15:Z15" si="1">(U14-E14)/E14</f>
        <v>0.57129153356190088</v>
      </c>
      <c r="V15" s="41">
        <f t="shared" si="1"/>
        <v>0.21428571428571427</v>
      </c>
      <c r="W15" s="41">
        <f t="shared" si="1"/>
        <v>-8.5106382978723402E-2</v>
      </c>
      <c r="X15" s="41">
        <f t="shared" si="1"/>
        <v>2.8594125467089304</v>
      </c>
      <c r="Y15" s="41">
        <f t="shared" si="1"/>
        <v>0.33808394565270578</v>
      </c>
      <c r="Z15" s="41">
        <f t="shared" si="1"/>
        <v>0.23380268092318554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95" priority="7"/>
    <cfRule type="duplicateValues" dxfId="94" priority="8"/>
  </conditionalFormatting>
  <conditionalFormatting sqref="C14">
    <cfRule type="duplicateValues" dxfId="93" priority="5"/>
    <cfRule type="duplicateValues" dxfId="92" priority="6"/>
  </conditionalFormatting>
  <conditionalFormatting sqref="C15">
    <cfRule type="duplicateValues" dxfId="91" priority="3"/>
    <cfRule type="duplicateValues" dxfId="90" priority="4"/>
  </conditionalFormatting>
  <conditionalFormatting sqref="C19:C2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8263-6C0D-4890-9FFD-E69518F817AD}">
  <dimension ref="B1:AA17"/>
  <sheetViews>
    <sheetView zoomScale="90" zoomScaleNormal="90" workbookViewId="0">
      <selection activeCell="U19" sqref="U19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-0.92321275403620029</v>
      </c>
      <c r="J2" s="28" t="e">
        <f>(S14-J14)/J14</f>
        <v>#DIV/0!</v>
      </c>
      <c r="K2" s="28"/>
      <c r="L2" s="1" t="s">
        <v>19</v>
      </c>
      <c r="P2" s="1">
        <f>(P14-H14)/H14</f>
        <v>3.1241363483007125E-2</v>
      </c>
      <c r="R2" s="1">
        <f>(R14-J14)/J14</f>
        <v>-0.1457656299357824</v>
      </c>
      <c r="T2" s="1" t="s">
        <v>20</v>
      </c>
      <c r="X2" s="1">
        <f>(X14-P14)/P14</f>
        <v>2.2895681675395569</v>
      </c>
      <c r="Z2" s="1">
        <f>(Z14-R14)/R14</f>
        <v>0.40562235794541113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343</v>
      </c>
      <c r="D4" s="23">
        <v>1137104.532637944</v>
      </c>
      <c r="E4" s="33">
        <v>171.31255005998537</v>
      </c>
      <c r="F4" s="5">
        <v>12</v>
      </c>
      <c r="G4" s="23">
        <v>94</v>
      </c>
      <c r="H4" s="33">
        <v>271.90715798630686</v>
      </c>
      <c r="I4" s="23">
        <v>45.825925703730384</v>
      </c>
      <c r="J4" s="5">
        <v>5355.1646631740059</v>
      </c>
      <c r="K4" s="31"/>
      <c r="L4" s="23">
        <v>1515044.1125407161</v>
      </c>
      <c r="M4" s="33">
        <v>344.36517894000281</v>
      </c>
      <c r="N4" s="5">
        <v>21</v>
      </c>
      <c r="O4" s="5">
        <v>81.333333333333329</v>
      </c>
      <c r="P4" s="33">
        <v>302.39477025747073</v>
      </c>
      <c r="Q4" s="5">
        <v>22.360738487937574</v>
      </c>
      <c r="R4" s="5">
        <v>4736.8630123489265</v>
      </c>
      <c r="S4" s="35"/>
      <c r="T4" s="23">
        <v>1566095.1489230851</v>
      </c>
      <c r="U4" s="33">
        <v>63.909958959999507</v>
      </c>
      <c r="V4" s="5">
        <v>12</v>
      </c>
      <c r="W4" s="5">
        <v>78</v>
      </c>
      <c r="X4" s="33">
        <v>636.14365873832003</v>
      </c>
      <c r="Y4" s="5">
        <v>58.020836378509578</v>
      </c>
      <c r="Z4" s="5">
        <v>6125.7390847502656</v>
      </c>
      <c r="AA4" s="35"/>
    </row>
    <row r="5" spans="2:27" x14ac:dyDescent="0.2">
      <c r="B5" s="4">
        <v>2</v>
      </c>
      <c r="C5" s="4">
        <v>9</v>
      </c>
      <c r="D5" s="23">
        <v>1202489.7236551461</v>
      </c>
      <c r="E5" s="33">
        <v>313.4964529999998</v>
      </c>
      <c r="F5" s="5">
        <v>13</v>
      </c>
      <c r="G5" s="23">
        <v>94</v>
      </c>
      <c r="H5" s="33">
        <v>507.14901979633493</v>
      </c>
      <c r="I5" s="23">
        <v>43.311860696042693</v>
      </c>
      <c r="J5" s="5">
        <v>5522.4880111501134</v>
      </c>
      <c r="K5" s="31"/>
      <c r="L5" s="23">
        <v>1502188.0748768719</v>
      </c>
      <c r="M5" s="33">
        <v>152.60969422000926</v>
      </c>
      <c r="N5" s="5">
        <v>23</v>
      </c>
      <c r="O5" s="5">
        <v>84.666666666666671</v>
      </c>
      <c r="P5" s="33">
        <v>329.03585782902411</v>
      </c>
      <c r="Q5" s="5">
        <v>21.619738501985445</v>
      </c>
      <c r="R5" s="5">
        <v>4883.8293078989063</v>
      </c>
      <c r="S5" s="35"/>
      <c r="T5" s="23">
        <v>1640583.741041905</v>
      </c>
      <c r="U5" s="33">
        <v>116.38743610000238</v>
      </c>
      <c r="V5" s="5">
        <v>12</v>
      </c>
      <c r="W5" s="5">
        <v>76</v>
      </c>
      <c r="X5" s="33">
        <v>822.55709590620745</v>
      </c>
      <c r="Y5" s="5">
        <v>54.996213341788689</v>
      </c>
      <c r="Z5" s="5">
        <v>6229.2690277477968</v>
      </c>
      <c r="AA5" s="35"/>
    </row>
    <row r="6" spans="2:27" x14ac:dyDescent="0.2">
      <c r="B6" s="4">
        <v>3</v>
      </c>
      <c r="C6" s="4">
        <v>893</v>
      </c>
      <c r="D6" s="23">
        <v>1157180.1066071831</v>
      </c>
      <c r="E6" s="33">
        <v>235.50701824000581</v>
      </c>
      <c r="F6" s="5">
        <v>13</v>
      </c>
      <c r="G6" s="23">
        <v>94</v>
      </c>
      <c r="H6" s="33">
        <v>318.47974687240685</v>
      </c>
      <c r="I6" s="23">
        <v>43.525875653610036</v>
      </c>
      <c r="J6" s="5">
        <v>5342.7625103993851</v>
      </c>
      <c r="K6" s="31"/>
      <c r="L6" s="23">
        <v>1554014.0948694041</v>
      </c>
      <c r="M6" s="33">
        <v>293.776215880015</v>
      </c>
      <c r="N6" s="5">
        <v>20</v>
      </c>
      <c r="O6" s="5">
        <v>78.666666666666671</v>
      </c>
      <c r="P6" s="33">
        <v>297.98450793528048</v>
      </c>
      <c r="Q6" s="5">
        <v>22.593309037031581</v>
      </c>
      <c r="R6" s="5">
        <v>4709.1593036966151</v>
      </c>
      <c r="S6" s="35"/>
      <c r="T6" s="23">
        <v>1592945.236969532</v>
      </c>
      <c r="U6" s="33">
        <v>149.36039886001964</v>
      </c>
      <c r="V6" s="5">
        <v>11</v>
      </c>
      <c r="W6" s="5">
        <v>77.333333333333329</v>
      </c>
      <c r="X6" s="33">
        <v>790.74946108158679</v>
      </c>
      <c r="Y6" s="5">
        <v>65.213635760612092</v>
      </c>
      <c r="Z6" s="5">
        <v>6306.658282029267</v>
      </c>
      <c r="AA6" s="35"/>
    </row>
    <row r="7" spans="2:27" x14ac:dyDescent="0.2">
      <c r="B7" s="4">
        <v>4</v>
      </c>
      <c r="C7" s="4">
        <v>720</v>
      </c>
      <c r="D7" s="23">
        <v>1153789.3934448441</v>
      </c>
      <c r="E7" s="33">
        <v>222.02791956001903</v>
      </c>
      <c r="F7" s="5">
        <v>14</v>
      </c>
      <c r="G7" s="23">
        <v>94</v>
      </c>
      <c r="H7" s="33">
        <v>297.79632176388355</v>
      </c>
      <c r="I7" s="23">
        <v>39.825324093414508</v>
      </c>
      <c r="J7" s="5">
        <v>5184.3200434974788</v>
      </c>
      <c r="K7" s="31"/>
      <c r="L7" s="23">
        <v>1520007.5655529459</v>
      </c>
      <c r="M7" s="33">
        <v>180.12757143999914</v>
      </c>
      <c r="N7" s="5">
        <v>21</v>
      </c>
      <c r="O7" s="5">
        <v>82</v>
      </c>
      <c r="P7" s="33">
        <v>304.60426893519838</v>
      </c>
      <c r="Q7" s="5">
        <v>23.179519964293508</v>
      </c>
      <c r="R7" s="5">
        <v>4883.2573063632917</v>
      </c>
      <c r="S7" s="35"/>
      <c r="T7" s="23">
        <v>1580338.5569562579</v>
      </c>
      <c r="U7" s="33">
        <v>175.89145745998249</v>
      </c>
      <c r="V7" s="5">
        <v>13</v>
      </c>
      <c r="W7" s="5">
        <v>80</v>
      </c>
      <c r="X7" s="33">
        <v>866.03713897681405</v>
      </c>
      <c r="Y7" s="5">
        <v>59.144213189079238</v>
      </c>
      <c r="Z7" s="5">
        <v>6342.8329336925635</v>
      </c>
      <c r="AA7" s="35"/>
    </row>
    <row r="8" spans="2:27" x14ac:dyDescent="0.2">
      <c r="B8" s="4">
        <v>5</v>
      </c>
      <c r="C8" s="4">
        <v>574</v>
      </c>
      <c r="D8" s="23">
        <v>1170602.0214876051</v>
      </c>
      <c r="E8" s="33">
        <v>246.04169082001323</v>
      </c>
      <c r="F8" s="5">
        <v>13</v>
      </c>
      <c r="G8" s="23">
        <v>94</v>
      </c>
      <c r="H8" s="33">
        <v>291.68332265947379</v>
      </c>
      <c r="I8" s="23">
        <v>42.577778409374751</v>
      </c>
      <c r="J8" s="5">
        <v>5439.296751998354</v>
      </c>
      <c r="K8" s="31"/>
      <c r="L8" s="23">
        <v>1538901.2305024001</v>
      </c>
      <c r="M8" s="33">
        <v>316.14752531999261</v>
      </c>
      <c r="N8" s="5">
        <v>19</v>
      </c>
      <c r="O8" s="5">
        <v>78.666666666666671</v>
      </c>
      <c r="P8" s="33">
        <v>288.65801376890283</v>
      </c>
      <c r="Q8" s="5">
        <v>24.148541767473436</v>
      </c>
      <c r="R8" s="5">
        <v>4756.8606561740635</v>
      </c>
      <c r="S8" s="35"/>
      <c r="T8" s="23">
        <v>1646928.3851347419</v>
      </c>
      <c r="U8" s="33">
        <v>114.30826581998262</v>
      </c>
      <c r="V8" s="5">
        <v>13</v>
      </c>
      <c r="W8" s="5">
        <v>76.666666666666671</v>
      </c>
      <c r="X8" s="33">
        <v>863.89424156520226</v>
      </c>
      <c r="Y8" s="5">
        <v>54.537483493051852</v>
      </c>
      <c r="Z8" s="5">
        <v>6302.0751557003414</v>
      </c>
      <c r="AA8" s="35"/>
    </row>
    <row r="9" spans="2:27" x14ac:dyDescent="0.2">
      <c r="B9" s="4">
        <v>6</v>
      </c>
      <c r="C9" s="4">
        <v>969</v>
      </c>
      <c r="D9" s="23">
        <v>1190433.732383064</v>
      </c>
      <c r="E9" s="33">
        <v>136.8866714600008</v>
      </c>
      <c r="F9" s="5">
        <v>13</v>
      </c>
      <c r="G9" s="23">
        <v>94</v>
      </c>
      <c r="H9" s="33">
        <v>561.68622777440942</v>
      </c>
      <c r="I9" s="23">
        <v>43.714777887764363</v>
      </c>
      <c r="J9" s="5">
        <v>5414.8025472112868</v>
      </c>
      <c r="K9" s="31"/>
      <c r="L9" s="23">
        <v>1572144.9798454549</v>
      </c>
      <c r="M9" s="33">
        <v>199.22301658000796</v>
      </c>
      <c r="N9" s="5">
        <v>21</v>
      </c>
      <c r="O9" s="5">
        <v>80.666666666666671</v>
      </c>
      <c r="P9" s="33">
        <v>346.69469628636762</v>
      </c>
      <c r="Q9" s="5">
        <v>22.649402982973282</v>
      </c>
      <c r="R9" s="5">
        <v>5048.9113127313949</v>
      </c>
      <c r="S9" s="35"/>
      <c r="T9" s="23">
        <v>1593439.239490344</v>
      </c>
      <c r="U9" s="33">
        <v>185.47464866000229</v>
      </c>
      <c r="V9" s="5">
        <v>12</v>
      </c>
      <c r="W9" s="5">
        <v>78</v>
      </c>
      <c r="X9" s="33">
        <v>743.97045589941547</v>
      </c>
      <c r="Y9" s="5">
        <v>58.186814815903269</v>
      </c>
      <c r="Z9" s="5">
        <v>6324.8527855690372</v>
      </c>
      <c r="AA9" s="35"/>
    </row>
    <row r="10" spans="2:27" x14ac:dyDescent="0.2">
      <c r="B10" s="4">
        <v>7</v>
      </c>
      <c r="C10" s="4">
        <v>629</v>
      </c>
      <c r="D10" s="23">
        <v>1140020.419265914</v>
      </c>
      <c r="E10" s="33">
        <v>240.1352147399914</v>
      </c>
      <c r="F10" s="5">
        <v>13</v>
      </c>
      <c r="G10" s="23">
        <v>94</v>
      </c>
      <c r="H10" s="33">
        <v>310.55564945870526</v>
      </c>
      <c r="I10" s="23">
        <v>43.596344584197787</v>
      </c>
      <c r="J10" s="5">
        <v>5249.5168854344747</v>
      </c>
      <c r="K10" s="31"/>
      <c r="L10" s="23">
        <v>1538587.1146086</v>
      </c>
      <c r="M10" s="33">
        <v>418.83565146001058</v>
      </c>
      <c r="N10" s="5">
        <v>19</v>
      </c>
      <c r="O10" s="5">
        <v>78</v>
      </c>
      <c r="P10" s="33">
        <v>223.69047744038755</v>
      </c>
      <c r="Q10" s="5">
        <v>23.434316218599893</v>
      </c>
      <c r="R10" s="5">
        <v>4623.413125517196</v>
      </c>
      <c r="S10" s="35"/>
      <c r="T10" s="23">
        <v>1620176.814800181</v>
      </c>
      <c r="U10" s="33">
        <v>96.24828633998986</v>
      </c>
      <c r="V10" s="5">
        <v>13</v>
      </c>
      <c r="W10" s="5">
        <v>79.333333333333329</v>
      </c>
      <c r="X10" s="33">
        <v>1069.5649505675349</v>
      </c>
      <c r="Y10" s="5">
        <v>56.948779795671378</v>
      </c>
      <c r="Z10" s="5">
        <v>6362.3079259973292</v>
      </c>
      <c r="AA10" s="35"/>
    </row>
    <row r="11" spans="2:27" x14ac:dyDescent="0.2">
      <c r="B11" s="4">
        <v>8</v>
      </c>
      <c r="C11" s="4">
        <v>230</v>
      </c>
      <c r="D11" s="23">
        <v>1196545.4365998739</v>
      </c>
      <c r="E11" s="33">
        <v>180.66072096000426</v>
      </c>
      <c r="F11" s="5">
        <v>13</v>
      </c>
      <c r="G11" s="23">
        <v>94</v>
      </c>
      <c r="H11" s="33">
        <v>411.28314721474601</v>
      </c>
      <c r="I11" s="23">
        <v>41.723994371977071</v>
      </c>
      <c r="J11" s="5">
        <v>5513.0230903192942</v>
      </c>
      <c r="K11" s="31"/>
      <c r="L11" s="23">
        <v>1528196.674407179</v>
      </c>
      <c r="M11" s="33">
        <v>371.33118213999558</v>
      </c>
      <c r="N11" s="5">
        <v>22</v>
      </c>
      <c r="O11" s="5">
        <v>82.666666666666671</v>
      </c>
      <c r="P11" s="33">
        <v>353.1377466489123</v>
      </c>
      <c r="Q11" s="5">
        <v>21.989512078950575</v>
      </c>
      <c r="R11" s="5">
        <v>4885.6178332891759</v>
      </c>
      <c r="S11" s="35"/>
      <c r="T11" s="23">
        <v>1628442.453026142</v>
      </c>
      <c r="U11" s="33">
        <v>106.23821586000267</v>
      </c>
      <c r="V11" s="5">
        <v>12</v>
      </c>
      <c r="W11" s="5">
        <v>76</v>
      </c>
      <c r="X11" s="33">
        <v>752.41369777872274</v>
      </c>
      <c r="Y11" s="5">
        <v>59.052379754594483</v>
      </c>
      <c r="Z11" s="5">
        <v>6311.1809295394269</v>
      </c>
      <c r="AA11" s="35"/>
    </row>
    <row r="12" spans="2:27" x14ac:dyDescent="0.2">
      <c r="B12" s="4">
        <v>9</v>
      </c>
      <c r="C12" s="4">
        <v>294</v>
      </c>
      <c r="D12" s="23">
        <v>1181428.0970732439</v>
      </c>
      <c r="E12" s="33">
        <v>196.71016284001524</v>
      </c>
      <c r="F12" s="5">
        <v>12</v>
      </c>
      <c r="G12" s="23">
        <v>94</v>
      </c>
      <c r="H12" s="33">
        <v>323.89224579221337</v>
      </c>
      <c r="I12" s="23">
        <v>46.327004582394245</v>
      </c>
      <c r="J12" s="5">
        <v>5606.299673098998</v>
      </c>
      <c r="K12" s="31"/>
      <c r="L12" s="23">
        <v>1487316.047748605</v>
      </c>
      <c r="M12" s="33">
        <v>529.27651803998742</v>
      </c>
      <c r="N12" s="5">
        <v>23</v>
      </c>
      <c r="O12" s="5">
        <v>83.333333333333329</v>
      </c>
      <c r="P12" s="33">
        <v>280.40190834258851</v>
      </c>
      <c r="Q12" s="5">
        <v>20.879001819612288</v>
      </c>
      <c r="R12" s="5">
        <v>4574.565712636605</v>
      </c>
      <c r="S12" s="35"/>
      <c r="T12" s="23">
        <v>1599683.8668926209</v>
      </c>
      <c r="U12" s="33">
        <v>139.27324860000516</v>
      </c>
      <c r="V12" s="5">
        <v>11</v>
      </c>
      <c r="W12" s="5">
        <v>76</v>
      </c>
      <c r="X12" s="33">
        <v>743.89635398047403</v>
      </c>
      <c r="Y12" s="5">
        <v>65.014832900271841</v>
      </c>
      <c r="Z12" s="5">
        <v>6237.7166977099241</v>
      </c>
      <c r="AA12" s="35"/>
    </row>
    <row r="13" spans="2:27" x14ac:dyDescent="0.2">
      <c r="B13" s="4">
        <v>10</v>
      </c>
      <c r="C13" s="4">
        <v>863</v>
      </c>
      <c r="D13" s="23">
        <v>1159423.4074993581</v>
      </c>
      <c r="E13" s="33">
        <v>119.59629067999776</v>
      </c>
      <c r="F13" s="5">
        <v>13</v>
      </c>
      <c r="G13" s="23">
        <v>94</v>
      </c>
      <c r="H13" s="33">
        <v>287.71653275556537</v>
      </c>
      <c r="I13" s="23">
        <v>43.505581341311647</v>
      </c>
      <c r="J13" s="5">
        <v>5371.4388567506003</v>
      </c>
      <c r="K13" s="31"/>
      <c r="L13" s="23">
        <v>1518815.784123007</v>
      </c>
      <c r="M13" s="33">
        <v>145.77151689999738</v>
      </c>
      <c r="N13" s="5">
        <v>20</v>
      </c>
      <c r="O13" s="5">
        <v>79.333333333333329</v>
      </c>
      <c r="P13" s="33">
        <v>335.24029358042566</v>
      </c>
      <c r="Q13" s="5">
        <v>23.535561976680071</v>
      </c>
      <c r="R13" s="5">
        <v>4554.1134919953683</v>
      </c>
      <c r="S13" s="35"/>
      <c r="T13" s="23">
        <v>1563524.304728773</v>
      </c>
      <c r="U13" s="33">
        <v>279.9877987799934</v>
      </c>
      <c r="V13" s="5">
        <v>13</v>
      </c>
      <c r="W13" s="5">
        <v>81.333333333333329</v>
      </c>
      <c r="X13" s="33">
        <v>922.40119180112367</v>
      </c>
      <c r="Y13" s="5">
        <v>62.011679232080141</v>
      </c>
      <c r="Z13" s="5">
        <v>6430.1118435724948</v>
      </c>
      <c r="AA13" s="35"/>
    </row>
    <row r="14" spans="2:27" x14ac:dyDescent="0.2">
      <c r="B14" s="47" t="s">
        <v>3</v>
      </c>
      <c r="C14" s="48"/>
      <c r="D14" s="9">
        <f>MIN(D4:D13)</f>
        <v>1137104.532637944</v>
      </c>
      <c r="E14" s="22">
        <f>INDEX(E4:E13, MATCH($D$14, D4:D13, 0))</f>
        <v>171.31255005998537</v>
      </c>
      <c r="F14" s="9">
        <f>INDEX(F4:F13, MATCH($D$14, D4:D13, 0))</f>
        <v>12</v>
      </c>
      <c r="G14" s="9">
        <f>INDEX(G4:G13, MATCH($D$14, D4:D13, 0))</f>
        <v>94</v>
      </c>
      <c r="H14" s="22">
        <f>INDEX(H4:H13, MATCH($D$14, D4:D13, 0))</f>
        <v>271.90715798630686</v>
      </c>
      <c r="I14" s="22">
        <f>INDEX(I4:I13, MATCH($D$14, D4:D13, 0))</f>
        <v>45.825925703730384</v>
      </c>
      <c r="J14" s="22">
        <f>INDEX(J4:J13, MATCH($D$14, D4:D13, 0))</f>
        <v>5355.1646631740059</v>
      </c>
      <c r="K14" s="32" t="e">
        <f>(D14-$D$15)/$D$15</f>
        <v>#DIV/0!</v>
      </c>
      <c r="L14" s="16">
        <f>MIN(L4:L13)</f>
        <v>1487316.047748605</v>
      </c>
      <c r="M14" s="21">
        <f>INDEX(M4:M13, MATCH($L$14, L4:L13, 0))</f>
        <v>529.27651803998742</v>
      </c>
      <c r="N14" s="16">
        <f>INDEX(N4:N13, MATCH($L$14, L4:L13, 0))</f>
        <v>23</v>
      </c>
      <c r="O14" s="16">
        <f>INDEX(O4:O13, MATCH($L$14, L4:L13, 0))</f>
        <v>83.333333333333329</v>
      </c>
      <c r="P14" s="21">
        <f>INDEX(P4:P13, MATCH($L$14, L4:L13, 0))</f>
        <v>280.40190834258851</v>
      </c>
      <c r="Q14" s="21">
        <f>INDEX(Q4:Q13, MATCH($L$14, L4:L13, 0))</f>
        <v>20.879001819612288</v>
      </c>
      <c r="R14" s="21">
        <f>INDEX(R4:R13, MATCH($L$14, L4:L13, 0))</f>
        <v>4574.565712636605</v>
      </c>
      <c r="S14" s="36" t="e">
        <f>(L14-$D$15)/$D$15</f>
        <v>#DIV/0!</v>
      </c>
      <c r="T14" s="38">
        <f>MIN(T4:T13)</f>
        <v>1563524.304728773</v>
      </c>
      <c r="U14" s="39">
        <f>INDEX(U4:U13, MATCH($T$14, T4:T13, 0))</f>
        <v>279.9877987799934</v>
      </c>
      <c r="V14" s="38">
        <f>INDEX(V4:V13, MATCH($T$14, T4:T13, 0))</f>
        <v>13</v>
      </c>
      <c r="W14" s="38">
        <f>INDEX(W4:W13, MATCH($T$14, T4:T13, 0))</f>
        <v>81.333333333333329</v>
      </c>
      <c r="X14" s="39">
        <f>INDEX(X4:X13, MATCH($T$14, T4:T13, 0))</f>
        <v>922.40119180112367</v>
      </c>
      <c r="Y14" s="39">
        <f>INDEX(Y4:Y13, MATCH($T$14, T4:T13, 0))</f>
        <v>62.011679232080141</v>
      </c>
      <c r="Z14" s="39">
        <f>INDEX(Z4:Z13, MATCH($T$14, T4:T13, 0))</f>
        <v>6430.1118435724948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0.30798533033564907</v>
      </c>
      <c r="M15" s="41">
        <f t="shared" ref="M15:R15" si="0">(M14-E14)/E14</f>
        <v>2.0895373272691371</v>
      </c>
      <c r="N15" s="41">
        <f t="shared" si="0"/>
        <v>0.91666666666666663</v>
      </c>
      <c r="O15" s="41">
        <f t="shared" si="0"/>
        <v>-0.11347517730496459</v>
      </c>
      <c r="P15" s="41">
        <f t="shared" si="0"/>
        <v>3.1241363483007125E-2</v>
      </c>
      <c r="Q15" s="41">
        <f t="shared" si="0"/>
        <v>-0.54438450508130887</v>
      </c>
      <c r="R15" s="41">
        <f t="shared" si="0"/>
        <v>-0.1457656299357824</v>
      </c>
      <c r="T15" s="41">
        <f>(T14-D14)/D14</f>
        <v>0.37500490047435397</v>
      </c>
      <c r="U15" s="41">
        <f t="shared" ref="U15:Z15" si="1">(U14-E14)/E14</f>
        <v>0.63436828581417537</v>
      </c>
      <c r="V15" s="41">
        <f t="shared" si="1"/>
        <v>8.3333333333333329E-2</v>
      </c>
      <c r="W15" s="41">
        <f t="shared" si="1"/>
        <v>-0.13475177304964545</v>
      </c>
      <c r="X15" s="41">
        <f t="shared" si="1"/>
        <v>2.39233876236379</v>
      </c>
      <c r="Y15" s="41">
        <f t="shared" si="1"/>
        <v>0.35320079801535098</v>
      </c>
      <c r="Z15" s="41">
        <f t="shared" si="1"/>
        <v>0.20073092948767848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89" priority="7"/>
    <cfRule type="duplicateValues" dxfId="88" priority="8"/>
  </conditionalFormatting>
  <conditionalFormatting sqref="C14">
    <cfRule type="duplicateValues" dxfId="87" priority="5"/>
    <cfRule type="duplicateValues" dxfId="86" priority="6"/>
  </conditionalFormatting>
  <conditionalFormatting sqref="C15">
    <cfRule type="duplicateValues" dxfId="85" priority="3"/>
    <cfRule type="duplicateValues" dxfId="84" priority="4"/>
  </conditionalFormatting>
  <conditionalFormatting sqref="C19:C28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0D98-54C1-4739-9412-8BE2CE6FEFE3}">
  <dimension ref="B1:AA17"/>
  <sheetViews>
    <sheetView zoomScale="90" zoomScaleNormal="90" workbookViewId="0">
      <selection activeCell="U19" sqref="U19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-0.96885897962849699</v>
      </c>
      <c r="J2" s="28" t="e">
        <f>(S14-J14)/J14</f>
        <v>#DIV/0!</v>
      </c>
      <c r="K2" s="28"/>
      <c r="L2" s="1" t="s">
        <v>19</v>
      </c>
      <c r="P2" s="1">
        <f>(P14-H14)/H14</f>
        <v>-0.34288881748846273</v>
      </c>
      <c r="R2" s="1">
        <f>(R14-J14)/J14</f>
        <v>-0.20919366064717326</v>
      </c>
      <c r="T2" s="1" t="s">
        <v>20</v>
      </c>
      <c r="X2" s="1">
        <f>(X14-P14)/P14</f>
        <v>2.1209879005490384</v>
      </c>
      <c r="Z2" s="1">
        <f>(Z14-R14)/R14</f>
        <v>0.4591915457366979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309.16121485999321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>
        <v>1568601.4981680361</v>
      </c>
      <c r="M4" s="33">
        <v>322.1008331200108</v>
      </c>
      <c r="N4" s="5">
        <v>25</v>
      </c>
      <c r="O4" s="5">
        <v>80.666666666666671</v>
      </c>
      <c r="P4" s="33">
        <v>352.83887999472586</v>
      </c>
      <c r="Q4" s="5">
        <v>17.999400298387087</v>
      </c>
      <c r="R4" s="5">
        <v>4442.4712443383378</v>
      </c>
      <c r="S4" s="35"/>
      <c r="T4" s="23">
        <v>1654526.369844574</v>
      </c>
      <c r="U4" s="33">
        <v>169.85526860000101</v>
      </c>
      <c r="V4" s="5">
        <v>14</v>
      </c>
      <c r="W4" s="5">
        <v>77.333333333333329</v>
      </c>
      <c r="X4" s="33">
        <v>1079.6619111877935</v>
      </c>
      <c r="Y4" s="5">
        <v>57.349737491780843</v>
      </c>
      <c r="Z4" s="5">
        <v>6556.6409531103855</v>
      </c>
      <c r="AA4" s="35"/>
    </row>
    <row r="5" spans="2:27" x14ac:dyDescent="0.2">
      <c r="B5" s="4">
        <v>2</v>
      </c>
      <c r="C5" s="4">
        <v>99</v>
      </c>
      <c r="D5" s="23">
        <v>1139866.2757484149</v>
      </c>
      <c r="E5" s="33">
        <v>174.23131639999337</v>
      </c>
      <c r="F5" s="5">
        <v>14</v>
      </c>
      <c r="G5" s="23">
        <v>98.666666666666671</v>
      </c>
      <c r="H5" s="33">
        <v>561.63233549879783</v>
      </c>
      <c r="I5" s="23">
        <v>42.630068833021525</v>
      </c>
      <c r="J5" s="5">
        <v>5733.7065074433986</v>
      </c>
      <c r="K5" s="31"/>
      <c r="L5" s="23">
        <v>1679308.5439895841</v>
      </c>
      <c r="M5" s="33">
        <v>324.33886785998482</v>
      </c>
      <c r="N5" s="5">
        <v>20</v>
      </c>
      <c r="O5" s="5">
        <v>72.666666666666671</v>
      </c>
      <c r="P5" s="33">
        <v>353.22645358261593</v>
      </c>
      <c r="Q5" s="5">
        <v>20.231185502206277</v>
      </c>
      <c r="R5" s="5">
        <v>4610.382991644884</v>
      </c>
      <c r="S5" s="35"/>
      <c r="T5" s="23">
        <v>1603614.5802857471</v>
      </c>
      <c r="U5" s="33">
        <v>190.1406138600083</v>
      </c>
      <c r="V5" s="5">
        <v>12</v>
      </c>
      <c r="W5" s="5">
        <v>78</v>
      </c>
      <c r="X5" s="33">
        <v>981.09193534647147</v>
      </c>
      <c r="Y5" s="5">
        <v>63.597991200047097</v>
      </c>
      <c r="Z5" s="5">
        <v>6494.8295182319443</v>
      </c>
      <c r="AA5" s="35"/>
    </row>
    <row r="6" spans="2:27" x14ac:dyDescent="0.2">
      <c r="B6" s="4">
        <v>3</v>
      </c>
      <c r="C6" s="4">
        <v>341</v>
      </c>
      <c r="D6" s="23">
        <v>1160541.0901576739</v>
      </c>
      <c r="E6" s="33">
        <v>334.06233890000738</v>
      </c>
      <c r="F6" s="5">
        <v>14</v>
      </c>
      <c r="G6" s="23">
        <v>98.666666666666671</v>
      </c>
      <c r="H6" s="33">
        <v>664.8498501430887</v>
      </c>
      <c r="I6" s="23">
        <v>42.782973378729487</v>
      </c>
      <c r="J6" s="5">
        <v>5810.5460693961058</v>
      </c>
      <c r="K6" s="31"/>
      <c r="L6" s="23">
        <v>1603849.7184164191</v>
      </c>
      <c r="M6" s="33">
        <v>370.69641160001038</v>
      </c>
      <c r="N6" s="5">
        <v>29</v>
      </c>
      <c r="O6" s="5">
        <v>86.666666666666671</v>
      </c>
      <c r="P6" s="33">
        <v>660.87077092607547</v>
      </c>
      <c r="Q6" s="5">
        <v>17.029993133941634</v>
      </c>
      <c r="R6" s="5">
        <v>4954.9551201476106</v>
      </c>
      <c r="S6" s="35"/>
      <c r="T6" s="23">
        <v>1615848.0923049459</v>
      </c>
      <c r="U6" s="33">
        <v>217.52974801999522</v>
      </c>
      <c r="V6" s="5">
        <v>13</v>
      </c>
      <c r="W6" s="5">
        <v>78</v>
      </c>
      <c r="X6" s="33">
        <v>918.24849819685164</v>
      </c>
      <c r="Y6" s="5">
        <v>55.354695714892905</v>
      </c>
      <c r="Z6" s="5">
        <v>6358.4748427414206</v>
      </c>
      <c r="AA6" s="35"/>
    </row>
    <row r="7" spans="2:27" x14ac:dyDescent="0.2">
      <c r="B7" s="4">
        <v>4</v>
      </c>
      <c r="C7" s="4">
        <v>272</v>
      </c>
      <c r="D7" s="23">
        <v>1158647.438259783</v>
      </c>
      <c r="E7" s="33">
        <v>220.83955067999199</v>
      </c>
      <c r="F7" s="5">
        <v>14</v>
      </c>
      <c r="G7" s="23">
        <v>98</v>
      </c>
      <c r="H7" s="33">
        <v>586.98557614891195</v>
      </c>
      <c r="I7" s="23">
        <v>43.009928401376399</v>
      </c>
      <c r="J7" s="5">
        <v>5780.8633498259414</v>
      </c>
      <c r="K7" s="31"/>
      <c r="L7" s="23">
        <v>1545922.3965462011</v>
      </c>
      <c r="M7" s="33">
        <v>296.03931559999478</v>
      </c>
      <c r="N7" s="5">
        <v>27</v>
      </c>
      <c r="O7" s="5">
        <v>83.333333333333329</v>
      </c>
      <c r="P7" s="33">
        <v>358.92234039704857</v>
      </c>
      <c r="Q7" s="5">
        <v>17.009614524245023</v>
      </c>
      <c r="R7" s="5">
        <v>4493.3176097555524</v>
      </c>
      <c r="S7" s="35"/>
      <c r="T7" s="23">
        <v>1661986.9777729721</v>
      </c>
      <c r="U7" s="33">
        <v>267.91982263999523</v>
      </c>
      <c r="V7" s="5">
        <v>12</v>
      </c>
      <c r="W7" s="5">
        <v>76</v>
      </c>
      <c r="X7" s="33">
        <v>977.22846489869448</v>
      </c>
      <c r="Y7" s="5">
        <v>57.731979078912097</v>
      </c>
      <c r="Z7" s="5">
        <v>6523.2184695180922</v>
      </c>
      <c r="AA7" s="35"/>
    </row>
    <row r="8" spans="2:27" x14ac:dyDescent="0.2">
      <c r="B8" s="4">
        <v>5</v>
      </c>
      <c r="C8" s="4">
        <v>380</v>
      </c>
      <c r="D8" s="23">
        <v>1109174.084444887</v>
      </c>
      <c r="E8" s="33">
        <v>288.43918659999042</v>
      </c>
      <c r="F8" s="5">
        <v>13</v>
      </c>
      <c r="G8" s="23">
        <v>98.666666666666671</v>
      </c>
      <c r="H8" s="33">
        <v>546.21249789908541</v>
      </c>
      <c r="I8" s="23">
        <v>46.523123798038554</v>
      </c>
      <c r="J8" s="5">
        <v>5681.9443473768242</v>
      </c>
      <c r="K8" s="31"/>
      <c r="L8" s="23">
        <v>1596313.4558578341</v>
      </c>
      <c r="M8" s="33">
        <v>245.87066928001582</v>
      </c>
      <c r="N8" s="5">
        <v>25</v>
      </c>
      <c r="O8" s="5">
        <v>78.666666666666671</v>
      </c>
      <c r="P8" s="33">
        <v>285.77814120892549</v>
      </c>
      <c r="Q8" s="5">
        <v>17.169354391883644</v>
      </c>
      <c r="R8" s="5">
        <v>4351.3344040612101</v>
      </c>
      <c r="S8" s="35"/>
      <c r="T8" s="23">
        <v>1687196.426224679</v>
      </c>
      <c r="U8" s="33">
        <v>193.41772715998815</v>
      </c>
      <c r="V8" s="5">
        <v>11</v>
      </c>
      <c r="W8" s="5">
        <v>74</v>
      </c>
      <c r="X8" s="33">
        <v>956.84809725161676</v>
      </c>
      <c r="Y8" s="5">
        <v>58.955642382939978</v>
      </c>
      <c r="Z8" s="5">
        <v>6572.1239281041417</v>
      </c>
      <c r="AA8" s="35"/>
    </row>
    <row r="9" spans="2:27" x14ac:dyDescent="0.2">
      <c r="B9" s="4">
        <v>6</v>
      </c>
      <c r="C9" s="4">
        <v>126</v>
      </c>
      <c r="D9" s="23">
        <v>1109936.1426087851</v>
      </c>
      <c r="E9" s="33">
        <v>107.31968986000865</v>
      </c>
      <c r="F9" s="5">
        <v>13</v>
      </c>
      <c r="G9" s="23">
        <v>98.666666666666671</v>
      </c>
      <c r="H9" s="33">
        <v>549.33612487640085</v>
      </c>
      <c r="I9" s="23">
        <v>46.516979369030636</v>
      </c>
      <c r="J9" s="5">
        <v>5682.424210783548</v>
      </c>
      <c r="K9" s="31"/>
      <c r="L9" s="23">
        <v>1641880.319122701</v>
      </c>
      <c r="M9" s="33">
        <v>252.28535823998982</v>
      </c>
      <c r="N9" s="5">
        <v>21</v>
      </c>
      <c r="O9" s="5">
        <v>74.666666666666671</v>
      </c>
      <c r="P9" s="33">
        <v>308.73699093127777</v>
      </c>
      <c r="Q9" s="5">
        <v>19.873659208305195</v>
      </c>
      <c r="R9" s="5">
        <v>4558.110781003701</v>
      </c>
      <c r="S9" s="35"/>
      <c r="T9" s="23">
        <v>1772047.9308483161</v>
      </c>
      <c r="U9" s="33">
        <v>255.25983343999843</v>
      </c>
      <c r="V9" s="5">
        <v>12</v>
      </c>
      <c r="W9" s="5">
        <v>70.666666666666671</v>
      </c>
      <c r="X9" s="33">
        <v>884.21267245001957</v>
      </c>
      <c r="Y9" s="5">
        <v>53.114992703494714</v>
      </c>
      <c r="Z9" s="5">
        <v>6527.666198589287</v>
      </c>
      <c r="AA9" s="35"/>
    </row>
    <row r="10" spans="2:27" x14ac:dyDescent="0.2">
      <c r="B10" s="4">
        <v>7</v>
      </c>
      <c r="C10" s="4">
        <v>125</v>
      </c>
      <c r="D10" s="23">
        <v>1115352.1150573001</v>
      </c>
      <c r="E10" s="33">
        <v>180.78340708001051</v>
      </c>
      <c r="F10" s="5">
        <v>13</v>
      </c>
      <c r="G10" s="23">
        <v>98.666666666666671</v>
      </c>
      <c r="H10" s="33">
        <v>557.27977980175967</v>
      </c>
      <c r="I10" s="23">
        <v>46.883439356834359</v>
      </c>
      <c r="J10" s="5">
        <v>5709.5186149257788</v>
      </c>
      <c r="K10" s="31"/>
      <c r="L10" s="23">
        <v>1657572.003466882</v>
      </c>
      <c r="M10" s="33">
        <v>139.20134427999147</v>
      </c>
      <c r="N10" s="5">
        <v>22</v>
      </c>
      <c r="O10" s="5">
        <v>73.333333333333329</v>
      </c>
      <c r="P10" s="33">
        <v>246.54575816938919</v>
      </c>
      <c r="Q10" s="5">
        <v>17.491818577995055</v>
      </c>
      <c r="R10" s="5">
        <v>4274.3131233598178</v>
      </c>
      <c r="S10" s="35"/>
      <c r="T10" s="23">
        <v>1558972.741662466</v>
      </c>
      <c r="U10" s="33">
        <v>489.16750691998743</v>
      </c>
      <c r="V10" s="5">
        <v>15</v>
      </c>
      <c r="W10" s="5">
        <v>83.333333333333329</v>
      </c>
      <c r="X10" s="33">
        <v>1120.192281615932</v>
      </c>
      <c r="Y10" s="5">
        <v>58.494523179146427</v>
      </c>
      <c r="Z10" s="5">
        <v>6556.6110684651294</v>
      </c>
      <c r="AA10" s="35"/>
    </row>
    <row r="11" spans="2:27" x14ac:dyDescent="0.2">
      <c r="B11" s="4">
        <v>8</v>
      </c>
      <c r="C11" s="4">
        <v>879</v>
      </c>
      <c r="D11" s="23">
        <v>1120670.5772736871</v>
      </c>
      <c r="E11" s="33">
        <v>129.55188347999939</v>
      </c>
      <c r="F11" s="5">
        <v>13</v>
      </c>
      <c r="G11" s="23">
        <v>98.666666666666671</v>
      </c>
      <c r="H11" s="33">
        <v>598.59378458235756</v>
      </c>
      <c r="I11" s="23">
        <v>43.835182209102499</v>
      </c>
      <c r="J11" s="5">
        <v>5690.5646683356308</v>
      </c>
      <c r="K11" s="31"/>
      <c r="L11" s="23">
        <v>1581967.819873394</v>
      </c>
      <c r="M11" s="33">
        <v>376.07670461998782</v>
      </c>
      <c r="N11" s="5">
        <v>24</v>
      </c>
      <c r="O11" s="5">
        <v>79.333333333333329</v>
      </c>
      <c r="P11" s="33">
        <v>270.35152687834869</v>
      </c>
      <c r="Q11" s="5">
        <v>18.943179327614484</v>
      </c>
      <c r="R11" s="5">
        <v>4503.2348643364903</v>
      </c>
      <c r="S11" s="35"/>
      <c r="T11" s="23">
        <v>1610063.4154094621</v>
      </c>
      <c r="U11" s="33">
        <v>261.33292886000123</v>
      </c>
      <c r="V11" s="5">
        <v>12</v>
      </c>
      <c r="W11" s="5">
        <v>75.333333333333329</v>
      </c>
      <c r="X11" s="33">
        <v>681.5513644033781</v>
      </c>
      <c r="Y11" s="5">
        <v>55.695769619185448</v>
      </c>
      <c r="Z11" s="5">
        <v>6138.9705403788857</v>
      </c>
      <c r="AA11" s="35"/>
    </row>
    <row r="12" spans="2:27" x14ac:dyDescent="0.2">
      <c r="B12" s="4">
        <v>9</v>
      </c>
      <c r="C12" s="4">
        <v>40</v>
      </c>
      <c r="D12" s="23">
        <v>1115816.2231751089</v>
      </c>
      <c r="E12" s="33">
        <v>105.06894766001497</v>
      </c>
      <c r="F12" s="5">
        <v>13</v>
      </c>
      <c r="G12" s="23">
        <v>98.666666666666671</v>
      </c>
      <c r="H12" s="33">
        <v>554.90258009154036</v>
      </c>
      <c r="I12" s="23">
        <v>46.797390718523516</v>
      </c>
      <c r="J12" s="5">
        <v>5715.1383238423232</v>
      </c>
      <c r="K12" s="31"/>
      <c r="L12" s="23">
        <v>1558617.279327943</v>
      </c>
      <c r="M12" s="33">
        <v>188.65726141999477</v>
      </c>
      <c r="N12" s="5">
        <v>28</v>
      </c>
      <c r="O12" s="5">
        <v>83.333333333333329</v>
      </c>
      <c r="P12" s="33">
        <v>299.34578397073085</v>
      </c>
      <c r="Q12" s="5">
        <v>16.97096176224337</v>
      </c>
      <c r="R12" s="5">
        <v>4440.9288143157964</v>
      </c>
      <c r="S12" s="35"/>
      <c r="T12" s="23">
        <v>1559602.8364065159</v>
      </c>
      <c r="U12" s="33">
        <v>463.69933142000798</v>
      </c>
      <c r="V12" s="5">
        <v>15</v>
      </c>
      <c r="W12" s="5">
        <v>83.333333333333329</v>
      </c>
      <c r="X12" s="33">
        <v>1163.0306672585386</v>
      </c>
      <c r="Y12" s="5">
        <v>58.040863517172482</v>
      </c>
      <c r="Z12" s="5">
        <v>6501.6470207897401</v>
      </c>
      <c r="AA12" s="35"/>
    </row>
    <row r="13" spans="2:27" x14ac:dyDescent="0.2">
      <c r="B13" s="4">
        <v>10</v>
      </c>
      <c r="C13" s="4">
        <v>212</v>
      </c>
      <c r="D13" s="23">
        <v>1171555.979920866</v>
      </c>
      <c r="E13" s="33">
        <v>98.71008448000066</v>
      </c>
      <c r="F13" s="5">
        <v>14</v>
      </c>
      <c r="G13" s="23">
        <v>98.666666666666671</v>
      </c>
      <c r="H13" s="33">
        <v>689.61709950764157</v>
      </c>
      <c r="I13" s="23">
        <v>42.684700771885197</v>
      </c>
      <c r="J13" s="5">
        <v>5861.0261534108695</v>
      </c>
      <c r="K13" s="31"/>
      <c r="L13" s="23">
        <v>1574953.6632841879</v>
      </c>
      <c r="M13" s="33">
        <v>313.57738638001018</v>
      </c>
      <c r="N13" s="5">
        <v>27</v>
      </c>
      <c r="O13" s="5">
        <v>83.333333333333329</v>
      </c>
      <c r="P13" s="33">
        <v>432.28874180691002</v>
      </c>
      <c r="Q13" s="5">
        <v>17.405639755415486</v>
      </c>
      <c r="R13" s="5">
        <v>4636.7343556771757</v>
      </c>
      <c r="S13" s="35"/>
      <c r="T13" s="23">
        <v>1632220.022141529</v>
      </c>
      <c r="U13" s="33">
        <v>278.9345149199944</v>
      </c>
      <c r="V13" s="5">
        <v>14</v>
      </c>
      <c r="W13" s="5">
        <v>80</v>
      </c>
      <c r="X13" s="33">
        <v>1137.2591377278266</v>
      </c>
      <c r="Y13" s="5">
        <v>57.897560504484282</v>
      </c>
      <c r="Z13" s="5">
        <v>6650.1037165906691</v>
      </c>
      <c r="AA13" s="35"/>
    </row>
    <row r="14" spans="2:27" x14ac:dyDescent="0.2">
      <c r="B14" s="47" t="s">
        <v>3</v>
      </c>
      <c r="C14" s="48"/>
      <c r="D14" s="9">
        <f>MIN(D4:D13)</f>
        <v>1109174.084444887</v>
      </c>
      <c r="E14" s="22">
        <f>INDEX(E4:E13, MATCH($D$14, D4:D13, 0))</f>
        <v>288.43918659999042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546.21249789908541</v>
      </c>
      <c r="I14" s="22">
        <f>INDEX(I4:I13, MATCH($D$14, D4:D13, 0))</f>
        <v>46.523123798038554</v>
      </c>
      <c r="J14" s="22">
        <f>INDEX(J4:J13, MATCH($D$14, D4:D13, 0))</f>
        <v>5681.9443473768242</v>
      </c>
      <c r="K14" s="32" t="e">
        <f>(D14-$D$15)/$D$15</f>
        <v>#DIV/0!</v>
      </c>
      <c r="L14" s="16">
        <f>MIN(L4:L13)</f>
        <v>1545922.3965462011</v>
      </c>
      <c r="M14" s="21">
        <f>INDEX(M4:M13, MATCH($L$14, L4:L13, 0))</f>
        <v>296.03931559999478</v>
      </c>
      <c r="N14" s="16">
        <f>INDEX(N4:N13, MATCH($L$14, L4:L13, 0))</f>
        <v>27</v>
      </c>
      <c r="O14" s="16">
        <f>INDEX(O4:O13, MATCH($L$14, L4:L13, 0))</f>
        <v>83.333333333333329</v>
      </c>
      <c r="P14" s="21">
        <f>INDEX(P4:P13, MATCH($L$14, L4:L13, 0))</f>
        <v>358.92234039704857</v>
      </c>
      <c r="Q14" s="21">
        <f>INDEX(Q4:Q13, MATCH($L$14, L4:L13, 0))</f>
        <v>17.009614524245023</v>
      </c>
      <c r="R14" s="21">
        <f>INDEX(R4:R13, MATCH($L$14, L4:L13, 0))</f>
        <v>4493.3176097555524</v>
      </c>
      <c r="S14" s="36" t="e">
        <f>(L14-$D$15)/$D$15</f>
        <v>#DIV/0!</v>
      </c>
      <c r="T14" s="38">
        <f>MIN(T4:T13)</f>
        <v>1558972.741662466</v>
      </c>
      <c r="U14" s="39">
        <f>INDEX(U4:U13, MATCH($T$14, T4:T13, 0))</f>
        <v>489.16750691998743</v>
      </c>
      <c r="V14" s="38">
        <f>INDEX(V4:V13, MATCH($T$14, T4:T13, 0))</f>
        <v>15</v>
      </c>
      <c r="W14" s="38">
        <f>INDEX(W4:W13, MATCH($T$14, T4:T13, 0))</f>
        <v>83.333333333333329</v>
      </c>
      <c r="X14" s="39">
        <f>INDEX(X4:X13, MATCH($T$14, T4:T13, 0))</f>
        <v>1120.192281615932</v>
      </c>
      <c r="Y14" s="39">
        <f>INDEX(Y4:Y13, MATCH($T$14, T4:T13, 0))</f>
        <v>58.494523179146427</v>
      </c>
      <c r="Z14" s="39">
        <f>INDEX(Z4:Z13, MATCH($T$14, T4:T13, 0))</f>
        <v>6556.6110684651294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0.39375993203077347</v>
      </c>
      <c r="M15" s="41">
        <f t="shared" ref="M15:R15" si="0">(M14-E14)/E14</f>
        <v>2.6349155569296043E-2</v>
      </c>
      <c r="N15" s="41">
        <f t="shared" si="0"/>
        <v>1.0769230769230769</v>
      </c>
      <c r="O15" s="41">
        <f t="shared" si="0"/>
        <v>-0.15540540540540548</v>
      </c>
      <c r="P15" s="41">
        <f t="shared" si="0"/>
        <v>-0.34288881748846273</v>
      </c>
      <c r="Q15" s="41">
        <f t="shared" si="0"/>
        <v>-0.63438365407092123</v>
      </c>
      <c r="R15" s="41">
        <f t="shared" si="0"/>
        <v>-0.20919366064717326</v>
      </c>
      <c r="T15" s="41">
        <f>(T14-D14)/D14</f>
        <v>0.40552575427570647</v>
      </c>
      <c r="U15" s="41">
        <f t="shared" ref="U15:Z15" si="1">(U14-E14)/E14</f>
        <v>0.69591210086987421</v>
      </c>
      <c r="V15" s="41">
        <f t="shared" si="1"/>
        <v>0.15384615384615385</v>
      </c>
      <c r="W15" s="41">
        <f t="shared" si="1"/>
        <v>-0.15540540540540548</v>
      </c>
      <c r="X15" s="41">
        <f t="shared" si="1"/>
        <v>1.0508360499339786</v>
      </c>
      <c r="Y15" s="41">
        <f t="shared" si="1"/>
        <v>0.2573214866885743</v>
      </c>
      <c r="Z15" s="41">
        <f t="shared" si="1"/>
        <v>0.15393792469863091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83" priority="7"/>
    <cfRule type="duplicateValues" dxfId="82" priority="8"/>
  </conditionalFormatting>
  <conditionalFormatting sqref="C14">
    <cfRule type="duplicateValues" dxfId="81" priority="5"/>
    <cfRule type="duplicateValues" dxfId="80" priority="6"/>
  </conditionalFormatting>
  <conditionalFormatting sqref="C15">
    <cfRule type="duplicateValues" dxfId="79" priority="3"/>
    <cfRule type="duplicateValues" dxfId="78" priority="4"/>
  </conditionalFormatting>
  <conditionalFormatting sqref="C19:C28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6D65-D442-4B75-8FD6-FA9A214551DF}">
  <dimension ref="B1:AA17"/>
  <sheetViews>
    <sheetView zoomScale="90" zoomScaleNormal="90" workbookViewId="0">
      <selection activeCell="U19" sqref="U19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-0.95020908932152115</v>
      </c>
      <c r="J2" s="28" t="e">
        <f>(S14-J14)/J14</f>
        <v>#DIV/0!</v>
      </c>
      <c r="K2" s="28"/>
      <c r="L2" s="1" t="s">
        <v>19</v>
      </c>
      <c r="P2" s="1">
        <f>(P14-H14)/H14</f>
        <v>-3.3745881679349526E-2</v>
      </c>
      <c r="R2" s="1">
        <f>(R14-J14)/J14</f>
        <v>-6.0023326854775821E-2</v>
      </c>
      <c r="T2" s="1" t="s">
        <v>20</v>
      </c>
      <c r="X2" s="1">
        <f>(X14-P14)/P14</f>
        <v>1.6972140411992926</v>
      </c>
      <c r="Z2" s="1">
        <f>(Z14-R14)/R14</f>
        <v>0.35706459027123338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483</v>
      </c>
      <c r="D4" s="23">
        <v>1058295.6068728601</v>
      </c>
      <c r="E4" s="33">
        <v>108.80821509999222</v>
      </c>
      <c r="F4" s="5">
        <v>14</v>
      </c>
      <c r="G4" s="23">
        <v>96.666666666666671</v>
      </c>
      <c r="H4" s="33">
        <v>370.01651119996461</v>
      </c>
      <c r="I4" s="23">
        <v>37.745371346663426</v>
      </c>
      <c r="J4" s="5">
        <v>4953.6469021682587</v>
      </c>
      <c r="K4" s="31"/>
      <c r="L4" s="23">
        <v>1483112.5440073989</v>
      </c>
      <c r="M4" s="33">
        <v>149.73212649999186</v>
      </c>
      <c r="N4" s="5">
        <v>25</v>
      </c>
      <c r="O4" s="5">
        <v>84.666666666666671</v>
      </c>
      <c r="P4" s="33">
        <v>302.37549212300075</v>
      </c>
      <c r="Q4" s="5">
        <v>17.987956723557996</v>
      </c>
      <c r="R4" s="5">
        <v>4460.5516472366162</v>
      </c>
      <c r="S4" s="35"/>
      <c r="T4" s="23">
        <v>1530982.133437213</v>
      </c>
      <c r="U4" s="33">
        <v>107.58269245999399</v>
      </c>
      <c r="V4" s="5">
        <v>13</v>
      </c>
      <c r="W4" s="5">
        <v>79.333333333333329</v>
      </c>
      <c r="X4" s="33">
        <v>709.97866168707287</v>
      </c>
      <c r="Y4" s="5">
        <v>57.360956616066453</v>
      </c>
      <c r="Z4" s="5">
        <v>5948.3583796270059</v>
      </c>
      <c r="AA4" s="35"/>
    </row>
    <row r="5" spans="2:27" x14ac:dyDescent="0.2">
      <c r="B5" s="4">
        <v>2</v>
      </c>
      <c r="C5" s="4">
        <v>72</v>
      </c>
      <c r="D5" s="23">
        <v>1143055.8929637079</v>
      </c>
      <c r="E5" s="33">
        <v>215.82376539998222</v>
      </c>
      <c r="F5" s="5">
        <v>15</v>
      </c>
      <c r="G5" s="23">
        <v>96.666666666666671</v>
      </c>
      <c r="H5" s="33">
        <v>434.71745440406943</v>
      </c>
      <c r="I5" s="23">
        <v>35.392734821729817</v>
      </c>
      <c r="J5" s="5">
        <v>5339.5325738573438</v>
      </c>
      <c r="K5" s="31"/>
      <c r="L5" s="23">
        <v>1504211.9719571851</v>
      </c>
      <c r="M5" s="33">
        <v>297.49720791999721</v>
      </c>
      <c r="N5" s="5">
        <v>23</v>
      </c>
      <c r="O5" s="5">
        <v>84</v>
      </c>
      <c r="P5" s="33">
        <v>365.00934879302935</v>
      </c>
      <c r="Q5" s="5">
        <v>19.40954750364342</v>
      </c>
      <c r="R5" s="5">
        <v>4749.6125982804251</v>
      </c>
      <c r="S5" s="35"/>
      <c r="T5" s="23">
        <v>1608147.336923718</v>
      </c>
      <c r="U5" s="33">
        <v>118.93136029997841</v>
      </c>
      <c r="V5" s="5">
        <v>12</v>
      </c>
      <c r="W5" s="5">
        <v>78</v>
      </c>
      <c r="X5" s="33">
        <v>854.99488070266329</v>
      </c>
      <c r="Y5" s="5">
        <v>58.327303508879567</v>
      </c>
      <c r="Z5" s="5">
        <v>6338.3154259959201</v>
      </c>
      <c r="AA5" s="35"/>
    </row>
    <row r="6" spans="2:27" x14ac:dyDescent="0.2">
      <c r="B6" s="4">
        <v>3</v>
      </c>
      <c r="C6" s="4">
        <v>258</v>
      </c>
      <c r="D6" s="23">
        <v>1083028.093078908</v>
      </c>
      <c r="E6" s="33">
        <v>198.10978100001813</v>
      </c>
      <c r="F6" s="5">
        <v>14</v>
      </c>
      <c r="G6" s="23">
        <v>96.666666666666671</v>
      </c>
      <c r="H6" s="33">
        <v>333.33912371041509</v>
      </c>
      <c r="I6" s="23">
        <v>37.822267854830748</v>
      </c>
      <c r="J6" s="5">
        <v>5127.2942451044846</v>
      </c>
      <c r="K6" s="31"/>
      <c r="L6" s="23">
        <v>1475233.2307520341</v>
      </c>
      <c r="M6" s="33">
        <v>234.45393404001379</v>
      </c>
      <c r="N6" s="5">
        <v>25</v>
      </c>
      <c r="O6" s="5">
        <v>86</v>
      </c>
      <c r="P6" s="33">
        <v>352.32908932619063</v>
      </c>
      <c r="Q6" s="5">
        <v>18.155458158935993</v>
      </c>
      <c r="R6" s="5">
        <v>4574.2800605603106</v>
      </c>
      <c r="S6" s="35"/>
      <c r="T6" s="23">
        <v>1502652.697987217</v>
      </c>
      <c r="U6" s="33">
        <v>125.56929304001387</v>
      </c>
      <c r="V6" s="5">
        <v>14</v>
      </c>
      <c r="W6" s="5">
        <v>82.666666666666671</v>
      </c>
      <c r="X6" s="33">
        <v>788.67489260153695</v>
      </c>
      <c r="Y6" s="5">
        <v>54.764091336539991</v>
      </c>
      <c r="Z6" s="5">
        <v>5998.7760235371125</v>
      </c>
      <c r="AA6" s="35"/>
    </row>
    <row r="7" spans="2:27" x14ac:dyDescent="0.2">
      <c r="B7" s="4">
        <v>4</v>
      </c>
      <c r="C7" s="4">
        <v>667</v>
      </c>
      <c r="D7" s="23">
        <v>1046515.472792777</v>
      </c>
      <c r="E7" s="33">
        <v>467.08091895999377</v>
      </c>
      <c r="F7" s="5">
        <v>14</v>
      </c>
      <c r="G7" s="23">
        <v>96.666666666666671</v>
      </c>
      <c r="H7" s="33">
        <v>364.63398462770698</v>
      </c>
      <c r="I7" s="23">
        <v>37.408747131984477</v>
      </c>
      <c r="J7" s="5">
        <v>4866.3761466063479</v>
      </c>
      <c r="K7" s="31"/>
      <c r="L7" s="23">
        <v>1550938.2294829439</v>
      </c>
      <c r="M7" s="33">
        <v>205.92161996001383</v>
      </c>
      <c r="N7" s="5">
        <v>19</v>
      </c>
      <c r="O7" s="5">
        <v>76</v>
      </c>
      <c r="P7" s="33">
        <v>145.87319866859735</v>
      </c>
      <c r="Q7" s="5">
        <v>20.726488041509413</v>
      </c>
      <c r="R7" s="5">
        <v>4372.310274179611</v>
      </c>
      <c r="S7" s="35"/>
      <c r="T7" s="23">
        <v>1489422.3316969741</v>
      </c>
      <c r="U7" s="33">
        <v>223.02250955998903</v>
      </c>
      <c r="V7" s="5">
        <v>13</v>
      </c>
      <c r="W7" s="5">
        <v>82</v>
      </c>
      <c r="X7" s="33">
        <v>698.75879561513375</v>
      </c>
      <c r="Y7" s="5">
        <v>57.009195227919847</v>
      </c>
      <c r="Z7" s="5">
        <v>5955.1813845462839</v>
      </c>
      <c r="AA7" s="35"/>
    </row>
    <row r="8" spans="2:27" x14ac:dyDescent="0.2">
      <c r="B8" s="4">
        <v>5</v>
      </c>
      <c r="C8" s="4">
        <v>561</v>
      </c>
      <c r="D8" s="23">
        <v>1127409.1901072271</v>
      </c>
      <c r="E8" s="33">
        <v>148.95864381999709</v>
      </c>
      <c r="F8" s="5">
        <v>13</v>
      </c>
      <c r="G8" s="23">
        <v>96.666666666666671</v>
      </c>
      <c r="H8" s="33">
        <v>466.69100954442774</v>
      </c>
      <c r="I8" s="23">
        <v>40.372780662914991</v>
      </c>
      <c r="J8" s="5">
        <v>5452.1049049278317</v>
      </c>
      <c r="K8" s="31"/>
      <c r="L8" s="23">
        <v>1480890.0977064909</v>
      </c>
      <c r="M8" s="33">
        <v>157.11840842000674</v>
      </c>
      <c r="N8" s="5">
        <v>22</v>
      </c>
      <c r="O8" s="5">
        <v>82</v>
      </c>
      <c r="P8" s="33">
        <v>233.14746373510425</v>
      </c>
      <c r="Q8" s="5">
        <v>19.225047946732101</v>
      </c>
      <c r="R8" s="5">
        <v>4403.5863445118821</v>
      </c>
      <c r="S8" s="35"/>
      <c r="T8" s="23">
        <v>1533389.148929517</v>
      </c>
      <c r="U8" s="33">
        <v>225.89047774001961</v>
      </c>
      <c r="V8" s="5">
        <v>13</v>
      </c>
      <c r="W8" s="5">
        <v>79.333333333333329</v>
      </c>
      <c r="X8" s="33">
        <v>701.39904529877447</v>
      </c>
      <c r="Y8" s="5">
        <v>57.177877036893456</v>
      </c>
      <c r="Z8" s="5">
        <v>5948.0664882885239</v>
      </c>
      <c r="AA8" s="35"/>
    </row>
    <row r="9" spans="2:27" x14ac:dyDescent="0.2">
      <c r="B9" s="4">
        <v>6</v>
      </c>
      <c r="C9" s="4">
        <v>448</v>
      </c>
      <c r="D9" s="23">
        <v>1089267.908638994</v>
      </c>
      <c r="E9" s="33">
        <v>198.09055051999167</v>
      </c>
      <c r="F9" s="5">
        <v>13</v>
      </c>
      <c r="G9" s="23">
        <v>96.666666666666671</v>
      </c>
      <c r="H9" s="33">
        <v>412.61801866085358</v>
      </c>
      <c r="I9" s="23">
        <v>40.739121348350253</v>
      </c>
      <c r="J9" s="5">
        <v>5246.3499495254609</v>
      </c>
      <c r="K9" s="31"/>
      <c r="L9" s="23">
        <v>1480041.755410071</v>
      </c>
      <c r="M9" s="33">
        <v>524.29512529999488</v>
      </c>
      <c r="N9" s="5">
        <v>24</v>
      </c>
      <c r="O9" s="5">
        <v>84</v>
      </c>
      <c r="P9" s="33">
        <v>261.7987431740026</v>
      </c>
      <c r="Q9" s="5">
        <v>18.414192932981333</v>
      </c>
      <c r="R9" s="5">
        <v>4485.3769913486913</v>
      </c>
      <c r="S9" s="35"/>
      <c r="T9" s="23">
        <v>1680190.509906465</v>
      </c>
      <c r="U9" s="33">
        <v>173.10161956001539</v>
      </c>
      <c r="V9" s="5">
        <v>14</v>
      </c>
      <c r="W9" s="5">
        <v>78.666666666666671</v>
      </c>
      <c r="X9" s="33">
        <v>1139.8526148541159</v>
      </c>
      <c r="Y9" s="5">
        <v>53.170049396254065</v>
      </c>
      <c r="Z9" s="5">
        <v>6561.0187407841886</v>
      </c>
      <c r="AA9" s="35"/>
    </row>
    <row r="10" spans="2:27" x14ac:dyDescent="0.2">
      <c r="B10" s="4">
        <v>7</v>
      </c>
      <c r="C10" s="4">
        <v>392</v>
      </c>
      <c r="D10" s="23">
        <v>1068569.7731952141</v>
      </c>
      <c r="E10" s="33">
        <v>168.34683175999672</v>
      </c>
      <c r="F10" s="5">
        <v>13</v>
      </c>
      <c r="G10" s="23">
        <v>96.666666666666671</v>
      </c>
      <c r="H10" s="33">
        <v>386.92284120600948</v>
      </c>
      <c r="I10" s="23">
        <v>40.068217820762712</v>
      </c>
      <c r="J10" s="5">
        <v>5120.9677235205081</v>
      </c>
      <c r="K10" s="31"/>
      <c r="L10" s="23">
        <v>1496047.7527419741</v>
      </c>
      <c r="M10" s="33">
        <v>138.28464756000321</v>
      </c>
      <c r="N10" s="5">
        <v>24</v>
      </c>
      <c r="O10" s="5">
        <v>84</v>
      </c>
      <c r="P10" s="33">
        <v>337.20761904116387</v>
      </c>
      <c r="Q10" s="5">
        <v>18.339465294856449</v>
      </c>
      <c r="R10" s="5">
        <v>4559.6297141984869</v>
      </c>
      <c r="S10" s="35"/>
      <c r="T10" s="23">
        <v>1568668.594134772</v>
      </c>
      <c r="U10" s="33">
        <v>119.72031298000365</v>
      </c>
      <c r="V10" s="5">
        <v>13</v>
      </c>
      <c r="W10" s="5">
        <v>80</v>
      </c>
      <c r="X10" s="33">
        <v>886.01546633328337</v>
      </c>
      <c r="Y10" s="5">
        <v>55.085749893949306</v>
      </c>
      <c r="Z10" s="5">
        <v>6188.8644646473385</v>
      </c>
      <c r="AA10" s="35"/>
    </row>
    <row r="11" spans="2:27" x14ac:dyDescent="0.2">
      <c r="B11" s="4">
        <v>8</v>
      </c>
      <c r="C11" s="4">
        <v>888</v>
      </c>
      <c r="D11" s="23">
        <v>1059508.4756318531</v>
      </c>
      <c r="E11" s="33">
        <v>149.90332408000251</v>
      </c>
      <c r="F11" s="5">
        <v>14</v>
      </c>
      <c r="G11" s="23">
        <v>96.666666666666671</v>
      </c>
      <c r="H11" s="33">
        <v>418.0764975527569</v>
      </c>
      <c r="I11" s="23">
        <v>38.36982195578063</v>
      </c>
      <c r="J11" s="5">
        <v>4939.5671134054464</v>
      </c>
      <c r="K11" s="31"/>
      <c r="L11" s="23">
        <v>1511192.103570784</v>
      </c>
      <c r="M11" s="33">
        <v>226.4780866200104</v>
      </c>
      <c r="N11" s="5">
        <v>24</v>
      </c>
      <c r="O11" s="5">
        <v>83.333333333333329</v>
      </c>
      <c r="P11" s="33">
        <v>301.47081386111631</v>
      </c>
      <c r="Q11" s="5">
        <v>18.555383724606482</v>
      </c>
      <c r="R11" s="5">
        <v>4563.4602654808559</v>
      </c>
      <c r="S11" s="35"/>
      <c r="T11" s="23">
        <v>1528419.6077841951</v>
      </c>
      <c r="U11" s="33">
        <v>234.0821430400014</v>
      </c>
      <c r="V11" s="5">
        <v>13</v>
      </c>
      <c r="W11" s="5">
        <v>80.666666666666671</v>
      </c>
      <c r="X11" s="33">
        <v>756.56062071582926</v>
      </c>
      <c r="Y11" s="5">
        <v>54.771687559616403</v>
      </c>
      <c r="Z11" s="5">
        <v>5993.8191680586688</v>
      </c>
      <c r="AA11" s="35"/>
    </row>
    <row r="12" spans="2:27" x14ac:dyDescent="0.2">
      <c r="B12" s="4">
        <v>9</v>
      </c>
      <c r="C12" s="4">
        <v>978</v>
      </c>
      <c r="D12" s="23">
        <v>1096681.7899828621</v>
      </c>
      <c r="E12" s="33">
        <v>95.329722740012215</v>
      </c>
      <c r="F12" s="5">
        <v>12</v>
      </c>
      <c r="G12" s="23">
        <v>96.666666666666671</v>
      </c>
      <c r="H12" s="33">
        <v>462.15906612565237</v>
      </c>
      <c r="I12" s="23">
        <v>43.401088713304496</v>
      </c>
      <c r="J12" s="5">
        <v>5377.5373319424107</v>
      </c>
      <c r="K12" s="31"/>
      <c r="L12" s="23">
        <v>1549315.321677149</v>
      </c>
      <c r="M12" s="33">
        <v>569.52110407999714</v>
      </c>
      <c r="N12" s="5">
        <v>22</v>
      </c>
      <c r="O12" s="5">
        <v>80.666666666666671</v>
      </c>
      <c r="P12" s="33">
        <v>367.65516584885478</v>
      </c>
      <c r="Q12" s="5">
        <v>19.464726872649848</v>
      </c>
      <c r="R12" s="5">
        <v>4665.57259394231</v>
      </c>
      <c r="S12" s="35"/>
      <c r="T12" s="23">
        <v>1488909.8795174931</v>
      </c>
      <c r="U12" s="33">
        <v>203.929585819994</v>
      </c>
      <c r="V12" s="5">
        <v>13</v>
      </c>
      <c r="W12" s="5">
        <v>83.333333333333329</v>
      </c>
      <c r="X12" s="33">
        <v>855.45612948664086</v>
      </c>
      <c r="Y12" s="5">
        <v>61.321025498676853</v>
      </c>
      <c r="Z12" s="5">
        <v>6149.1415976500657</v>
      </c>
      <c r="AA12" s="35"/>
    </row>
    <row r="13" spans="2:27" x14ac:dyDescent="0.2">
      <c r="B13" s="4">
        <v>10</v>
      </c>
      <c r="C13" s="4">
        <v>911</v>
      </c>
      <c r="D13" s="23">
        <v>1079847.6937505519</v>
      </c>
      <c r="E13" s="33">
        <v>84.570439060009079</v>
      </c>
      <c r="F13" s="5">
        <v>13</v>
      </c>
      <c r="G13" s="23">
        <v>96.666666666666671</v>
      </c>
      <c r="H13" s="33">
        <v>389.12984135223564</v>
      </c>
      <c r="I13" s="23">
        <v>40.659761644319445</v>
      </c>
      <c r="J13" s="5">
        <v>5214.4288626400812</v>
      </c>
      <c r="K13" s="31"/>
      <c r="L13" s="23">
        <v>1534301.5443754711</v>
      </c>
      <c r="M13" s="33">
        <v>273.0774858199992</v>
      </c>
      <c r="N13" s="5">
        <v>24</v>
      </c>
      <c r="O13" s="5">
        <v>83.333333333333329</v>
      </c>
      <c r="P13" s="33">
        <v>364.77362757610376</v>
      </c>
      <c r="Q13" s="5">
        <v>18.73744862947084</v>
      </c>
      <c r="R13" s="5">
        <v>4720.0547852563795</v>
      </c>
      <c r="S13" s="35"/>
      <c r="T13" s="23">
        <v>1486909.7854637769</v>
      </c>
      <c r="U13" s="33">
        <v>387.1994887599954</v>
      </c>
      <c r="V13" s="5">
        <v>16</v>
      </c>
      <c r="W13" s="5">
        <v>86</v>
      </c>
      <c r="X13" s="33">
        <v>950.30696685356111</v>
      </c>
      <c r="Y13" s="5">
        <v>55.549860580989431</v>
      </c>
      <c r="Z13" s="5">
        <v>6207.5934961701505</v>
      </c>
      <c r="AA13" s="35"/>
    </row>
    <row r="14" spans="2:27" x14ac:dyDescent="0.2">
      <c r="B14" s="47" t="s">
        <v>3</v>
      </c>
      <c r="C14" s="48"/>
      <c r="D14" s="9">
        <f>MIN(D4:D13)</f>
        <v>1046515.472792777</v>
      </c>
      <c r="E14" s="22">
        <f>INDEX(E4:E13, MATCH($D$14, D4:D13, 0))</f>
        <v>467.08091895999377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364.63398462770698</v>
      </c>
      <c r="I14" s="22">
        <f>INDEX(I4:I13, MATCH($D$14, D4:D13, 0))</f>
        <v>37.408747131984477</v>
      </c>
      <c r="J14" s="22">
        <f>INDEX(J4:J13, MATCH($D$14, D4:D13, 0))</f>
        <v>4866.3761466063479</v>
      </c>
      <c r="K14" s="32" t="e">
        <f>(D14-$D$15)/$D$15</f>
        <v>#DIV/0!</v>
      </c>
      <c r="L14" s="16">
        <f>MIN(L4:L13)</f>
        <v>1475233.2307520341</v>
      </c>
      <c r="M14" s="21">
        <f>INDEX(M4:M13, MATCH($L$14, L4:L13, 0))</f>
        <v>234.45393404001379</v>
      </c>
      <c r="N14" s="16">
        <f>INDEX(N4:N13, MATCH($L$14, L4:L13, 0))</f>
        <v>25</v>
      </c>
      <c r="O14" s="16">
        <f>INDEX(O4:O13, MATCH($L$14, L4:L13, 0))</f>
        <v>86</v>
      </c>
      <c r="P14" s="21">
        <f>INDEX(P4:P13, MATCH($L$14, L4:L13, 0))</f>
        <v>352.32908932619063</v>
      </c>
      <c r="Q14" s="21">
        <f>INDEX(Q4:Q13, MATCH($L$14, L4:L13, 0))</f>
        <v>18.155458158935993</v>
      </c>
      <c r="R14" s="21">
        <f>INDEX(R4:R13, MATCH($L$14, L4:L13, 0))</f>
        <v>4574.2800605603106</v>
      </c>
      <c r="S14" s="36" t="e">
        <f>(L14-$D$15)/$D$15</f>
        <v>#DIV/0!</v>
      </c>
      <c r="T14" s="38">
        <f>MIN(T4:T13)</f>
        <v>1486909.7854637769</v>
      </c>
      <c r="U14" s="39">
        <f>INDEX(U4:U13, MATCH($T$14, T4:T13, 0))</f>
        <v>387.1994887599954</v>
      </c>
      <c r="V14" s="38">
        <f>INDEX(V4:V13, MATCH($T$14, T4:T13, 0))</f>
        <v>16</v>
      </c>
      <c r="W14" s="38">
        <f>INDEX(W4:W13, MATCH($T$14, T4:T13, 0))</f>
        <v>86</v>
      </c>
      <c r="X14" s="39">
        <f>INDEX(X4:X13, MATCH($T$14, T4:T13, 0))</f>
        <v>950.30696685356111</v>
      </c>
      <c r="Y14" s="39">
        <f>INDEX(Y4:Y13, MATCH($T$14, T4:T13, 0))</f>
        <v>55.549860580989431</v>
      </c>
      <c r="Z14" s="39">
        <f>INDEX(Z4:Z13, MATCH($T$14, T4:T13, 0))</f>
        <v>6207.5934961701505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0.40966213028380949</v>
      </c>
      <c r="M15" s="41">
        <f t="shared" ref="M15:R15" si="0">(M14-E14)/E14</f>
        <v>-0.4980442905652176</v>
      </c>
      <c r="N15" s="41">
        <f t="shared" si="0"/>
        <v>0.7857142857142857</v>
      </c>
      <c r="O15" s="41">
        <f t="shared" si="0"/>
        <v>-0.11034482758620694</v>
      </c>
      <c r="P15" s="41">
        <f t="shared" si="0"/>
        <v>-3.3745881679349526E-2</v>
      </c>
      <c r="Q15" s="41">
        <f t="shared" si="0"/>
        <v>-0.51467345070711878</v>
      </c>
      <c r="R15" s="41">
        <f t="shared" si="0"/>
        <v>-6.0023326854775821E-2</v>
      </c>
      <c r="T15" s="41">
        <f>(T14-D14)/D14</f>
        <v>0.42081968601548181</v>
      </c>
      <c r="U15" s="41">
        <f t="shared" ref="U15:Z15" si="1">(U14-E14)/E14</f>
        <v>-0.1710226792776357</v>
      </c>
      <c r="V15" s="41">
        <f t="shared" si="1"/>
        <v>0.14285714285714285</v>
      </c>
      <c r="W15" s="41">
        <f t="shared" si="1"/>
        <v>-0.11034482758620694</v>
      </c>
      <c r="X15" s="41">
        <f t="shared" si="1"/>
        <v>1.6061941753011011</v>
      </c>
      <c r="Y15" s="41">
        <f t="shared" si="1"/>
        <v>0.48494309058253127</v>
      </c>
      <c r="Z15" s="41">
        <f t="shared" si="1"/>
        <v>0.27560905880634068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77" priority="7"/>
    <cfRule type="duplicateValues" dxfId="76" priority="8"/>
  </conditionalFormatting>
  <conditionalFormatting sqref="C14">
    <cfRule type="duplicateValues" dxfId="75" priority="5"/>
    <cfRule type="duplicateValues" dxfId="74" priority="6"/>
  </conditionalFormatting>
  <conditionalFormatting sqref="C15">
    <cfRule type="duplicateValues" dxfId="73" priority="3"/>
    <cfRule type="duplicateValues" dxfId="72" priority="4"/>
  </conditionalFormatting>
  <conditionalFormatting sqref="C19:C28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D6F8-A8C5-4123-8ABC-6347C3296C54}">
  <dimension ref="B1:AA17"/>
  <sheetViews>
    <sheetView zoomScale="90" zoomScaleNormal="90" workbookViewId="0">
      <selection activeCell="U19" sqref="U19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-0.96508679088186933</v>
      </c>
      <c r="J2" s="28" t="e">
        <f>(S14-J14)/J14</f>
        <v>#DIV/0!</v>
      </c>
      <c r="K2" s="28"/>
      <c r="L2" s="1" t="s">
        <v>19</v>
      </c>
      <c r="P2" s="1">
        <f>(P14-H14)/H14</f>
        <v>5.0553060785947644E-2</v>
      </c>
      <c r="R2" s="1">
        <f>(R14-J14)/J14</f>
        <v>-0.10284036256916027</v>
      </c>
      <c r="T2" s="1" t="s">
        <v>20</v>
      </c>
      <c r="X2" s="1">
        <f>(X14-P14)/P14</f>
        <v>0.55944690483597903</v>
      </c>
      <c r="Z2" s="1">
        <f>(Z14-R14)/R14</f>
        <v>0.26722405820700423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957</v>
      </c>
      <c r="D4" s="23">
        <v>1312326.6270528359</v>
      </c>
      <c r="E4" s="33">
        <v>421.57030778001064</v>
      </c>
      <c r="F4" s="5">
        <v>15</v>
      </c>
      <c r="G4" s="23">
        <v>93.333333333333329</v>
      </c>
      <c r="H4" s="33">
        <v>663.93058505950398</v>
      </c>
      <c r="I4" s="23">
        <v>34.760923048891776</v>
      </c>
      <c r="J4" s="5">
        <v>5768.3653167550638</v>
      </c>
      <c r="K4" s="31"/>
      <c r="L4" s="23">
        <v>1539731.5683546739</v>
      </c>
      <c r="M4" s="33">
        <v>404.06286691999998</v>
      </c>
      <c r="N4" s="5">
        <v>24</v>
      </c>
      <c r="O4" s="5">
        <v>86</v>
      </c>
      <c r="P4" s="33">
        <v>539.85778230068843</v>
      </c>
      <c r="Q4" s="5">
        <v>19.491302917128721</v>
      </c>
      <c r="R4" s="5">
        <v>5067.1826691187243</v>
      </c>
      <c r="S4" s="35"/>
      <c r="T4" s="23">
        <v>1736022.1708394161</v>
      </c>
      <c r="U4" s="33">
        <v>117.41858512000181</v>
      </c>
      <c r="V4" s="5">
        <v>12</v>
      </c>
      <c r="W4" s="5">
        <v>74</v>
      </c>
      <c r="X4" s="33">
        <v>944.8952972338177</v>
      </c>
      <c r="Y4" s="5">
        <v>46.866812949349502</v>
      </c>
      <c r="Z4" s="5">
        <v>6542.9129450390892</v>
      </c>
      <c r="AA4" s="35"/>
    </row>
    <row r="5" spans="2:27" x14ac:dyDescent="0.2">
      <c r="B5" s="4">
        <v>2</v>
      </c>
      <c r="C5" s="4">
        <v>545</v>
      </c>
      <c r="D5" s="23">
        <v>1358706.9444383851</v>
      </c>
      <c r="E5" s="33">
        <v>304.20780847999259</v>
      </c>
      <c r="F5" s="5">
        <v>17</v>
      </c>
      <c r="G5" s="23">
        <v>93.333333333333329</v>
      </c>
      <c r="H5" s="33">
        <v>677.59310520167469</v>
      </c>
      <c r="I5" s="23">
        <v>30.010473670583572</v>
      </c>
      <c r="J5" s="5">
        <v>5785.657558904164</v>
      </c>
      <c r="K5" s="31"/>
      <c r="L5" s="23">
        <v>1611369.5567710339</v>
      </c>
      <c r="M5" s="33">
        <v>568.30073188000824</v>
      </c>
      <c r="N5" s="5">
        <v>22</v>
      </c>
      <c r="O5" s="5">
        <v>82.666666666666671</v>
      </c>
      <c r="P5" s="33">
        <v>661.19926431876797</v>
      </c>
      <c r="Q5" s="5">
        <v>20.220742902512395</v>
      </c>
      <c r="R5" s="5">
        <v>5238.0089124878841</v>
      </c>
      <c r="S5" s="35"/>
      <c r="T5" s="23">
        <v>1788229.7557300129</v>
      </c>
      <c r="U5" s="33">
        <v>156.09600343999918</v>
      </c>
      <c r="V5" s="5">
        <v>13</v>
      </c>
      <c r="W5" s="5">
        <v>74.666666666666671</v>
      </c>
      <c r="X5" s="33">
        <v>1106.007036383324</v>
      </c>
      <c r="Y5" s="5">
        <v>45.422120375564425</v>
      </c>
      <c r="Z5" s="5">
        <v>6789.9572909698909</v>
      </c>
      <c r="AA5" s="35"/>
    </row>
    <row r="6" spans="2:27" x14ac:dyDescent="0.2">
      <c r="B6" s="4">
        <v>3</v>
      </c>
      <c r="C6" s="4">
        <v>552</v>
      </c>
      <c r="D6" s="23">
        <v>1311506.1473503071</v>
      </c>
      <c r="E6" s="33">
        <v>254.40533212001901</v>
      </c>
      <c r="F6" s="5">
        <v>13</v>
      </c>
      <c r="G6" s="23">
        <v>92.666666666666671</v>
      </c>
      <c r="H6" s="33">
        <v>583.33842659823233</v>
      </c>
      <c r="I6" s="23">
        <v>38.564171508025957</v>
      </c>
      <c r="J6" s="5">
        <v>5966.8106890680556</v>
      </c>
      <c r="K6" s="31"/>
      <c r="L6" s="23">
        <v>1585863.377054845</v>
      </c>
      <c r="M6" s="33">
        <v>446.24195995999042</v>
      </c>
      <c r="N6" s="5">
        <v>22</v>
      </c>
      <c r="O6" s="5">
        <v>84</v>
      </c>
      <c r="P6" s="33">
        <v>595.82551805726473</v>
      </c>
      <c r="Q6" s="5">
        <v>20.666588176369356</v>
      </c>
      <c r="R6" s="5">
        <v>5326.6030638159955</v>
      </c>
      <c r="S6" s="35"/>
      <c r="T6" s="23">
        <v>1759989.7710307599</v>
      </c>
      <c r="U6" s="33">
        <v>208.0372249600012</v>
      </c>
      <c r="V6" s="5">
        <v>14</v>
      </c>
      <c r="W6" s="5">
        <v>74</v>
      </c>
      <c r="X6" s="33">
        <v>951.4405230501867</v>
      </c>
      <c r="Y6" s="5">
        <v>42.533355995523905</v>
      </c>
      <c r="Z6" s="5">
        <v>6401.8147120612866</v>
      </c>
      <c r="AA6" s="35"/>
    </row>
    <row r="7" spans="2:27" x14ac:dyDescent="0.2">
      <c r="B7" s="4">
        <v>4</v>
      </c>
      <c r="C7" s="4">
        <v>725</v>
      </c>
      <c r="D7" s="23">
        <v>1312501.881515244</v>
      </c>
      <c r="E7" s="33">
        <v>195.79052997999824</v>
      </c>
      <c r="F7" s="5">
        <v>16</v>
      </c>
      <c r="G7" s="23">
        <v>93.333333333333329</v>
      </c>
      <c r="H7" s="33">
        <v>644.97726494764345</v>
      </c>
      <c r="I7" s="23">
        <v>32.005250694890961</v>
      </c>
      <c r="J7" s="5">
        <v>5663.4445490044354</v>
      </c>
      <c r="K7" s="31"/>
      <c r="L7" s="23">
        <v>1554406.4293168469</v>
      </c>
      <c r="M7" s="33">
        <v>317.98511271998279</v>
      </c>
      <c r="N7" s="5">
        <v>24</v>
      </c>
      <c r="O7" s="5">
        <v>86</v>
      </c>
      <c r="P7" s="33">
        <v>579.989630015133</v>
      </c>
      <c r="Q7" s="5">
        <v>19.459648841210058</v>
      </c>
      <c r="R7" s="5">
        <v>5142.6948488446396</v>
      </c>
      <c r="S7" s="35"/>
      <c r="T7" s="23">
        <v>1717469.3426680921</v>
      </c>
      <c r="U7" s="33">
        <v>218.66872519999737</v>
      </c>
      <c r="V7" s="5">
        <v>10</v>
      </c>
      <c r="W7" s="5">
        <v>72</v>
      </c>
      <c r="X7" s="33">
        <v>758.6822334953963</v>
      </c>
      <c r="Y7" s="5">
        <v>54.007200876130277</v>
      </c>
      <c r="Z7" s="5">
        <v>6377.546624434407</v>
      </c>
      <c r="AA7" s="35"/>
    </row>
    <row r="8" spans="2:27" x14ac:dyDescent="0.2">
      <c r="B8" s="4">
        <v>5</v>
      </c>
      <c r="C8" s="4">
        <v>840</v>
      </c>
      <c r="D8" s="23">
        <v>1335194.1129750209</v>
      </c>
      <c r="E8" s="33">
        <v>230.1607439400162</v>
      </c>
      <c r="F8" s="5">
        <v>14</v>
      </c>
      <c r="G8" s="23">
        <v>92</v>
      </c>
      <c r="H8" s="33">
        <v>647.39904298673412</v>
      </c>
      <c r="I8" s="23">
        <v>36.050716861960566</v>
      </c>
      <c r="J8" s="5">
        <v>5901.3887575961562</v>
      </c>
      <c r="K8" s="31"/>
      <c r="L8" s="23">
        <v>1526959.3305236029</v>
      </c>
      <c r="M8" s="33">
        <v>441.60056701998701</v>
      </c>
      <c r="N8" s="5">
        <v>25</v>
      </c>
      <c r="O8" s="5">
        <v>88</v>
      </c>
      <c r="P8" s="33">
        <v>587.16997702999186</v>
      </c>
      <c r="Q8" s="5">
        <v>19.513520031629398</v>
      </c>
      <c r="R8" s="5">
        <v>5154.1423360467652</v>
      </c>
      <c r="S8" s="35"/>
      <c r="T8" s="23">
        <v>1798278.785118497</v>
      </c>
      <c r="U8" s="33">
        <v>101.56183013999834</v>
      </c>
      <c r="V8" s="5">
        <v>10</v>
      </c>
      <c r="W8" s="5">
        <v>68</v>
      </c>
      <c r="X8" s="33">
        <v>726.77434448493079</v>
      </c>
      <c r="Y8" s="5">
        <v>52.930815396719844</v>
      </c>
      <c r="Z8" s="5">
        <v>6404.3841667167981</v>
      </c>
      <c r="AA8" s="35"/>
    </row>
    <row r="9" spans="2:27" x14ac:dyDescent="0.2">
      <c r="B9" s="4">
        <v>6</v>
      </c>
      <c r="C9" s="4">
        <v>939</v>
      </c>
      <c r="D9" s="23">
        <v>1352502.339793992</v>
      </c>
      <c r="E9" s="33">
        <v>416.52088679999576</v>
      </c>
      <c r="F9" s="5">
        <v>17</v>
      </c>
      <c r="G9" s="23">
        <v>93.333333333333329</v>
      </c>
      <c r="H9" s="33">
        <v>772.68365304295833</v>
      </c>
      <c r="I9" s="23">
        <v>30.239396074880567</v>
      </c>
      <c r="J9" s="5">
        <v>5697.9342588095187</v>
      </c>
      <c r="K9" s="31"/>
      <c r="L9" s="23">
        <v>1564264.2954004391</v>
      </c>
      <c r="M9" s="33">
        <v>219.5909760599956</v>
      </c>
      <c r="N9" s="5">
        <v>23</v>
      </c>
      <c r="O9" s="5">
        <v>83.333333333333329</v>
      </c>
      <c r="P9" s="33">
        <v>525.89784626487392</v>
      </c>
      <c r="Q9" s="5">
        <v>19.367221508024105</v>
      </c>
      <c r="R9" s="5">
        <v>4963.9082282237405</v>
      </c>
      <c r="S9" s="35"/>
      <c r="T9" s="23">
        <v>1707146.763543739</v>
      </c>
      <c r="U9" s="33">
        <v>226.82302236000541</v>
      </c>
      <c r="V9" s="5">
        <v>13</v>
      </c>
      <c r="W9" s="5">
        <v>75.333333333333329</v>
      </c>
      <c r="X9" s="33">
        <v>858.91524427737772</v>
      </c>
      <c r="Y9" s="5">
        <v>44.161932950709016</v>
      </c>
      <c r="Z9" s="5">
        <v>6372.2005649233679</v>
      </c>
      <c r="AA9" s="35"/>
    </row>
    <row r="10" spans="2:27" x14ac:dyDescent="0.2">
      <c r="B10" s="4">
        <v>7</v>
      </c>
      <c r="C10" s="4">
        <v>375</v>
      </c>
      <c r="D10" s="23">
        <v>1295685.380306324</v>
      </c>
      <c r="E10" s="33">
        <v>317.36297822000921</v>
      </c>
      <c r="F10" s="5">
        <v>15</v>
      </c>
      <c r="G10" s="23">
        <v>93.333333333333329</v>
      </c>
      <c r="H10" s="33">
        <v>558.9151076202794</v>
      </c>
      <c r="I10" s="23">
        <v>34.222952634548705</v>
      </c>
      <c r="J10" s="5">
        <v>5744.9556589577269</v>
      </c>
      <c r="K10" s="31"/>
      <c r="L10" s="23">
        <v>1593520.766744694</v>
      </c>
      <c r="M10" s="33">
        <v>253.79047407999161</v>
      </c>
      <c r="N10" s="5">
        <v>26</v>
      </c>
      <c r="O10" s="5">
        <v>87.333333333333329</v>
      </c>
      <c r="P10" s="33">
        <v>723.9553226225587</v>
      </c>
      <c r="Q10" s="5">
        <v>18.21673158656295</v>
      </c>
      <c r="R10" s="5">
        <v>5268.408479056573</v>
      </c>
      <c r="S10" s="35"/>
      <c r="T10" s="23">
        <v>1706967.741199567</v>
      </c>
      <c r="U10" s="33">
        <v>114.87386328000575</v>
      </c>
      <c r="V10" s="5">
        <v>12</v>
      </c>
      <c r="W10" s="5">
        <v>75.333333333333329</v>
      </c>
      <c r="X10" s="33">
        <v>915.66040329203372</v>
      </c>
      <c r="Y10" s="5">
        <v>48.920910596319089</v>
      </c>
      <c r="Z10" s="5">
        <v>6531.4531676617107</v>
      </c>
      <c r="AA10" s="35"/>
    </row>
    <row r="11" spans="2:27" x14ac:dyDescent="0.2">
      <c r="B11" s="4">
        <v>8</v>
      </c>
      <c r="C11" s="4">
        <v>882</v>
      </c>
      <c r="D11" s="23">
        <v>1319544.4681645611</v>
      </c>
      <c r="E11" s="33">
        <v>334.42307565999221</v>
      </c>
      <c r="F11" s="5">
        <v>15</v>
      </c>
      <c r="G11" s="23">
        <v>92.666666666666671</v>
      </c>
      <c r="H11" s="33">
        <v>624.54931989460442</v>
      </c>
      <c r="I11" s="23">
        <v>33.629641452968556</v>
      </c>
      <c r="J11" s="5">
        <v>5745.4244289694134</v>
      </c>
      <c r="K11" s="31"/>
      <c r="L11" s="23">
        <v>1591853.1766714279</v>
      </c>
      <c r="M11" s="33">
        <v>187.02515914000105</v>
      </c>
      <c r="N11" s="5">
        <v>21</v>
      </c>
      <c r="O11" s="5">
        <v>80.666666666666671</v>
      </c>
      <c r="P11" s="33">
        <v>461.56871743171598</v>
      </c>
      <c r="Q11" s="5">
        <v>20.501029241997426</v>
      </c>
      <c r="R11" s="5">
        <v>5031.8638701006021</v>
      </c>
      <c r="S11" s="35"/>
      <c r="T11" s="23">
        <v>1745266.241296265</v>
      </c>
      <c r="U11" s="33">
        <v>131.93916408000513</v>
      </c>
      <c r="V11" s="5">
        <v>12</v>
      </c>
      <c r="W11" s="5">
        <v>74.666666666666671</v>
      </c>
      <c r="X11" s="33">
        <v>1035.1604053528363</v>
      </c>
      <c r="Y11" s="5">
        <v>47.7961801758916</v>
      </c>
      <c r="Z11" s="5">
        <v>6560.5693038310001</v>
      </c>
      <c r="AA11" s="35"/>
    </row>
    <row r="12" spans="2:27" x14ac:dyDescent="0.2">
      <c r="B12" s="4">
        <v>9</v>
      </c>
      <c r="C12" s="4">
        <v>249</v>
      </c>
      <c r="D12" s="23">
        <v>1329677.1149835309</v>
      </c>
      <c r="E12" s="33">
        <v>193.74557854000014</v>
      </c>
      <c r="F12" s="5">
        <v>15</v>
      </c>
      <c r="G12" s="23">
        <v>93.333333333333329</v>
      </c>
      <c r="H12" s="33">
        <v>669.25265775290075</v>
      </c>
      <c r="I12" s="23">
        <v>33.995524112556012</v>
      </c>
      <c r="J12" s="5">
        <v>5855.8935324751264</v>
      </c>
      <c r="K12" s="31"/>
      <c r="L12" s="23">
        <v>1575024.653104709</v>
      </c>
      <c r="M12" s="33">
        <v>300.60985974001244</v>
      </c>
      <c r="N12" s="5">
        <v>22</v>
      </c>
      <c r="O12" s="5">
        <v>82.666666666666671</v>
      </c>
      <c r="P12" s="33">
        <v>579.34298398107137</v>
      </c>
      <c r="Q12" s="5">
        <v>19.773170125822428</v>
      </c>
      <c r="R12" s="5">
        <v>5100.8786289229156</v>
      </c>
      <c r="S12" s="35"/>
      <c r="T12" s="23">
        <v>1772092.3842362999</v>
      </c>
      <c r="U12" s="33">
        <v>207.32077596001318</v>
      </c>
      <c r="V12" s="5">
        <v>13</v>
      </c>
      <c r="W12" s="5">
        <v>74.666666666666671</v>
      </c>
      <c r="X12" s="33">
        <v>1091.4426168028933</v>
      </c>
      <c r="Y12" s="5">
        <v>46.67710994583058</v>
      </c>
      <c r="Z12" s="5">
        <v>6717.652355149663</v>
      </c>
      <c r="AA12" s="35"/>
    </row>
    <row r="13" spans="2:27" x14ac:dyDescent="0.2">
      <c r="B13" s="4">
        <v>10</v>
      </c>
      <c r="C13" s="4">
        <v>431</v>
      </c>
      <c r="D13" s="23">
        <v>1302344.5334851539</v>
      </c>
      <c r="E13" s="33">
        <v>151.10736790001391</v>
      </c>
      <c r="F13" s="5">
        <v>15</v>
      </c>
      <c r="G13" s="23">
        <v>93.333333333333329</v>
      </c>
      <c r="H13" s="33">
        <v>593.05390629267629</v>
      </c>
      <c r="I13" s="23">
        <v>34.094557084453385</v>
      </c>
      <c r="J13" s="5">
        <v>5751.6373227652475</v>
      </c>
      <c r="K13" s="31"/>
      <c r="L13" s="23">
        <v>1535143.694767145</v>
      </c>
      <c r="M13" s="33">
        <v>430.38152734001642</v>
      </c>
      <c r="N13" s="5">
        <v>24</v>
      </c>
      <c r="O13" s="5">
        <v>86.666666666666671</v>
      </c>
      <c r="P13" s="33">
        <v>609.15680033803437</v>
      </c>
      <c r="Q13" s="5">
        <v>19.403425910915065</v>
      </c>
      <c r="R13" s="5">
        <v>5110.2351475479754</v>
      </c>
      <c r="S13" s="35"/>
      <c r="T13" s="23">
        <v>1708321.6645226621</v>
      </c>
      <c r="U13" s="33">
        <v>191.17131199999713</v>
      </c>
      <c r="V13" s="5">
        <v>14</v>
      </c>
      <c r="W13" s="5">
        <v>76.666666666666671</v>
      </c>
      <c r="X13" s="33">
        <v>996.59318410042499</v>
      </c>
      <c r="Y13" s="5">
        <v>43.030241541637835</v>
      </c>
      <c r="Z13" s="5">
        <v>6402.6873625311646</v>
      </c>
      <c r="AA13" s="35"/>
    </row>
    <row r="14" spans="2:27" x14ac:dyDescent="0.2">
      <c r="B14" s="47" t="s">
        <v>3</v>
      </c>
      <c r="C14" s="48"/>
      <c r="D14" s="9">
        <f>MIN(D4:D13)</f>
        <v>1295685.380306324</v>
      </c>
      <c r="E14" s="22">
        <f>INDEX(E4:E13, MATCH($D$14, D4:D13, 0))</f>
        <v>317.36297822000921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558.9151076202794</v>
      </c>
      <c r="I14" s="22">
        <f>INDEX(I4:I13, MATCH($D$14, D4:D13, 0))</f>
        <v>34.222952634548705</v>
      </c>
      <c r="J14" s="22">
        <f>INDEX(J4:J13, MATCH($D$14, D4:D13, 0))</f>
        <v>5744.9556589577269</v>
      </c>
      <c r="K14" s="32" t="e">
        <f>(D14-$D$15)/$D$15</f>
        <v>#DIV/0!</v>
      </c>
      <c r="L14" s="16">
        <f>MIN(L4:L13)</f>
        <v>1526959.3305236029</v>
      </c>
      <c r="M14" s="21">
        <f>INDEX(M4:M13, MATCH($L$14, L4:L13, 0))</f>
        <v>441.60056701998701</v>
      </c>
      <c r="N14" s="16">
        <f>INDEX(N4:N13, MATCH($L$14, L4:L13, 0))</f>
        <v>25</v>
      </c>
      <c r="O14" s="16">
        <f>INDEX(O4:O13, MATCH($L$14, L4:L13, 0))</f>
        <v>88</v>
      </c>
      <c r="P14" s="21">
        <f>INDEX(P4:P13, MATCH($L$14, L4:L13, 0))</f>
        <v>587.16997702999186</v>
      </c>
      <c r="Q14" s="21">
        <f>INDEX(Q4:Q13, MATCH($L$14, L4:L13, 0))</f>
        <v>19.513520031629398</v>
      </c>
      <c r="R14" s="21">
        <f>INDEX(R4:R13, MATCH($L$14, L4:L13, 0))</f>
        <v>5154.1423360467652</v>
      </c>
      <c r="S14" s="36" t="e">
        <f>(L14-$D$15)/$D$15</f>
        <v>#DIV/0!</v>
      </c>
      <c r="T14" s="38">
        <f>MIN(T4:T13)</f>
        <v>1706967.741199567</v>
      </c>
      <c r="U14" s="39">
        <f>INDEX(U4:U13, MATCH($T$14, T4:T13, 0))</f>
        <v>114.87386328000575</v>
      </c>
      <c r="V14" s="38">
        <f>INDEX(V4:V13, MATCH($T$14, T4:T13, 0))</f>
        <v>12</v>
      </c>
      <c r="W14" s="38">
        <f>INDEX(W4:W13, MATCH($T$14, T4:T13, 0))</f>
        <v>75.333333333333329</v>
      </c>
      <c r="X14" s="39">
        <f>INDEX(X4:X13, MATCH($T$14, T4:T13, 0))</f>
        <v>915.66040329203372</v>
      </c>
      <c r="Y14" s="39">
        <f>INDEX(Y4:Y13, MATCH($T$14, T4:T13, 0))</f>
        <v>48.920910596319089</v>
      </c>
      <c r="Z14" s="39">
        <f>INDEX(Z4:Z13, MATCH($T$14, T4:T13, 0))</f>
        <v>6531.4531676617107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0.17849545401415387</v>
      </c>
      <c r="M15" s="41">
        <f t="shared" ref="M15:R15" si="0">(M14-E14)/E14</f>
        <v>0.39146843622651895</v>
      </c>
      <c r="N15" s="41">
        <f t="shared" si="0"/>
        <v>0.66666666666666663</v>
      </c>
      <c r="O15" s="41">
        <f t="shared" si="0"/>
        <v>-5.7142857142857093E-2</v>
      </c>
      <c r="P15" s="41">
        <f t="shared" si="0"/>
        <v>5.0553060785947644E-2</v>
      </c>
      <c r="Q15" s="41">
        <f t="shared" si="0"/>
        <v>-0.42981190898385147</v>
      </c>
      <c r="R15" s="41">
        <f t="shared" si="0"/>
        <v>-0.10284036256916027</v>
      </c>
      <c r="T15" s="41">
        <f>(T14-D14)/D14</f>
        <v>0.31742455934480657</v>
      </c>
      <c r="U15" s="41">
        <f t="shared" ref="U15:Z15" si="1">(U14-E14)/E14</f>
        <v>-0.63803634587658042</v>
      </c>
      <c r="V15" s="41">
        <f t="shared" si="1"/>
        <v>-0.2</v>
      </c>
      <c r="W15" s="41">
        <f t="shared" si="1"/>
        <v>-0.19285714285714287</v>
      </c>
      <c r="X15" s="41">
        <f t="shared" si="1"/>
        <v>0.63828171900861019</v>
      </c>
      <c r="Y15" s="41">
        <f t="shared" si="1"/>
        <v>0.42947661818438554</v>
      </c>
      <c r="Z15" s="41">
        <f t="shared" si="1"/>
        <v>0.13690227660463325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71" priority="7"/>
    <cfRule type="duplicateValues" dxfId="70" priority="8"/>
  </conditionalFormatting>
  <conditionalFormatting sqref="C14">
    <cfRule type="duplicateValues" dxfId="69" priority="5"/>
    <cfRule type="duplicateValues" dxfId="68" priority="6"/>
  </conditionalFormatting>
  <conditionalFormatting sqref="C15">
    <cfRule type="duplicateValues" dxfId="67" priority="3"/>
    <cfRule type="duplicateValues" dxfId="66" priority="4"/>
  </conditionalFormatting>
  <conditionalFormatting sqref="C19:C2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F149-FD7E-46E3-9BF3-03BD88475F3B}">
  <dimension ref="B1:AA17"/>
  <sheetViews>
    <sheetView zoomScale="90" zoomScaleNormal="90" workbookViewId="0">
      <selection activeCell="U19" sqref="U19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-0.94803443075741267</v>
      </c>
      <c r="J2" s="28" t="e">
        <f>(S14-J14)/J14</f>
        <v>#DIV/0!</v>
      </c>
      <c r="K2" s="28"/>
      <c r="L2" s="1" t="s">
        <v>19</v>
      </c>
      <c r="P2" s="1">
        <f>(P14-H14)/H14</f>
        <v>-8.503965985894428E-2</v>
      </c>
      <c r="R2" s="1">
        <f>(R14-J14)/J14</f>
        <v>-0.13213375245362138</v>
      </c>
      <c r="T2" s="1" t="s">
        <v>20</v>
      </c>
      <c r="X2" s="1">
        <f>(X14-P14)/P14</f>
        <v>1.5281205544550036</v>
      </c>
      <c r="Z2" s="1">
        <f>(Z14-R14)/R14</f>
        <v>0.35546818222688453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29</v>
      </c>
      <c r="D4" s="23">
        <v>1207169.870697208</v>
      </c>
      <c r="E4" s="33">
        <v>180.61878456000704</v>
      </c>
      <c r="F4" s="5">
        <v>12</v>
      </c>
      <c r="G4" s="23">
        <v>93.333333333333329</v>
      </c>
      <c r="H4" s="33">
        <v>415.08554796878025</v>
      </c>
      <c r="I4" s="23">
        <v>42.725391746717747</v>
      </c>
      <c r="J4" s="5">
        <v>5662.4494989469367</v>
      </c>
      <c r="K4" s="31"/>
      <c r="L4" s="23">
        <v>1466016.689339878</v>
      </c>
      <c r="M4" s="33">
        <v>207.44459230001081</v>
      </c>
      <c r="N4" s="5">
        <v>23</v>
      </c>
      <c r="O4" s="5">
        <v>88</v>
      </c>
      <c r="P4" s="33">
        <v>560.73976228827814</v>
      </c>
      <c r="Q4" s="5">
        <v>20.049290359031922</v>
      </c>
      <c r="R4" s="5">
        <v>5008.2549077592639</v>
      </c>
      <c r="S4" s="35"/>
      <c r="T4" s="23">
        <v>1597950.8819000339</v>
      </c>
      <c r="U4" s="33">
        <v>86.52194447999355</v>
      </c>
      <c r="V4" s="5">
        <v>12</v>
      </c>
      <c r="W4" s="5">
        <v>76.666666666666671</v>
      </c>
      <c r="X4" s="33">
        <v>787.16235341389688</v>
      </c>
      <c r="Y4" s="5">
        <v>58.342345208034068</v>
      </c>
      <c r="Z4" s="5">
        <v>6225.3386557212434</v>
      </c>
      <c r="AA4" s="35"/>
    </row>
    <row r="5" spans="2:27" x14ac:dyDescent="0.2">
      <c r="B5" s="4">
        <v>2</v>
      </c>
      <c r="C5" s="4">
        <v>715</v>
      </c>
      <c r="D5" s="23">
        <v>1221165.0933838091</v>
      </c>
      <c r="E5" s="33">
        <v>144.52904676001054</v>
      </c>
      <c r="F5" s="5">
        <v>12</v>
      </c>
      <c r="G5" s="23">
        <v>93.333333333333329</v>
      </c>
      <c r="H5" s="33">
        <v>498.27252949337947</v>
      </c>
      <c r="I5" s="23">
        <v>43.354318474512233</v>
      </c>
      <c r="J5" s="5">
        <v>5704.4246998140961</v>
      </c>
      <c r="K5" s="31"/>
      <c r="L5" s="23">
        <v>1461237.0238388921</v>
      </c>
      <c r="M5" s="33">
        <v>167.99127053997944</v>
      </c>
      <c r="N5" s="5">
        <v>24</v>
      </c>
      <c r="O5" s="5">
        <v>88.666666666666671</v>
      </c>
      <c r="P5" s="33">
        <v>545.38739221670903</v>
      </c>
      <c r="Q5" s="5">
        <v>20.0516611628791</v>
      </c>
      <c r="R5" s="5">
        <v>4999.2802995532284</v>
      </c>
      <c r="S5" s="35"/>
      <c r="T5" s="23">
        <v>1611611.5704278019</v>
      </c>
      <c r="U5" s="33">
        <v>96.108737479988491</v>
      </c>
      <c r="V5" s="5">
        <v>13</v>
      </c>
      <c r="W5" s="5">
        <v>78</v>
      </c>
      <c r="X5" s="33">
        <v>841.13345097449837</v>
      </c>
      <c r="Y5" s="5">
        <v>54.665810678271733</v>
      </c>
      <c r="Z5" s="5">
        <v>6361.5037187119624</v>
      </c>
      <c r="AA5" s="35"/>
    </row>
    <row r="6" spans="2:27" x14ac:dyDescent="0.2">
      <c r="B6" s="4">
        <v>3</v>
      </c>
      <c r="C6" s="4">
        <v>34</v>
      </c>
      <c r="D6" s="23">
        <v>1188009.516594189</v>
      </c>
      <c r="E6" s="33">
        <v>100.05731792000589</v>
      </c>
      <c r="F6" s="5">
        <v>13</v>
      </c>
      <c r="G6" s="23">
        <v>92.666666666666671</v>
      </c>
      <c r="H6" s="33">
        <v>339.31673276914552</v>
      </c>
      <c r="I6" s="23">
        <v>38.488860497900127</v>
      </c>
      <c r="J6" s="5">
        <v>5324.4836004003801</v>
      </c>
      <c r="K6" s="31"/>
      <c r="L6" s="23">
        <v>1441803.54965499</v>
      </c>
      <c r="M6" s="33">
        <v>502.38248495999721</v>
      </c>
      <c r="N6" s="5">
        <v>22</v>
      </c>
      <c r="O6" s="5">
        <v>86</v>
      </c>
      <c r="P6" s="33">
        <v>364.73535145570946</v>
      </c>
      <c r="Q6" s="5">
        <v>20.715302434167906</v>
      </c>
      <c r="R6" s="5">
        <v>4755.8985655655315</v>
      </c>
      <c r="S6" s="35"/>
      <c r="T6" s="23">
        <v>1556443.239123781</v>
      </c>
      <c r="U6" s="33">
        <v>122.93804285998922</v>
      </c>
      <c r="V6" s="5">
        <v>13</v>
      </c>
      <c r="W6" s="5">
        <v>79.333333333333329</v>
      </c>
      <c r="X6" s="33">
        <v>702.54972283428674</v>
      </c>
      <c r="Y6" s="5">
        <v>55.911197786516567</v>
      </c>
      <c r="Z6" s="5">
        <v>6213.6221250387107</v>
      </c>
      <c r="AA6" s="35"/>
    </row>
    <row r="7" spans="2:27" x14ac:dyDescent="0.2">
      <c r="B7" s="4">
        <v>4</v>
      </c>
      <c r="C7" s="4">
        <v>668</v>
      </c>
      <c r="D7" s="23">
        <v>1179551.2000426389</v>
      </c>
      <c r="E7" s="33">
        <v>127.31319160000422</v>
      </c>
      <c r="F7" s="5">
        <v>12</v>
      </c>
      <c r="G7" s="23">
        <v>94</v>
      </c>
      <c r="H7" s="33">
        <v>410.68602559885795</v>
      </c>
      <c r="I7" s="23">
        <v>43.539205662813004</v>
      </c>
      <c r="J7" s="5">
        <v>5582.7669423205134</v>
      </c>
      <c r="K7" s="31"/>
      <c r="L7" s="23">
        <v>1474353.8133094669</v>
      </c>
      <c r="M7" s="33">
        <v>594.44320728001173</v>
      </c>
      <c r="N7" s="5">
        <v>20</v>
      </c>
      <c r="O7" s="5">
        <v>82.666666666666671</v>
      </c>
      <c r="P7" s="33">
        <v>353.0518522542319</v>
      </c>
      <c r="Q7" s="5">
        <v>22.163852744933443</v>
      </c>
      <c r="R7" s="5">
        <v>4725.8229904504578</v>
      </c>
      <c r="S7" s="35"/>
      <c r="T7" s="23">
        <v>1542784.795617976</v>
      </c>
      <c r="U7" s="33">
        <v>150.13765539999585</v>
      </c>
      <c r="V7" s="5">
        <v>13</v>
      </c>
      <c r="W7" s="5">
        <v>80.666666666666671</v>
      </c>
      <c r="X7" s="33">
        <v>734.29548159380613</v>
      </c>
      <c r="Y7" s="5">
        <v>57.745091202405561</v>
      </c>
      <c r="Z7" s="5">
        <v>6300.7993473858214</v>
      </c>
      <c r="AA7" s="35"/>
    </row>
    <row r="8" spans="2:27" x14ac:dyDescent="0.2">
      <c r="B8" s="4">
        <v>5</v>
      </c>
      <c r="C8" s="4">
        <v>806</v>
      </c>
      <c r="D8" s="23">
        <v>1177414.369396551</v>
      </c>
      <c r="E8" s="33">
        <v>164.66405025999993</v>
      </c>
      <c r="F8" s="5">
        <v>13</v>
      </c>
      <c r="G8" s="23">
        <v>94.666666666666671</v>
      </c>
      <c r="H8" s="33">
        <v>383.58086441750498</v>
      </c>
      <c r="I8" s="23">
        <v>40.710526245187211</v>
      </c>
      <c r="J8" s="5">
        <v>5559.7532625678723</v>
      </c>
      <c r="K8" s="31"/>
      <c r="L8" s="23">
        <v>1496252.8822761311</v>
      </c>
      <c r="M8" s="33">
        <v>222.8725231799996</v>
      </c>
      <c r="N8" s="5">
        <v>26</v>
      </c>
      <c r="O8" s="5">
        <v>90.666666666666671</v>
      </c>
      <c r="P8" s="33">
        <v>685.26639306606705</v>
      </c>
      <c r="Q8" s="5">
        <v>18.766294956155743</v>
      </c>
      <c r="R8" s="5">
        <v>5159.4023544234587</v>
      </c>
      <c r="S8" s="35"/>
      <c r="T8" s="23">
        <v>1555339.466869581</v>
      </c>
      <c r="U8" s="33">
        <v>157.97266828001011</v>
      </c>
      <c r="V8" s="5">
        <v>14</v>
      </c>
      <c r="W8" s="5">
        <v>83.333333333333329</v>
      </c>
      <c r="X8" s="33">
        <v>951.38364365056293</v>
      </c>
      <c r="Y8" s="5">
        <v>53.765589096461341</v>
      </c>
      <c r="Z8" s="5">
        <v>6484.0052077634591</v>
      </c>
      <c r="AA8" s="35"/>
    </row>
    <row r="9" spans="2:27" x14ac:dyDescent="0.2">
      <c r="B9" s="4">
        <v>6</v>
      </c>
      <c r="C9" s="4">
        <v>602</v>
      </c>
      <c r="D9" s="23">
        <v>1168815.9378534721</v>
      </c>
      <c r="E9" s="33">
        <v>254.69789970000278</v>
      </c>
      <c r="F9" s="5">
        <v>13</v>
      </c>
      <c r="G9" s="23">
        <v>94.666666666666671</v>
      </c>
      <c r="H9" s="33">
        <v>398.63514892840021</v>
      </c>
      <c r="I9" s="23">
        <v>40.605468390842283</v>
      </c>
      <c r="J9" s="5">
        <v>5479.9902392924632</v>
      </c>
      <c r="K9" s="31"/>
      <c r="L9" s="23">
        <v>1477902.469146773</v>
      </c>
      <c r="M9" s="33">
        <v>90.21439920000266</v>
      </c>
      <c r="N9" s="5">
        <v>22</v>
      </c>
      <c r="O9" s="5">
        <v>86</v>
      </c>
      <c r="P9" s="33">
        <v>570.22057767541094</v>
      </c>
      <c r="Q9" s="5">
        <v>20.997667774943327</v>
      </c>
      <c r="R9" s="5">
        <v>4881.6675358613775</v>
      </c>
      <c r="S9" s="35"/>
      <c r="T9" s="23">
        <v>1665068.0603248379</v>
      </c>
      <c r="U9" s="33">
        <v>124.47134602000006</v>
      </c>
      <c r="V9" s="5">
        <v>14</v>
      </c>
      <c r="W9" s="5">
        <v>80</v>
      </c>
      <c r="X9" s="33">
        <v>1160.3810956129851</v>
      </c>
      <c r="Y9" s="5">
        <v>51.675360144876642</v>
      </c>
      <c r="Z9" s="5">
        <v>6739.2437579362886</v>
      </c>
      <c r="AA9" s="35"/>
    </row>
    <row r="10" spans="2:27" x14ac:dyDescent="0.2">
      <c r="B10" s="4">
        <v>7</v>
      </c>
      <c r="C10" s="4">
        <v>924</v>
      </c>
      <c r="D10" s="23">
        <v>1223969.8718241721</v>
      </c>
      <c r="E10" s="33">
        <v>167.00895593999886</v>
      </c>
      <c r="F10" s="5">
        <v>13</v>
      </c>
      <c r="G10" s="23">
        <v>94</v>
      </c>
      <c r="H10" s="33">
        <v>524.69942464747248</v>
      </c>
      <c r="I10" s="23">
        <v>40.614975542654442</v>
      </c>
      <c r="J10" s="5">
        <v>5671.5417534203971</v>
      </c>
      <c r="K10" s="31"/>
      <c r="L10" s="23">
        <v>1453212.0090067319</v>
      </c>
      <c r="M10" s="33">
        <v>142.25580560001544</v>
      </c>
      <c r="N10" s="5">
        <v>24</v>
      </c>
      <c r="O10" s="5">
        <v>87.333333333333329</v>
      </c>
      <c r="P10" s="33">
        <v>380.1138112693402</v>
      </c>
      <c r="Q10" s="5">
        <v>19.3578973012803</v>
      </c>
      <c r="R10" s="5">
        <v>4795.8402220966718</v>
      </c>
      <c r="S10" s="35"/>
      <c r="T10" s="23">
        <v>1553897.41649835</v>
      </c>
      <c r="U10" s="33">
        <v>147.50426074001007</v>
      </c>
      <c r="V10" s="5">
        <v>13</v>
      </c>
      <c r="W10" s="5">
        <v>82</v>
      </c>
      <c r="X10" s="33">
        <v>887.72716753596262</v>
      </c>
      <c r="Y10" s="5">
        <v>56.454349385266354</v>
      </c>
      <c r="Z10" s="5">
        <v>6496.220613036282</v>
      </c>
      <c r="AA10" s="35"/>
    </row>
    <row r="11" spans="2:27" x14ac:dyDescent="0.2">
      <c r="B11" s="4">
        <v>8</v>
      </c>
      <c r="C11" s="4">
        <v>526</v>
      </c>
      <c r="D11" s="23">
        <v>1207294.886366501</v>
      </c>
      <c r="E11" s="33">
        <v>167.50942899999208</v>
      </c>
      <c r="F11" s="5">
        <v>12</v>
      </c>
      <c r="G11" s="23">
        <v>93.333333333333329</v>
      </c>
      <c r="H11" s="33">
        <v>418.95162630778964</v>
      </c>
      <c r="I11" s="23">
        <v>42.905606552124482</v>
      </c>
      <c r="J11" s="5">
        <v>5673.4937533544389</v>
      </c>
      <c r="K11" s="31"/>
      <c r="L11" s="23">
        <v>1444516.171232369</v>
      </c>
      <c r="M11" s="33">
        <v>397.54346322000504</v>
      </c>
      <c r="N11" s="5">
        <v>25</v>
      </c>
      <c r="O11" s="5">
        <v>90</v>
      </c>
      <c r="P11" s="33">
        <v>486.86472779989754</v>
      </c>
      <c r="Q11" s="5">
        <v>19.607385775643419</v>
      </c>
      <c r="R11" s="5">
        <v>4929.3297677056999</v>
      </c>
      <c r="S11" s="35"/>
      <c r="T11" s="23">
        <v>1538729.0966620641</v>
      </c>
      <c r="U11" s="33">
        <v>183.70764977999497</v>
      </c>
      <c r="V11" s="5">
        <v>13</v>
      </c>
      <c r="W11" s="5">
        <v>82.666666666666671</v>
      </c>
      <c r="X11" s="33">
        <v>939.78496807275167</v>
      </c>
      <c r="Y11" s="5">
        <v>59.039432958039214</v>
      </c>
      <c r="Z11" s="5">
        <v>6497.0758984748818</v>
      </c>
      <c r="AA11" s="35"/>
    </row>
    <row r="12" spans="2:27" x14ac:dyDescent="0.2">
      <c r="B12" s="4">
        <v>9</v>
      </c>
      <c r="C12" s="4">
        <v>491</v>
      </c>
      <c r="D12" s="23">
        <v>1179422.3932702451</v>
      </c>
      <c r="E12" s="33">
        <v>82.715256660012514</v>
      </c>
      <c r="F12" s="5">
        <v>12</v>
      </c>
      <c r="G12" s="23">
        <v>94.666666666666671</v>
      </c>
      <c r="H12" s="33">
        <v>438.2960408125968</v>
      </c>
      <c r="I12" s="23">
        <v>43.915001104564055</v>
      </c>
      <c r="J12" s="5">
        <v>5646.4064725613252</v>
      </c>
      <c r="K12" s="31"/>
      <c r="L12" s="23">
        <v>1492134.4533969429</v>
      </c>
      <c r="M12" s="33">
        <v>101.8118986000074</v>
      </c>
      <c r="N12" s="5">
        <v>24</v>
      </c>
      <c r="O12" s="5">
        <v>88.666666666666671</v>
      </c>
      <c r="P12" s="33">
        <v>646.80093115283375</v>
      </c>
      <c r="Q12" s="5">
        <v>19.760082075051574</v>
      </c>
      <c r="R12" s="5">
        <v>5100.5367740214579</v>
      </c>
      <c r="S12" s="35"/>
      <c r="T12" s="23">
        <v>1548400.409934955</v>
      </c>
      <c r="U12" s="33">
        <v>250.6590055600042</v>
      </c>
      <c r="V12" s="5">
        <v>13</v>
      </c>
      <c r="W12" s="5">
        <v>80</v>
      </c>
      <c r="X12" s="33">
        <v>764.28405668712389</v>
      </c>
      <c r="Y12" s="5">
        <v>56.568779505739322</v>
      </c>
      <c r="Z12" s="5">
        <v>6251.7554198842354</v>
      </c>
      <c r="AA12" s="35"/>
    </row>
    <row r="13" spans="2:27" x14ac:dyDescent="0.2">
      <c r="B13" s="4">
        <v>10</v>
      </c>
      <c r="C13" s="4">
        <v>773</v>
      </c>
      <c r="D13" s="23">
        <v>1214237.1336373719</v>
      </c>
      <c r="E13" s="33">
        <v>120.85355010000058</v>
      </c>
      <c r="F13" s="5">
        <v>13</v>
      </c>
      <c r="G13" s="23">
        <v>94</v>
      </c>
      <c r="H13" s="33">
        <v>415.85962809884825</v>
      </c>
      <c r="I13" s="23">
        <v>38.216979898960901</v>
      </c>
      <c r="J13" s="5">
        <v>5637.7285484563836</v>
      </c>
      <c r="K13" s="31"/>
      <c r="L13" s="23">
        <v>1485313.003501266</v>
      </c>
      <c r="M13" s="33">
        <v>340.0329906000058</v>
      </c>
      <c r="N13" s="5">
        <v>22</v>
      </c>
      <c r="O13" s="5">
        <v>87.333333333333329</v>
      </c>
      <c r="P13" s="33">
        <v>613.18400429012252</v>
      </c>
      <c r="Q13" s="5">
        <v>21.243859238595086</v>
      </c>
      <c r="R13" s="5">
        <v>5142.8089549140404</v>
      </c>
      <c r="S13" s="35"/>
      <c r="T13" s="23">
        <v>1523945.1217853699</v>
      </c>
      <c r="U13" s="33">
        <v>242.65761883999221</v>
      </c>
      <c r="V13" s="5">
        <v>14</v>
      </c>
      <c r="W13" s="5">
        <v>84</v>
      </c>
      <c r="X13" s="33">
        <v>922.0949389515489</v>
      </c>
      <c r="Y13" s="5">
        <v>57.658630544622028</v>
      </c>
      <c r="Z13" s="5">
        <v>6446.4691835225585</v>
      </c>
      <c r="AA13" s="35"/>
    </row>
    <row r="14" spans="2:27" x14ac:dyDescent="0.2">
      <c r="B14" s="47" t="s">
        <v>3</v>
      </c>
      <c r="C14" s="48"/>
      <c r="D14" s="9">
        <f>MIN(D4:D13)</f>
        <v>1168815.9378534721</v>
      </c>
      <c r="E14" s="22">
        <f>INDEX(E4:E13, MATCH($D$14, D4:D13, 0))</f>
        <v>254.69789970000278</v>
      </c>
      <c r="F14" s="9">
        <f>INDEX(F4:F13, MATCH($D$14, D4:D13, 0))</f>
        <v>13</v>
      </c>
      <c r="G14" s="9">
        <f>INDEX(G4:G13, MATCH($D$14, D4:D13, 0))</f>
        <v>94.666666666666671</v>
      </c>
      <c r="H14" s="22">
        <f>INDEX(H4:H13, MATCH($D$14, D4:D13, 0))</f>
        <v>398.63514892840021</v>
      </c>
      <c r="I14" s="22">
        <f>INDEX(I4:I13, MATCH($D$14, D4:D13, 0))</f>
        <v>40.605468390842283</v>
      </c>
      <c r="J14" s="22">
        <f>INDEX(J4:J13, MATCH($D$14, D4:D13, 0))</f>
        <v>5479.9902392924632</v>
      </c>
      <c r="K14" s="32" t="e">
        <f>(D14-$D$15)/$D$15</f>
        <v>#DIV/0!</v>
      </c>
      <c r="L14" s="16">
        <f>MIN(L4:L13)</f>
        <v>1441803.54965499</v>
      </c>
      <c r="M14" s="21">
        <f>INDEX(M4:M13, MATCH($L$14, L4:L13, 0))</f>
        <v>502.38248495999721</v>
      </c>
      <c r="N14" s="16">
        <f>INDEX(N4:N13, MATCH($L$14, L4:L13, 0))</f>
        <v>22</v>
      </c>
      <c r="O14" s="16">
        <f>INDEX(O4:O13, MATCH($L$14, L4:L13, 0))</f>
        <v>86</v>
      </c>
      <c r="P14" s="21">
        <f>INDEX(P4:P13, MATCH($L$14, L4:L13, 0))</f>
        <v>364.73535145570946</v>
      </c>
      <c r="Q14" s="21">
        <f>INDEX(Q4:Q13, MATCH($L$14, L4:L13, 0))</f>
        <v>20.715302434167906</v>
      </c>
      <c r="R14" s="21">
        <f>INDEX(R4:R13, MATCH($L$14, L4:L13, 0))</f>
        <v>4755.8985655655315</v>
      </c>
      <c r="S14" s="36" t="e">
        <f>(L14-$D$15)/$D$15</f>
        <v>#DIV/0!</v>
      </c>
      <c r="T14" s="38">
        <f>MIN(T4:T13)</f>
        <v>1523945.1217853699</v>
      </c>
      <c r="U14" s="39">
        <f>INDEX(U4:U13, MATCH($T$14, T4:T13, 0))</f>
        <v>242.65761883999221</v>
      </c>
      <c r="V14" s="38">
        <f>INDEX(V4:V13, MATCH($T$14, T4:T13, 0))</f>
        <v>14</v>
      </c>
      <c r="W14" s="38">
        <f>INDEX(W4:W13, MATCH($T$14, T4:T13, 0))</f>
        <v>84</v>
      </c>
      <c r="X14" s="39">
        <f>INDEX(X4:X13, MATCH($T$14, T4:T13, 0))</f>
        <v>922.0949389515489</v>
      </c>
      <c r="Y14" s="39">
        <f>INDEX(Y4:Y13, MATCH($T$14, T4:T13, 0))</f>
        <v>57.658630544622028</v>
      </c>
      <c r="Z14" s="39">
        <f>INDEX(Z4:Z13, MATCH($T$14, T4:T13, 0))</f>
        <v>6446.4691835225585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0.23355911137117025</v>
      </c>
      <c r="M15" s="41">
        <f t="shared" ref="M15:R15" si="0">(M14-E14)/E14</f>
        <v>0.97246418424231607</v>
      </c>
      <c r="N15" s="41">
        <f t="shared" si="0"/>
        <v>0.69230769230769229</v>
      </c>
      <c r="O15" s="41">
        <f t="shared" si="0"/>
        <v>-9.1549295774647932E-2</v>
      </c>
      <c r="P15" s="41">
        <f t="shared" si="0"/>
        <v>-8.503965985894428E-2</v>
      </c>
      <c r="Q15" s="41">
        <f t="shared" si="0"/>
        <v>-0.48983958922045556</v>
      </c>
      <c r="R15" s="41">
        <f t="shared" si="0"/>
        <v>-0.13213375245362138</v>
      </c>
      <c r="T15" s="41">
        <f>(T14-D14)/D14</f>
        <v>0.30383670553303016</v>
      </c>
      <c r="U15" s="41">
        <f t="shared" ref="U15:Z15" si="1">(U14-E14)/E14</f>
        <v>-4.7272792096802817E-2</v>
      </c>
      <c r="V15" s="41">
        <f t="shared" si="1"/>
        <v>7.6923076923076927E-2</v>
      </c>
      <c r="W15" s="41">
        <f t="shared" si="1"/>
        <v>-0.11267605633802821</v>
      </c>
      <c r="X15" s="41">
        <f t="shared" si="1"/>
        <v>1.3131300424217447</v>
      </c>
      <c r="Y15" s="41">
        <f t="shared" si="1"/>
        <v>0.41997205868029663</v>
      </c>
      <c r="Z15" s="41">
        <f t="shared" si="1"/>
        <v>0.17636508497775721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65" priority="7"/>
    <cfRule type="duplicateValues" dxfId="64" priority="8"/>
  </conditionalFormatting>
  <conditionalFormatting sqref="C14">
    <cfRule type="duplicateValues" dxfId="63" priority="5"/>
    <cfRule type="duplicateValues" dxfId="62" priority="6"/>
  </conditionalFormatting>
  <conditionalFormatting sqref="C15">
    <cfRule type="duplicateValues" dxfId="61" priority="3"/>
    <cfRule type="duplicateValues" dxfId="60" priority="4"/>
  </conditionalFormatting>
  <conditionalFormatting sqref="C19:C28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49E5-9185-4892-A73F-1B140FAFF833}">
  <dimension ref="B1:AA17"/>
  <sheetViews>
    <sheetView zoomScale="90" zoomScaleNormal="90" workbookViewId="0">
      <selection activeCell="U19" sqref="U19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3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-0.95405922641140439</v>
      </c>
      <c r="J2" s="28" t="e">
        <f>(S14-J14)/J14</f>
        <v>#DIV/0!</v>
      </c>
      <c r="K2" s="28"/>
      <c r="L2" s="1" t="s">
        <v>19</v>
      </c>
      <c r="P2" s="1">
        <f>(P14-H14)/H14</f>
        <v>-9.9378035297033471E-2</v>
      </c>
      <c r="R2" s="1">
        <f>(R14-J14)/J14</f>
        <v>-0.14812825970598464</v>
      </c>
      <c r="T2" s="1" t="s">
        <v>20</v>
      </c>
      <c r="X2" s="1">
        <f>(X14-P14)/P14</f>
        <v>1.6699886631935739</v>
      </c>
      <c r="Z2" s="1">
        <f>(Z14-R14)/R14</f>
        <v>0.37638280023817539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1317228.6022037759</v>
      </c>
      <c r="E4" s="33">
        <v>135.78737067999319</v>
      </c>
      <c r="F4" s="5">
        <v>14</v>
      </c>
      <c r="G4" s="23">
        <v>92.666666666666671</v>
      </c>
      <c r="H4" s="33">
        <v>668.5052637223805</v>
      </c>
      <c r="I4" s="23">
        <v>32.159966852530921</v>
      </c>
      <c r="J4" s="5">
        <v>5745.1334334562707</v>
      </c>
      <c r="K4" s="31"/>
      <c r="L4" s="23">
        <v>1611805.5305303731</v>
      </c>
      <c r="M4" s="33">
        <v>151.19743759999983</v>
      </c>
      <c r="N4" s="5">
        <v>21</v>
      </c>
      <c r="O4" s="5">
        <v>79.333333333333329</v>
      </c>
      <c r="P4" s="33">
        <v>429.62961611221704</v>
      </c>
      <c r="Q4" s="5">
        <v>17.919468734564177</v>
      </c>
      <c r="R4" s="5">
        <v>4916.2967645245553</v>
      </c>
      <c r="S4" s="35"/>
      <c r="T4" s="23">
        <v>1829912.3360726091</v>
      </c>
      <c r="U4" s="33">
        <v>127.60781435999088</v>
      </c>
      <c r="V4" s="5">
        <v>10</v>
      </c>
      <c r="W4" s="5">
        <v>68</v>
      </c>
      <c r="X4" s="33">
        <v>904.15109750268653</v>
      </c>
      <c r="Y4" s="5">
        <v>50.657464721857878</v>
      </c>
      <c r="Z4" s="5">
        <v>6516.8313352849582</v>
      </c>
      <c r="AA4" s="35"/>
    </row>
    <row r="5" spans="2:27" x14ac:dyDescent="0.2">
      <c r="B5" s="4">
        <v>2</v>
      </c>
      <c r="C5" s="4">
        <v>179</v>
      </c>
      <c r="D5" s="23">
        <v>1254843.0205659999</v>
      </c>
      <c r="E5" s="33">
        <v>200.96837365999821</v>
      </c>
      <c r="F5" s="5">
        <v>14</v>
      </c>
      <c r="G5" s="23">
        <v>92.666666666666671</v>
      </c>
      <c r="H5" s="33">
        <v>513.56298672238199</v>
      </c>
      <c r="I5" s="23">
        <v>33.44275448535209</v>
      </c>
      <c r="J5" s="5">
        <v>5428.0687061388044</v>
      </c>
      <c r="K5" s="31"/>
      <c r="L5" s="23">
        <v>1536826.5644118439</v>
      </c>
      <c r="M5" s="33">
        <v>432.33234164000021</v>
      </c>
      <c r="N5" s="5">
        <v>22</v>
      </c>
      <c r="O5" s="5">
        <v>81.333333333333329</v>
      </c>
      <c r="P5" s="33">
        <v>305.23621423589429</v>
      </c>
      <c r="Q5" s="5">
        <v>17.612172013532607</v>
      </c>
      <c r="R5" s="5">
        <v>4594.3581640732509</v>
      </c>
      <c r="S5" s="35"/>
      <c r="T5" s="23">
        <v>1740111.260643393</v>
      </c>
      <c r="U5" s="33">
        <v>200.3132069200044</v>
      </c>
      <c r="V5" s="5">
        <v>12</v>
      </c>
      <c r="W5" s="5">
        <v>74.666666666666671</v>
      </c>
      <c r="X5" s="33">
        <v>1060.1590146104486</v>
      </c>
      <c r="Y5" s="5">
        <v>49.07910160362605</v>
      </c>
      <c r="Z5" s="5">
        <v>6544.9439664788761</v>
      </c>
      <c r="AA5" s="35"/>
    </row>
    <row r="6" spans="2:27" x14ac:dyDescent="0.2">
      <c r="B6" s="4">
        <v>3</v>
      </c>
      <c r="C6" s="4">
        <v>209</v>
      </c>
      <c r="D6" s="23">
        <v>1242956.689442293</v>
      </c>
      <c r="E6" s="33">
        <v>215.3081096199806</v>
      </c>
      <c r="F6" s="5">
        <v>13</v>
      </c>
      <c r="G6" s="23">
        <v>92.666666666666671</v>
      </c>
      <c r="H6" s="33">
        <v>436.68488607509101</v>
      </c>
      <c r="I6" s="23">
        <v>35.336868479074084</v>
      </c>
      <c r="J6" s="5">
        <v>5537.0345421105922</v>
      </c>
      <c r="K6" s="31"/>
      <c r="L6" s="23">
        <v>1624447.409275034</v>
      </c>
      <c r="M6" s="33">
        <v>290.17658773998261</v>
      </c>
      <c r="N6" s="5">
        <v>18</v>
      </c>
      <c r="O6" s="5">
        <v>74.666666666666671</v>
      </c>
      <c r="P6" s="33">
        <v>291.83746470063267</v>
      </c>
      <c r="Q6" s="5">
        <v>19.069758811956049</v>
      </c>
      <c r="R6" s="5">
        <v>4663.1575102071811</v>
      </c>
      <c r="S6" s="35"/>
      <c r="T6" s="23">
        <v>1657063.3092443049</v>
      </c>
      <c r="U6" s="33">
        <v>175.42891188000795</v>
      </c>
      <c r="V6" s="5">
        <v>11</v>
      </c>
      <c r="W6" s="5">
        <v>76</v>
      </c>
      <c r="X6" s="33">
        <v>908.40666573681347</v>
      </c>
      <c r="Y6" s="5">
        <v>55.68246768010966</v>
      </c>
      <c r="Z6" s="5">
        <v>6415.0109921954499</v>
      </c>
      <c r="AA6" s="35"/>
    </row>
    <row r="7" spans="2:27" x14ac:dyDescent="0.2">
      <c r="B7" s="4">
        <v>4</v>
      </c>
      <c r="C7" s="4">
        <v>238</v>
      </c>
      <c r="D7" s="23">
        <v>1281908.8564446161</v>
      </c>
      <c r="E7" s="33">
        <v>165.10442848000676</v>
      </c>
      <c r="F7" s="5">
        <v>11</v>
      </c>
      <c r="G7" s="23">
        <v>92</v>
      </c>
      <c r="H7" s="33">
        <v>590.42105568214424</v>
      </c>
      <c r="I7" s="23">
        <v>41.568851840752018</v>
      </c>
      <c r="J7" s="5">
        <v>5872.8658924609017</v>
      </c>
      <c r="K7" s="31"/>
      <c r="L7" s="23">
        <v>1521315.8510569159</v>
      </c>
      <c r="M7" s="33">
        <v>467.17551123998118</v>
      </c>
      <c r="N7" s="5">
        <v>25</v>
      </c>
      <c r="O7" s="5">
        <v>86.666666666666671</v>
      </c>
      <c r="P7" s="33">
        <v>475.46489955830361</v>
      </c>
      <c r="Q7" s="5">
        <v>17.113874920812311</v>
      </c>
      <c r="R7" s="5">
        <v>4800.7886126950625</v>
      </c>
      <c r="S7" s="35"/>
      <c r="T7" s="23">
        <v>1843652.6923826169</v>
      </c>
      <c r="U7" s="33">
        <v>136.07953672001605</v>
      </c>
      <c r="V7" s="5">
        <v>11</v>
      </c>
      <c r="W7" s="5">
        <v>67.333333333333329</v>
      </c>
      <c r="X7" s="33">
        <v>900.87543557697563</v>
      </c>
      <c r="Y7" s="5">
        <v>46.785869491738822</v>
      </c>
      <c r="Z7" s="5">
        <v>6409.3881737237343</v>
      </c>
      <c r="AA7" s="35"/>
    </row>
    <row r="8" spans="2:27" x14ac:dyDescent="0.2">
      <c r="B8" s="4">
        <v>5</v>
      </c>
      <c r="C8" s="4">
        <v>383</v>
      </c>
      <c r="D8" s="23">
        <v>1270211.14203079</v>
      </c>
      <c r="E8" s="33">
        <v>133.03190671999474</v>
      </c>
      <c r="F8" s="5">
        <v>14</v>
      </c>
      <c r="G8" s="23">
        <v>92.666666666666671</v>
      </c>
      <c r="H8" s="33">
        <v>495.16004678083965</v>
      </c>
      <c r="I8" s="23">
        <v>32.951892861881397</v>
      </c>
      <c r="J8" s="5">
        <v>5549.1368438049576</v>
      </c>
      <c r="K8" s="31"/>
      <c r="L8" s="23">
        <v>1544394.4424338089</v>
      </c>
      <c r="M8" s="33">
        <v>378.20725199999276</v>
      </c>
      <c r="N8" s="5">
        <v>25</v>
      </c>
      <c r="O8" s="5">
        <v>86</v>
      </c>
      <c r="P8" s="33">
        <v>506.70290564439546</v>
      </c>
      <c r="Q8" s="5">
        <v>16.473728243268365</v>
      </c>
      <c r="R8" s="5">
        <v>4893.2135613117025</v>
      </c>
      <c r="S8" s="35"/>
      <c r="T8" s="23">
        <v>1751553.467727426</v>
      </c>
      <c r="U8" s="33">
        <v>303.49640621999276</v>
      </c>
      <c r="V8" s="5">
        <v>11</v>
      </c>
      <c r="W8" s="5">
        <v>72.666666666666671</v>
      </c>
      <c r="X8" s="33">
        <v>989.50989520481596</v>
      </c>
      <c r="Y8" s="5">
        <v>51.000198633019075</v>
      </c>
      <c r="Z8" s="5">
        <v>6515.629410986201</v>
      </c>
      <c r="AA8" s="35"/>
    </row>
    <row r="9" spans="2:27" x14ac:dyDescent="0.2">
      <c r="B9" s="4">
        <v>6</v>
      </c>
      <c r="C9" s="4">
        <v>576</v>
      </c>
      <c r="D9" s="23">
        <v>1207454.3716814709</v>
      </c>
      <c r="E9" s="33">
        <v>110.53574692001567</v>
      </c>
      <c r="F9" s="5">
        <v>12</v>
      </c>
      <c r="G9" s="23">
        <v>92.666666666666671</v>
      </c>
      <c r="H9" s="33">
        <v>377.77077794581396</v>
      </c>
      <c r="I9" s="23">
        <v>38.438377991390709</v>
      </c>
      <c r="J9" s="5">
        <v>5471.2172078051572</v>
      </c>
      <c r="K9" s="31"/>
      <c r="L9" s="23">
        <v>1558616.8243617739</v>
      </c>
      <c r="M9" s="33">
        <v>216.3930397999938</v>
      </c>
      <c r="N9" s="5">
        <v>22</v>
      </c>
      <c r="O9" s="5">
        <v>82.666666666666671</v>
      </c>
      <c r="P9" s="33">
        <v>445.29271902958487</v>
      </c>
      <c r="Q9" s="5">
        <v>18.563210907136604</v>
      </c>
      <c r="R9" s="5">
        <v>4873.6271571544639</v>
      </c>
      <c r="S9" s="35"/>
      <c r="T9" s="23">
        <v>1672932.1425968099</v>
      </c>
      <c r="U9" s="33">
        <v>245.38210861999542</v>
      </c>
      <c r="V9" s="5">
        <v>12</v>
      </c>
      <c r="W9" s="5">
        <v>76.666666666666671</v>
      </c>
      <c r="X9" s="33">
        <v>1049.1135174077758</v>
      </c>
      <c r="Y9" s="5">
        <v>52.723887033436995</v>
      </c>
      <c r="Z9" s="5">
        <v>6429.962707202184</v>
      </c>
      <c r="AA9" s="35"/>
    </row>
    <row r="10" spans="2:27" x14ac:dyDescent="0.2">
      <c r="B10" s="4">
        <v>7</v>
      </c>
      <c r="C10" s="4">
        <v>596</v>
      </c>
      <c r="D10" s="23">
        <v>1223980.5884194861</v>
      </c>
      <c r="E10" s="33">
        <v>321.60229247999382</v>
      </c>
      <c r="F10" s="5">
        <v>13</v>
      </c>
      <c r="G10" s="23">
        <v>92.666666666666671</v>
      </c>
      <c r="H10" s="33">
        <v>458.9223240363803</v>
      </c>
      <c r="I10" s="23">
        <v>35.54647575683245</v>
      </c>
      <c r="J10" s="5">
        <v>5392.7294284992968</v>
      </c>
      <c r="K10" s="31"/>
      <c r="L10" s="23">
        <v>1527420.7299996889</v>
      </c>
      <c r="M10" s="33">
        <v>310.39250622000543</v>
      </c>
      <c r="N10" s="5">
        <v>23</v>
      </c>
      <c r="O10" s="5">
        <v>84</v>
      </c>
      <c r="P10" s="33">
        <v>370.4309163997691</v>
      </c>
      <c r="Q10" s="5">
        <v>17.645785509111821</v>
      </c>
      <c r="R10" s="5">
        <v>4780.4526649363697</v>
      </c>
      <c r="S10" s="35"/>
      <c r="T10" s="23">
        <v>1692264.792437444</v>
      </c>
      <c r="U10" s="33">
        <v>184.64960641998331</v>
      </c>
      <c r="V10" s="5">
        <v>11</v>
      </c>
      <c r="W10" s="5">
        <v>74.666666666666671</v>
      </c>
      <c r="X10" s="33">
        <v>970.14297601669102</v>
      </c>
      <c r="Y10" s="5">
        <v>54.688863717578336</v>
      </c>
      <c r="Z10" s="5">
        <v>6417.0754113052053</v>
      </c>
      <c r="AA10" s="35"/>
    </row>
    <row r="11" spans="2:27" x14ac:dyDescent="0.2">
      <c r="B11" s="4">
        <v>8</v>
      </c>
      <c r="C11" s="4">
        <v>849</v>
      </c>
      <c r="D11" s="23">
        <v>1247704.2871582641</v>
      </c>
      <c r="E11" s="33">
        <v>140.12643565998877</v>
      </c>
      <c r="F11" s="5">
        <v>13</v>
      </c>
      <c r="G11" s="23">
        <v>92.666666666666671</v>
      </c>
      <c r="H11" s="33">
        <v>448.21149874516925</v>
      </c>
      <c r="I11" s="23">
        <v>35.311816103821805</v>
      </c>
      <c r="J11" s="5">
        <v>5551.3938813100422</v>
      </c>
      <c r="K11" s="31"/>
      <c r="L11" s="23">
        <v>1605153.6263441029</v>
      </c>
      <c r="M11" s="33">
        <v>138.09282678000164</v>
      </c>
      <c r="N11" s="5">
        <v>19</v>
      </c>
      <c r="O11" s="5">
        <v>75.333333333333329</v>
      </c>
      <c r="P11" s="33">
        <v>279.59286690189367</v>
      </c>
      <c r="Q11" s="5">
        <v>18.354405171562874</v>
      </c>
      <c r="R11" s="5">
        <v>4512.5509839941469</v>
      </c>
      <c r="S11" s="35"/>
      <c r="T11" s="23">
        <v>1692602.660977531</v>
      </c>
      <c r="U11" s="33">
        <v>206.51570526000577</v>
      </c>
      <c r="V11" s="5">
        <v>12</v>
      </c>
      <c r="W11" s="5">
        <v>75.333333333333329</v>
      </c>
      <c r="X11" s="33">
        <v>949.28376984643467</v>
      </c>
      <c r="Y11" s="5">
        <v>50.635838163044873</v>
      </c>
      <c r="Z11" s="5">
        <v>6398.9129009152812</v>
      </c>
      <c r="AA11" s="35"/>
    </row>
    <row r="12" spans="2:27" x14ac:dyDescent="0.2">
      <c r="B12" s="4">
        <v>9</v>
      </c>
      <c r="C12" s="4">
        <v>966</v>
      </c>
      <c r="D12" s="23">
        <v>1247448.575245104</v>
      </c>
      <c r="E12" s="33">
        <v>155.38402791998814</v>
      </c>
      <c r="F12" s="5">
        <v>13</v>
      </c>
      <c r="G12" s="23">
        <v>92.666666666666671</v>
      </c>
      <c r="H12" s="33">
        <v>445.82106544569365</v>
      </c>
      <c r="I12" s="23">
        <v>35.310930110853981</v>
      </c>
      <c r="J12" s="5">
        <v>5558.7184445512812</v>
      </c>
      <c r="K12" s="31"/>
      <c r="L12" s="23">
        <v>1556157.4988635769</v>
      </c>
      <c r="M12" s="33">
        <v>230.21437758000101</v>
      </c>
      <c r="N12" s="5">
        <v>24</v>
      </c>
      <c r="O12" s="5">
        <v>84.666666666666671</v>
      </c>
      <c r="P12" s="33">
        <v>504.25404722166081</v>
      </c>
      <c r="Q12" s="5">
        <v>16.679426623494574</v>
      </c>
      <c r="R12" s="5">
        <v>4877.4501594779767</v>
      </c>
      <c r="S12" s="35"/>
      <c r="T12" s="23">
        <v>1723664.1916729871</v>
      </c>
      <c r="U12" s="33">
        <v>128.93479250001255</v>
      </c>
      <c r="V12" s="5">
        <v>11</v>
      </c>
      <c r="W12" s="5">
        <v>73.333333333333329</v>
      </c>
      <c r="X12" s="33">
        <v>864.05116660014448</v>
      </c>
      <c r="Y12" s="5">
        <v>53.211646215441057</v>
      </c>
      <c r="Z12" s="5">
        <v>6427.3203408739892</v>
      </c>
      <c r="AA12" s="35"/>
    </row>
    <row r="13" spans="2:27" x14ac:dyDescent="0.2">
      <c r="B13" s="4">
        <v>10</v>
      </c>
      <c r="C13" s="4">
        <v>980</v>
      </c>
      <c r="D13" s="23">
        <v>1246082.7614237899</v>
      </c>
      <c r="E13" s="33">
        <v>174.00862763999029</v>
      </c>
      <c r="F13" s="5">
        <v>13</v>
      </c>
      <c r="G13" s="23">
        <v>92.666666666666671</v>
      </c>
      <c r="H13" s="33">
        <v>467.64844341928978</v>
      </c>
      <c r="I13" s="23">
        <v>35.557979952015579</v>
      </c>
      <c r="J13" s="5">
        <v>5545.4046158447272</v>
      </c>
      <c r="K13" s="31"/>
      <c r="L13" s="23">
        <v>1511453.4328471471</v>
      </c>
      <c r="M13" s="33">
        <v>208.71010852002081</v>
      </c>
      <c r="N13" s="5">
        <v>23</v>
      </c>
      <c r="O13" s="5">
        <v>84</v>
      </c>
      <c r="P13" s="33">
        <v>340.22866024092707</v>
      </c>
      <c r="Q13" s="5">
        <v>17.355081777996254</v>
      </c>
      <c r="R13" s="5">
        <v>4660.7753243395427</v>
      </c>
      <c r="S13" s="35"/>
      <c r="T13" s="23">
        <v>1755195.044262337</v>
      </c>
      <c r="U13" s="33">
        <v>118.37587649999186</v>
      </c>
      <c r="V13" s="5">
        <v>11</v>
      </c>
      <c r="W13" s="5">
        <v>72.666666666666671</v>
      </c>
      <c r="X13" s="33">
        <v>1026.6736796604901</v>
      </c>
      <c r="Y13" s="5">
        <v>53.543587334617563</v>
      </c>
      <c r="Z13" s="5">
        <v>6565.6404035730729</v>
      </c>
      <c r="AA13" s="35"/>
    </row>
    <row r="14" spans="2:27" x14ac:dyDescent="0.2">
      <c r="B14" s="47" t="s">
        <v>3</v>
      </c>
      <c r="C14" s="48"/>
      <c r="D14" s="9">
        <f>MIN(D4:D13)</f>
        <v>1207454.3716814709</v>
      </c>
      <c r="E14" s="22">
        <f>INDEX(E4:E13, MATCH($D$14, D4:D13, 0))</f>
        <v>110.53574692001567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377.77077794581396</v>
      </c>
      <c r="I14" s="22">
        <f>INDEX(I4:I13, MATCH($D$14, D4:D13, 0))</f>
        <v>38.438377991390709</v>
      </c>
      <c r="J14" s="22">
        <f>INDEX(J4:J13, MATCH($D$14, D4:D13, 0))</f>
        <v>5471.2172078051572</v>
      </c>
      <c r="K14" s="32" t="e">
        <f>(D14-$D$15)/$D$15</f>
        <v>#DIV/0!</v>
      </c>
      <c r="L14" s="16">
        <f>MIN(L4:L13)</f>
        <v>1511453.4328471471</v>
      </c>
      <c r="M14" s="21">
        <f>INDEX(M4:M13, MATCH($L$14, L4:L13, 0))</f>
        <v>208.71010852002081</v>
      </c>
      <c r="N14" s="16">
        <f>INDEX(N4:N13, MATCH($L$14, L4:L13, 0))</f>
        <v>23</v>
      </c>
      <c r="O14" s="16">
        <f>INDEX(O4:O13, MATCH($L$14, L4:L13, 0))</f>
        <v>84</v>
      </c>
      <c r="P14" s="21">
        <f>INDEX(P4:P13, MATCH($L$14, L4:L13, 0))</f>
        <v>340.22866024092707</v>
      </c>
      <c r="Q14" s="21">
        <f>INDEX(Q4:Q13, MATCH($L$14, L4:L13, 0))</f>
        <v>17.355081777996254</v>
      </c>
      <c r="R14" s="21">
        <f>INDEX(R4:R13, MATCH($L$14, L4:L13, 0))</f>
        <v>4660.7753243395427</v>
      </c>
      <c r="S14" s="36" t="e">
        <f>(L14-$D$15)/$D$15</f>
        <v>#DIV/0!</v>
      </c>
      <c r="T14" s="38">
        <f>MIN(T4:T13)</f>
        <v>1657063.3092443049</v>
      </c>
      <c r="U14" s="39">
        <f>INDEX(U4:U13, MATCH($T$14, T4:T13, 0))</f>
        <v>175.42891188000795</v>
      </c>
      <c r="V14" s="38">
        <f>INDEX(V4:V13, MATCH($T$14, T4:T13, 0))</f>
        <v>11</v>
      </c>
      <c r="W14" s="38">
        <f>INDEX(W4:W13, MATCH($T$14, T4:T13, 0))</f>
        <v>76</v>
      </c>
      <c r="X14" s="39">
        <f>INDEX(X4:X13, MATCH($T$14, T4:T13, 0))</f>
        <v>908.40666573681347</v>
      </c>
      <c r="Y14" s="39">
        <f>INDEX(Y4:Y13, MATCH($T$14, T4:T13, 0))</f>
        <v>55.68246768010966</v>
      </c>
      <c r="Z14" s="39">
        <f>INDEX(Z4:Z13, MATCH($T$14, T4:T13, 0))</f>
        <v>6415.0109921954499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0.25176857055255403</v>
      </c>
      <c r="M15" s="41">
        <f t="shared" ref="M15:R15" si="0">(M14-E14)/E14</f>
        <v>0.88816843723003658</v>
      </c>
      <c r="N15" s="41">
        <f t="shared" si="0"/>
        <v>0.91666666666666663</v>
      </c>
      <c r="O15" s="41">
        <f t="shared" si="0"/>
        <v>-9.3525179856115151E-2</v>
      </c>
      <c r="P15" s="41">
        <f t="shared" si="0"/>
        <v>-9.9378035297033471E-2</v>
      </c>
      <c r="Q15" s="41">
        <f t="shared" si="0"/>
        <v>-0.54849599059868281</v>
      </c>
      <c r="R15" s="41">
        <f t="shared" si="0"/>
        <v>-0.14812825970598464</v>
      </c>
      <c r="T15" s="41">
        <f>(T14-D14)/D14</f>
        <v>0.37236101678667971</v>
      </c>
      <c r="U15" s="41">
        <f t="shared" ref="U15:Z15" si="1">(U14-E14)/E14</f>
        <v>0.58707854036531149</v>
      </c>
      <c r="V15" s="41">
        <f t="shared" si="1"/>
        <v>-8.3333333333333329E-2</v>
      </c>
      <c r="W15" s="41">
        <f t="shared" si="1"/>
        <v>-0.17985611510791372</v>
      </c>
      <c r="X15" s="41">
        <f t="shared" si="1"/>
        <v>1.4046504355800435</v>
      </c>
      <c r="Y15" s="41">
        <f t="shared" si="1"/>
        <v>0.44861647628787094</v>
      </c>
      <c r="Z15" s="41">
        <f t="shared" si="1"/>
        <v>0.17250161134964456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8 C29:C1048576">
    <cfRule type="duplicateValues" dxfId="59" priority="11"/>
    <cfRule type="duplicateValues" dxfId="58" priority="12"/>
  </conditionalFormatting>
  <conditionalFormatting sqref="C14">
    <cfRule type="duplicateValues" dxfId="57" priority="9"/>
    <cfRule type="duplicateValues" dxfId="56" priority="10"/>
  </conditionalFormatting>
  <conditionalFormatting sqref="C15">
    <cfRule type="duplicateValues" dxfId="55" priority="7"/>
    <cfRule type="duplicateValues" dxfId="54" priority="8"/>
  </conditionalFormatting>
  <conditionalFormatting sqref="K18">
    <cfRule type="duplicateValues" dxfId="53" priority="5"/>
    <cfRule type="duplicateValues" dxfId="52" priority="6"/>
  </conditionalFormatting>
  <conditionalFormatting sqref="S18">
    <cfRule type="duplicateValues" dxfId="51" priority="3"/>
    <cfRule type="duplicateValues" dxfId="50" priority="4"/>
  </conditionalFormatting>
  <conditionalFormatting sqref="C19:C2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2026-10-20T17:43:00Z</dcterms:modified>
</cp:coreProperties>
</file>