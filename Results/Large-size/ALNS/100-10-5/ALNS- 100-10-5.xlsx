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00-10-5/"/>
    </mc:Choice>
  </mc:AlternateContent>
  <xr:revisionPtr revIDLastSave="0" documentId="13_ncr:1_{3FAD16BC-B219-3D41-AA19-F30594A8DD2B}" xr6:coauthVersionLast="47" xr6:coauthVersionMax="47" xr10:uidLastSave="{00000000-0000-0000-0000-000000000000}"/>
  <bookViews>
    <workbookView xWindow="0" yWindow="760" windowWidth="34560" windowHeight="20500" activeTab="10" xr2:uid="{41E620E7-D6DF-9342-B452-EA60AB3B07C5}"/>
  </bookViews>
  <sheets>
    <sheet name="Summary" sheetId="68" r:id="rId1"/>
    <sheet name="results56" sheetId="58" r:id="rId2"/>
    <sheet name="results257" sheetId="89" r:id="rId3"/>
    <sheet name="results403" sheetId="100" r:id="rId4"/>
    <sheet name="results580" sheetId="101" r:id="rId5"/>
    <sheet name="results583" sheetId="107" r:id="rId6"/>
    <sheet name="results597" sheetId="108" r:id="rId7"/>
    <sheet name="results663" sheetId="109" r:id="rId8"/>
    <sheet name="results795" sheetId="103" r:id="rId9"/>
    <sheet name="results918" sheetId="104" r:id="rId10"/>
    <sheet name="results944" sheetId="10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05" l="1"/>
  <c r="T14" i="104"/>
  <c r="T14" i="103"/>
  <c r="T14" i="109"/>
  <c r="W14" i="109" s="1"/>
  <c r="T14" i="108"/>
  <c r="X14" i="108" s="1"/>
  <c r="T14" i="107"/>
  <c r="W14" i="107" s="1"/>
  <c r="T14" i="101"/>
  <c r="Y14" i="101" s="1"/>
  <c r="T14" i="100"/>
  <c r="AA14" i="100" s="1"/>
  <c r="V14" i="109"/>
  <c r="AA14" i="109"/>
  <c r="Z14" i="109"/>
  <c r="Y14" i="109"/>
  <c r="D14" i="108"/>
  <c r="T15" i="108" s="1"/>
  <c r="W14" i="108"/>
  <c r="V14" i="108"/>
  <c r="U14" i="108"/>
  <c r="AA14" i="108"/>
  <c r="Z14" i="108"/>
  <c r="Y14" i="108"/>
  <c r="D14" i="109"/>
  <c r="Y14" i="107"/>
  <c r="AA14" i="107"/>
  <c r="Z14" i="107"/>
  <c r="U14" i="107"/>
  <c r="D14" i="107"/>
  <c r="D14" i="104"/>
  <c r="AA14" i="103"/>
  <c r="Z14" i="103"/>
  <c r="Y14" i="103"/>
  <c r="X14" i="103"/>
  <c r="W14" i="103"/>
  <c r="V14" i="103"/>
  <c r="U14" i="103"/>
  <c r="D14" i="103"/>
  <c r="D14" i="105"/>
  <c r="W14" i="105"/>
  <c r="V14" i="105"/>
  <c r="U14" i="105"/>
  <c r="Z14" i="105"/>
  <c r="X14" i="105"/>
  <c r="Y14" i="105"/>
  <c r="AA14" i="105"/>
  <c r="W14" i="104"/>
  <c r="V14" i="104"/>
  <c r="U14" i="104"/>
  <c r="Y14" i="104"/>
  <c r="X14" i="104"/>
  <c r="AA14" i="104"/>
  <c r="Z14" i="104"/>
  <c r="W14" i="101"/>
  <c r="V14" i="101"/>
  <c r="U14" i="101"/>
  <c r="X14" i="101"/>
  <c r="AA14" i="101"/>
  <c r="Z14" i="101"/>
  <c r="D14" i="101"/>
  <c r="W14" i="100"/>
  <c r="V14" i="100"/>
  <c r="U14" i="100"/>
  <c r="Y14" i="100"/>
  <c r="D14" i="100"/>
  <c r="X14" i="109" l="1"/>
  <c r="U14" i="109"/>
  <c r="X14" i="107"/>
  <c r="V14" i="107"/>
  <c r="X14" i="100"/>
  <c r="Z14" i="100"/>
  <c r="K14" i="109"/>
  <c r="J14" i="109"/>
  <c r="I14" i="109"/>
  <c r="Y15" i="109" s="1"/>
  <c r="H14" i="109"/>
  <c r="X15" i="109" s="1"/>
  <c r="G14" i="109"/>
  <c r="W15" i="109" s="1"/>
  <c r="F14" i="109"/>
  <c r="E14" i="109"/>
  <c r="U15" i="109" s="1"/>
  <c r="K14" i="107"/>
  <c r="J14" i="107"/>
  <c r="Z15" i="107" s="1"/>
  <c r="I14" i="107"/>
  <c r="Y15" i="107" s="1"/>
  <c r="F14" i="107"/>
  <c r="H14" i="107"/>
  <c r="G14" i="107"/>
  <c r="W15" i="107" s="1"/>
  <c r="E14" i="107"/>
  <c r="T15" i="107"/>
  <c r="K14" i="108"/>
  <c r="J14" i="108"/>
  <c r="G14" i="108"/>
  <c r="W15" i="108" s="1"/>
  <c r="E14" i="108"/>
  <c r="U15" i="108" s="1"/>
  <c r="I14" i="108"/>
  <c r="Y15" i="108" s="1"/>
  <c r="H14" i="108"/>
  <c r="X15" i="108" s="1"/>
  <c r="F14" i="108"/>
  <c r="T15" i="109"/>
  <c r="K14" i="105"/>
  <c r="J14" i="105"/>
  <c r="I14" i="105"/>
  <c r="E14" i="105"/>
  <c r="F14" i="105"/>
  <c r="V15" i="105" s="1"/>
  <c r="H14" i="105"/>
  <c r="G14" i="105"/>
  <c r="J14" i="103"/>
  <c r="I14" i="103"/>
  <c r="H14" i="103"/>
  <c r="F14" i="103"/>
  <c r="V15" i="103" s="1"/>
  <c r="G14" i="103"/>
  <c r="E14" i="103"/>
  <c r="K14" i="103"/>
  <c r="K14" i="104"/>
  <c r="J14" i="104"/>
  <c r="I14" i="104"/>
  <c r="H14" i="104"/>
  <c r="G14" i="104"/>
  <c r="W15" i="104" s="1"/>
  <c r="E14" i="104"/>
  <c r="U15" i="104" s="1"/>
  <c r="F14" i="104"/>
  <c r="V15" i="104" s="1"/>
  <c r="T15" i="103"/>
  <c r="T15" i="104"/>
  <c r="T15" i="105"/>
  <c r="K14" i="101"/>
  <c r="J14" i="101"/>
  <c r="I14" i="101"/>
  <c r="H14" i="101"/>
  <c r="X15" i="101" s="1"/>
  <c r="E14" i="101"/>
  <c r="G14" i="101"/>
  <c r="F14" i="101"/>
  <c r="V15" i="101" s="1"/>
  <c r="T15" i="101"/>
  <c r="K14" i="100"/>
  <c r="G14" i="100"/>
  <c r="W15" i="100" s="1"/>
  <c r="J14" i="100"/>
  <c r="F14" i="100"/>
  <c r="V15" i="100" s="1"/>
  <c r="I14" i="100"/>
  <c r="H14" i="100"/>
  <c r="E14" i="100"/>
  <c r="U15" i="100" s="1"/>
  <c r="T15" i="100"/>
  <c r="L14" i="105" l="1"/>
  <c r="P14" i="105" s="1"/>
  <c r="X2" i="105" s="1"/>
  <c r="L14" i="104"/>
  <c r="L15" i="104" s="1"/>
  <c r="L14" i="103"/>
  <c r="L15" i="103" s="1"/>
  <c r="L14" i="109"/>
  <c r="L15" i="109" s="1"/>
  <c r="L14" i="108"/>
  <c r="L15" i="108" s="1"/>
  <c r="L14" i="107"/>
  <c r="L15" i="107" s="1"/>
  <c r="L14" i="101"/>
  <c r="L15" i="101" s="1"/>
  <c r="L14" i="100"/>
  <c r="L15" i="100" s="1"/>
  <c r="P14" i="103"/>
  <c r="X2" i="103" s="1"/>
  <c r="O14" i="103"/>
  <c r="O15" i="103" s="1"/>
  <c r="N14" i="103"/>
  <c r="N15" i="103" s="1"/>
  <c r="M14" i="103"/>
  <c r="M15" i="103" s="1"/>
  <c r="Q14" i="103"/>
  <c r="Q15" i="103" s="1"/>
  <c r="R14" i="103"/>
  <c r="Z2" i="103" s="1"/>
  <c r="S14" i="103"/>
  <c r="J2" i="103" s="1"/>
  <c r="R14" i="100"/>
  <c r="R2" i="100" s="1"/>
  <c r="S14" i="100"/>
  <c r="J2" i="100" s="1"/>
  <c r="Q14" i="100"/>
  <c r="H2" i="100" s="1"/>
  <c r="N14" i="100"/>
  <c r="N15" i="100" s="1"/>
  <c r="P14" i="100"/>
  <c r="P15" i="100" s="1"/>
  <c r="O14" i="100"/>
  <c r="O15" i="100" s="1"/>
  <c r="O14" i="107"/>
  <c r="O15" i="107" s="1"/>
  <c r="N14" i="107"/>
  <c r="N15" i="107" s="1"/>
  <c r="M14" i="107"/>
  <c r="M15" i="107" s="1"/>
  <c r="P14" i="107"/>
  <c r="X2" i="107" s="1"/>
  <c r="S14" i="107"/>
  <c r="J2" i="107" s="1"/>
  <c r="R14" i="107"/>
  <c r="Z2" i="107" s="1"/>
  <c r="Q14" i="107"/>
  <c r="H2" i="107" s="1"/>
  <c r="M14" i="109"/>
  <c r="M15" i="109" s="1"/>
  <c r="R14" i="109"/>
  <c r="Z2" i="109" s="1"/>
  <c r="O14" i="109"/>
  <c r="O15" i="109" s="1"/>
  <c r="N14" i="109"/>
  <c r="N15" i="109" s="1"/>
  <c r="Q14" i="109"/>
  <c r="Q15" i="109" s="1"/>
  <c r="P14" i="109"/>
  <c r="P2" i="109" s="1"/>
  <c r="R14" i="105"/>
  <c r="Z2" i="105" s="1"/>
  <c r="M14" i="105"/>
  <c r="M15" i="105" s="1"/>
  <c r="Q14" i="105"/>
  <c r="Q15" i="105" s="1"/>
  <c r="O14" i="104"/>
  <c r="O15" i="104" s="1"/>
  <c r="N14" i="104"/>
  <c r="N15" i="104" s="1"/>
  <c r="M14" i="104"/>
  <c r="M15" i="104" s="1"/>
  <c r="Q14" i="104"/>
  <c r="H2" i="104" s="1"/>
  <c r="S14" i="104"/>
  <c r="J2" i="104" s="1"/>
  <c r="R14" i="104"/>
  <c r="Z2" i="104" s="1"/>
  <c r="P14" i="104"/>
  <c r="X2" i="104" s="1"/>
  <c r="L15" i="105"/>
  <c r="Q14" i="101"/>
  <c r="Q15" i="101" s="1"/>
  <c r="P14" i="101"/>
  <c r="X2" i="101" s="1"/>
  <c r="S14" i="101"/>
  <c r="J2" i="101" s="1"/>
  <c r="N14" i="101"/>
  <c r="N15" i="101" s="1"/>
  <c r="M14" i="101"/>
  <c r="M15" i="101" s="1"/>
  <c r="O14" i="101"/>
  <c r="O15" i="101" s="1"/>
  <c r="R14" i="101"/>
  <c r="Z2" i="101" s="1"/>
  <c r="Z15" i="109"/>
  <c r="W15" i="103"/>
  <c r="X15" i="105"/>
  <c r="U15" i="105"/>
  <c r="U15" i="103"/>
  <c r="V15" i="109"/>
  <c r="Z15" i="104"/>
  <c r="Y15" i="103"/>
  <c r="Y15" i="104"/>
  <c r="X15" i="107"/>
  <c r="X15" i="103"/>
  <c r="U15" i="101"/>
  <c r="Y15" i="101"/>
  <c r="Z15" i="105"/>
  <c r="V15" i="107"/>
  <c r="V15" i="108"/>
  <c r="W15" i="105"/>
  <c r="Z15" i="108"/>
  <c r="Z15" i="103"/>
  <c r="U15" i="107"/>
  <c r="Z15" i="101"/>
  <c r="X15" i="104"/>
  <c r="Z15" i="100"/>
  <c r="W15" i="101"/>
  <c r="Y15" i="105"/>
  <c r="Y15" i="100"/>
  <c r="X15" i="100"/>
  <c r="S14" i="105" l="1"/>
  <c r="J2" i="105" s="1"/>
  <c r="N14" i="105"/>
  <c r="N15" i="105" s="1"/>
  <c r="O14" i="105"/>
  <c r="O15" i="105" s="1"/>
  <c r="S14" i="109"/>
  <c r="J2" i="109" s="1"/>
  <c r="O14" i="108"/>
  <c r="O15" i="108" s="1"/>
  <c r="Q14" i="108"/>
  <c r="H2" i="108" s="1"/>
  <c r="R14" i="108"/>
  <c r="Z2" i="108" s="1"/>
  <c r="P14" i="108"/>
  <c r="X2" i="108" s="1"/>
  <c r="S14" i="108"/>
  <c r="J2" i="108" s="1"/>
  <c r="M14" i="108"/>
  <c r="M15" i="108" s="1"/>
  <c r="N14" i="108"/>
  <c r="N15" i="108" s="1"/>
  <c r="P15" i="103"/>
  <c r="P2" i="103"/>
  <c r="M14" i="100"/>
  <c r="M15" i="100" s="1"/>
  <c r="P2" i="100"/>
  <c r="X2" i="100"/>
  <c r="H2" i="109"/>
  <c r="R2" i="107"/>
  <c r="R15" i="105"/>
  <c r="R2" i="105"/>
  <c r="R2" i="101"/>
  <c r="Q15" i="107"/>
  <c r="P2" i="107"/>
  <c r="P15" i="104"/>
  <c r="P15" i="107"/>
  <c r="Q15" i="100"/>
  <c r="R15" i="107"/>
  <c r="X2" i="109"/>
  <c r="P15" i="105"/>
  <c r="P15" i="109"/>
  <c r="R15" i="100"/>
  <c r="R2" i="104"/>
  <c r="Z2" i="100"/>
  <c r="P2" i="108"/>
  <c r="H2" i="103"/>
  <c r="P2" i="101"/>
  <c r="P15" i="108"/>
  <c r="R15" i="109"/>
  <c r="Q15" i="108"/>
  <c r="P15" i="101"/>
  <c r="R2" i="109"/>
  <c r="H2" i="101"/>
  <c r="R2" i="103"/>
  <c r="R15" i="101"/>
  <c r="R15" i="108"/>
  <c r="H2" i="105"/>
  <c r="Q15" i="104"/>
  <c r="R2" i="108"/>
  <c r="P2" i="104"/>
  <c r="P2" i="105"/>
  <c r="R15" i="103"/>
  <c r="R15" i="104"/>
  <c r="T14" i="89"/>
  <c r="Z14" i="89" s="1"/>
  <c r="L14" i="89"/>
  <c r="R14" i="89" s="1"/>
  <c r="D14" i="89"/>
  <c r="K14" i="89" s="1"/>
  <c r="AA14" i="89" l="1"/>
  <c r="X14" i="89"/>
  <c r="Y14" i="89"/>
  <c r="T15" i="89"/>
  <c r="O14" i="89"/>
  <c r="Q14" i="89"/>
  <c r="G14" i="89"/>
  <c r="S14" i="89"/>
  <c r="P14" i="89"/>
  <c r="F14" i="89"/>
  <c r="H14" i="89"/>
  <c r="M14" i="89"/>
  <c r="N14" i="89"/>
  <c r="L15" i="89"/>
  <c r="I14" i="89"/>
  <c r="U14" i="89"/>
  <c r="Z2" i="89"/>
  <c r="E14" i="89"/>
  <c r="J14" i="89"/>
  <c r="R15" i="89" s="1"/>
  <c r="V14" i="89"/>
  <c r="W14" i="89"/>
  <c r="X2" i="89" l="1"/>
  <c r="X15" i="89"/>
  <c r="J2" i="89"/>
  <c r="Y15" i="89"/>
  <c r="H2" i="89"/>
  <c r="Q15" i="89"/>
  <c r="N15" i="89"/>
  <c r="P15" i="89"/>
  <c r="P2" i="89"/>
  <c r="M15" i="89"/>
  <c r="R2" i="89"/>
  <c r="W15" i="89"/>
  <c r="V15" i="89"/>
  <c r="U15" i="89"/>
  <c r="O15" i="89"/>
  <c r="Z15" i="89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58" l="1"/>
  <c r="Q14" i="58" s="1"/>
  <c r="T14" i="58"/>
  <c r="X14" i="58" s="1"/>
  <c r="D14" i="58"/>
  <c r="K14" i="58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3" i="68" a="1"/>
  <c r="W11" i="68" a="1"/>
  <c r="I12" i="68" a="1"/>
  <c r="O5" i="68" a="1"/>
  <c r="F7" i="68" a="1"/>
  <c r="P3" i="68" a="1"/>
  <c r="T12" i="68" a="1"/>
  <c r="L8" i="68" a="1"/>
  <c r="Y7" i="68" a="1"/>
  <c r="Y9" i="68" a="1"/>
  <c r="H4" i="68" a="1"/>
  <c r="X9" i="68" a="1"/>
  <c r="P4" i="68" a="1"/>
  <c r="L4" i="68" a="1"/>
  <c r="C3" i="68" a="1"/>
  <c r="C8" i="68" a="1"/>
  <c r="F8" i="68" a="1"/>
  <c r="M4" i="68" a="1"/>
  <c r="V12" i="68" a="1"/>
  <c r="M5" i="68" a="1"/>
  <c r="Y11" i="68" a="1"/>
  <c r="D9" i="68" a="1"/>
  <c r="D7" i="68" a="1"/>
  <c r="E9" i="68" a="1"/>
  <c r="O9" i="68" a="1"/>
  <c r="F11" i="68" a="1"/>
  <c r="D11" i="68" a="1"/>
  <c r="T5" i="68" a="1"/>
  <c r="W10" i="68" a="1"/>
  <c r="S9" i="68" a="1"/>
  <c r="P9" i="68" a="1"/>
  <c r="Y10" i="68" a="1"/>
  <c r="P10" i="68" a="1"/>
  <c r="H12" i="68" a="1"/>
  <c r="F6" i="68" a="1"/>
  <c r="S7" i="68" a="1"/>
  <c r="W6" i="68" a="1"/>
  <c r="T6" i="68" a="1"/>
  <c r="K5" i="68" a="1"/>
  <c r="E8" i="68" a="1"/>
  <c r="I7" i="68" a="1"/>
  <c r="C7" i="68" a="1"/>
  <c r="W9" i="68" a="1"/>
  <c r="E12" i="68" a="1"/>
  <c r="E10" i="68" a="1"/>
  <c r="C12" i="68" a="1"/>
  <c r="O12" i="68" a="1"/>
  <c r="G11" i="68" a="1"/>
  <c r="Y12" i="68" a="1"/>
  <c r="O4" i="68" a="1"/>
  <c r="U8" i="68" a="1"/>
  <c r="D5" i="68" a="1"/>
  <c r="Q5" i="68" a="1"/>
  <c r="O11" i="68" a="1"/>
  <c r="Q7" i="68" a="1"/>
  <c r="O6" i="68" a="1"/>
  <c r="K8" i="68" a="1"/>
  <c r="C6" i="68" a="1"/>
  <c r="U11" i="68" a="1"/>
  <c r="C11" i="68" a="1"/>
  <c r="H7" i="68" a="1"/>
  <c r="P6" i="68" a="1"/>
  <c r="Q9" i="68" a="1"/>
  <c r="F5" i="68" a="1"/>
  <c r="H9" i="68" a="1"/>
  <c r="M6" i="68" a="1"/>
  <c r="X10" i="68" a="1"/>
  <c r="N9" i="68" a="1"/>
  <c r="I5" i="68" a="1"/>
  <c r="V6" i="68" a="1"/>
  <c r="T11" i="68" a="1"/>
  <c r="F4" i="68" a="1"/>
  <c r="X7" i="68" a="1"/>
  <c r="E6" i="68" a="1"/>
  <c r="I9" i="68" a="1"/>
  <c r="C5" i="68" a="1"/>
  <c r="Q4" i="68" a="1"/>
  <c r="U6" i="68" a="1"/>
  <c r="X11" i="68" a="1"/>
  <c r="U9" i="68" a="1"/>
  <c r="X5" i="68" a="1"/>
  <c r="P8" i="68" a="1"/>
  <c r="F12" i="68" a="1"/>
  <c r="E5" i="68" a="1"/>
  <c r="I4" i="68" a="1"/>
  <c r="S12" i="68" a="1"/>
  <c r="I11" i="68" a="1"/>
  <c r="T9" i="68" a="1"/>
  <c r="X12" i="68" a="1"/>
  <c r="L7" i="68" a="1"/>
  <c r="H11" i="68" a="1"/>
  <c r="N5" i="68" a="1"/>
  <c r="D8" i="68" a="1"/>
  <c r="I8" i="68" a="1"/>
  <c r="D12" i="68" a="1"/>
  <c r="V5" i="68" a="1"/>
  <c r="N6" i="68" a="1"/>
  <c r="S4" i="68" a="1"/>
  <c r="V11" i="68" a="1"/>
  <c r="M8" i="68" a="1"/>
  <c r="W3" i="68" a="1"/>
  <c r="O7" i="68" a="1"/>
  <c r="Q6" i="68" a="1"/>
  <c r="F9" i="68" a="1"/>
  <c r="L12" i="68" a="1"/>
  <c r="Q10" i="68" a="1"/>
  <c r="E4" i="68" a="1"/>
  <c r="Q12" i="68" a="1"/>
  <c r="S10" i="68" a="1"/>
  <c r="D10" i="68" a="1"/>
  <c r="E11" i="68" a="1"/>
  <c r="Q11" i="68" a="1"/>
  <c r="C10" i="68" a="1"/>
  <c r="P12" i="68" a="1"/>
  <c r="U5" i="68" a="1"/>
  <c r="T10" i="68" a="1"/>
  <c r="M10" i="68" a="1"/>
  <c r="N12" i="68" a="1"/>
  <c r="G12" i="68" a="1"/>
  <c r="L6" i="68" a="1"/>
  <c r="G6" i="68" a="1"/>
  <c r="E7" i="68" a="1"/>
  <c r="K9" i="68" a="1"/>
  <c r="C9" i="68" a="1"/>
  <c r="U7" i="68" a="1"/>
  <c r="N7" i="68" a="1"/>
  <c r="M12" i="68" a="1"/>
  <c r="W5" i="68" a="1"/>
  <c r="V9" i="68" a="1"/>
  <c r="S5" i="68" a="1"/>
  <c r="O8" i="68" a="1"/>
  <c r="Y5" i="68" a="1"/>
  <c r="W4" i="68" a="1"/>
  <c r="D6" i="68" a="1"/>
  <c r="U12" i="68" a="1"/>
  <c r="L11" i="68" a="1"/>
  <c r="S3" i="68" a="1"/>
  <c r="K6" i="68" a="1"/>
  <c r="H10" i="68" a="1"/>
  <c r="H5" i="68" a="1"/>
  <c r="C4" i="68" a="1"/>
  <c r="L10" i="68" a="1"/>
  <c r="N10" i="68" a="1"/>
  <c r="I6" i="68" a="1"/>
  <c r="P5" i="68" a="1"/>
  <c r="Q8" i="68" a="1"/>
  <c r="W7" i="68" a="1"/>
  <c r="N11" i="68" a="1"/>
  <c r="F10" i="68" a="1"/>
  <c r="K10" i="68" a="1"/>
  <c r="Y6" i="68" a="1"/>
  <c r="D4" i="68" a="1"/>
  <c r="M9" i="68" a="1"/>
  <c r="S8" i="68" a="1"/>
  <c r="X4" i="68" a="1"/>
  <c r="M11" i="68" a="1"/>
  <c r="O10" i="68" a="1"/>
  <c r="N4" i="68" a="1"/>
  <c r="K4" i="68" a="1"/>
  <c r="W12" i="68" a="1"/>
  <c r="K7" i="68" a="1"/>
  <c r="G5" i="68" a="1"/>
  <c r="H6" i="68" a="1"/>
  <c r="G8" i="68" a="1"/>
  <c r="U10" i="68" a="1"/>
  <c r="M7" i="68" a="1"/>
  <c r="P7" i="68" a="1"/>
  <c r="I10" i="68" a="1"/>
  <c r="S11" i="68" a="1"/>
  <c r="S6" i="68" a="1"/>
  <c r="H8" i="68" a="1"/>
  <c r="V10" i="68" a="1"/>
  <c r="X6" i="68" a="1"/>
  <c r="G9" i="68" a="1"/>
  <c r="K11" i="68" a="1"/>
  <c r="N8" i="68" a="1"/>
  <c r="G4" i="68" a="1"/>
  <c r="P11" i="68" a="1"/>
  <c r="K12" i="68" a="1"/>
  <c r="G7" i="68" a="1"/>
  <c r="L5" i="68" a="1"/>
  <c r="G10" i="68" a="1"/>
  <c r="P14" i="58" l="1"/>
  <c r="X2" i="58" s="1"/>
  <c r="N14" i="58"/>
  <c r="R14" i="58"/>
  <c r="O14" i="58"/>
  <c r="S14" i="58"/>
  <c r="M14" i="58"/>
  <c r="G14" i="58"/>
  <c r="L15" i="58"/>
  <c r="V14" i="58"/>
  <c r="Y14" i="58"/>
  <c r="U14" i="58"/>
  <c r="W14" i="58"/>
  <c r="AA14" i="58"/>
  <c r="H14" i="58"/>
  <c r="X15" i="58" s="1"/>
  <c r="F14" i="58"/>
  <c r="E14" i="58"/>
  <c r="I14" i="58"/>
  <c r="J14" i="58"/>
  <c r="T15" i="58"/>
  <c r="K12" i="68"/>
  <c r="K11" i="68"/>
  <c r="K10" i="68"/>
  <c r="K9" i="68"/>
  <c r="K8" i="68"/>
  <c r="K7" i="68"/>
  <c r="K6" i="68"/>
  <c r="K5" i="68"/>
  <c r="K4" i="68"/>
  <c r="K3" i="68"/>
  <c r="S12" i="68"/>
  <c r="S11" i="68"/>
  <c r="S10" i="68"/>
  <c r="S9" i="68"/>
  <c r="S8" i="68"/>
  <c r="S7" i="68"/>
  <c r="S6" i="68"/>
  <c r="S5" i="68"/>
  <c r="S4" i="68"/>
  <c r="Z14" i="58"/>
  <c r="S3" i="68"/>
  <c r="C12" i="68"/>
  <c r="C11" i="68"/>
  <c r="C10" i="68"/>
  <c r="C9" i="68"/>
  <c r="C8" i="68"/>
  <c r="C7" i="68"/>
  <c r="C6" i="68"/>
  <c r="C5" i="68"/>
  <c r="C4" i="68"/>
  <c r="C3" i="68"/>
  <c r="I9" i="68"/>
  <c r="I10" i="68"/>
  <c r="D12" i="68"/>
  <c r="D4" i="68"/>
  <c r="Y6" i="68"/>
  <c r="Y11" i="68"/>
  <c r="Q6" i="68"/>
  <c r="O9" i="68"/>
  <c r="I12" i="68"/>
  <c r="L4" i="68"/>
  <c r="D10" i="68"/>
  <c r="X10" i="68"/>
  <c r="I7" i="68"/>
  <c r="U5" i="68"/>
  <c r="D5" i="68"/>
  <c r="O7" i="68"/>
  <c r="W6" i="68"/>
  <c r="P10" i="68"/>
  <c r="E4" i="68"/>
  <c r="W12" i="68"/>
  <c r="F4" i="68"/>
  <c r="T12" i="68"/>
  <c r="F9" i="68"/>
  <c r="U10" i="68"/>
  <c r="W5" i="68"/>
  <c r="N12" i="68"/>
  <c r="X5" i="68"/>
  <c r="G12" i="68"/>
  <c r="N4" i="68"/>
  <c r="T5" i="68"/>
  <c r="L8" i="68"/>
  <c r="F5" i="68"/>
  <c r="M7" i="68"/>
  <c r="G10" i="68"/>
  <c r="Y10" i="68"/>
  <c r="V5" i="68"/>
  <c r="Q8" i="68"/>
  <c r="L7" i="68"/>
  <c r="Q10" i="68"/>
  <c r="O6" i="68"/>
  <c r="H4" i="68"/>
  <c r="E9" i="68"/>
  <c r="T10" i="68"/>
  <c r="E12" i="68"/>
  <c r="H6" i="68"/>
  <c r="G6" i="68"/>
  <c r="W10" i="68"/>
  <c r="G5" i="68"/>
  <c r="X6" i="68"/>
  <c r="P6" i="68"/>
  <c r="D9" i="68"/>
  <c r="O4" i="68"/>
  <c r="H10" i="68"/>
  <c r="G7" i="68"/>
  <c r="N8" i="68"/>
  <c r="W3" i="68"/>
  <c r="H5" i="68"/>
  <c r="T9" i="68"/>
  <c r="U8" i="68"/>
  <c r="M9" i="68"/>
  <c r="P4" i="68"/>
  <c r="E8" i="68"/>
  <c r="D7" i="68"/>
  <c r="E11" i="68"/>
  <c r="O8" i="68"/>
  <c r="P12" i="68"/>
  <c r="I5" i="68"/>
  <c r="L5" i="68"/>
  <c r="O10" i="68"/>
  <c r="M11" i="68"/>
  <c r="G4" i="68"/>
  <c r="F8" i="68"/>
  <c r="E7" i="68"/>
  <c r="W4" i="68"/>
  <c r="Q5" i="68"/>
  <c r="T11" i="68"/>
  <c r="L11" i="68"/>
  <c r="I4" i="68"/>
  <c r="G11" i="68"/>
  <c r="L12" i="68"/>
  <c r="V9" i="68"/>
  <c r="H9" i="68"/>
  <c r="D6" i="68"/>
  <c r="E10" i="68"/>
  <c r="G8" i="68"/>
  <c r="F7" i="68"/>
  <c r="D11" i="68"/>
  <c r="P8" i="68"/>
  <c r="O12" i="68"/>
  <c r="E5" i="68"/>
  <c r="U9" i="68"/>
  <c r="X4" i="68"/>
  <c r="M5" i="68"/>
  <c r="L10" i="68"/>
  <c r="W11" i="68"/>
  <c r="N11" i="68"/>
  <c r="G9" i="68"/>
  <c r="I6" i="68"/>
  <c r="F10" i="68"/>
  <c r="I8" i="68"/>
  <c r="H7" i="68"/>
  <c r="H11" i="68"/>
  <c r="M8" i="68"/>
  <c r="N7" i="68"/>
  <c r="T6" i="68"/>
  <c r="P5" i="68"/>
  <c r="M10" i="68"/>
  <c r="U11" i="68"/>
  <c r="O11" i="68"/>
  <c r="P3" i="68"/>
  <c r="U12" i="68"/>
  <c r="H8" i="68"/>
  <c r="I11" i="68"/>
  <c r="P7" i="68"/>
  <c r="W9" i="68"/>
  <c r="V6" i="68"/>
  <c r="O5" i="68"/>
  <c r="N10" i="68"/>
  <c r="V11" i="68"/>
  <c r="M6" i="68"/>
  <c r="P11" i="68"/>
  <c r="N9" i="68"/>
  <c r="U7" i="68"/>
  <c r="V12" i="68"/>
  <c r="X9" i="68"/>
  <c r="N6" i="68"/>
  <c r="Q11" i="68"/>
  <c r="W7" i="68"/>
  <c r="Q7" i="68"/>
  <c r="U6" i="68"/>
  <c r="H12" i="68"/>
  <c r="Q4" i="68"/>
  <c r="D8" i="68"/>
  <c r="Q12" i="68"/>
  <c r="Y9" i="68"/>
  <c r="N5" i="68"/>
  <c r="X11" i="68"/>
  <c r="L6" i="68"/>
  <c r="Q9" i="68"/>
  <c r="Y12" i="68"/>
  <c r="F6" i="68"/>
  <c r="F11" i="68"/>
  <c r="X7" i="68"/>
  <c r="F12" i="68"/>
  <c r="M4" i="68"/>
  <c r="E6" i="68"/>
  <c r="V10" i="68"/>
  <c r="Y5" i="68"/>
  <c r="M12" i="68"/>
  <c r="P9" i="68"/>
  <c r="Y7" i="68"/>
  <c r="X12" i="68"/>
  <c r="G14" i="26"/>
  <c r="E14" i="26"/>
  <c r="D14" i="26"/>
  <c r="K14" i="26"/>
  <c r="P14" i="25"/>
  <c r="N14" i="25"/>
  <c r="M14" i="25"/>
  <c r="T14" i="25"/>
  <c r="D14" i="25"/>
  <c r="I3" i="68" a="1"/>
  <c r="G3" i="68" a="1"/>
  <c r="V3" i="68" a="1"/>
  <c r="L9" i="68" a="1"/>
  <c r="N3" i="68" a="1"/>
  <c r="Y3" i="68" a="1"/>
  <c r="V7" i="68" a="1"/>
  <c r="T7" i="68" a="1"/>
  <c r="V4" i="68" a="1"/>
  <c r="L3" i="68" a="1"/>
  <c r="Q3" i="68" a="1"/>
  <c r="V8" i="68" a="1"/>
  <c r="X3" i="68" a="1"/>
  <c r="I4" i="23" a="1"/>
  <c r="T4" i="68" a="1"/>
  <c r="Y8" i="68" a="1"/>
  <c r="T3" i="68" a="1"/>
  <c r="H3" i="68" a="1"/>
  <c r="Y4" i="68" a="1"/>
  <c r="E3" i="68" a="1"/>
  <c r="O3" i="68" a="1"/>
  <c r="D3" i="68" a="1"/>
  <c r="X8" i="68" a="1"/>
  <c r="H4" i="23" a="1"/>
  <c r="U4" i="68" a="1"/>
  <c r="F3" i="68" a="1"/>
  <c r="M3" i="68" a="1"/>
  <c r="U3" i="68" a="1"/>
  <c r="T8" i="68" a="1"/>
  <c r="W8" i="68" a="1"/>
  <c r="C16" i="68" l="1"/>
  <c r="S16" i="68"/>
  <c r="K16" i="68"/>
  <c r="W15" i="58"/>
  <c r="R15" i="58"/>
  <c r="Q3" i="68"/>
  <c r="Q13" i="68" s="1"/>
  <c r="M3" i="68"/>
  <c r="M13" i="68" s="1"/>
  <c r="O3" i="68"/>
  <c r="O13" i="68" s="1"/>
  <c r="Z2" i="58"/>
  <c r="V15" i="58"/>
  <c r="O15" i="58"/>
  <c r="L3" i="68"/>
  <c r="N3" i="68"/>
  <c r="N13" i="68" s="1"/>
  <c r="Y15" i="58"/>
  <c r="U15" i="58"/>
  <c r="F3" i="68"/>
  <c r="F13" i="68" s="1"/>
  <c r="U3" i="68"/>
  <c r="X3" i="68"/>
  <c r="N15" i="58"/>
  <c r="M15" i="58"/>
  <c r="H2" i="58"/>
  <c r="Q15" i="58"/>
  <c r="P2" i="58"/>
  <c r="T3" i="68"/>
  <c r="P15" i="58"/>
  <c r="V3" i="68"/>
  <c r="R2" i="58"/>
  <c r="J2" i="58"/>
  <c r="E3" i="68"/>
  <c r="E13" i="68" s="1"/>
  <c r="G3" i="68"/>
  <c r="G13" i="68" s="1"/>
  <c r="Z15" i="58"/>
  <c r="I3" i="68"/>
  <c r="I13" i="68" s="1"/>
  <c r="H3" i="68"/>
  <c r="H13" i="68" s="1"/>
  <c r="D3" i="68"/>
  <c r="D13" i="68" s="1"/>
  <c r="L9" i="68"/>
  <c r="K13" i="68"/>
  <c r="R13" i="68" s="1"/>
  <c r="P13" i="68"/>
  <c r="W8" i="68"/>
  <c r="W13" i="68" s="1"/>
  <c r="V8" i="68"/>
  <c r="X8" i="68"/>
  <c r="Y8" i="68"/>
  <c r="T8" i="68"/>
  <c r="V7" i="68"/>
  <c r="T7" i="68"/>
  <c r="T4" i="68"/>
  <c r="V4" i="68"/>
  <c r="U4" i="68"/>
  <c r="Y4" i="68"/>
  <c r="S13" i="68"/>
  <c r="Z13" i="68" s="1"/>
  <c r="Y3" i="68"/>
  <c r="C13" i="68"/>
  <c r="H4" i="23"/>
  <c r="I4" i="23"/>
  <c r="D12" i="23" a="1"/>
  <c r="G6" i="23" a="1"/>
  <c r="E12" i="23" a="1"/>
  <c r="E10" i="23" a="1"/>
  <c r="D8" i="23" a="1"/>
  <c r="E13" i="23" a="1"/>
  <c r="F5" i="23" a="1"/>
  <c r="G12" i="23" a="1"/>
  <c r="F4" i="23" a="1"/>
  <c r="G13" i="23" a="1"/>
  <c r="D7" i="23" a="1"/>
  <c r="G7" i="23" a="1"/>
  <c r="G8" i="23" a="1"/>
  <c r="F12" i="23" a="1"/>
  <c r="E11" i="23" a="1"/>
  <c r="E8" i="23" a="1"/>
  <c r="D5" i="23" a="1"/>
  <c r="E9" i="23" a="1"/>
  <c r="F8" i="23" a="1"/>
  <c r="F13" i="23" a="1"/>
  <c r="G9" i="23" a="1"/>
  <c r="D6" i="23" a="1"/>
  <c r="E6" i="23" a="1"/>
  <c r="F6" i="23" a="1"/>
  <c r="F9" i="23" a="1"/>
  <c r="E5" i="23" a="1"/>
  <c r="G11" i="23" a="1"/>
  <c r="D9" i="23" a="1"/>
  <c r="D4" i="23" a="1"/>
  <c r="G5" i="23" a="1"/>
  <c r="G4" i="23" a="1"/>
  <c r="D11" i="23" a="1"/>
  <c r="F11" i="23" a="1"/>
  <c r="E4" i="23" a="1"/>
  <c r="D10" i="23" a="1"/>
  <c r="F7" i="23" a="1"/>
  <c r="E7" i="23" a="1"/>
  <c r="F10" i="23" a="1"/>
  <c r="G10" i="23" a="1"/>
  <c r="D13" i="23" a="1"/>
  <c r="L13" i="68" l="1"/>
  <c r="L14" i="68" s="1"/>
  <c r="U13" i="68"/>
  <c r="U14" i="68" s="1"/>
  <c r="X13" i="68"/>
  <c r="X14" i="68" s="1"/>
  <c r="O14" i="68"/>
  <c r="T13" i="68"/>
  <c r="T14" i="68" s="1"/>
  <c r="V13" i="68"/>
  <c r="V14" i="68" s="1"/>
  <c r="Y13" i="68"/>
  <c r="Y14" i="68" s="1"/>
  <c r="S14" i="68"/>
  <c r="K14" i="68"/>
  <c r="J13" i="68"/>
  <c r="M14" i="68"/>
  <c r="Q14" i="68"/>
  <c r="W14" i="68"/>
  <c r="P14" i="68"/>
  <c r="N14" i="6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<sst xmlns="http://schemas.openxmlformats.org/spreadsheetml/2006/main" count="677" uniqueCount="22">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</sst>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sheetPr codeName="Sheet1"/>
  <dimension ref="B2:Z16"/>
  <sheetViews>
    <sheetView topLeftCell="I1" zoomScale="85" zoomScaleNormal="85" workbookViewId="0">
      <selection activeCell="I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56</v>
      </c>
      <c r="C3" s="5" cm="1">
        <f t="array" aca="1" ref="C3" ca="1">INDIRECT("'results" &amp; $B3 &amp; "'!D$14")</f>
        <v>761892.85692822514</v>
      </c>
      <c r="D3" s="33" cm="1">
        <f t="array" aca="1" ref="D3" ca="1">INDIRECT("'results" &amp; $B3 &amp; "'!E$14")</f>
        <v>66.332592667000426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97</v>
      </c>
      <c r="G3" s="5" cm="1">
        <f t="array" aca="1" ref="G3" ca="1">INDIRECT("'results" &amp; $B3 &amp; "'!H$14")</f>
        <v>296.73028382661687</v>
      </c>
      <c r="H3" s="33" cm="1">
        <f t="array" aca="1" ref="H3" ca="1">INDIRECT("'results" &amp; $B3 &amp; "'!I$14")</f>
        <v>31.927907951770671</v>
      </c>
      <c r="I3" s="5" cm="1">
        <f t="array" aca="1" ref="I3" ca="1">INDIRECT("'results" &amp; $B3 &amp; "'!J$14")</f>
        <v>5370.2019891973014</v>
      </c>
      <c r="J3" s="5"/>
      <c r="K3" s="5" cm="1">
        <f t="array" aca="1" ref="K3" ca="1">INDIRECT("'results" &amp; $B3 &amp; "'!L$14")</f>
        <v>998765.9730163397</v>
      </c>
      <c r="L3" s="5" cm="1">
        <f t="array" aca="1" ref="L3" ca="1">INDIRECT("'results" &amp; $B3 &amp; "'!M$14")</f>
        <v>102.2660490829949</v>
      </c>
      <c r="M3" s="5" cm="1">
        <f t="array" aca="1" ref="M3" ca="1">INDIRECT("'results" &amp; $B3 &amp; "'!N$14")</f>
        <v>21</v>
      </c>
      <c r="N3" s="5" cm="1">
        <f t="array" aca="1" ref="N3" ca="1">INDIRECT("'results" &amp; $B3 &amp; "'!O$14")</f>
        <v>90</v>
      </c>
      <c r="O3" s="5" cm="1">
        <f t="array" aca="1" ref="O3" ca="1">INDIRECT("'results" &amp; $B3 &amp; "'!P$14")</f>
        <v>168.3146563953575</v>
      </c>
      <c r="P3" s="5" cm="1">
        <f t="array" aca="1" ref="P3" ca="1">INDIRECT("'results" &amp; $B3 &amp; "'!Q$14")</f>
        <v>14.254990104988435</v>
      </c>
      <c r="Q3" s="5" cm="1">
        <f t="array" aca="1" ref="Q3" ca="1">INDIRECT("'results" &amp; $B3 &amp; "'!R$14")</f>
        <v>4529.9005930382955</v>
      </c>
      <c r="R3" s="5"/>
      <c r="S3" s="5" cm="1">
        <f t="array" aca="1" ref="S3" ca="1">INDIRECT("'results" &amp; $B3 &amp; "'!T$14")</f>
        <v>993580.92712172552</v>
      </c>
      <c r="T3" s="5" cm="1">
        <f t="array" aca="1" ref="T3" ca="1">INDIRECT("'results" &amp; $B3 &amp; "'!U$14")</f>
        <v>167.74583975000129</v>
      </c>
      <c r="U3" s="5" cm="1">
        <f t="array" aca="1" ref="U3" ca="1">INDIRECT("'results" &amp; $B3 &amp; "'!V$14")</f>
        <v>12</v>
      </c>
      <c r="V3" s="5" cm="1">
        <f t="array" aca="1" ref="V3" ca="1">INDIRECT("'results" &amp; $B3 &amp; "'!W$14")</f>
        <v>88</v>
      </c>
      <c r="W3" s="5" cm="1">
        <f t="array" aca="1" ref="W3" ca="1">INDIRECT("'results" &amp; $B3 &amp; "'!X$14")</f>
        <v>843.12518154197573</v>
      </c>
      <c r="X3" s="5" cm="1">
        <f t="array" aca="1" ref="X3" ca="1">INDIRECT("'results" &amp; $B3 &amp; "'!Y$14")</f>
        <v>42.473874366635314</v>
      </c>
      <c r="Y3" s="5" cm="1">
        <f t="array" aca="1" ref="Y3" ca="1">INDIRECT("'results" &amp; $B3 &amp; "'!Z$14")</f>
        <v>6118.1009612593589</v>
      </c>
      <c r="Z3" s="5"/>
    </row>
    <row r="4" spans="2:26" x14ac:dyDescent="0.2">
      <c r="B4" s="4">
        <v>257</v>
      </c>
      <c r="C4" s="5" cm="1">
        <f t="array" aca="1" ref="C4" ca="1">INDIRECT("'results" &amp; $B4 &amp; "'!D$14")</f>
        <v>622350.45968600374</v>
      </c>
      <c r="D4" s="33" cm="1">
        <f t="array" aca="1" ref="D4" ca="1">INDIRECT("'results" &amp; $B4 &amp; "'!E$14")</f>
        <v>41.041970582999063</v>
      </c>
      <c r="E4" s="5" cm="1">
        <f t="array" aca="1" ref="E4" ca="1">INDIRECT("'results" &amp; $B4 &amp; "'!F$14")</f>
        <v>9</v>
      </c>
      <c r="F4" s="5" cm="1">
        <f t="array" aca="1" ref="F4" ca="1">INDIRECT("'results" &amp; $B4 &amp; "'!G$14")</f>
        <v>99</v>
      </c>
      <c r="G4" s="5" cm="1">
        <f t="array" aca="1" ref="G4" ca="1">INDIRECT("'results" &amp; $B4 &amp; "'!H$14")</f>
        <v>112.91682365673169</v>
      </c>
      <c r="H4" s="33" cm="1">
        <f t="array" aca="1" ref="H4" ca="1">INDIRECT("'results" &amp; $B4 &amp; "'!I$14")</f>
        <v>39.243260969660021</v>
      </c>
      <c r="I4" s="5" cm="1">
        <f t="array" aca="1" ref="I4" ca="1">INDIRECT("'results" &amp; $B4 &amp; "'!J$14")</f>
        <v>4727.462511579608</v>
      </c>
      <c r="J4" s="5"/>
      <c r="K4" s="5" cm="1">
        <f t="array" aca="1" ref="K4" ca="1">INDIRECT("'results" &amp; $B4 &amp; "'!L$14")</f>
        <v>946169.04245981365</v>
      </c>
      <c r="L4" s="5" cm="1">
        <f t="array" aca="1" ref="L4" ca="1">INDIRECT("'results" &amp; $B4 &amp; "'!M$14")</f>
        <v>136.17032891700359</v>
      </c>
      <c r="M4" s="5" cm="1">
        <f t="array" aca="1" ref="M4" ca="1">INDIRECT("'results" &amp; $B4 &amp; "'!N$14")</f>
        <v>24</v>
      </c>
      <c r="N4" s="5" cm="1">
        <f t="array" aca="1" ref="N4" ca="1">INDIRECT("'results" &amp; $B4 &amp; "'!O$14")</f>
        <v>91</v>
      </c>
      <c r="O4" s="5" cm="1">
        <f t="array" aca="1" ref="O4" ca="1">INDIRECT("'results" &amp; $B4 &amp; "'!P$14")</f>
        <v>66.283071496935591</v>
      </c>
      <c r="P4" s="5" cm="1">
        <f t="array" aca="1" ref="P4" ca="1">INDIRECT("'results" &amp; $B4 &amp; "'!Q$14")</f>
        <v>13.211178013172811</v>
      </c>
      <c r="Q4" s="5" cm="1">
        <f t="array" aca="1" ref="Q4" ca="1">INDIRECT("'results" &amp; $B4 &amp; "'!R$14")</f>
        <v>3716.3398384427751</v>
      </c>
      <c r="R4" s="5"/>
      <c r="S4" s="5" cm="1">
        <f t="array" aca="1" ref="S4" ca="1">INDIRECT("'results" &amp; $B4 &amp; "'!T$14")</f>
        <v>857335.80322448013</v>
      </c>
      <c r="T4" s="5" cm="1">
        <f t="array" aca="1" ref="T4" ca="1">INDIRECT("'results" &amp; $B4 &amp; "'!U$14")</f>
        <v>139.3929447080009</v>
      </c>
      <c r="U4" s="5" cm="1">
        <f t="array" aca="1" ref="U4" ca="1">INDIRECT("'results" &amp; $B4 &amp; "'!V$14")</f>
        <v>14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763.46098665045656</v>
      </c>
      <c r="X4" s="5" cm="1">
        <f t="array" aca="1" ref="X4" ca="1">INDIRECT("'results" &amp; $B4 &amp; "'!Y$14")</f>
        <v>46.934100046401227</v>
      </c>
      <c r="Y4" s="5" cm="1">
        <f t="array" aca="1" ref="Y4" ca="1">INDIRECT("'results" &amp; $B4 &amp; "'!Z$14")</f>
        <v>5851.8481461499096</v>
      </c>
      <c r="Z4" s="5"/>
    </row>
    <row r="5" spans="2:26" x14ac:dyDescent="0.2">
      <c r="B5" s="4">
        <v>403</v>
      </c>
      <c r="C5" s="5" cm="1">
        <f t="array" aca="1" ref="C5" ca="1">INDIRECT("'results" &amp; $B5 &amp; "'!D$14")</f>
        <v>685904.41344681231</v>
      </c>
      <c r="D5" s="33" cm="1">
        <f t="array" aca="1" ref="D5" ca="1">INDIRECT("'results" &amp; $B5 &amp; "'!E$14")</f>
        <v>87.515207790998829</v>
      </c>
      <c r="E5" s="5" cm="1">
        <f t="array" aca="1" ref="E5" ca="1">INDIRECT("'results" &amp; $B5 &amp; "'!F$14")</f>
        <v>7</v>
      </c>
      <c r="F5" s="5" cm="1">
        <f t="array" aca="1" ref="F5" ca="1">INDIRECT("'results" &amp; $B5 &amp; "'!G$14")</f>
        <v>95</v>
      </c>
      <c r="G5" s="5" cm="1">
        <f t="array" aca="1" ref="G5" ca="1">INDIRECT("'results" &amp; $B5 &amp; "'!H$14")</f>
        <v>331.69705750676218</v>
      </c>
      <c r="H5" s="33" cm="1">
        <f t="array" aca="1" ref="H5" ca="1">INDIRECT("'results" &amp; $B5 &amp; "'!I$14")</f>
        <v>57.968125512629953</v>
      </c>
      <c r="I5" s="5" cm="1">
        <f t="array" aca="1" ref="I5" ca="1">INDIRECT("'results" &amp; $B5 &amp; "'!J$14")</f>
        <v>5170.1892423220343</v>
      </c>
      <c r="J5" s="5"/>
      <c r="K5" s="5" cm="1">
        <f t="array" aca="1" ref="K5" ca="1">INDIRECT("'results" &amp; $B5 &amp; "'!L$14")</f>
        <v>931961.77111614565</v>
      </c>
      <c r="L5" s="5" cm="1">
        <f t="array" aca="1" ref="L5" ca="1">INDIRECT("'results" &amp; $B5 &amp; "'!M$14")</f>
        <v>92.568362333004188</v>
      </c>
      <c r="M5" s="5" cm="1">
        <f t="array" aca="1" ref="M5" ca="1">INDIRECT("'results" &amp; $B5 &amp; "'!N$14")</f>
        <v>22</v>
      </c>
      <c r="N5" s="5" cm="1">
        <f t="array" aca="1" ref="N5" ca="1">INDIRECT("'results" &amp; $B5 &amp; "'!O$14")</f>
        <v>90</v>
      </c>
      <c r="O5" s="5" cm="1">
        <f t="array" aca="1" ref="O5" ca="1">INDIRECT("'results" &amp; $B5 &amp; "'!P$14")</f>
        <v>78.046002941579772</v>
      </c>
      <c r="P5" s="5" cm="1">
        <f t="array" aca="1" ref="P5" ca="1">INDIRECT("'results" &amp; $B5 &amp; "'!Q$14")</f>
        <v>17.202880099689466</v>
      </c>
      <c r="Q5" s="5" cm="1">
        <f t="array" aca="1" ref="Q5" ca="1">INDIRECT("'results" &amp; $B5 &amp; "'!R$14")</f>
        <v>3979.8656526245218</v>
      </c>
      <c r="R5" s="5"/>
      <c r="S5" s="5" cm="1">
        <f t="array" aca="1" ref="S5" ca="1">INDIRECT("'results" &amp; $B5 &amp; "'!T$14")</f>
        <v>850650.36955594504</v>
      </c>
      <c r="T5" s="5" cm="1">
        <f t="array" aca="1" ref="T5" ca="1">INDIRECT("'results" &amp; $B5 &amp; "'!U$14")</f>
        <v>155.94839283300101</v>
      </c>
      <c r="U5" s="5" cm="1">
        <f t="array" aca="1" ref="U5" ca="1">INDIRECT("'results" &amp; $B5 &amp; "'!V$14")</f>
        <v>14</v>
      </c>
      <c r="V5" s="5" cm="1">
        <f t="array" aca="1" ref="V5" ca="1">INDIRECT("'results" &amp; $B5 &amp; "'!W$14")</f>
        <v>95</v>
      </c>
      <c r="W5" s="5" cm="1">
        <f t="array" aca="1" ref="W5" ca="1">INDIRECT("'results" &amp; $B5 &amp; "'!X$14")</f>
        <v>839.13980684684714</v>
      </c>
      <c r="X5" s="5" cm="1">
        <f t="array" aca="1" ref="X5" ca="1">INDIRECT("'results" &amp; $B5 &amp; "'!Y$14")</f>
        <v>56.784624318446348</v>
      </c>
      <c r="Y5" s="5" cm="1">
        <f t="array" aca="1" ref="Y5" ca="1">INDIRECT("'results" &amp; $B5 &amp; "'!Z$14")</f>
        <v>5856.8123638636689</v>
      </c>
      <c r="Z5" s="5"/>
    </row>
    <row r="6" spans="2:26" x14ac:dyDescent="0.2">
      <c r="B6" s="4">
        <v>580</v>
      </c>
      <c r="C6" s="5" cm="1">
        <f t="array" aca="1" ref="C6" ca="1">INDIRECT("'results" &amp; $B6 &amp; "'!D$14")</f>
        <v>907298.53147202474</v>
      </c>
      <c r="D6" s="33" cm="1">
        <f t="array" aca="1" ref="D6" ca="1">INDIRECT("'results" &amp; $B6 &amp; "'!E$14")</f>
        <v>115.167511959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92</v>
      </c>
      <c r="G6" s="5" cm="1">
        <f t="array" aca="1" ref="G6" ca="1">INDIRECT("'results" &amp; $B6 &amp; "'!H$14")</f>
        <v>607.00375193376715</v>
      </c>
      <c r="H6" s="33" cm="1">
        <f t="array" aca="1" ref="H6" ca="1">INDIRECT("'results" &amp; $B6 &amp; "'!I$14")</f>
        <v>36.472450919501064</v>
      </c>
      <c r="I6" s="5" cm="1">
        <f t="array" aca="1" ref="I6" ca="1">INDIRECT("'results" &amp; $B6 &amp; "'!J$14")</f>
        <v>6020.2521679365173</v>
      </c>
      <c r="J6" s="5"/>
      <c r="K6" s="5" cm="1">
        <f t="array" aca="1" ref="K6" ca="1">INDIRECT("'results" &amp; $B6 &amp; "'!L$14")</f>
        <v>1091784.6990928629</v>
      </c>
      <c r="L6" s="5" cm="1">
        <f t="array" aca="1" ref="L6" ca="1">INDIRECT("'results" &amp; $B6 &amp; "'!M$14")</f>
        <v>131.21839629200261</v>
      </c>
      <c r="M6" s="5" cm="1">
        <f t="array" aca="1" ref="M6" ca="1">INDIRECT("'results" &amp; $B6 &amp; "'!N$14")</f>
        <v>22</v>
      </c>
      <c r="N6" s="5" cm="1">
        <f t="array" aca="1" ref="N6" ca="1">INDIRECT("'results" &amp; $B6 &amp; "'!O$14")</f>
        <v>89</v>
      </c>
      <c r="O6" s="5" cm="1">
        <f t="array" aca="1" ref="O6" ca="1">INDIRECT("'results" &amp; $B6 &amp; "'!P$14")</f>
        <v>464.92127295020714</v>
      </c>
      <c r="P6" s="5" cm="1">
        <f t="array" aca="1" ref="P6" ca="1">INDIRECT("'results" &amp; $B6 &amp; "'!Q$14")</f>
        <v>15.883631874601246</v>
      </c>
      <c r="Q6" s="5" cm="1">
        <f t="array" aca="1" ref="Q6" ca="1">INDIRECT("'results" &amp; $B6 &amp; "'!R$14")</f>
        <v>5023.5750538547682</v>
      </c>
      <c r="R6" s="5"/>
      <c r="S6" s="5" cm="1">
        <f t="array" aca="1" ref="S6" ca="1">INDIRECT("'results" &amp; $B6 &amp; "'!T$14")</f>
        <v>1172376.5533156891</v>
      </c>
      <c r="T6" s="5" cm="1">
        <f t="array" aca="1" ref="T6" ca="1">INDIRECT("'results" &amp; $B6 &amp; "'!U$14")</f>
        <v>86.266091875004349</v>
      </c>
      <c r="U6" s="5" cm="1">
        <f t="array" aca="1" ref="U6" ca="1">INDIRECT("'results" &amp; $B6 &amp; "'!V$14")</f>
        <v>11</v>
      </c>
      <c r="V6" s="5" cm="1">
        <f t="array" aca="1" ref="V6" ca="1">INDIRECT("'results" &amp; $B6 &amp; "'!W$14")</f>
        <v>78</v>
      </c>
      <c r="W6" s="5" cm="1">
        <f t="array" aca="1" ref="W6" ca="1">INDIRECT("'results" &amp; $B6 &amp; "'!X$14")</f>
        <v>1027.9491501438206</v>
      </c>
      <c r="X6" s="5" cm="1">
        <f t="array" aca="1" ref="X6" ca="1">INDIRECT("'results" &amp; $B6 &amp; "'!Y$14")</f>
        <v>41.165217872372367</v>
      </c>
      <c r="Y6" s="5" cm="1">
        <f t="array" aca="1" ref="Y6" ca="1">INDIRECT("'results" &amp; $B6 &amp; "'!Z$14")</f>
        <v>6665.612730469933</v>
      </c>
      <c r="Z6" s="5"/>
    </row>
    <row r="7" spans="2:26" x14ac:dyDescent="0.2">
      <c r="B7" s="4">
        <v>583</v>
      </c>
      <c r="C7" s="5" cm="1">
        <f t="array" aca="1" ref="C7" ca="1">INDIRECT("'results" &amp; $B7 &amp; "'!D$14")</f>
        <v>703399.57591088454</v>
      </c>
      <c r="D7" s="33" cm="1">
        <f t="array" aca="1" ref="D7" ca="1">INDIRECT("'results" &amp; $B7 &amp; "'!E$14")</f>
        <v>75.146707292002247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97</v>
      </c>
      <c r="G7" s="5" cm="1">
        <f t="array" aca="1" ref="G7" ca="1">INDIRECT("'results" &amp; $B7 &amp; "'!H$14")</f>
        <v>131.35419728776432</v>
      </c>
      <c r="H7" s="33" cm="1">
        <f t="array" aca="1" ref="H7" ca="1">INDIRECT("'results" &amp; $B7 &amp; "'!I$14")</f>
        <v>38.418811092134767</v>
      </c>
      <c r="I7" s="5" cm="1">
        <f t="array" aca="1" ref="I7" ca="1">INDIRECT("'results" &amp; $B7 &amp; "'!J$14")</f>
        <v>4923.5038616352249</v>
      </c>
      <c r="J7" s="5"/>
      <c r="K7" s="5" cm="1">
        <f t="array" aca="1" ref="K7" ca="1">INDIRECT("'results" &amp; $B7 &amp; "'!L$14")</f>
        <v>931425.0140467434</v>
      </c>
      <c r="L7" s="5" cm="1">
        <f t="array" aca="1" ref="L7" ca="1">INDIRECT("'results" &amp; $B7 &amp; "'!M$14")</f>
        <v>140.5702957500034</v>
      </c>
      <c r="M7" s="5" cm="1">
        <f t="array" aca="1" ref="M7" ca="1">INDIRECT("'results" &amp; $B7 &amp; "'!N$14")</f>
        <v>17</v>
      </c>
      <c r="N7" s="5" cm="1">
        <f t="array" aca="1" ref="N7" ca="1">INDIRECT("'results" &amp; $B7 &amp; "'!O$14")</f>
        <v>89</v>
      </c>
      <c r="O7" s="5" cm="1">
        <f t="array" aca="1" ref="O7" ca="1">INDIRECT("'results" &amp; $B7 &amp; "'!P$14")</f>
        <v>208.05626531600154</v>
      </c>
      <c r="P7" s="5" cm="1">
        <f t="array" aca="1" ref="P7" ca="1">INDIRECT("'results" &amp; $B7 &amp; "'!Q$14")</f>
        <v>20.105000597254644</v>
      </c>
      <c r="Q7" s="5" cm="1">
        <f t="array" aca="1" ref="Q7" ca="1">INDIRECT("'results" &amp; $B7 &amp; "'!R$14")</f>
        <v>4566.6142792906112</v>
      </c>
      <c r="R7" s="5"/>
      <c r="S7" s="5" cm="1">
        <f t="array" aca="1" ref="S7" ca="1">INDIRECT("'results" &amp; $B7 &amp; "'!T$14")</f>
        <v>955184.39538859844</v>
      </c>
      <c r="T7" s="5" cm="1">
        <f t="array" aca="1" ref="T7" ca="1">INDIRECT("'results" &amp; $B7 &amp; "'!U$14")</f>
        <v>91.046870917001797</v>
      </c>
      <c r="U7" s="5" cm="1">
        <f t="array" aca="1" ref="U7" ca="1">INDIRECT("'results" &amp; $B7 &amp; "'!V$14")</f>
        <v>11</v>
      </c>
      <c r="V7" s="5" cm="1">
        <f t="array" aca="1" ref="V7" ca="1">INDIRECT("'results" &amp; $B7 &amp; "'!W$14")</f>
        <v>87</v>
      </c>
      <c r="W7" s="5" cm="1">
        <f t="array" aca="1" ref="W7" ca="1">INDIRECT("'results" &amp; $B7 &amp; "'!X$14")</f>
        <v>489.64455885298048</v>
      </c>
      <c r="X7" s="5" cm="1">
        <f t="array" aca="1" ref="X7" ca="1">INDIRECT("'results" &amp; $B7 &amp; "'!Y$14")</f>
        <v>51.503428980004017</v>
      </c>
      <c r="Y7" s="5" cm="1">
        <f t="array" aca="1" ref="Y7" ca="1">INDIRECT("'results" &amp; $B7 &amp; "'!Z$14")</f>
        <v>5987.6410183627231</v>
      </c>
      <c r="Z7" s="5"/>
    </row>
    <row r="8" spans="2:26" x14ac:dyDescent="0.2">
      <c r="B8" s="4">
        <v>597</v>
      </c>
      <c r="C8" s="5" cm="1">
        <f t="array" aca="1" ref="C8" ca="1">INDIRECT("'results" &amp; $B8 &amp; "'!D$14")</f>
        <v>723564.74001942563</v>
      </c>
      <c r="D8" s="33" cm="1">
        <f t="array" aca="1" ref="D8" ca="1">INDIRECT("'results" &amp; $B8 &amp; "'!E$14")</f>
        <v>74.571030374998372</v>
      </c>
      <c r="E8" s="5" cm="1">
        <f t="array" aca="1" ref="E8" ca="1">INDIRECT("'results" &amp; $B8 &amp; "'!F$14")</f>
        <v>9</v>
      </c>
      <c r="F8" s="5" cm="1">
        <f t="array" aca="1" ref="F8" ca="1">INDIRECT("'results" &amp; $B8 &amp; "'!G$14")</f>
        <v>97</v>
      </c>
      <c r="G8" s="5" cm="1">
        <f t="array" aca="1" ref="G8" ca="1">INDIRECT("'results" &amp; $B8 &amp; "'!H$14")</f>
        <v>235.92308639520451</v>
      </c>
      <c r="H8" s="33" cm="1">
        <f t="array" aca="1" ref="H8" ca="1">INDIRECT("'results" &amp; $B8 &amp; "'!I$14")</f>
        <v>40.254717166949341</v>
      </c>
      <c r="I8" s="5" cm="1">
        <f t="array" aca="1" ref="I8" ca="1">INDIRECT("'results" &amp; $B8 &amp; "'!J$14")</f>
        <v>5244.0994302932459</v>
      </c>
      <c r="J8" s="5"/>
      <c r="K8" s="5" cm="1">
        <f t="array" aca="1" ref="K8" ca="1">INDIRECT("'results" &amp; $B8 &amp; "'!L$14")</f>
        <v>925232.23612361122</v>
      </c>
      <c r="L8" s="5" cm="1">
        <f t="array" aca="1" ref="L8" ca="1">INDIRECT("'results" &amp; $B8 &amp; "'!M$14")</f>
        <v>177.9330377919978</v>
      </c>
      <c r="M8" s="5" cm="1">
        <f t="array" aca="1" ref="M8" ca="1">INDIRECT("'results" &amp; $B8 &amp; "'!N$14")</f>
        <v>22</v>
      </c>
      <c r="N8" s="5" cm="1">
        <f t="array" aca="1" ref="N8" ca="1">INDIRECT("'results" &amp; $B8 &amp; "'!O$14")</f>
        <v>94</v>
      </c>
      <c r="O8" s="5" cm="1">
        <f t="array" aca="1" ref="O8" ca="1">INDIRECT("'results" &amp; $B8 &amp; "'!P$14")</f>
        <v>81.955911651738575</v>
      </c>
      <c r="P8" s="5" cm="1">
        <f t="array" aca="1" ref="P8" ca="1">INDIRECT("'results" &amp; $B8 &amp; "'!Q$14")</f>
        <v>15.804787746777068</v>
      </c>
      <c r="Q8" s="5" cm="1">
        <f t="array" aca="1" ref="Q8" ca="1">INDIRECT("'results" &amp; $B8 &amp; "'!R$14")</f>
        <v>4330.2669986957953</v>
      </c>
      <c r="R8" s="5"/>
      <c r="S8" s="5" cm="1">
        <f t="array" aca="1" ref="S8" ca="1">INDIRECT("'results" &amp; $B8 &amp; "'!T$14")</f>
        <v>938876.68285306485</v>
      </c>
      <c r="T8" s="5" cm="1">
        <f t="array" aca="1" ref="T8" ca="1">INDIRECT("'results" &amp; $B8 &amp; "'!U$14")</f>
        <v>133.1191388750012</v>
      </c>
      <c r="U8" s="5" cm="1">
        <f t="array" aca="1" ref="U8" ca="1">INDIRECT("'results" &amp; $B8 &amp; "'!V$14")</f>
        <v>14</v>
      </c>
      <c r="V8" s="5" cm="1">
        <f t="array" aca="1" ref="V8" ca="1">INDIRECT("'results" &amp; $B8 &amp; "'!W$14")</f>
        <v>95</v>
      </c>
      <c r="W8" s="5" cm="1">
        <f t="array" aca="1" ref="W8" ca="1">INDIRECT("'results" &amp; $B8 &amp; "'!X$14")</f>
        <v>1008.7200966277187</v>
      </c>
      <c r="X8" s="5" cm="1">
        <f t="array" aca="1" ref="X8" ca="1">INDIRECT("'results" &amp; $B8 &amp; "'!Y$14")</f>
        <v>49.937766130311658</v>
      </c>
      <c r="Y8" s="5" cm="1">
        <f t="array" aca="1" ref="Y8" ca="1">INDIRECT("'results" &amp; $B8 &amp; "'!Z$14")</f>
        <v>6278.7574003275531</v>
      </c>
      <c r="Z8" s="5"/>
    </row>
    <row r="9" spans="2:26" x14ac:dyDescent="0.2">
      <c r="B9" s="4">
        <v>663</v>
      </c>
      <c r="C9" s="5" cm="1">
        <f t="array" aca="1" ref="C9" ca="1">INDIRECT("'results" &amp; $B9 &amp; "'!D$14")</f>
        <v>718522.99364858342</v>
      </c>
      <c r="D9" s="33" cm="1">
        <f t="array" aca="1" ref="D9" ca="1">INDIRECT("'results" &amp; $B9 &amp; "'!E$14")</f>
        <v>120.61445395799819</v>
      </c>
      <c r="E9" s="5" cm="1">
        <f t="array" aca="1" ref="E9" ca="1">INDIRECT("'results" &amp; $B9 &amp; "'!F$14")</f>
        <v>8</v>
      </c>
      <c r="F9" s="5" cm="1">
        <f t="array" aca="1" ref="F9" ca="1">INDIRECT("'results" &amp; $B9 &amp; "'!G$14")</f>
        <v>95</v>
      </c>
      <c r="G9" s="5" cm="1">
        <f t="array" aca="1" ref="G9" ca="1">INDIRECT("'results" &amp; $B9 &amp; "'!H$14")</f>
        <v>158.26629992439581</v>
      </c>
      <c r="H9" s="33" cm="1">
        <f t="array" aca="1" ref="H9" ca="1">INDIRECT("'results" &amp; $B9 &amp; "'!I$14")</f>
        <v>46.002282078169529</v>
      </c>
      <c r="I9" s="5" cm="1">
        <f t="array" aca="1" ref="I9" ca="1">INDIRECT("'results" &amp; $B9 &amp; "'!J$14")</f>
        <v>5257.5646564869121</v>
      </c>
      <c r="J9" s="5"/>
      <c r="K9" s="5" cm="1">
        <f t="array" aca="1" ref="K9" ca="1">INDIRECT("'results" &amp; $B9 &amp; "'!L$14")</f>
        <v>906017.0407174587</v>
      </c>
      <c r="L9" s="5" cm="1">
        <f t="array" aca="1" ref="L9" ca="1">INDIRECT("'results" &amp; $B9 &amp; "'!M$14")</f>
        <v>278.53904116700141</v>
      </c>
      <c r="M9" s="5" cm="1">
        <f t="array" aca="1" ref="M9" ca="1">INDIRECT("'results" &amp; $B9 &amp; "'!N$14")</f>
        <v>18</v>
      </c>
      <c r="N9" s="5" cm="1">
        <f t="array" aca="1" ref="N9" ca="1">INDIRECT("'results" &amp; $B9 &amp; "'!O$14")</f>
        <v>91</v>
      </c>
      <c r="O9" s="5" cm="1">
        <f t="array" aca="1" ref="O9" ca="1">INDIRECT("'results" &amp; $B9 &amp; "'!P$14")</f>
        <v>150.4719275052334</v>
      </c>
      <c r="P9" s="5" cm="1">
        <f t="array" aca="1" ref="P9" ca="1">INDIRECT("'results" &amp; $B9 &amp; "'!Q$14")</f>
        <v>18.570905615901683</v>
      </c>
      <c r="Q9" s="5" cm="1">
        <f t="array" aca="1" ref="Q9" ca="1">INDIRECT("'results" &amp; $B9 &amp; "'!R$14")</f>
        <v>4435.4855797657801</v>
      </c>
      <c r="R9" s="5"/>
      <c r="S9" s="5" cm="1">
        <f t="array" aca="1" ref="S9" ca="1">INDIRECT("'results" &amp; $B9 &amp; "'!T$14")</f>
        <v>880454.63862853858</v>
      </c>
      <c r="T9" s="5" cm="1">
        <f t="array" aca="1" ref="T9" ca="1">INDIRECT("'results" &amp; $B9 &amp; "'!U$14")</f>
        <v>76.512114042001485</v>
      </c>
      <c r="U9" s="5" cm="1">
        <f t="array" aca="1" ref="U9" ca="1">INDIRECT("'results" &amp; $B9 &amp; "'!V$14")</f>
        <v>11</v>
      </c>
      <c r="V9" s="5" cm="1">
        <f t="array" aca="1" ref="V9" ca="1">INDIRECT("'results" &amp; $B9 &amp; "'!W$14")</f>
        <v>93</v>
      </c>
      <c r="W9" s="5" cm="1">
        <f t="array" aca="1" ref="W9" ca="1">INDIRECT("'results" &amp; $B9 &amp; "'!X$14")</f>
        <v>640.68375439264776</v>
      </c>
      <c r="X9" s="5" cm="1">
        <f t="array" aca="1" ref="X9" ca="1">INDIRECT("'results" &amp; $B9 &amp; "'!Y$14")</f>
        <v>53.294976127211584</v>
      </c>
      <c r="Y9" s="5" cm="1">
        <f t="array" aca="1" ref="Y9" ca="1">INDIRECT("'results" &amp; $B9 &amp; "'!Z$14")</f>
        <v>6092.3070341058801</v>
      </c>
      <c r="Z9" s="5"/>
    </row>
    <row r="10" spans="2:26" x14ac:dyDescent="0.2">
      <c r="B10" s="4">
        <v>795</v>
      </c>
      <c r="C10" s="5" cm="1">
        <f t="array" aca="1" ref="C10" ca="1">INDIRECT("'results" &amp; $B10 &amp; "'!D$14")</f>
        <v>580966.36588580755</v>
      </c>
      <c r="D10" s="33" cm="1">
        <f t="array" aca="1" ref="D10" ca="1">INDIRECT("'results" &amp; $B10 &amp; "'!E$14")</f>
        <v>45.005289790999093</v>
      </c>
      <c r="E10" s="5" cm="1">
        <f t="array" aca="1" ref="E10" ca="1">INDIRECT("'results" &amp; $B10 &amp; "'!F$14")</f>
        <v>7</v>
      </c>
      <c r="F10" s="5" cm="1">
        <f t="array" aca="1" ref="F10" ca="1">INDIRECT("'results" &amp; $B10 &amp; "'!G$14")</f>
        <v>100</v>
      </c>
      <c r="G10" s="5" cm="1">
        <f t="array" aca="1" ref="G10" ca="1">INDIRECT("'results" &amp; $B10 &amp; "'!H$14")</f>
        <v>144.41836533719194</v>
      </c>
      <c r="H10" s="33" cm="1">
        <f t="array" aca="1" ref="H10" ca="1">INDIRECT("'results" &amp; $B10 &amp; "'!I$14")</f>
        <v>52.783057686588549</v>
      </c>
      <c r="I10" s="5" cm="1">
        <f t="array" aca="1" ref="I10" ca="1">INDIRECT("'results" &amp; $B10 &amp; "'!J$14")</f>
        <v>4899.1075461347473</v>
      </c>
      <c r="J10" s="5"/>
      <c r="K10" s="5" cm="1">
        <f t="array" aca="1" ref="K10" ca="1">INDIRECT("'results" &amp; $B10 &amp; "'!L$14")</f>
        <v>847717.06703932723</v>
      </c>
      <c r="L10" s="5" cm="1">
        <f t="array" aca="1" ref="L10" ca="1">INDIRECT("'results" &amp; $B10 &amp; "'!M$14")</f>
        <v>150.60302787500399</v>
      </c>
      <c r="M10" s="5" cm="1">
        <f t="array" aca="1" ref="M10" ca="1">INDIRECT("'results" &amp; $B10 &amp; "'!N$14")</f>
        <v>20</v>
      </c>
      <c r="N10" s="5" cm="1">
        <f t="array" aca="1" ref="N10" ca="1">INDIRECT("'results" &amp; $B10 &amp; "'!O$14")</f>
        <v>94</v>
      </c>
      <c r="O10" s="5" cm="1">
        <f t="array" aca="1" ref="O10" ca="1">INDIRECT("'results" &amp; $B10 &amp; "'!P$14")</f>
        <v>127.62118120273794</v>
      </c>
      <c r="P10" s="5" cm="1">
        <f t="array" aca="1" ref="P10" ca="1">INDIRECT("'results" &amp; $B10 &amp; "'!Q$14")</f>
        <v>16.858923333315911</v>
      </c>
      <c r="Q10" s="5" cm="1">
        <f t="array" aca="1" ref="Q10" ca="1">INDIRECT("'results" &amp; $B10 &amp; "'!R$14")</f>
        <v>4017.3062266205984</v>
      </c>
      <c r="R10" s="5"/>
      <c r="S10" s="5" cm="1">
        <f t="array" aca="1" ref="S10" ca="1">INDIRECT("'results" &amp; $B10 &amp; "'!T$14")</f>
        <v>736152.89000500028</v>
      </c>
      <c r="T10" s="5" cm="1">
        <f t="array" aca="1" ref="T10" ca="1">INDIRECT("'results" &amp; $B10 &amp; "'!U$14")</f>
        <v>70.835548082999594</v>
      </c>
      <c r="U10" s="5" cm="1">
        <f t="array" aca="1" ref="U10" ca="1">INDIRECT("'results" &amp; $B10 &amp; "'!V$14")</f>
        <v>12</v>
      </c>
      <c r="V10" s="5" cm="1">
        <f t="array" aca="1" ref="V10" ca="1">INDIRECT("'results" &amp; $B10 &amp; "'!W$14")</f>
        <v>99</v>
      </c>
      <c r="W10" s="5" cm="1">
        <f t="array" aca="1" ref="W10" ca="1">INDIRECT("'results" &amp; $B10 &amp; "'!X$14")</f>
        <v>470.8622737638741</v>
      </c>
      <c r="X10" s="5" cm="1">
        <f t="array" aca="1" ref="X10" ca="1">INDIRECT("'results" &amp; $B10 &amp; "'!Y$14")</f>
        <v>55.537372046650894</v>
      </c>
      <c r="Y10" s="5" cm="1">
        <f t="array" aca="1" ref="Y10" ca="1">INDIRECT("'results" &amp; $B10 &amp; "'!Z$14")</f>
        <v>5641.6447333971864</v>
      </c>
      <c r="Z10" s="5"/>
    </row>
    <row r="11" spans="2:26" x14ac:dyDescent="0.2">
      <c r="B11" s="4">
        <v>918</v>
      </c>
      <c r="C11" s="5" cm="1">
        <f t="array" aca="1" ref="C11" ca="1">INDIRECT("'results" &amp; $B11 &amp; "'!D$14")</f>
        <v>794213.78456369648</v>
      </c>
      <c r="D11" s="33" cm="1">
        <f t="array" aca="1" ref="D11" ca="1">INDIRECT("'results" &amp; $B11 &amp; "'!E$14")</f>
        <v>67.806890208998084</v>
      </c>
      <c r="E11" s="5" cm="1">
        <f t="array" aca="1" ref="E11" ca="1">INDIRECT("'results" &amp; $B11 &amp; "'!F$14")</f>
        <v>11</v>
      </c>
      <c r="F11" s="5" cm="1">
        <f t="array" aca="1" ref="F11" ca="1">INDIRECT("'results" &amp; $B11 &amp; "'!G$14")</f>
        <v>99</v>
      </c>
      <c r="G11" s="5" cm="1">
        <f t="array" aca="1" ref="G11" ca="1">INDIRECT("'results" &amp; $B11 &amp; "'!H$14")</f>
        <v>534.25411844973303</v>
      </c>
      <c r="H11" s="33" cm="1">
        <f t="array" aca="1" ref="H11" ca="1">INDIRECT("'results" &amp; $B11 &amp; "'!I$14")</f>
        <v>32.872262176170018</v>
      </c>
      <c r="I11" s="5" cm="1">
        <f t="array" aca="1" ref="I11" ca="1">INDIRECT("'results" &amp; $B11 &amp; "'!J$14")</f>
        <v>5744.804996718789</v>
      </c>
      <c r="J11" s="5"/>
      <c r="K11" s="5" cm="1">
        <f t="array" aca="1" ref="K11" ca="1">INDIRECT("'results" &amp; $B11 &amp; "'!L$14")</f>
        <v>994911.3877968078</v>
      </c>
      <c r="L11" s="5" cm="1">
        <f t="array" aca="1" ref="L11" ca="1">INDIRECT("'results" &amp; $B11 &amp; "'!M$14")</f>
        <v>208.11396400000379</v>
      </c>
      <c r="M11" s="5" cm="1">
        <f t="array" aca="1" ref="M11" ca="1">INDIRECT("'results" &amp; $B11 &amp; "'!N$14")</f>
        <v>19</v>
      </c>
      <c r="N11" s="5" cm="1">
        <f t="array" aca="1" ref="N11" ca="1">INDIRECT("'results" &amp; $B11 &amp; "'!O$14")</f>
        <v>91</v>
      </c>
      <c r="O11" s="5" cm="1">
        <f t="array" aca="1" ref="O11" ca="1">INDIRECT("'results" &amp; $B11 &amp; "'!P$14")</f>
        <v>388.73501884020021</v>
      </c>
      <c r="P11" s="5" cm="1">
        <f t="array" aca="1" ref="P11" ca="1">INDIRECT("'results" &amp; $B11 &amp; "'!Q$14")</f>
        <v>16.900354525054176</v>
      </c>
      <c r="Q11" s="5" cm="1">
        <f t="array" aca="1" ref="Q11" ca="1">INDIRECT("'results" &amp; $B11 &amp; "'!R$14")</f>
        <v>5124.5594784114173</v>
      </c>
      <c r="R11" s="5"/>
      <c r="S11" s="5" cm="1">
        <f t="array" aca="1" ref="S11" ca="1">INDIRECT("'results" &amp; $B11 &amp; "'!T$14")</f>
        <v>1109215.1505173361</v>
      </c>
      <c r="T11" s="5" cm="1">
        <f t="array" aca="1" ref="T11" ca="1">INDIRECT("'results" &amp; $B11 &amp; "'!U$14")</f>
        <v>41.168491374999583</v>
      </c>
      <c r="U11" s="5" cm="1">
        <f t="array" aca="1" ref="U11" ca="1">INDIRECT("'results" &amp; $B11 &amp; "'!V$14")</f>
        <v>13</v>
      </c>
      <c r="V11" s="5" cm="1">
        <f t="array" aca="1" ref="V11" ca="1">INDIRECT("'results" &amp; $B11 &amp; "'!W$14")</f>
        <v>83</v>
      </c>
      <c r="W11" s="5" cm="1">
        <f t="array" aca="1" ref="W11" ca="1">INDIRECT("'results" &amp; $B11 &amp; "'!X$14")</f>
        <v>984.90670026006239</v>
      </c>
      <c r="X11" s="5" cm="1">
        <f t="array" aca="1" ref="X11" ca="1">INDIRECT("'results" &amp; $B11 &amp; "'!Y$14")</f>
        <v>40.744457090939179</v>
      </c>
      <c r="Y11" s="5" cm="1">
        <f t="array" aca="1" ref="Y11" ca="1">INDIRECT("'results" &amp; $B11 &amp; "'!Z$14")</f>
        <v>6515.5391966660409</v>
      </c>
      <c r="Z11" s="5"/>
    </row>
    <row r="12" spans="2:26" x14ac:dyDescent="0.2">
      <c r="B12" s="4">
        <v>944</v>
      </c>
      <c r="C12" s="5" cm="1">
        <f t="array" aca="1" ref="C12" ca="1">INDIRECT("'results" &amp; $B12 &amp; "'!D$14")</f>
        <v>733522.50334750628</v>
      </c>
      <c r="D12" s="33" cm="1">
        <f t="array" aca="1" ref="D12" ca="1">INDIRECT("'results" &amp; $B12 &amp; "'!E$14")</f>
        <v>54.059686917000363</v>
      </c>
      <c r="E12" s="5" cm="1">
        <f t="array" aca="1" ref="E12" ca="1">INDIRECT("'results" &amp; $B12 &amp; "'!F$14")</f>
        <v>9</v>
      </c>
      <c r="F12" s="5" cm="1">
        <f t="array" aca="1" ref="F12" ca="1">INDIRECT("'results" &amp; $B12 &amp; "'!G$14")</f>
        <v>92</v>
      </c>
      <c r="G12" s="5" cm="1">
        <f t="array" aca="1" ref="G12" ca="1">INDIRECT("'results" &amp; $B12 &amp; "'!H$14")</f>
        <v>91.65393855461582</v>
      </c>
      <c r="H12" s="33" cm="1">
        <f t="array" aca="1" ref="H12" ca="1">INDIRECT("'results" &amp; $B12 &amp; "'!I$14")</f>
        <v>48.182440478701615</v>
      </c>
      <c r="I12" s="5" cm="1">
        <f t="array" aca="1" ref="I12" ca="1">INDIRECT("'results" &amp; $B12 &amp; "'!J$14")</f>
        <v>4840.2120803120397</v>
      </c>
      <c r="J12" s="5"/>
      <c r="K12" s="5" cm="1">
        <f t="array" aca="1" ref="K12" ca="1">INDIRECT("'results" &amp; $B12 &amp; "'!L$14")</f>
        <v>1012545.371678256</v>
      </c>
      <c r="L12" s="5" cm="1">
        <f t="array" aca="1" ref="L12" ca="1">INDIRECT("'results" &amp; $B12 &amp; "'!M$14")</f>
        <v>383.96155370799528</v>
      </c>
      <c r="M12" s="5" cm="1">
        <f t="array" aca="1" ref="M12" ca="1">INDIRECT("'results" &amp; $B12 &amp; "'!N$14")</f>
        <v>24</v>
      </c>
      <c r="N12" s="5" cm="1">
        <f t="array" aca="1" ref="N12" ca="1">INDIRECT("'results" &amp; $B12 &amp; "'!O$14")</f>
        <v>90</v>
      </c>
      <c r="O12" s="5" cm="1">
        <f t="array" aca="1" ref="O12" ca="1">INDIRECT("'results" &amp; $B12 &amp; "'!P$14")</f>
        <v>200.95623650833292</v>
      </c>
      <c r="P12" s="5" cm="1">
        <f t="array" aca="1" ref="P12" ca="1">INDIRECT("'results" &amp; $B12 &amp; "'!Q$14")</f>
        <v>17.795329172953945</v>
      </c>
      <c r="Q12" s="5" cm="1">
        <f t="array" aca="1" ref="Q12" ca="1">INDIRECT("'results" &amp; $B12 &amp; "'!R$14")</f>
        <v>4220.9565287830237</v>
      </c>
      <c r="R12" s="5"/>
      <c r="S12" s="5" cm="1">
        <f t="array" aca="1" ref="S12" ca="1">INDIRECT("'results" &amp; $B12 &amp; "'!T$14")</f>
        <v>907418.17461118381</v>
      </c>
      <c r="T12" s="5" cm="1">
        <f t="array" aca="1" ref="T12" ca="1">INDIRECT("'results" &amp; $B12 &amp; "'!U$14")</f>
        <v>176.02799370900169</v>
      </c>
      <c r="U12" s="5" cm="1">
        <f t="array" aca="1" ref="U12" ca="1">INDIRECT("'results" &amp; $B12 &amp; "'!V$14")</f>
        <v>13</v>
      </c>
      <c r="V12" s="5" cm="1">
        <f t="array" aca="1" ref="V12" ca="1">INDIRECT("'results" &amp; $B12 &amp; "'!W$14")</f>
        <v>91</v>
      </c>
      <c r="W12" s="5" cm="1">
        <f t="array" aca="1" ref="W12" ca="1">INDIRECT("'results" &amp; $B12 &amp; "'!X$14")</f>
        <v>758.99462908070552</v>
      </c>
      <c r="X12" s="5" cm="1">
        <f t="array" aca="1" ref="X12" ca="1">INDIRECT("'results" &amp; $B12 &amp; "'!Y$14")</f>
        <v>63.532557236462793</v>
      </c>
      <c r="Y12" s="5" cm="1">
        <f t="array" aca="1" ref="Y12" ca="1">INDIRECT("'results" &amp; $B12 &amp; "'!Z$14")</f>
        <v>6076.9323768006643</v>
      </c>
      <c r="Z12" s="5"/>
    </row>
    <row r="13" spans="2:26" x14ac:dyDescent="0.2">
      <c r="B13" s="8" t="s">
        <v>3</v>
      </c>
      <c r="C13" s="9">
        <f ca="1">AVERAGE(C3:C12)</f>
        <v>723163.62249089684</v>
      </c>
      <c r="D13" s="10">
        <f t="shared" ref="D13:I13" ca="1" si="0">AVERAGE(D3:D12)</f>
        <v>74.726134154199457</v>
      </c>
      <c r="E13" s="9">
        <f t="shared" ca="1" si="0"/>
        <v>9</v>
      </c>
      <c r="F13" s="9">
        <f t="shared" ca="1" si="0"/>
        <v>96.3</v>
      </c>
      <c r="G13" s="9">
        <f t="shared" ca="1" si="0"/>
        <v>264.42179228727832</v>
      </c>
      <c r="H13" s="10">
        <f t="shared" ca="1" si="0"/>
        <v>42.412531603227549</v>
      </c>
      <c r="I13" s="9">
        <f t="shared" ca="1" si="0"/>
        <v>5219.7398482616427</v>
      </c>
      <c r="J13" s="32" t="e">
        <f ca="1">(C13-$D$15)/$D$15</f>
        <v>#DIV/0!</v>
      </c>
      <c r="K13" s="16">
        <f ca="1">AVERAGE(K3:K12)</f>
        <v>958652.96030873654</v>
      </c>
      <c r="L13" s="41">
        <f t="shared" ref="L13:Q13" ca="1" si="1">AVERAGE(L3:L12)</f>
        <v>180.19440569170109</v>
      </c>
      <c r="M13" s="16">
        <f t="shared" ca="1" si="1"/>
        <v>20.9</v>
      </c>
      <c r="N13" s="16">
        <f ca="1">AVERAGE(N3:N12)</f>
        <v>90.9</v>
      </c>
      <c r="O13" s="16">
        <f t="shared" ca="1" si="1"/>
        <v>193.53615448083249</v>
      </c>
      <c r="P13" s="41">
        <f t="shared" ca="1" si="1"/>
        <v>16.658798108370938</v>
      </c>
      <c r="Q13" s="16">
        <f t="shared" ca="1" si="1"/>
        <v>4394.4870229527587</v>
      </c>
      <c r="R13" s="42" t="e">
        <f ca="1">(K13-$D$15)/$D$15</f>
        <v>#DIV/0!</v>
      </c>
      <c r="S13" s="38">
        <f ca="1">AVERAGE(S3:S12)</f>
        <v>940124.55852215621</v>
      </c>
      <c r="T13" s="43">
        <f t="shared" ref="T13:Y13" ca="1" si="2">AVERAGE(T3:T12)</f>
        <v>113.8063426167013</v>
      </c>
      <c r="U13" s="38">
        <f t="shared" ca="1" si="2"/>
        <v>12.5</v>
      </c>
      <c r="V13" s="38">
        <f t="shared" ca="1" si="2"/>
        <v>90.5</v>
      </c>
      <c r="W13" s="38">
        <f t="shared" ca="1" si="2"/>
        <v>782.74871381610888</v>
      </c>
      <c r="X13" s="43">
        <f t="shared" ca="1" si="2"/>
        <v>50.190837421543542</v>
      </c>
      <c r="Y13" s="38">
        <f t="shared" ca="1" si="2"/>
        <v>6108.5195961402915</v>
      </c>
      <c r="Z13" s="44" t="e">
        <f ca="1">(S13-$D$15)/$D$15</f>
        <v>#DIV/0!</v>
      </c>
    </row>
    <row r="14" spans="2:26" x14ac:dyDescent="0.2">
      <c r="K14" s="45">
        <f ca="1">(K13-C13)/C13</f>
        <v>0.32563769870877879</v>
      </c>
      <c r="L14" s="45">
        <f t="shared" ref="L14:Q14" ca="1" si="3">(L13-D13)/D13</f>
        <v>1.4113974010734307</v>
      </c>
      <c r="M14" s="45">
        <f t="shared" ca="1" si="3"/>
        <v>1.322222222222222</v>
      </c>
      <c r="N14" s="45">
        <f t="shared" ca="1" si="3"/>
        <v>-5.6074766355140103E-2</v>
      </c>
      <c r="O14" s="45">
        <f t="shared" ca="1" si="3"/>
        <v>-0.26807789627805284</v>
      </c>
      <c r="P14" s="45">
        <f t="shared" ca="1" si="3"/>
        <v>-0.60721990697902073</v>
      </c>
      <c r="Q14" s="45">
        <f t="shared" ca="1" si="3"/>
        <v>-0.15810229040125864</v>
      </c>
      <c r="S14" s="45">
        <f ca="1">(S13-C13)/C13</f>
        <v>0.30001638534298708</v>
      </c>
      <c r="T14" s="45">
        <f t="shared" ref="T14:Y14" ca="1" si="4">(T13-D13)/D13</f>
        <v>0.52297912778223943</v>
      </c>
      <c r="U14" s="45">
        <f t="shared" ca="1" si="4"/>
        <v>0.3888888888888889</v>
      </c>
      <c r="V14" s="45">
        <f ca="1">(V13-F13)/F13</f>
        <v>-6.0228452751817207E-2</v>
      </c>
      <c r="W14" s="45">
        <f t="shared" ca="1" si="4"/>
        <v>1.9602276992574788</v>
      </c>
      <c r="X14" s="45">
        <f t="shared" ca="1" si="4"/>
        <v>0.18339640489001302</v>
      </c>
      <c r="Y14" s="45">
        <f t="shared" ca="1" si="4"/>
        <v>0.17027280548754622</v>
      </c>
    </row>
    <row r="16" spans="2:26" x14ac:dyDescent="0.2">
      <c r="B16" s="1" t="s">
        <v>21</v>
      </c>
      <c r="C16">
        <f ca="1">_xlfn.STDEV.S(C3:C12)</f>
        <v>89904.249285704427</v>
      </c>
      <c r="J16" s="1" t="s">
        <v>21</v>
      </c>
      <c r="K16">
        <f ca="1">_xlfn.STDEV.S(K3:K12)</f>
        <v>67787.302418072693</v>
      </c>
      <c r="R16" s="1" t="s">
        <v>21</v>
      </c>
      <c r="S16">
        <f ca="1">_xlfn.STDEV.S(S3:S12)</f>
        <v>127677.02897548032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sheetPr codeName="Sheet3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-0.95195977329594772</v>
      </c>
      <c r="J2" s="28" t="e">
        <f>(S14-J14)/J14</f>
        <v>#DIV/0!</v>
      </c>
      <c r="K2" s="28"/>
      <c r="L2" s="1" t="s">
        <v>19</v>
      </c>
      <c r="P2" s="1">
        <f>(P14-H14)/H14</f>
        <v>-0.43276886260215419</v>
      </c>
      <c r="R2" s="1">
        <f>(R14-J14)/J14</f>
        <v>-0.1564748212170336</v>
      </c>
      <c r="T2" s="1" t="s">
        <v>20</v>
      </c>
      <c r="X2" s="1">
        <f>(X14-P14)/P14</f>
        <v>4.0092202283415119</v>
      </c>
      <c r="Z2" s="1">
        <f>(Z14-R14)/R14</f>
        <v>0.35060380147455411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252</v>
      </c>
      <c r="D4" s="23">
        <v>809922.86312657734</v>
      </c>
      <c r="E4" s="33">
        <v>34.070359625002311</v>
      </c>
      <c r="F4" s="5">
        <v>10</v>
      </c>
      <c r="G4" s="23">
        <v>98</v>
      </c>
      <c r="H4" s="33">
        <v>703.92303487137724</v>
      </c>
      <c r="I4" s="23">
        <v>35.27666475326739</v>
      </c>
      <c r="J4" s="5">
        <v>5720.9470192417384</v>
      </c>
      <c r="K4" s="31"/>
      <c r="L4" s="23">
        <v>1089796.713030179</v>
      </c>
      <c r="M4" s="33">
        <v>92.722720874997322</v>
      </c>
      <c r="N4" s="5">
        <v>22</v>
      </c>
      <c r="O4" s="5">
        <v>89</v>
      </c>
      <c r="P4" s="33">
        <v>453.15535270341536</v>
      </c>
      <c r="Q4" s="5">
        <v>13.654391051327908</v>
      </c>
      <c r="R4" s="5">
        <v>4943.7501972866185</v>
      </c>
      <c r="S4" s="31"/>
      <c r="T4" s="23">
        <v>1027732.692707892</v>
      </c>
      <c r="U4" s="33">
        <v>105.9722845419965</v>
      </c>
      <c r="V4" s="5">
        <v>14</v>
      </c>
      <c r="W4" s="5">
        <v>93</v>
      </c>
      <c r="X4" s="33">
        <v>1347.0137344464433</v>
      </c>
      <c r="Y4" s="5">
        <v>44.907070976412612</v>
      </c>
      <c r="Z4" s="5">
        <v>6659.6933866795116</v>
      </c>
      <c r="AA4" s="35"/>
    </row>
    <row r="5" spans="2:27" x14ac:dyDescent="0.2">
      <c r="B5" s="4">
        <v>2</v>
      </c>
      <c r="C5" s="4">
        <v>287</v>
      </c>
      <c r="D5" s="23">
        <v>768974.96674003312</v>
      </c>
      <c r="E5" s="33">
        <v>47.324293790999953</v>
      </c>
      <c r="F5" s="5">
        <v>10</v>
      </c>
      <c r="G5" s="23">
        <v>98</v>
      </c>
      <c r="H5" s="33">
        <v>555.31591707213784</v>
      </c>
      <c r="I5" s="23">
        <v>35.226568849251002</v>
      </c>
      <c r="J5" s="5">
        <v>5420.7835381215637</v>
      </c>
      <c r="K5" s="31"/>
      <c r="L5" s="23">
        <v>1008241.626545115</v>
      </c>
      <c r="M5" s="33">
        <v>111.8902587919947</v>
      </c>
      <c r="N5" s="5">
        <v>18</v>
      </c>
      <c r="O5" s="5">
        <v>88</v>
      </c>
      <c r="P5" s="33">
        <v>319.81017325603892</v>
      </c>
      <c r="Q5" s="5">
        <v>15.88852674506618</v>
      </c>
      <c r="R5" s="5">
        <v>4820.8903610993966</v>
      </c>
      <c r="S5" s="31"/>
      <c r="T5" s="23">
        <v>1033422.3407305171</v>
      </c>
      <c r="U5" s="33">
        <v>68.783997999998974</v>
      </c>
      <c r="V5" s="5">
        <v>11</v>
      </c>
      <c r="W5" s="5">
        <v>86</v>
      </c>
      <c r="X5" s="33">
        <v>1007.8479489249584</v>
      </c>
      <c r="Y5" s="5">
        <v>48.569021916223797</v>
      </c>
      <c r="Z5" s="5">
        <v>6460.3604926167009</v>
      </c>
      <c r="AA5" s="35"/>
    </row>
    <row r="6" spans="2:27" x14ac:dyDescent="0.2">
      <c r="B6" s="4">
        <v>3</v>
      </c>
      <c r="C6" s="4">
        <v>490</v>
      </c>
      <c r="D6" s="23">
        <v>841681.9236287314</v>
      </c>
      <c r="E6" s="33">
        <v>39.633184499998613</v>
      </c>
      <c r="F6" s="5">
        <v>9</v>
      </c>
      <c r="G6" s="23">
        <v>98</v>
      </c>
      <c r="H6" s="33">
        <v>762.23234911265229</v>
      </c>
      <c r="I6" s="23">
        <v>35.348942617175503</v>
      </c>
      <c r="J6" s="5">
        <v>6167.2078933019375</v>
      </c>
      <c r="K6" s="31"/>
      <c r="L6" s="23">
        <v>1002933.267526777</v>
      </c>
      <c r="M6" s="33">
        <v>86.554354834006517</v>
      </c>
      <c r="N6" s="5">
        <v>21</v>
      </c>
      <c r="O6" s="5">
        <v>91</v>
      </c>
      <c r="P6" s="33">
        <v>242.87882629982505</v>
      </c>
      <c r="Q6" s="5">
        <v>14.498665194144284</v>
      </c>
      <c r="R6" s="5">
        <v>4643.4373541488476</v>
      </c>
      <c r="S6" s="31"/>
      <c r="T6" s="23">
        <v>993580.92712172552</v>
      </c>
      <c r="U6" s="33">
        <v>167.74583975000129</v>
      </c>
      <c r="V6" s="5">
        <v>12</v>
      </c>
      <c r="W6" s="5">
        <v>88</v>
      </c>
      <c r="X6" s="33">
        <v>843.12518154197573</v>
      </c>
      <c r="Y6" s="5">
        <v>42.473874366635314</v>
      </c>
      <c r="Z6" s="5">
        <v>6118.1009612593589</v>
      </c>
      <c r="AA6" s="35"/>
    </row>
    <row r="7" spans="2:27" x14ac:dyDescent="0.2">
      <c r="B7" s="4">
        <v>4</v>
      </c>
      <c r="C7" s="4">
        <v>616</v>
      </c>
      <c r="D7" s="23">
        <v>817157.28562204121</v>
      </c>
      <c r="E7" s="33">
        <v>33.337021875002392</v>
      </c>
      <c r="F7" s="5">
        <v>7</v>
      </c>
      <c r="G7" s="23">
        <v>96</v>
      </c>
      <c r="H7" s="33">
        <v>677.27254582361388</v>
      </c>
      <c r="I7" s="23">
        <v>47.526906786120513</v>
      </c>
      <c r="J7" s="5">
        <v>6120.6682359796641</v>
      </c>
      <c r="K7" s="31"/>
      <c r="L7" s="23">
        <v>998765.9730163397</v>
      </c>
      <c r="M7" s="33">
        <v>102.2660490829949</v>
      </c>
      <c r="N7" s="5">
        <v>21</v>
      </c>
      <c r="O7" s="5">
        <v>90</v>
      </c>
      <c r="P7" s="33">
        <v>168.3146563953575</v>
      </c>
      <c r="Q7" s="5">
        <v>14.254990104988435</v>
      </c>
      <c r="R7" s="5">
        <v>4529.9005930382955</v>
      </c>
      <c r="S7" s="31"/>
      <c r="T7" s="23">
        <v>1055070.742530474</v>
      </c>
      <c r="U7" s="33">
        <v>69.175999292005145</v>
      </c>
      <c r="V7" s="5">
        <v>14</v>
      </c>
      <c r="W7" s="5">
        <v>94</v>
      </c>
      <c r="X7" s="33">
        <v>1598.5601858347509</v>
      </c>
      <c r="Y7" s="5">
        <v>48.636746726904242</v>
      </c>
      <c r="Z7" s="5">
        <v>6930.8767563085066</v>
      </c>
      <c r="AA7" s="35"/>
    </row>
    <row r="8" spans="2:27" x14ac:dyDescent="0.2">
      <c r="B8" s="4">
        <v>5</v>
      </c>
      <c r="C8" s="4">
        <v>423</v>
      </c>
      <c r="D8" s="23">
        <v>815154.01209947001</v>
      </c>
      <c r="E8" s="33">
        <v>43.412757332996989</v>
      </c>
      <c r="F8" s="5">
        <v>9</v>
      </c>
      <c r="G8" s="23">
        <v>95</v>
      </c>
      <c r="H8" s="33">
        <v>432.32126045196225</v>
      </c>
      <c r="I8" s="23">
        <v>37.055121081877822</v>
      </c>
      <c r="J8" s="5">
        <v>5726.0052308028953</v>
      </c>
      <c r="K8" s="31"/>
      <c r="L8" s="23">
        <v>1061238.4532437921</v>
      </c>
      <c r="M8" s="33">
        <v>115.8810940420008</v>
      </c>
      <c r="N8" s="5">
        <v>23</v>
      </c>
      <c r="O8" s="5">
        <v>90</v>
      </c>
      <c r="P8" s="33">
        <v>314.79552822887149</v>
      </c>
      <c r="Q8" s="5">
        <v>13.393559171238136</v>
      </c>
      <c r="R8" s="5">
        <v>4727.8488623397225</v>
      </c>
      <c r="S8" s="31"/>
      <c r="T8" s="23">
        <v>1081406.5165429099</v>
      </c>
      <c r="U8" s="33">
        <v>48.305608916998608</v>
      </c>
      <c r="V8" s="5">
        <v>13</v>
      </c>
      <c r="W8" s="5">
        <v>89</v>
      </c>
      <c r="X8" s="33">
        <v>1346.7674850049984</v>
      </c>
      <c r="Y8" s="5">
        <v>45.85294771947369</v>
      </c>
      <c r="Z8" s="5">
        <v>6728.6750474834853</v>
      </c>
      <c r="AA8" s="35"/>
    </row>
    <row r="9" spans="2:27" x14ac:dyDescent="0.2">
      <c r="B9" s="4">
        <v>6</v>
      </c>
      <c r="C9" s="4">
        <v>617</v>
      </c>
      <c r="D9" s="23">
        <v>772981.85520724603</v>
      </c>
      <c r="E9" s="33">
        <v>43.080813666998438</v>
      </c>
      <c r="F9" s="5">
        <v>10</v>
      </c>
      <c r="G9" s="23">
        <v>98</v>
      </c>
      <c r="H9" s="33">
        <v>372.32800104969692</v>
      </c>
      <c r="I9" s="23">
        <v>31.749513425578375</v>
      </c>
      <c r="J9" s="5">
        <v>5547.0256524559882</v>
      </c>
      <c r="K9" s="31"/>
      <c r="L9" s="23">
        <v>1028718.1487713919</v>
      </c>
      <c r="M9" s="33">
        <v>129.08984020799829</v>
      </c>
      <c r="N9" s="5">
        <v>22</v>
      </c>
      <c r="O9" s="5">
        <v>91</v>
      </c>
      <c r="P9" s="33">
        <v>323.96788374050226</v>
      </c>
      <c r="Q9" s="5">
        <v>13.740723480762286</v>
      </c>
      <c r="R9" s="5">
        <v>4703.8168130145368</v>
      </c>
      <c r="S9" s="31"/>
      <c r="T9" s="23">
        <v>1011205.773359856</v>
      </c>
      <c r="U9" s="33">
        <v>77.241971625000588</v>
      </c>
      <c r="V9" s="5">
        <v>10</v>
      </c>
      <c r="W9" s="5">
        <v>86</v>
      </c>
      <c r="X9" s="33">
        <v>889.98546385809504</v>
      </c>
      <c r="Y9" s="5">
        <v>49.857788808853662</v>
      </c>
      <c r="Z9" s="5">
        <v>6424.7016756229596</v>
      </c>
      <c r="AA9" s="35"/>
    </row>
    <row r="10" spans="2:27" x14ac:dyDescent="0.2">
      <c r="B10" s="4">
        <v>7</v>
      </c>
      <c r="C10" s="4">
        <v>810</v>
      </c>
      <c r="D10" s="23">
        <v>856011.40627328632</v>
      </c>
      <c r="E10" s="33">
        <v>33.707890707999468</v>
      </c>
      <c r="F10" s="5">
        <v>9</v>
      </c>
      <c r="G10" s="23">
        <v>89</v>
      </c>
      <c r="H10" s="33">
        <v>287.88604848153727</v>
      </c>
      <c r="I10" s="23">
        <v>34.407454984878058</v>
      </c>
      <c r="J10" s="5">
        <v>5373.0493898022605</v>
      </c>
      <c r="K10" s="31"/>
      <c r="L10" s="23">
        <v>1111922.67206256</v>
      </c>
      <c r="M10" s="33">
        <v>158.55541354099839</v>
      </c>
      <c r="N10" s="5">
        <v>22</v>
      </c>
      <c r="O10" s="5">
        <v>89</v>
      </c>
      <c r="P10" s="33">
        <v>539.30464464545651</v>
      </c>
      <c r="Q10" s="5">
        <v>13.308885475142006</v>
      </c>
      <c r="R10" s="5">
        <v>5095.8197677721364</v>
      </c>
      <c r="S10" s="31"/>
      <c r="T10" s="23">
        <v>1094071.150508014</v>
      </c>
      <c r="U10" s="33">
        <v>52.148668917005118</v>
      </c>
      <c r="V10" s="5">
        <v>11</v>
      </c>
      <c r="W10" s="5">
        <v>89</v>
      </c>
      <c r="X10" s="33">
        <v>1534.8364209277981</v>
      </c>
      <c r="Y10" s="5">
        <v>53.535853101460113</v>
      </c>
      <c r="Z10" s="5">
        <v>7121.0334188280685</v>
      </c>
      <c r="AA10" s="35"/>
    </row>
    <row r="11" spans="2:27" x14ac:dyDescent="0.2">
      <c r="B11" s="4">
        <v>8</v>
      </c>
      <c r="C11" s="4">
        <v>51</v>
      </c>
      <c r="D11" s="23">
        <v>819960.67368917761</v>
      </c>
      <c r="E11" s="33">
        <v>69.16234324999823</v>
      </c>
      <c r="F11" s="5">
        <v>9</v>
      </c>
      <c r="G11" s="23">
        <v>96</v>
      </c>
      <c r="H11" s="33">
        <v>623.97910420748224</v>
      </c>
      <c r="I11" s="23">
        <v>37.626251721157445</v>
      </c>
      <c r="J11" s="5">
        <v>5774.4044567656101</v>
      </c>
      <c r="K11" s="31"/>
      <c r="L11" s="23">
        <v>1116685.951988714</v>
      </c>
      <c r="M11" s="33">
        <v>101.4732973749997</v>
      </c>
      <c r="N11" s="5">
        <v>23</v>
      </c>
      <c r="O11" s="5">
        <v>90</v>
      </c>
      <c r="P11" s="33">
        <v>564.6969066566877</v>
      </c>
      <c r="Q11" s="5">
        <v>13.035940721730956</v>
      </c>
      <c r="R11" s="5">
        <v>5072.550960480984</v>
      </c>
      <c r="S11" s="31"/>
      <c r="T11" s="23">
        <v>1175135.0227173809</v>
      </c>
      <c r="U11" s="33">
        <v>83.868181207995804</v>
      </c>
      <c r="V11" s="5">
        <v>15</v>
      </c>
      <c r="W11" s="5">
        <v>96</v>
      </c>
      <c r="X11" s="33">
        <v>2176.713015439127</v>
      </c>
      <c r="Y11" s="5">
        <v>46.978808519309318</v>
      </c>
      <c r="Z11" s="5">
        <v>7739.6415274181918</v>
      </c>
      <c r="AA11" s="35"/>
    </row>
    <row r="12" spans="2:27" x14ac:dyDescent="0.2">
      <c r="B12" s="4">
        <v>9</v>
      </c>
      <c r="C12" s="4">
        <v>686</v>
      </c>
      <c r="D12" s="23">
        <v>761892.85692822514</v>
      </c>
      <c r="E12" s="33">
        <v>66.332592667000426</v>
      </c>
      <c r="F12" s="5">
        <v>10</v>
      </c>
      <c r="G12" s="23">
        <v>97</v>
      </c>
      <c r="H12" s="33">
        <v>296.73028382661687</v>
      </c>
      <c r="I12" s="23">
        <v>31.927907951770671</v>
      </c>
      <c r="J12" s="5">
        <v>5370.2019891973014</v>
      </c>
      <c r="K12" s="31"/>
      <c r="L12" s="23">
        <v>1019104.7170491091</v>
      </c>
      <c r="M12" s="33">
        <v>75.350769458993454</v>
      </c>
      <c r="N12" s="5">
        <v>23</v>
      </c>
      <c r="O12" s="5">
        <v>92</v>
      </c>
      <c r="P12" s="33">
        <v>248.04564768185176</v>
      </c>
      <c r="Q12" s="5">
        <v>13.053136487423108</v>
      </c>
      <c r="R12" s="5">
        <v>4573.0130053297626</v>
      </c>
      <c r="S12" s="31"/>
      <c r="T12" s="23">
        <v>1072510.7258915941</v>
      </c>
      <c r="U12" s="33">
        <v>60.525211540996679</v>
      </c>
      <c r="V12" s="5">
        <v>15</v>
      </c>
      <c r="W12" s="5">
        <v>98</v>
      </c>
      <c r="X12" s="33">
        <v>1827.5896085821053</v>
      </c>
      <c r="Y12" s="5">
        <v>48.211320116788222</v>
      </c>
      <c r="Z12" s="5">
        <v>7277.6944693787636</v>
      </c>
      <c r="AA12" s="35"/>
    </row>
    <row r="13" spans="2:27" x14ac:dyDescent="0.2">
      <c r="B13" s="4">
        <v>10</v>
      </c>
      <c r="C13" s="4">
        <v>157</v>
      </c>
      <c r="D13" s="23">
        <v>795244.8164330885</v>
      </c>
      <c r="E13" s="33">
        <v>72.246094750000339</v>
      </c>
      <c r="F13" s="5">
        <v>7</v>
      </c>
      <c r="G13" s="23">
        <v>97</v>
      </c>
      <c r="H13" s="33">
        <v>632.84568001808202</v>
      </c>
      <c r="I13" s="23">
        <v>47.577865452202154</v>
      </c>
      <c r="J13" s="5">
        <v>6051.1856532967759</v>
      </c>
      <c r="K13" s="31"/>
      <c r="L13" s="23">
        <v>1132064.9510473339</v>
      </c>
      <c r="M13" s="33">
        <v>146.4621214999934</v>
      </c>
      <c r="N13" s="5">
        <v>22</v>
      </c>
      <c r="O13" s="5">
        <v>90</v>
      </c>
      <c r="P13" s="33">
        <v>645.55372893546757</v>
      </c>
      <c r="Q13" s="5">
        <v>13.537779777364754</v>
      </c>
      <c r="R13" s="5">
        <v>5328.4107943041827</v>
      </c>
      <c r="S13" s="31"/>
      <c r="T13" s="23">
        <v>1010054.681481669</v>
      </c>
      <c r="U13" s="33">
        <v>91.561010667006485</v>
      </c>
      <c r="V13" s="5">
        <v>10</v>
      </c>
      <c r="W13" s="5">
        <v>83</v>
      </c>
      <c r="X13" s="33">
        <v>608.87926741465651</v>
      </c>
      <c r="Y13" s="5">
        <v>45.661627550571403</v>
      </c>
      <c r="Z13" s="5">
        <v>6029.852609316521</v>
      </c>
      <c r="AA13" s="35"/>
    </row>
    <row r="14" spans="2:27" x14ac:dyDescent="0.2">
      <c r="B14" s="46" t="s">
        <v>3</v>
      </c>
      <c r="C14" s="47"/>
      <c r="D14" s="9">
        <f>MIN(D4:D13)</f>
        <v>761892.85692822514</v>
      </c>
      <c r="E14" s="22">
        <f>INDEX(E4:E13, MATCH($D$14, D4:D13, 0))</f>
        <v>66.332592667000426</v>
      </c>
      <c r="F14" s="9">
        <f>INDEX(F4:F13, MATCH($D$14, D4:D13, 0))</f>
        <v>10</v>
      </c>
      <c r="G14" s="9">
        <f>INDEX(G4:G13, MATCH($D$14, D4:D13, 0))</f>
        <v>97</v>
      </c>
      <c r="H14" s="22">
        <f>INDEX(H4:H13, MATCH($D$14, D4:D13, 0))</f>
        <v>296.73028382661687</v>
      </c>
      <c r="I14" s="22">
        <f>INDEX(I4:I13, MATCH($D$14, D4:D13, 0))</f>
        <v>31.927907951770671</v>
      </c>
      <c r="J14" s="22">
        <f>INDEX(J4:J13, MATCH($D$14, D4:D13, 0))</f>
        <v>5370.2019891973014</v>
      </c>
      <c r="K14" s="32" t="e">
        <f>(D14-$D$15)/$D$15</f>
        <v>#DIV/0!</v>
      </c>
      <c r="L14" s="16">
        <f>MIN(L4:L13)</f>
        <v>998765.9730163397</v>
      </c>
      <c r="M14" s="21">
        <f>INDEX(M4:M13, MATCH($L$14, L4:L13, 0))</f>
        <v>102.2660490829949</v>
      </c>
      <c r="N14" s="16">
        <f>INDEX(N4:N13, MATCH($L$14, L4:L13, 0))</f>
        <v>21</v>
      </c>
      <c r="O14" s="16">
        <f>INDEX(O4:O13, MATCH($L$14, L4:L13, 0))</f>
        <v>90</v>
      </c>
      <c r="P14" s="21">
        <f>INDEX(P4:P13, MATCH($L$14, L4:L13, 0))</f>
        <v>168.3146563953575</v>
      </c>
      <c r="Q14" s="21">
        <f>INDEX(Q4:Q13, MATCH($L$14, L4:L13, 0))</f>
        <v>14.254990104988435</v>
      </c>
      <c r="R14" s="21">
        <f>INDEX(R4:R13, MATCH($L$14, L4:L13, 0))</f>
        <v>4529.9005930382955</v>
      </c>
      <c r="S14" s="36" t="e">
        <f>(L14-$D$15)/$D$15</f>
        <v>#DIV/0!</v>
      </c>
      <c r="T14" s="38">
        <f>MIN(T4:T13)</f>
        <v>993580.92712172552</v>
      </c>
      <c r="U14" s="39">
        <f>INDEX(U4:U13, MATCH($T$14, T4:T13, 0))</f>
        <v>167.74583975000129</v>
      </c>
      <c r="V14" s="38">
        <f>INDEX(V4:V13, MATCH($T$14, T4:T13, 0))</f>
        <v>12</v>
      </c>
      <c r="W14" s="38">
        <f>INDEX(W4:W13, MATCH($T$14, T4:T13, 0))</f>
        <v>88</v>
      </c>
      <c r="X14" s="39">
        <f>INDEX(X4:X13, MATCH($T$14, T4:T13, 0))</f>
        <v>843.12518154197573</v>
      </c>
      <c r="Y14" s="39">
        <f>INDEX(Y4:Y13, MATCH($T$14, T4:T13, 0))</f>
        <v>42.473874366635314</v>
      </c>
      <c r="Z14" s="39">
        <f>INDEX(Z4:Z13, MATCH($T$14, T4:T13, 0))</f>
        <v>6118.1009612593589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0.31090082277858844</v>
      </c>
      <c r="M15" s="45">
        <f t="shared" ref="M15:R15" si="0">(M14-E14)/E14</f>
        <v>0.54171644694163867</v>
      </c>
      <c r="N15" s="45">
        <f t="shared" si="0"/>
        <v>1.1000000000000001</v>
      </c>
      <c r="O15" s="45">
        <f t="shared" si="0"/>
        <v>-7.2164948453608241E-2</v>
      </c>
      <c r="P15" s="45">
        <f t="shared" si="0"/>
        <v>-0.43276886260215419</v>
      </c>
      <c r="Q15" s="45">
        <f t="shared" si="0"/>
        <v>-0.55352570777510401</v>
      </c>
      <c r="R15" s="45">
        <f t="shared" si="0"/>
        <v>-0.1564748212170336</v>
      </c>
      <c r="S15"/>
      <c r="T15" s="45">
        <f>(T14-D14)/D14</f>
        <v>0.30409534370437963</v>
      </c>
      <c r="U15" s="45">
        <f t="shared" ref="U15:Z15" si="1">(U14-E14)/E14</f>
        <v>1.5288599918310233</v>
      </c>
      <c r="V15" s="45">
        <f t="shared" si="1"/>
        <v>0.2</v>
      </c>
      <c r="W15" s="45">
        <f>(W14-G14)/G14</f>
        <v>-9.2783505154639179E-2</v>
      </c>
      <c r="X15" s="45">
        <f t="shared" si="1"/>
        <v>1.8413856875984524</v>
      </c>
      <c r="Y15" s="45">
        <f t="shared" si="1"/>
        <v>0.33030558816428124</v>
      </c>
      <c r="Z15" s="45">
        <f t="shared" si="1"/>
        <v>0.13926831310377732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:C1048576">
    <cfRule type="duplicateValues" dxfId="129" priority="11"/>
    <cfRule type="duplicateValues" dxfId="128" priority="12"/>
  </conditionalFormatting>
  <conditionalFormatting sqref="C4:C13">
    <cfRule type="duplicateValues" dxfId="127" priority="1"/>
    <cfRule type="duplicateValues" dxfId="126" priority="2"/>
  </conditionalFormatting>
  <conditionalFormatting sqref="C14">
    <cfRule type="duplicateValues" dxfId="125" priority="5"/>
    <cfRule type="duplicateValues" dxfId="124" priority="6"/>
  </conditionalFormatting>
  <conditionalFormatting sqref="C15">
    <cfRule type="duplicateValues" dxfId="123" priority="7"/>
    <cfRule type="duplicateValues" dxfId="122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825D-195D-384F-B6CB-DA6B9966919D}">
  <sheetPr codeName="Sheet21"/>
  <dimension ref="B1:AA17"/>
  <sheetViews>
    <sheetView zoomScaleNormal="110" workbookViewId="0">
      <selection activeCell="I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-0.88300080018780081</v>
      </c>
      <c r="J2" s="28" t="e">
        <f>(S14-J14)/J14</f>
        <v>#DIV/0!</v>
      </c>
      <c r="K2" s="28"/>
      <c r="L2" s="1" t="s">
        <v>19</v>
      </c>
      <c r="P2" s="1">
        <f>(P14-H14)/H14</f>
        <v>-0.41299206486327661</v>
      </c>
      <c r="R2" s="1">
        <f>(R14-J14)/J14</f>
        <v>-0.21388274801971555</v>
      </c>
      <c r="T2" s="1" t="s">
        <v>20</v>
      </c>
      <c r="X2" s="1">
        <f>(X14-P14)/P14</f>
        <v>10.518189628339011</v>
      </c>
      <c r="Z2" s="1">
        <f>(Z14-R14)/R14</f>
        <v>0.57462675657831053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128</v>
      </c>
      <c r="D4" s="23">
        <v>719838.3940379367</v>
      </c>
      <c r="E4" s="33">
        <v>52.131078166999941</v>
      </c>
      <c r="F4" s="5">
        <v>10</v>
      </c>
      <c r="G4" s="23">
        <v>100</v>
      </c>
      <c r="H4" s="33">
        <v>266.19452479830761</v>
      </c>
      <c r="I4" s="23">
        <v>36.613943649082998</v>
      </c>
      <c r="J4" s="5">
        <v>5518.5528286159897</v>
      </c>
      <c r="K4" s="31"/>
      <c r="L4" s="23">
        <v>946169.04245981365</v>
      </c>
      <c r="M4" s="33">
        <v>136.17032891700359</v>
      </c>
      <c r="N4" s="5">
        <v>24</v>
      </c>
      <c r="O4" s="5">
        <v>91</v>
      </c>
      <c r="P4" s="33">
        <v>66.283071496935591</v>
      </c>
      <c r="Q4" s="5">
        <v>13.211178013172811</v>
      </c>
      <c r="R4" s="5">
        <v>3716.3398384427751</v>
      </c>
      <c r="S4" s="31"/>
      <c r="T4" s="23">
        <v>867600.69118228892</v>
      </c>
      <c r="U4" s="33">
        <v>115.5218394999974</v>
      </c>
      <c r="V4" s="5">
        <v>15</v>
      </c>
      <c r="W4" s="5">
        <v>97</v>
      </c>
      <c r="X4" s="33">
        <v>843.77689508730509</v>
      </c>
      <c r="Y4" s="5">
        <v>45.632992490603193</v>
      </c>
      <c r="Z4" s="5">
        <v>5888.7270283131566</v>
      </c>
      <c r="AA4" s="35"/>
    </row>
    <row r="5" spans="2:27" x14ac:dyDescent="0.2">
      <c r="B5" s="4">
        <v>2</v>
      </c>
      <c r="C5" s="4">
        <v>220</v>
      </c>
      <c r="D5" s="23">
        <v>641024.15563873376</v>
      </c>
      <c r="E5" s="33">
        <v>58.817099667001457</v>
      </c>
      <c r="F5" s="5">
        <v>8</v>
      </c>
      <c r="G5" s="23">
        <v>99</v>
      </c>
      <c r="H5" s="33">
        <v>207.95920655632429</v>
      </c>
      <c r="I5" s="23">
        <v>42.438849034553407</v>
      </c>
      <c r="J5" s="5">
        <v>5019.1449576815912</v>
      </c>
      <c r="K5" s="31"/>
      <c r="L5" s="23">
        <v>982259.7327587558</v>
      </c>
      <c r="M5" s="33">
        <v>178.81768183399981</v>
      </c>
      <c r="N5" s="5">
        <v>25</v>
      </c>
      <c r="O5" s="5">
        <v>92</v>
      </c>
      <c r="P5" s="33">
        <v>100.43692060563407</v>
      </c>
      <c r="Q5" s="5">
        <v>12.880181854551838</v>
      </c>
      <c r="R5" s="5">
        <v>4069.7810426888059</v>
      </c>
      <c r="S5" s="31"/>
      <c r="T5" s="23">
        <v>871368.16162050667</v>
      </c>
      <c r="U5" s="33">
        <v>200.08290825000589</v>
      </c>
      <c r="V5" s="5">
        <v>12</v>
      </c>
      <c r="W5" s="5">
        <v>94</v>
      </c>
      <c r="X5" s="33">
        <v>816.24599699192197</v>
      </c>
      <c r="Y5" s="5">
        <v>52.580727946252118</v>
      </c>
      <c r="Z5" s="5">
        <v>6007.8782321148228</v>
      </c>
      <c r="AA5" s="35"/>
    </row>
    <row r="6" spans="2:27" x14ac:dyDescent="0.2">
      <c r="B6" s="4">
        <v>3</v>
      </c>
      <c r="C6" s="4">
        <v>503</v>
      </c>
      <c r="D6" s="23">
        <v>646249.50189412758</v>
      </c>
      <c r="E6" s="33">
        <v>39.714539375003369</v>
      </c>
      <c r="F6" s="5">
        <v>8</v>
      </c>
      <c r="G6" s="23">
        <v>100</v>
      </c>
      <c r="H6" s="33">
        <v>261.6509433187536</v>
      </c>
      <c r="I6" s="23">
        <v>44.1725135856218</v>
      </c>
      <c r="J6" s="5">
        <v>5174.8572511347938</v>
      </c>
      <c r="K6" s="31"/>
      <c r="L6" s="23">
        <v>961349.1768711023</v>
      </c>
      <c r="M6" s="33">
        <v>241.73475291700021</v>
      </c>
      <c r="N6" s="5">
        <v>23</v>
      </c>
      <c r="O6" s="5">
        <v>90</v>
      </c>
      <c r="P6" s="33">
        <v>49.830472681504411</v>
      </c>
      <c r="Q6" s="5">
        <v>13.377789347139174</v>
      </c>
      <c r="R6" s="5">
        <v>3892.6388342851205</v>
      </c>
      <c r="S6" s="31"/>
      <c r="T6" s="23">
        <v>893906.95480529557</v>
      </c>
      <c r="U6" s="33">
        <v>147.52657875000301</v>
      </c>
      <c r="V6" s="5">
        <v>13</v>
      </c>
      <c r="W6" s="5">
        <v>97</v>
      </c>
      <c r="X6" s="33">
        <v>1092.0408316045857</v>
      </c>
      <c r="Y6" s="5">
        <v>51.95201176340894</v>
      </c>
      <c r="Z6" s="5">
        <v>6350.9246364214223</v>
      </c>
      <c r="AA6" s="35"/>
    </row>
    <row r="7" spans="2:27" x14ac:dyDescent="0.2">
      <c r="B7" s="4">
        <v>4</v>
      </c>
      <c r="C7" s="4">
        <v>515</v>
      </c>
      <c r="D7" s="23">
        <v>622350.45968600374</v>
      </c>
      <c r="E7" s="33">
        <v>41.041970582999063</v>
      </c>
      <c r="F7" s="5">
        <v>9</v>
      </c>
      <c r="G7" s="23">
        <v>99</v>
      </c>
      <c r="H7" s="33">
        <v>112.91682365673169</v>
      </c>
      <c r="I7" s="23">
        <v>39.243260969660021</v>
      </c>
      <c r="J7" s="5">
        <v>4727.462511579608</v>
      </c>
      <c r="K7" s="31"/>
      <c r="L7" s="23">
        <v>1060369.9809123171</v>
      </c>
      <c r="M7" s="33">
        <v>74.905392665998079</v>
      </c>
      <c r="N7" s="5">
        <v>24</v>
      </c>
      <c r="O7" s="5">
        <v>89</v>
      </c>
      <c r="P7" s="33">
        <v>283.20712623484667</v>
      </c>
      <c r="Q7" s="5">
        <v>12.869776895966318</v>
      </c>
      <c r="R7" s="5">
        <v>4428.3276030115703</v>
      </c>
      <c r="S7" s="31"/>
      <c r="T7" s="23">
        <v>1032126.7739439911</v>
      </c>
      <c r="U7" s="33">
        <v>65.673547334001341</v>
      </c>
      <c r="V7" s="5">
        <v>13</v>
      </c>
      <c r="W7" s="5">
        <v>91</v>
      </c>
      <c r="X7" s="33">
        <v>1365.0569199215765</v>
      </c>
      <c r="Y7" s="5">
        <v>51.69749712440607</v>
      </c>
      <c r="Z7" s="5">
        <v>6702.2200286215857</v>
      </c>
      <c r="AA7" s="35"/>
    </row>
    <row r="8" spans="2:27" x14ac:dyDescent="0.2">
      <c r="B8" s="4">
        <v>5</v>
      </c>
      <c r="C8" s="4">
        <v>567</v>
      </c>
      <c r="D8" s="23">
        <v>636531.7386399887</v>
      </c>
      <c r="E8" s="33">
        <v>52.93432091700015</v>
      </c>
      <c r="F8" s="5">
        <v>8</v>
      </c>
      <c r="G8" s="23">
        <v>100</v>
      </c>
      <c r="H8" s="33">
        <v>243.59445448128272</v>
      </c>
      <c r="I8" s="23">
        <v>45.292350488205336</v>
      </c>
      <c r="J8" s="5">
        <v>5119.1847885420702</v>
      </c>
      <c r="K8" s="31"/>
      <c r="L8" s="23">
        <v>967791.94451517519</v>
      </c>
      <c r="M8" s="33">
        <v>129.6466480000017</v>
      </c>
      <c r="N8" s="5">
        <v>25</v>
      </c>
      <c r="O8" s="5">
        <v>92</v>
      </c>
      <c r="P8" s="33">
        <v>108.3154138310752</v>
      </c>
      <c r="Q8" s="5">
        <v>12.630742230037537</v>
      </c>
      <c r="R8" s="5">
        <v>3882.4392650573059</v>
      </c>
      <c r="S8" s="31"/>
      <c r="T8" s="23">
        <v>938739.15632145316</v>
      </c>
      <c r="U8" s="33">
        <v>223.41944583399891</v>
      </c>
      <c r="V8" s="5">
        <v>13</v>
      </c>
      <c r="W8" s="5">
        <v>92</v>
      </c>
      <c r="X8" s="33">
        <v>930.93909999388052</v>
      </c>
      <c r="Y8" s="5">
        <v>50.880735514132894</v>
      </c>
      <c r="Z8" s="5">
        <v>6159.4570748413453</v>
      </c>
      <c r="AA8" s="35"/>
    </row>
    <row r="9" spans="2:27" x14ac:dyDescent="0.2">
      <c r="B9" s="4">
        <v>6</v>
      </c>
      <c r="C9" s="4">
        <v>734</v>
      </c>
      <c r="D9" s="23">
        <v>645521.79460110143</v>
      </c>
      <c r="E9" s="33">
        <v>27.958351458000831</v>
      </c>
      <c r="F9" s="5">
        <v>7</v>
      </c>
      <c r="G9" s="23">
        <v>100</v>
      </c>
      <c r="H9" s="33">
        <v>313.25364331535121</v>
      </c>
      <c r="I9" s="23">
        <v>50.621201454791752</v>
      </c>
      <c r="J9" s="5">
        <v>5331.7177516322909</v>
      </c>
      <c r="K9" s="31"/>
      <c r="L9" s="23">
        <v>984646.17747683986</v>
      </c>
      <c r="M9" s="33">
        <v>122.49669679199719</v>
      </c>
      <c r="N9" s="5">
        <v>21</v>
      </c>
      <c r="O9" s="5">
        <v>88</v>
      </c>
      <c r="P9" s="33">
        <v>160.04117494560975</v>
      </c>
      <c r="Q9" s="5">
        <v>14.655303293757093</v>
      </c>
      <c r="R9" s="5">
        <v>4164.8678601415359</v>
      </c>
      <c r="S9" s="31"/>
      <c r="T9" s="23">
        <v>857335.80322448013</v>
      </c>
      <c r="U9" s="33">
        <v>139.3929447080009</v>
      </c>
      <c r="V9" s="5">
        <v>14</v>
      </c>
      <c r="W9" s="5">
        <v>96</v>
      </c>
      <c r="X9" s="33">
        <v>763.46098665045656</v>
      </c>
      <c r="Y9" s="5">
        <v>46.934100046401227</v>
      </c>
      <c r="Z9" s="5">
        <v>5851.8481461499096</v>
      </c>
      <c r="AA9" s="35"/>
    </row>
    <row r="10" spans="2:27" x14ac:dyDescent="0.2">
      <c r="B10" s="4">
        <v>7</v>
      </c>
      <c r="C10" s="4">
        <v>863</v>
      </c>
      <c r="D10" s="23">
        <v>661410.27519744029</v>
      </c>
      <c r="E10" s="33">
        <v>48.066439874997741</v>
      </c>
      <c r="F10" s="5">
        <v>9</v>
      </c>
      <c r="G10" s="23">
        <v>100</v>
      </c>
      <c r="H10" s="33">
        <v>202.19300435077241</v>
      </c>
      <c r="I10" s="23">
        <v>41.797331009093249</v>
      </c>
      <c r="J10" s="5">
        <v>5207.4992921122648</v>
      </c>
      <c r="K10" s="31"/>
      <c r="L10" s="23">
        <v>968638.04652492946</v>
      </c>
      <c r="M10" s="33">
        <v>79.029969541996252</v>
      </c>
      <c r="N10" s="5">
        <v>19</v>
      </c>
      <c r="O10" s="5">
        <v>85</v>
      </c>
      <c r="P10" s="33">
        <v>104.46830431419787</v>
      </c>
      <c r="Q10" s="5">
        <v>15.379029164364733</v>
      </c>
      <c r="R10" s="5">
        <v>3924.0573818549933</v>
      </c>
      <c r="S10" s="31"/>
      <c r="T10" s="23">
        <v>894323.74425366148</v>
      </c>
      <c r="U10" s="33">
        <v>87.271130708002602</v>
      </c>
      <c r="V10" s="5">
        <v>15</v>
      </c>
      <c r="W10" s="5">
        <v>98</v>
      </c>
      <c r="X10" s="33">
        <v>1048.1395282376716</v>
      </c>
      <c r="Y10" s="5">
        <v>47.164864293953102</v>
      </c>
      <c r="Z10" s="5">
        <v>6140.0921008569294</v>
      </c>
      <c r="AA10" s="35"/>
    </row>
    <row r="11" spans="2:27" x14ac:dyDescent="0.2">
      <c r="B11" s="4">
        <v>8</v>
      </c>
      <c r="C11" s="4">
        <v>913</v>
      </c>
      <c r="D11" s="23">
        <v>740813.76077899686</v>
      </c>
      <c r="E11" s="33">
        <v>74.570711542000936</v>
      </c>
      <c r="F11" s="5">
        <v>10</v>
      </c>
      <c r="G11" s="23">
        <v>99</v>
      </c>
      <c r="H11" s="33">
        <v>356.59523265466015</v>
      </c>
      <c r="I11" s="23">
        <v>35.586555224327412</v>
      </c>
      <c r="J11" s="5">
        <v>5516.7909430643767</v>
      </c>
      <c r="K11" s="31"/>
      <c r="L11" s="23">
        <v>973343.10344362864</v>
      </c>
      <c r="M11" s="33">
        <v>110.0294568340032</v>
      </c>
      <c r="N11" s="5">
        <v>23</v>
      </c>
      <c r="O11" s="5">
        <v>90</v>
      </c>
      <c r="P11" s="33">
        <v>143.09912023979672</v>
      </c>
      <c r="Q11" s="5">
        <v>13.411798287181751</v>
      </c>
      <c r="R11" s="5">
        <v>3945.9428602253947</v>
      </c>
      <c r="S11" s="31"/>
      <c r="T11" s="23">
        <v>900728.83876584377</v>
      </c>
      <c r="U11" s="33">
        <v>126.8318155419984</v>
      </c>
      <c r="V11" s="5">
        <v>14</v>
      </c>
      <c r="W11" s="5">
        <v>94</v>
      </c>
      <c r="X11" s="33">
        <v>764.82119573039563</v>
      </c>
      <c r="Y11" s="5">
        <v>46.850834545615896</v>
      </c>
      <c r="Z11" s="5">
        <v>6027.8054761349131</v>
      </c>
      <c r="AA11" s="35"/>
    </row>
    <row r="12" spans="2:27" x14ac:dyDescent="0.2">
      <c r="B12" s="4">
        <v>9</v>
      </c>
      <c r="C12" s="4">
        <v>928</v>
      </c>
      <c r="D12" s="23">
        <v>799429.98428733391</v>
      </c>
      <c r="E12" s="33">
        <v>39.772838084001712</v>
      </c>
      <c r="F12" s="5">
        <v>9</v>
      </c>
      <c r="G12" s="23">
        <v>92</v>
      </c>
      <c r="H12" s="33">
        <v>390.77730573607221</v>
      </c>
      <c r="I12" s="23">
        <v>35.890252908666021</v>
      </c>
      <c r="J12" s="5">
        <v>5142.8613223513976</v>
      </c>
      <c r="K12" s="31"/>
      <c r="L12" s="23">
        <v>958123.29349377658</v>
      </c>
      <c r="M12" s="33">
        <v>182.6996155000015</v>
      </c>
      <c r="N12" s="5">
        <v>23</v>
      </c>
      <c r="O12" s="5">
        <v>90</v>
      </c>
      <c r="P12" s="33">
        <v>75.211602833400121</v>
      </c>
      <c r="Q12" s="5">
        <v>13.60808692811489</v>
      </c>
      <c r="R12" s="5">
        <v>3863.9670826633323</v>
      </c>
      <c r="S12" s="31"/>
      <c r="T12" s="23">
        <v>934053.71491892717</v>
      </c>
      <c r="U12" s="33">
        <v>134.02749300000141</v>
      </c>
      <c r="V12" s="5">
        <v>13</v>
      </c>
      <c r="W12" s="5">
        <v>98</v>
      </c>
      <c r="X12" s="33">
        <v>1282.322665615173</v>
      </c>
      <c r="Y12" s="5">
        <v>55.641416000767727</v>
      </c>
      <c r="Z12" s="5">
        <v>6714.4807383434299</v>
      </c>
      <c r="AA12" s="35"/>
    </row>
    <row r="13" spans="2:27" x14ac:dyDescent="0.2">
      <c r="B13" s="4">
        <v>10</v>
      </c>
      <c r="C13" s="4">
        <v>947</v>
      </c>
      <c r="D13" s="23">
        <v>631995.27485965856</v>
      </c>
      <c r="E13" s="33">
        <v>26.64202287499938</v>
      </c>
      <c r="F13" s="5">
        <v>8</v>
      </c>
      <c r="G13" s="23">
        <v>100</v>
      </c>
      <c r="H13" s="33">
        <v>213.64315535501532</v>
      </c>
      <c r="I13" s="23">
        <v>44.486228152828716</v>
      </c>
      <c r="J13" s="5">
        <v>5097.4836643380231</v>
      </c>
      <c r="K13" s="31"/>
      <c r="L13" s="23">
        <v>977167.43566118111</v>
      </c>
      <c r="M13" s="33">
        <v>105.98109229199331</v>
      </c>
      <c r="N13" s="5">
        <v>21</v>
      </c>
      <c r="O13" s="5">
        <v>87</v>
      </c>
      <c r="P13" s="33">
        <v>60.466811323280041</v>
      </c>
      <c r="Q13" s="5">
        <v>14.329216870293646</v>
      </c>
      <c r="R13" s="5">
        <v>3953.8003470128756</v>
      </c>
      <c r="S13" s="31"/>
      <c r="T13" s="23">
        <v>864862.35011128301</v>
      </c>
      <c r="U13" s="33">
        <v>107.2607739999949</v>
      </c>
      <c r="V13" s="5">
        <v>14</v>
      </c>
      <c r="W13" s="5">
        <v>99</v>
      </c>
      <c r="X13" s="33">
        <v>1024.6457090850224</v>
      </c>
      <c r="Y13" s="5">
        <v>50.790734374401836</v>
      </c>
      <c r="Z13" s="5">
        <v>6157.2818320889437</v>
      </c>
      <c r="AA13" s="35"/>
    </row>
    <row r="14" spans="2:27" x14ac:dyDescent="0.2">
      <c r="B14" s="46" t="s">
        <v>3</v>
      </c>
      <c r="C14" s="47"/>
      <c r="D14" s="9">
        <f>MIN(D4:D13)</f>
        <v>622350.45968600374</v>
      </c>
      <c r="E14" s="22">
        <f>INDEX(E4:E13, MATCH($D$14, D4:D13, 0))</f>
        <v>41.041970582999063</v>
      </c>
      <c r="F14" s="9">
        <f>INDEX(F4:F13, MATCH($D$14, D4:D13, 0))</f>
        <v>9</v>
      </c>
      <c r="G14" s="9">
        <f>INDEX(G4:G13, MATCH($D$14, D4:D13, 0))</f>
        <v>99</v>
      </c>
      <c r="H14" s="22">
        <f>INDEX(H4:H13, MATCH($D$14, D4:D13, 0))</f>
        <v>112.91682365673169</v>
      </c>
      <c r="I14" s="22">
        <f>INDEX(I4:I13, MATCH($D$14, D4:D13, 0))</f>
        <v>39.243260969660021</v>
      </c>
      <c r="J14" s="22">
        <f>INDEX(J4:J13, MATCH($D$14, D4:D13, 0))</f>
        <v>4727.462511579608</v>
      </c>
      <c r="K14" s="32" t="e">
        <f>(D14-$D$15)/$D$15</f>
        <v>#DIV/0!</v>
      </c>
      <c r="L14" s="16">
        <f>MIN(L4:L13)</f>
        <v>946169.04245981365</v>
      </c>
      <c r="M14" s="21">
        <f>INDEX(M4:M13, MATCH($L$14, L4:L13, 0))</f>
        <v>136.17032891700359</v>
      </c>
      <c r="N14" s="16">
        <f>INDEX(N4:N13, MATCH($L$14, L4:L13, 0))</f>
        <v>24</v>
      </c>
      <c r="O14" s="16">
        <f>INDEX(O4:O13, MATCH($L$14, L4:L13, 0))</f>
        <v>91</v>
      </c>
      <c r="P14" s="21">
        <f>INDEX(P4:P13, MATCH($L$14, L4:L13, 0))</f>
        <v>66.283071496935591</v>
      </c>
      <c r="Q14" s="21">
        <f>INDEX(Q4:Q13, MATCH($L$14, L4:L13, 0))</f>
        <v>13.211178013172811</v>
      </c>
      <c r="R14" s="21">
        <f>INDEX(R4:R13, MATCH($L$14, L4:L13, 0))</f>
        <v>3716.3398384427751</v>
      </c>
      <c r="S14" s="36" t="e">
        <f>(L14-$D$15)/$D$15</f>
        <v>#DIV/0!</v>
      </c>
      <c r="T14" s="38">
        <f>MIN(T4:T13)</f>
        <v>857335.80322448013</v>
      </c>
      <c r="U14" s="39">
        <f>INDEX(U4:U13, MATCH($T$14, T4:T13, 0))</f>
        <v>139.3929447080009</v>
      </c>
      <c r="V14" s="38">
        <f>INDEX(V4:V13, MATCH($T$14, T4:T13, 0))</f>
        <v>14</v>
      </c>
      <c r="W14" s="38">
        <f>INDEX(W4:W13, MATCH($T$14, T4:T13, 0))</f>
        <v>96</v>
      </c>
      <c r="X14" s="39">
        <f>INDEX(X4:X13, MATCH($T$14, T4:T13, 0))</f>
        <v>763.46098665045656</v>
      </c>
      <c r="Y14" s="39">
        <f>INDEX(Y4:Y13, MATCH($T$14, T4:T13, 0))</f>
        <v>46.934100046401227</v>
      </c>
      <c r="Z14" s="39">
        <f>INDEX(Z4:Z13, MATCH($T$14, T4:T13, 0))</f>
        <v>5851.8481461499096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0.52031548741393563</v>
      </c>
      <c r="M15" s="45">
        <f t="shared" ref="M15:R15" si="0">(M14-E14)/E14</f>
        <v>2.3178311611920952</v>
      </c>
      <c r="N15" s="45">
        <f t="shared" si="0"/>
        <v>1.6666666666666667</v>
      </c>
      <c r="O15" s="45">
        <f t="shared" si="0"/>
        <v>-8.0808080808080815E-2</v>
      </c>
      <c r="P15" s="45">
        <f t="shared" si="0"/>
        <v>-0.41299206486327661</v>
      </c>
      <c r="Q15" s="45">
        <f t="shared" si="0"/>
        <v>-0.66335167652385674</v>
      </c>
      <c r="R15" s="45">
        <f t="shared" si="0"/>
        <v>-0.21388274801971555</v>
      </c>
      <c r="S15"/>
      <c r="T15" s="45">
        <f>(T14-D14)/D14</f>
        <v>0.37757719927938066</v>
      </c>
      <c r="U15" s="45">
        <f t="shared" ref="U15:Z15" si="1">(U14-E14)/E14</f>
        <v>2.3963511675470586</v>
      </c>
      <c r="V15" s="45">
        <f t="shared" si="1"/>
        <v>0.55555555555555558</v>
      </c>
      <c r="W15" s="45">
        <f>(W14-G14)/G14</f>
        <v>-3.0303030303030304E-2</v>
      </c>
      <c r="X15" s="45">
        <f t="shared" si="1"/>
        <v>5.7612687102445053</v>
      </c>
      <c r="Y15" s="45">
        <f t="shared" si="1"/>
        <v>0.19597859318284463</v>
      </c>
      <c r="Z15" s="45">
        <f t="shared" si="1"/>
        <v>0.23784125877596979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121" priority="11"/>
    <cfRule type="duplicateValues" dxfId="120" priority="12"/>
  </conditionalFormatting>
  <conditionalFormatting sqref="C4:C13">
    <cfRule type="duplicateValues" dxfId="119" priority="3"/>
    <cfRule type="duplicateValues" dxfId="118" priority="4"/>
  </conditionalFormatting>
  <conditionalFormatting sqref="C14">
    <cfRule type="duplicateValues" dxfId="117" priority="7"/>
    <cfRule type="duplicateValues" dxfId="116" priority="8"/>
  </conditionalFormatting>
  <conditionalFormatting sqref="C15">
    <cfRule type="duplicateValues" dxfId="115" priority="9"/>
    <cfRule type="duplicateValues" dxfId="114" priority="10"/>
  </conditionalFormatting>
  <conditionalFormatting sqref="C17:C3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B99E-F6CB-DC47-B258-BC6E8F091AC9}">
  <sheetPr codeName="Sheet22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-0.94813677206244507</v>
      </c>
      <c r="J2" s="28" t="e">
        <f>(S14-J14)/J14</f>
        <v>#DIV/0!</v>
      </c>
      <c r="K2" s="28"/>
      <c r="L2" s="1" t="s">
        <v>19</v>
      </c>
      <c r="P2" s="1">
        <f>(P14-H14)/H14</f>
        <v>-0.76470697832467605</v>
      </c>
      <c r="R2" s="1">
        <f>(R14-J14)/J14</f>
        <v>-0.23022824386267815</v>
      </c>
      <c r="T2" s="1" t="s">
        <v>20</v>
      </c>
      <c r="X2" s="1">
        <f>(X14-P14)/P14</f>
        <v>9.7518614050609784</v>
      </c>
      <c r="Z2" s="1">
        <f>(Z14-R14)/R14</f>
        <v>0.47161057057325412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111</v>
      </c>
      <c r="D4" s="23">
        <v>764837.74658155092</v>
      </c>
      <c r="E4" s="33">
        <v>41.736524749998352</v>
      </c>
      <c r="F4" s="5">
        <v>8</v>
      </c>
      <c r="G4" s="23">
        <v>95</v>
      </c>
      <c r="H4" s="33">
        <v>435.15738174113335</v>
      </c>
      <c r="I4" s="23">
        <v>46.866982093380969</v>
      </c>
      <c r="J4" s="5">
        <v>5665.7178798982704</v>
      </c>
      <c r="K4" s="31"/>
      <c r="L4" s="23">
        <v>954787.65759015677</v>
      </c>
      <c r="M4" s="33">
        <v>120.81020041699961</v>
      </c>
      <c r="N4" s="5">
        <v>22</v>
      </c>
      <c r="O4" s="5">
        <v>90</v>
      </c>
      <c r="P4" s="33">
        <v>103.89061385063235</v>
      </c>
      <c r="Q4" s="5">
        <v>16.742325633927759</v>
      </c>
      <c r="R4" s="5">
        <v>4158.0299508103481</v>
      </c>
      <c r="S4" s="31"/>
      <c r="T4" s="23">
        <v>875860.51829299517</v>
      </c>
      <c r="U4" s="33">
        <v>153.50844279200101</v>
      </c>
      <c r="V4" s="5">
        <v>12</v>
      </c>
      <c r="W4" s="5">
        <v>91</v>
      </c>
      <c r="X4" s="33">
        <v>661.70624182870756</v>
      </c>
      <c r="Y4" s="5">
        <v>58.364241766714855</v>
      </c>
      <c r="Z4" s="5">
        <v>5918.5711203487645</v>
      </c>
      <c r="AA4" s="35"/>
    </row>
    <row r="5" spans="2:27" x14ac:dyDescent="0.2">
      <c r="B5" s="4">
        <v>2</v>
      </c>
      <c r="C5" s="4">
        <v>147</v>
      </c>
      <c r="D5" s="23">
        <v>688313.53770740179</v>
      </c>
      <c r="E5" s="33">
        <v>67.690103291999549</v>
      </c>
      <c r="F5" s="5">
        <v>7</v>
      </c>
      <c r="G5" s="23">
        <v>95</v>
      </c>
      <c r="H5" s="33">
        <v>350.87302186851491</v>
      </c>
      <c r="I5" s="23">
        <v>58.096574805711441</v>
      </c>
      <c r="J5" s="5">
        <v>5162.4575468663315</v>
      </c>
      <c r="K5" s="31"/>
      <c r="L5" s="23">
        <v>931961.77111614565</v>
      </c>
      <c r="M5" s="33">
        <v>92.568362333004188</v>
      </c>
      <c r="N5" s="5">
        <v>22</v>
      </c>
      <c r="O5" s="5">
        <v>90</v>
      </c>
      <c r="P5" s="33">
        <v>78.046002941579772</v>
      </c>
      <c r="Q5" s="5">
        <v>17.202880099689466</v>
      </c>
      <c r="R5" s="5">
        <v>3979.8656526245218</v>
      </c>
      <c r="S5" s="31"/>
      <c r="T5" s="23">
        <v>972495.63262333116</v>
      </c>
      <c r="U5" s="33">
        <v>69.419921250002517</v>
      </c>
      <c r="V5" s="5">
        <v>12</v>
      </c>
      <c r="W5" s="5">
        <v>90</v>
      </c>
      <c r="X5" s="33">
        <v>1135.077860425673</v>
      </c>
      <c r="Y5" s="5">
        <v>60.406455246443386</v>
      </c>
      <c r="Z5" s="5">
        <v>6611.2557917992044</v>
      </c>
      <c r="AA5" s="35"/>
    </row>
    <row r="6" spans="2:27" x14ac:dyDescent="0.2">
      <c r="B6" s="4">
        <v>3</v>
      </c>
      <c r="C6" s="4">
        <v>203</v>
      </c>
      <c r="D6" s="23">
        <v>716530.96865974588</v>
      </c>
      <c r="E6" s="33">
        <v>61.885160207999427</v>
      </c>
      <c r="F6" s="5">
        <v>7</v>
      </c>
      <c r="G6" s="23">
        <v>95</v>
      </c>
      <c r="H6" s="33">
        <v>369.08180932357033</v>
      </c>
      <c r="I6" s="23">
        <v>58.800705953741229</v>
      </c>
      <c r="J6" s="5">
        <v>5447.2459276992549</v>
      </c>
      <c r="K6" s="31"/>
      <c r="L6" s="23">
        <v>988838.43571476778</v>
      </c>
      <c r="M6" s="33">
        <v>200.362284625</v>
      </c>
      <c r="N6" s="5">
        <v>24</v>
      </c>
      <c r="O6" s="5">
        <v>92</v>
      </c>
      <c r="P6" s="33">
        <v>219.39563476144164</v>
      </c>
      <c r="Q6" s="5">
        <v>15.929298384338567</v>
      </c>
      <c r="R6" s="5">
        <v>4301.3582259189943</v>
      </c>
      <c r="S6" s="31"/>
      <c r="T6" s="23">
        <v>979482.89126784564</v>
      </c>
      <c r="U6" s="33">
        <v>48.656286042001739</v>
      </c>
      <c r="V6" s="5">
        <v>13</v>
      </c>
      <c r="W6" s="5">
        <v>94</v>
      </c>
      <c r="X6" s="33">
        <v>1565.2180135398239</v>
      </c>
      <c r="Y6" s="5">
        <v>61.160583984043569</v>
      </c>
      <c r="Z6" s="5">
        <v>6697.3153230616754</v>
      </c>
      <c r="AA6" s="35"/>
    </row>
    <row r="7" spans="2:27" x14ac:dyDescent="0.2">
      <c r="B7" s="4">
        <v>4</v>
      </c>
      <c r="C7" s="4">
        <v>225</v>
      </c>
      <c r="D7" s="23">
        <v>843206.53143908968</v>
      </c>
      <c r="E7" s="33">
        <v>59.511550540999451</v>
      </c>
      <c r="F7" s="5">
        <v>9</v>
      </c>
      <c r="G7" s="23">
        <v>95</v>
      </c>
      <c r="H7" s="33">
        <v>742.75295652504462</v>
      </c>
      <c r="I7" s="23">
        <v>44.826341516567567</v>
      </c>
      <c r="J7" s="5">
        <v>6079.3959586256769</v>
      </c>
      <c r="K7" s="31"/>
      <c r="L7" s="23">
        <v>997123.8458367784</v>
      </c>
      <c r="M7" s="33">
        <v>159.7102756250024</v>
      </c>
      <c r="N7" s="5">
        <v>19</v>
      </c>
      <c r="O7" s="5">
        <v>85</v>
      </c>
      <c r="P7" s="33">
        <v>113.67217355222614</v>
      </c>
      <c r="Q7" s="5">
        <v>18.648506956082684</v>
      </c>
      <c r="R7" s="5">
        <v>4328.3128409620804</v>
      </c>
      <c r="S7" s="31"/>
      <c r="T7" s="23">
        <v>885134.50409686822</v>
      </c>
      <c r="U7" s="33">
        <v>141.53706654200499</v>
      </c>
      <c r="V7" s="5">
        <v>12</v>
      </c>
      <c r="W7" s="5">
        <v>95</v>
      </c>
      <c r="X7" s="33">
        <v>1150.3876028440261</v>
      </c>
      <c r="Y7" s="5">
        <v>65.362111886460738</v>
      </c>
      <c r="Z7" s="5">
        <v>6396.0405118802364</v>
      </c>
      <c r="AA7" s="35"/>
    </row>
    <row r="8" spans="2:27" x14ac:dyDescent="0.2">
      <c r="B8" s="4">
        <v>5</v>
      </c>
      <c r="C8" s="4">
        <v>284</v>
      </c>
      <c r="D8" s="23">
        <v>692832.88198230125</v>
      </c>
      <c r="E8" s="33">
        <v>52.668890249999087</v>
      </c>
      <c r="F8" s="5">
        <v>10</v>
      </c>
      <c r="G8" s="23">
        <v>95</v>
      </c>
      <c r="H8" s="33">
        <v>162.15205489555765</v>
      </c>
      <c r="I8" s="23">
        <v>39.624897405653108</v>
      </c>
      <c r="J8" s="5">
        <v>4680.266875587773</v>
      </c>
      <c r="K8" s="31"/>
      <c r="L8" s="23">
        <v>957572.20148004114</v>
      </c>
      <c r="M8" s="33">
        <v>97.404352958001255</v>
      </c>
      <c r="N8" s="5">
        <v>23</v>
      </c>
      <c r="O8" s="5">
        <v>91</v>
      </c>
      <c r="P8" s="33">
        <v>141.39150858806187</v>
      </c>
      <c r="Q8" s="5">
        <v>16.837997849755297</v>
      </c>
      <c r="R8" s="5">
        <v>4093.8717666467533</v>
      </c>
      <c r="S8" s="31"/>
      <c r="T8" s="23">
        <v>887397.81375433016</v>
      </c>
      <c r="U8" s="33">
        <v>91.403455791994929</v>
      </c>
      <c r="V8" s="5">
        <v>13</v>
      </c>
      <c r="W8" s="5">
        <v>94</v>
      </c>
      <c r="X8" s="33">
        <v>1009.6342940565124</v>
      </c>
      <c r="Y8" s="5">
        <v>59.279633515018581</v>
      </c>
      <c r="Z8" s="5">
        <v>6222.3786314176214</v>
      </c>
      <c r="AA8" s="35"/>
    </row>
    <row r="9" spans="2:27" x14ac:dyDescent="0.2">
      <c r="B9" s="4">
        <v>6</v>
      </c>
      <c r="C9" s="4">
        <v>302</v>
      </c>
      <c r="D9" s="23">
        <v>696954.08563585195</v>
      </c>
      <c r="E9" s="33">
        <v>40.041277874999651</v>
      </c>
      <c r="F9" s="5">
        <v>8</v>
      </c>
      <c r="G9" s="23">
        <v>95</v>
      </c>
      <c r="H9" s="33">
        <v>287.42089607460355</v>
      </c>
      <c r="I9" s="23">
        <v>50.63104950375822</v>
      </c>
      <c r="J9" s="5">
        <v>5120.8162189964387</v>
      </c>
      <c r="K9" s="31"/>
      <c r="L9" s="23">
        <v>1047209.121345042</v>
      </c>
      <c r="M9" s="33">
        <v>81.842588875006186</v>
      </c>
      <c r="N9" s="5">
        <v>25</v>
      </c>
      <c r="O9" s="5">
        <v>92</v>
      </c>
      <c r="P9" s="33">
        <v>285.25586707559177</v>
      </c>
      <c r="Q9" s="5">
        <v>15.521420663605648</v>
      </c>
      <c r="R9" s="5">
        <v>4711.4150433485675</v>
      </c>
      <c r="S9" s="31"/>
      <c r="T9" s="23">
        <v>850650.36955594504</v>
      </c>
      <c r="U9" s="33">
        <v>155.94839283300101</v>
      </c>
      <c r="V9" s="5">
        <v>14</v>
      </c>
      <c r="W9" s="5">
        <v>95</v>
      </c>
      <c r="X9" s="33">
        <v>839.13980684684714</v>
      </c>
      <c r="Y9" s="5">
        <v>56.784624318446348</v>
      </c>
      <c r="Z9" s="5">
        <v>5856.8123638636689</v>
      </c>
      <c r="AA9" s="35"/>
    </row>
    <row r="10" spans="2:27" x14ac:dyDescent="0.2">
      <c r="B10" s="4">
        <v>7</v>
      </c>
      <c r="C10" s="4">
        <v>481</v>
      </c>
      <c r="D10" s="23">
        <v>693981.82497763587</v>
      </c>
      <c r="E10" s="33">
        <v>102.73987204099831</v>
      </c>
      <c r="F10" s="5">
        <v>7</v>
      </c>
      <c r="G10" s="23">
        <v>95</v>
      </c>
      <c r="H10" s="33">
        <v>337.61115562101537</v>
      </c>
      <c r="I10" s="23">
        <v>60.78276071041347</v>
      </c>
      <c r="J10" s="5">
        <v>5244.5162880484986</v>
      </c>
      <c r="K10" s="31"/>
      <c r="L10" s="23">
        <v>977364.9609317272</v>
      </c>
      <c r="M10" s="33">
        <v>166.48481441700281</v>
      </c>
      <c r="N10" s="5">
        <v>24</v>
      </c>
      <c r="O10" s="5">
        <v>91</v>
      </c>
      <c r="P10" s="33">
        <v>136.78285033262534</v>
      </c>
      <c r="Q10" s="5">
        <v>16.093064037392441</v>
      </c>
      <c r="R10" s="5">
        <v>4136.5399532794427</v>
      </c>
      <c r="S10" s="31"/>
      <c r="T10" s="23">
        <v>907415.58446565922</v>
      </c>
      <c r="U10" s="33">
        <v>64.422773334001249</v>
      </c>
      <c r="V10" s="5">
        <v>14</v>
      </c>
      <c r="W10" s="5">
        <v>94</v>
      </c>
      <c r="X10" s="33">
        <v>945.44507542594033</v>
      </c>
      <c r="Y10" s="5">
        <v>55.526682416982489</v>
      </c>
      <c r="Z10" s="5">
        <v>6260.6313934481277</v>
      </c>
      <c r="AA10" s="35"/>
    </row>
    <row r="11" spans="2:27" x14ac:dyDescent="0.2">
      <c r="B11" s="4">
        <v>8</v>
      </c>
      <c r="C11" s="4">
        <v>535</v>
      </c>
      <c r="D11" s="23">
        <v>733281.79396066302</v>
      </c>
      <c r="E11" s="33">
        <v>77.91965991699908</v>
      </c>
      <c r="F11" s="5">
        <v>8</v>
      </c>
      <c r="G11" s="23">
        <v>95</v>
      </c>
      <c r="H11" s="33">
        <v>272.61194005770551</v>
      </c>
      <c r="I11" s="23">
        <v>50.459346315075052</v>
      </c>
      <c r="J11" s="5">
        <v>5485.8713918328731</v>
      </c>
      <c r="K11" s="31"/>
      <c r="L11" s="23">
        <v>970989.2412272559</v>
      </c>
      <c r="M11" s="33">
        <v>114.7435536249977</v>
      </c>
      <c r="N11" s="5">
        <v>23</v>
      </c>
      <c r="O11" s="5">
        <v>91</v>
      </c>
      <c r="P11" s="33">
        <v>182.75578959647353</v>
      </c>
      <c r="Q11" s="5">
        <v>16.694891703108471</v>
      </c>
      <c r="R11" s="5">
        <v>4247.5448923709164</v>
      </c>
      <c r="S11" s="31"/>
      <c r="T11" s="23">
        <v>913453.67986573256</v>
      </c>
      <c r="U11" s="33">
        <v>78.85154062500078</v>
      </c>
      <c r="V11" s="5">
        <v>12</v>
      </c>
      <c r="W11" s="5">
        <v>91</v>
      </c>
      <c r="X11" s="33">
        <v>929.71361384229397</v>
      </c>
      <c r="Y11" s="5">
        <v>59.371865527323273</v>
      </c>
      <c r="Z11" s="5">
        <v>6183.8408099446742</v>
      </c>
      <c r="AA11" s="35"/>
    </row>
    <row r="12" spans="2:27" x14ac:dyDescent="0.2">
      <c r="B12" s="4">
        <v>9</v>
      </c>
      <c r="C12" s="4">
        <v>671</v>
      </c>
      <c r="D12" s="23">
        <v>685904.41344681231</v>
      </c>
      <c r="E12" s="33">
        <v>87.515207790998829</v>
      </c>
      <c r="F12" s="5">
        <v>7</v>
      </c>
      <c r="G12" s="23">
        <v>95</v>
      </c>
      <c r="H12" s="33">
        <v>331.69705750676218</v>
      </c>
      <c r="I12" s="23">
        <v>57.968125512629953</v>
      </c>
      <c r="J12" s="5">
        <v>5170.1892423220343</v>
      </c>
      <c r="K12" s="31"/>
      <c r="L12" s="23">
        <v>946770.27058894932</v>
      </c>
      <c r="M12" s="33">
        <v>173.72957129200219</v>
      </c>
      <c r="N12" s="5">
        <v>22</v>
      </c>
      <c r="O12" s="5">
        <v>90</v>
      </c>
      <c r="P12" s="33">
        <v>150.62393712785322</v>
      </c>
      <c r="Q12" s="5">
        <v>16.880794358000593</v>
      </c>
      <c r="R12" s="5">
        <v>4040.4124665327363</v>
      </c>
      <c r="S12" s="31"/>
      <c r="T12" s="23">
        <v>878867.82685635041</v>
      </c>
      <c r="U12" s="33">
        <v>119.9443295419987</v>
      </c>
      <c r="V12" s="5">
        <v>11</v>
      </c>
      <c r="W12" s="5">
        <v>92</v>
      </c>
      <c r="X12" s="33">
        <v>831.5109858936296</v>
      </c>
      <c r="Y12" s="5">
        <v>66.814447180922926</v>
      </c>
      <c r="Z12" s="5">
        <v>6268.0132896025343</v>
      </c>
      <c r="AA12" s="35"/>
    </row>
    <row r="13" spans="2:27" x14ac:dyDescent="0.2">
      <c r="B13" s="4">
        <v>10</v>
      </c>
      <c r="C13" s="4">
        <v>899</v>
      </c>
      <c r="D13" s="23">
        <v>746089.67482721328</v>
      </c>
      <c r="E13" s="33">
        <v>35.92977179099762</v>
      </c>
      <c r="F13" s="5">
        <v>9</v>
      </c>
      <c r="G13" s="23">
        <v>95</v>
      </c>
      <c r="H13" s="33">
        <v>472.15735173029981</v>
      </c>
      <c r="I13" s="23">
        <v>45.087112230580352</v>
      </c>
      <c r="J13" s="5">
        <v>5263.0202332231493</v>
      </c>
      <c r="K13" s="31"/>
      <c r="L13" s="23">
        <v>952386.07481890568</v>
      </c>
      <c r="M13" s="33">
        <v>107.5946981250017</v>
      </c>
      <c r="N13" s="5">
        <v>21</v>
      </c>
      <c r="O13" s="5">
        <v>88</v>
      </c>
      <c r="P13" s="33">
        <v>104.99531197071346</v>
      </c>
      <c r="Q13" s="5">
        <v>17.278998248541818</v>
      </c>
      <c r="R13" s="5">
        <v>3974.547528665853</v>
      </c>
      <c r="S13" s="31"/>
      <c r="T13" s="23">
        <v>865424.30518531881</v>
      </c>
      <c r="U13" s="33">
        <v>153.0285796669996</v>
      </c>
      <c r="V13" s="5">
        <v>13</v>
      </c>
      <c r="W13" s="5">
        <v>95</v>
      </c>
      <c r="X13" s="33">
        <v>947.36255817506526</v>
      </c>
      <c r="Y13" s="5">
        <v>60.535402219114751</v>
      </c>
      <c r="Z13" s="5">
        <v>6138.5126253509134</v>
      </c>
      <c r="AA13" s="35"/>
    </row>
    <row r="14" spans="2:27" x14ac:dyDescent="0.2">
      <c r="B14" s="46" t="s">
        <v>3</v>
      </c>
      <c r="C14" s="47"/>
      <c r="D14" s="9">
        <f>MIN(D4:D13)</f>
        <v>685904.41344681231</v>
      </c>
      <c r="E14" s="22">
        <f>INDEX(E4:E13, MATCH($D$14, D4:D13, 0))</f>
        <v>87.515207790998829</v>
      </c>
      <c r="F14" s="9">
        <f>INDEX(F4:F13, MATCH($D$14, D4:D13, 0))</f>
        <v>7</v>
      </c>
      <c r="G14" s="9">
        <f>INDEX(G4:G13, MATCH($D$14, D4:D13, 0))</f>
        <v>95</v>
      </c>
      <c r="H14" s="22">
        <f>INDEX(H4:H13, MATCH($D$14, D4:D13, 0))</f>
        <v>331.69705750676218</v>
      </c>
      <c r="I14" s="22">
        <f>INDEX(I4:I13, MATCH($D$14, D4:D13, 0))</f>
        <v>57.968125512629953</v>
      </c>
      <c r="J14" s="22">
        <f>INDEX(J4:J13, MATCH($D$14, D4:D13, 0))</f>
        <v>5170.1892423220343</v>
      </c>
      <c r="K14" s="32" t="e">
        <f>(D14-$D$15)/$D$15</f>
        <v>#DIV/0!</v>
      </c>
      <c r="L14" s="16">
        <f>MIN(L4:L13)</f>
        <v>931961.77111614565</v>
      </c>
      <c r="M14" s="21">
        <f>INDEX(M4:M13, MATCH($L$14, L4:L13, 0))</f>
        <v>92.568362333004188</v>
      </c>
      <c r="N14" s="16">
        <f>INDEX(N4:N13, MATCH($L$14, L4:L13, 0))</f>
        <v>22</v>
      </c>
      <c r="O14" s="16">
        <f>INDEX(O4:O13, MATCH($L$14, L4:L13, 0))</f>
        <v>90</v>
      </c>
      <c r="P14" s="21">
        <f>INDEX(P4:P13, MATCH($L$14, L4:L13, 0))</f>
        <v>78.046002941579772</v>
      </c>
      <c r="Q14" s="21">
        <f>INDEX(Q4:Q13, MATCH($L$14, L4:L13, 0))</f>
        <v>17.202880099689466</v>
      </c>
      <c r="R14" s="21">
        <f>INDEX(R4:R13, MATCH($L$14, L4:L13, 0))</f>
        <v>3979.8656526245218</v>
      </c>
      <c r="S14" s="36" t="e">
        <f>(L14-$D$15)/$D$15</f>
        <v>#DIV/0!</v>
      </c>
      <c r="T14" s="38">
        <f>MIN(T4:T13)</f>
        <v>850650.36955594504</v>
      </c>
      <c r="U14" s="39">
        <f>INDEX(U4:U13, MATCH($T$14, T4:T13, 0))</f>
        <v>155.94839283300101</v>
      </c>
      <c r="V14" s="38">
        <f>INDEX(V4:V13, MATCH($T$14, T4:T13, 0))</f>
        <v>14</v>
      </c>
      <c r="W14" s="38">
        <f>INDEX(W4:W13, MATCH($T$14, T4:T13, 0))</f>
        <v>95</v>
      </c>
      <c r="X14" s="39">
        <f>INDEX(X4:X13, MATCH($T$14, T4:T13, 0))</f>
        <v>839.13980684684714</v>
      </c>
      <c r="Y14" s="39">
        <f>INDEX(Y4:Y13, MATCH($T$14, T4:T13, 0))</f>
        <v>56.784624318446348</v>
      </c>
      <c r="Z14" s="39">
        <f>INDEX(Z4:Z13, MATCH($T$14, T4:T13, 0))</f>
        <v>5856.8123638636689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0.3587341805148096</v>
      </c>
      <c r="M15" s="45">
        <f t="shared" ref="M15:R15" si="0">(M14-E14)/E14</f>
        <v>5.77403021663749E-2</v>
      </c>
      <c r="N15" s="45">
        <f t="shared" si="0"/>
        <v>2.1428571428571428</v>
      </c>
      <c r="O15" s="45">
        <f t="shared" si="0"/>
        <v>-5.2631578947368418E-2</v>
      </c>
      <c r="P15" s="45">
        <f t="shared" si="0"/>
        <v>-0.76470697832467605</v>
      </c>
      <c r="Q15" s="45">
        <f t="shared" si="0"/>
        <v>-0.70323552905050646</v>
      </c>
      <c r="R15" s="45">
        <f t="shared" si="0"/>
        <v>-0.23022824386267815</v>
      </c>
      <c r="S15"/>
      <c r="T15" s="45">
        <f>(T14-D14)/D14</f>
        <v>0.24018792251423204</v>
      </c>
      <c r="U15" s="45">
        <f t="shared" ref="U15:Z15" si="1">(U14-E14)/E14</f>
        <v>0.78195763649938699</v>
      </c>
      <c r="V15" s="45">
        <f t="shared" si="1"/>
        <v>1</v>
      </c>
      <c r="W15" s="45">
        <f>(W14-G14)/G14</f>
        <v>0</v>
      </c>
      <c r="X15" s="45">
        <f t="shared" si="1"/>
        <v>1.529837958631092</v>
      </c>
      <c r="Y15" s="45">
        <f t="shared" si="1"/>
        <v>-2.0416413049715528E-2</v>
      </c>
      <c r="Z15" s="45">
        <f t="shared" si="1"/>
        <v>0.13280425326042003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113" priority="9"/>
    <cfRule type="duplicateValues" dxfId="112" priority="10"/>
  </conditionalFormatting>
  <conditionalFormatting sqref="C4:C13">
    <cfRule type="duplicateValues" dxfId="111" priority="3"/>
    <cfRule type="duplicateValues" dxfId="110" priority="4"/>
  </conditionalFormatting>
  <conditionalFormatting sqref="C14">
    <cfRule type="duplicateValues" dxfId="109" priority="5"/>
    <cfRule type="duplicateValues" dxfId="108" priority="6"/>
  </conditionalFormatting>
  <conditionalFormatting sqref="C15">
    <cfRule type="duplicateValues" dxfId="107" priority="7"/>
    <cfRule type="duplicateValues" dxfId="106" priority="8"/>
  </conditionalFormatting>
  <conditionalFormatting sqref="C17:C3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BEA7-B420-7B4C-923E-6E8A94F2EAC7}">
  <sheetPr codeName="Sheet23"/>
  <dimension ref="B1:AA17"/>
  <sheetViews>
    <sheetView zoomScale="125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-0.97383272867095161</v>
      </c>
      <c r="J2" s="28" t="e">
        <f>(S14-J14)/J14</f>
        <v>#DIV/0!</v>
      </c>
      <c r="K2" s="28"/>
      <c r="L2" s="1" t="s">
        <v>19</v>
      </c>
      <c r="P2" s="1">
        <f>(P14-H14)/H14</f>
        <v>-0.2340718299201934</v>
      </c>
      <c r="R2" s="1">
        <f>(R14-J14)/J14</f>
        <v>-0.16555404761780387</v>
      </c>
      <c r="T2" s="1" t="s">
        <v>20</v>
      </c>
      <c r="X2" s="1">
        <f>(X14-P14)/P14</f>
        <v>1.2110176710582858</v>
      </c>
      <c r="Z2" s="1">
        <f>(Z14-R14)/R14</f>
        <v>0.32686635692944827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229</v>
      </c>
      <c r="D4" s="23">
        <v>928251.29883187381</v>
      </c>
      <c r="E4" s="33">
        <v>147.52847279200071</v>
      </c>
      <c r="F4" s="5">
        <v>10</v>
      </c>
      <c r="G4" s="23">
        <v>92</v>
      </c>
      <c r="H4" s="33">
        <v>653.88248397360758</v>
      </c>
      <c r="I4" s="23">
        <v>35.752723489082271</v>
      </c>
      <c r="J4" s="5">
        <v>6169.3924001426958</v>
      </c>
      <c r="K4" s="31"/>
      <c r="L4" s="23">
        <v>1124738.035389516</v>
      </c>
      <c r="M4" s="33">
        <v>101.8296086249975</v>
      </c>
      <c r="N4" s="5">
        <v>17</v>
      </c>
      <c r="O4" s="5">
        <v>81</v>
      </c>
      <c r="P4" s="33">
        <v>343.68841415354649</v>
      </c>
      <c r="Q4" s="5">
        <v>18.268010269745417</v>
      </c>
      <c r="R4" s="5">
        <v>5286.932779144955</v>
      </c>
      <c r="S4" s="31"/>
      <c r="T4" s="23">
        <v>1187679.448393188</v>
      </c>
      <c r="U4" s="33">
        <v>167.72651883299841</v>
      </c>
      <c r="V4" s="5">
        <v>9</v>
      </c>
      <c r="W4" s="5">
        <v>74</v>
      </c>
      <c r="X4" s="33">
        <v>1002.1162049250631</v>
      </c>
      <c r="Y4" s="5">
        <v>48.908111353195935</v>
      </c>
      <c r="Z4" s="5">
        <v>6780.9763277594275</v>
      </c>
      <c r="AA4" s="35"/>
    </row>
    <row r="5" spans="2:27" x14ac:dyDescent="0.2">
      <c r="B5" s="4">
        <v>2</v>
      </c>
      <c r="C5" s="4">
        <v>235</v>
      </c>
      <c r="D5" s="23">
        <v>1039085.49444603</v>
      </c>
      <c r="E5" s="33">
        <v>105.1355934589992</v>
      </c>
      <c r="F5" s="5">
        <v>10</v>
      </c>
      <c r="G5" s="23">
        <v>86</v>
      </c>
      <c r="H5" s="33">
        <v>846.19282667741754</v>
      </c>
      <c r="I5" s="23">
        <v>34.110964183440707</v>
      </c>
      <c r="J5" s="5">
        <v>6417.2585754907459</v>
      </c>
      <c r="K5" s="31"/>
      <c r="L5" s="23">
        <v>1139816.251144415</v>
      </c>
      <c r="M5" s="33">
        <v>182.68240229199731</v>
      </c>
      <c r="N5" s="5">
        <v>22</v>
      </c>
      <c r="O5" s="5">
        <v>87</v>
      </c>
      <c r="P5" s="33">
        <v>599.17749056403534</v>
      </c>
      <c r="Q5" s="5">
        <v>15.885903491499283</v>
      </c>
      <c r="R5" s="5">
        <v>5197.2611382117884</v>
      </c>
      <c r="S5" s="31"/>
      <c r="T5" s="23">
        <v>1231733.298975925</v>
      </c>
      <c r="U5" s="33">
        <v>115.99045250000199</v>
      </c>
      <c r="V5" s="5">
        <v>11</v>
      </c>
      <c r="W5" s="5">
        <v>74</v>
      </c>
      <c r="X5" s="33">
        <v>1100.2476493799209</v>
      </c>
      <c r="Y5" s="5">
        <v>40.403785181818058</v>
      </c>
      <c r="Z5" s="5">
        <v>6728.3679121649011</v>
      </c>
      <c r="AA5" s="35"/>
    </row>
    <row r="6" spans="2:27" x14ac:dyDescent="0.2">
      <c r="B6" s="4">
        <v>3</v>
      </c>
      <c r="C6" s="4">
        <v>271</v>
      </c>
      <c r="D6" s="23">
        <v>953930.38047468942</v>
      </c>
      <c r="E6" s="33">
        <v>79.569936957999744</v>
      </c>
      <c r="F6" s="5">
        <v>9</v>
      </c>
      <c r="G6" s="23">
        <v>92</v>
      </c>
      <c r="H6" s="33">
        <v>928.13524893746228</v>
      </c>
      <c r="I6" s="23">
        <v>40.410032552544358</v>
      </c>
      <c r="J6" s="5">
        <v>6482.3064031573977</v>
      </c>
      <c r="K6" s="31"/>
      <c r="L6" s="23">
        <v>1136142.1662520911</v>
      </c>
      <c r="M6" s="33">
        <v>111.180064375003</v>
      </c>
      <c r="N6" s="5">
        <v>22</v>
      </c>
      <c r="O6" s="5">
        <v>88</v>
      </c>
      <c r="P6" s="33">
        <v>560.25141423907212</v>
      </c>
      <c r="Q6" s="5">
        <v>15.863784321290343</v>
      </c>
      <c r="R6" s="5">
        <v>5291.7924498124103</v>
      </c>
      <c r="S6" s="31"/>
      <c r="T6" s="23">
        <v>1218220.777672705</v>
      </c>
      <c r="U6" s="33">
        <v>62.671507584003848</v>
      </c>
      <c r="V6" s="5">
        <v>9</v>
      </c>
      <c r="W6" s="5">
        <v>75</v>
      </c>
      <c r="X6" s="33">
        <v>1273.3404640477982</v>
      </c>
      <c r="Y6" s="5">
        <v>48.930014608612503</v>
      </c>
      <c r="Z6" s="5">
        <v>7099.0870737682735</v>
      </c>
      <c r="AA6" s="35"/>
    </row>
    <row r="7" spans="2:27" x14ac:dyDescent="0.2">
      <c r="B7" s="4">
        <v>4</v>
      </c>
      <c r="C7" s="4">
        <v>310</v>
      </c>
      <c r="D7" s="23">
        <v>948334.03757921024</v>
      </c>
      <c r="E7" s="33">
        <v>96.61544029200013</v>
      </c>
      <c r="F7" s="5">
        <v>9</v>
      </c>
      <c r="G7" s="23">
        <v>93</v>
      </c>
      <c r="H7" s="33">
        <v>941.3912390476994</v>
      </c>
      <c r="I7" s="23">
        <v>41.625231393687812</v>
      </c>
      <c r="J7" s="5">
        <v>6560.7561137392122</v>
      </c>
      <c r="K7" s="31"/>
      <c r="L7" s="23">
        <v>1150781.297589815</v>
      </c>
      <c r="M7" s="33">
        <v>118.7429009999978</v>
      </c>
      <c r="N7" s="5">
        <v>23</v>
      </c>
      <c r="O7" s="5">
        <v>88</v>
      </c>
      <c r="P7" s="33">
        <v>560.49928184139071</v>
      </c>
      <c r="Q7" s="5">
        <v>15.252661463804175</v>
      </c>
      <c r="R7" s="5">
        <v>5254.805314158154</v>
      </c>
      <c r="S7" s="31"/>
      <c r="T7" s="23">
        <v>1184469.8902702311</v>
      </c>
      <c r="U7" s="33">
        <v>61.565926083996601</v>
      </c>
      <c r="V7" s="5">
        <v>10</v>
      </c>
      <c r="W7" s="5">
        <v>74</v>
      </c>
      <c r="X7" s="33">
        <v>838.59225448362986</v>
      </c>
      <c r="Y7" s="5">
        <v>44.366628066625026</v>
      </c>
      <c r="Z7" s="5">
        <v>6578.3400980168917</v>
      </c>
      <c r="AA7" s="35"/>
    </row>
    <row r="8" spans="2:27" x14ac:dyDescent="0.2">
      <c r="B8" s="4">
        <v>5</v>
      </c>
      <c r="C8" s="4">
        <v>319</v>
      </c>
      <c r="D8" s="23">
        <v>979083.26978882879</v>
      </c>
      <c r="E8" s="33">
        <v>41.868938999999948</v>
      </c>
      <c r="F8" s="5">
        <v>9</v>
      </c>
      <c r="G8" s="23">
        <v>90</v>
      </c>
      <c r="H8" s="33">
        <v>869.98475933406462</v>
      </c>
      <c r="I8" s="23">
        <v>39.151611083561754</v>
      </c>
      <c r="J8" s="5">
        <v>6487.4772071984871</v>
      </c>
      <c r="K8" s="31"/>
      <c r="L8" s="23">
        <v>1111674.978689041</v>
      </c>
      <c r="M8" s="33">
        <v>179.43952858299599</v>
      </c>
      <c r="N8" s="5">
        <v>21</v>
      </c>
      <c r="O8" s="5">
        <v>86</v>
      </c>
      <c r="P8" s="33">
        <v>446.3317214790822</v>
      </c>
      <c r="Q8" s="5">
        <v>16.053850628375386</v>
      </c>
      <c r="R8" s="5">
        <v>5051.4857337659696</v>
      </c>
      <c r="S8" s="31"/>
      <c r="T8" s="23">
        <v>1192485.1331740301</v>
      </c>
      <c r="U8" s="33">
        <v>108.17220641699529</v>
      </c>
      <c r="V8" s="5">
        <v>10</v>
      </c>
      <c r="W8" s="5">
        <v>70</v>
      </c>
      <c r="X8" s="33">
        <v>592.02321317989447</v>
      </c>
      <c r="Y8" s="5">
        <v>39.91134812655978</v>
      </c>
      <c r="Z8" s="5">
        <v>6063.2411171600306</v>
      </c>
      <c r="AA8" s="35"/>
    </row>
    <row r="9" spans="2:27" x14ac:dyDescent="0.2">
      <c r="B9" s="4">
        <v>6</v>
      </c>
      <c r="C9" s="4">
        <v>329</v>
      </c>
      <c r="D9" s="23">
        <v>907298.53147202474</v>
      </c>
      <c r="E9" s="33">
        <v>115.167511959</v>
      </c>
      <c r="F9" s="5">
        <v>10</v>
      </c>
      <c r="G9" s="23">
        <v>92</v>
      </c>
      <c r="H9" s="33">
        <v>607.00375193376715</v>
      </c>
      <c r="I9" s="23">
        <v>36.472450919501064</v>
      </c>
      <c r="J9" s="5">
        <v>6020.2521679365173</v>
      </c>
      <c r="K9" s="31"/>
      <c r="L9" s="23">
        <v>1169287.1182319189</v>
      </c>
      <c r="M9" s="33">
        <v>75.332663042005152</v>
      </c>
      <c r="N9" s="5">
        <v>24</v>
      </c>
      <c r="O9" s="5">
        <v>90</v>
      </c>
      <c r="P9" s="33">
        <v>696.87311015219097</v>
      </c>
      <c r="Q9" s="5">
        <v>14.785950170464709</v>
      </c>
      <c r="R9" s="5">
        <v>5459.9453139633033</v>
      </c>
      <c r="S9" s="31"/>
      <c r="T9" s="23">
        <v>1172376.5533156891</v>
      </c>
      <c r="U9" s="33">
        <v>86.266091875004349</v>
      </c>
      <c r="V9" s="5">
        <v>11</v>
      </c>
      <c r="W9" s="5">
        <v>78</v>
      </c>
      <c r="X9" s="33">
        <v>1027.9491501438206</v>
      </c>
      <c r="Y9" s="5">
        <v>41.165217872372367</v>
      </c>
      <c r="Z9" s="5">
        <v>6665.612730469933</v>
      </c>
      <c r="AA9" s="35"/>
    </row>
    <row r="10" spans="2:27" x14ac:dyDescent="0.2">
      <c r="B10" s="4">
        <v>7</v>
      </c>
      <c r="C10" s="4">
        <v>376</v>
      </c>
      <c r="D10" s="23">
        <v>917207.16412874637</v>
      </c>
      <c r="E10" s="33">
        <v>50.290215916000307</v>
      </c>
      <c r="F10" s="5">
        <v>10</v>
      </c>
      <c r="G10" s="23">
        <v>90</v>
      </c>
      <c r="H10" s="33">
        <v>615.94312970952956</v>
      </c>
      <c r="I10" s="23">
        <v>35.384998122377873</v>
      </c>
      <c r="J10" s="5">
        <v>5835.0627903582281</v>
      </c>
      <c r="K10" s="31"/>
      <c r="L10" s="23">
        <v>1206461.0408527141</v>
      </c>
      <c r="M10" s="33">
        <v>188.1750439169991</v>
      </c>
      <c r="N10" s="5">
        <v>24</v>
      </c>
      <c r="O10" s="5">
        <v>90</v>
      </c>
      <c r="P10" s="33">
        <v>951.63133694035889</v>
      </c>
      <c r="Q10" s="5">
        <v>14.72932014678563</v>
      </c>
      <c r="R10" s="5">
        <v>5608.8169651835397</v>
      </c>
      <c r="S10" s="31"/>
      <c r="T10" s="23">
        <v>1215151.7430992001</v>
      </c>
      <c r="U10" s="33">
        <v>67.515861207997659</v>
      </c>
      <c r="V10" s="5">
        <v>9</v>
      </c>
      <c r="W10" s="5">
        <v>71</v>
      </c>
      <c r="X10" s="33">
        <v>928.40949883809617</v>
      </c>
      <c r="Y10" s="5">
        <v>47.285354686814721</v>
      </c>
      <c r="Z10" s="5">
        <v>6653.6694221853732</v>
      </c>
      <c r="AA10" s="35"/>
    </row>
    <row r="11" spans="2:27" x14ac:dyDescent="0.2">
      <c r="B11" s="4">
        <v>8</v>
      </c>
      <c r="C11" s="4">
        <v>495</v>
      </c>
      <c r="D11" s="23">
        <v>944956.33156765474</v>
      </c>
      <c r="E11" s="33">
        <v>108.1452245</v>
      </c>
      <c r="F11" s="5">
        <v>9</v>
      </c>
      <c r="G11" s="23">
        <v>92</v>
      </c>
      <c r="H11" s="33">
        <v>837.08447306495748</v>
      </c>
      <c r="I11" s="23">
        <v>40.584193857651343</v>
      </c>
      <c r="J11" s="5">
        <v>6443.3571200963188</v>
      </c>
      <c r="K11" s="31"/>
      <c r="L11" s="23">
        <v>1163586.126298398</v>
      </c>
      <c r="M11" s="33">
        <v>88.141053542000009</v>
      </c>
      <c r="N11" s="5">
        <v>20</v>
      </c>
      <c r="O11" s="5">
        <v>83</v>
      </c>
      <c r="P11" s="33">
        <v>473.64035898063639</v>
      </c>
      <c r="Q11" s="5">
        <v>16.234025526023505</v>
      </c>
      <c r="R11" s="5">
        <v>5251.3009133487294</v>
      </c>
      <c r="S11" s="31"/>
      <c r="T11" s="23">
        <v>1198959.3878138319</v>
      </c>
      <c r="U11" s="33">
        <v>63.749951292003971</v>
      </c>
      <c r="V11" s="5">
        <v>9</v>
      </c>
      <c r="W11" s="5">
        <v>75</v>
      </c>
      <c r="X11" s="33">
        <v>1126.189116751912</v>
      </c>
      <c r="Y11" s="5">
        <v>49.475076523772671</v>
      </c>
      <c r="Z11" s="5">
        <v>6963.7594205604464</v>
      </c>
      <c r="AA11" s="35"/>
    </row>
    <row r="12" spans="2:27" x14ac:dyDescent="0.2">
      <c r="B12" s="4">
        <v>9</v>
      </c>
      <c r="C12" s="4">
        <v>594</v>
      </c>
      <c r="D12" s="23">
        <v>941754.43569890666</v>
      </c>
      <c r="E12" s="33">
        <v>66.824655792002886</v>
      </c>
      <c r="F12" s="5">
        <v>9</v>
      </c>
      <c r="G12" s="23">
        <v>92</v>
      </c>
      <c r="H12" s="33">
        <v>853.20198088125949</v>
      </c>
      <c r="I12" s="23">
        <v>40.203079455576685</v>
      </c>
      <c r="J12" s="5">
        <v>6400.8843084558775</v>
      </c>
      <c r="K12" s="31"/>
      <c r="L12" s="23">
        <v>1139780.8607866671</v>
      </c>
      <c r="M12" s="33">
        <v>173.25259237499989</v>
      </c>
      <c r="N12" s="5">
        <v>20</v>
      </c>
      <c r="O12" s="5">
        <v>87</v>
      </c>
      <c r="P12" s="33">
        <v>668.8779054853876</v>
      </c>
      <c r="Q12" s="5">
        <v>16.960338731222013</v>
      </c>
      <c r="R12" s="5">
        <v>5578.6120474140362</v>
      </c>
      <c r="S12" s="31"/>
      <c r="T12" s="23">
        <v>1274457.6033920441</v>
      </c>
      <c r="U12" s="33">
        <v>72.552179500002239</v>
      </c>
      <c r="V12" s="5">
        <v>9</v>
      </c>
      <c r="W12" s="5">
        <v>70</v>
      </c>
      <c r="X12" s="33">
        <v>1223.9056578405141</v>
      </c>
      <c r="Y12" s="5">
        <v>47.230204455928892</v>
      </c>
      <c r="Z12" s="5">
        <v>7106.8205475458781</v>
      </c>
      <c r="AA12" s="35"/>
    </row>
    <row r="13" spans="2:27" x14ac:dyDescent="0.2">
      <c r="B13" s="4">
        <v>10</v>
      </c>
      <c r="C13" s="4">
        <v>742</v>
      </c>
      <c r="D13" s="23">
        <v>980420.56356852024</v>
      </c>
      <c r="E13" s="33">
        <v>96.693296000001283</v>
      </c>
      <c r="F13" s="5">
        <v>9</v>
      </c>
      <c r="G13" s="23">
        <v>90</v>
      </c>
      <c r="H13" s="33">
        <v>861.75757450935021</v>
      </c>
      <c r="I13" s="23">
        <v>39.021075545951661</v>
      </c>
      <c r="J13" s="5">
        <v>6568.4205707141537</v>
      </c>
      <c r="K13" s="31"/>
      <c r="L13" s="23">
        <v>1091784.6990928629</v>
      </c>
      <c r="M13" s="33">
        <v>131.21839629200261</v>
      </c>
      <c r="N13" s="5">
        <v>22</v>
      </c>
      <c r="O13" s="5">
        <v>89</v>
      </c>
      <c r="P13" s="33">
        <v>464.92127295020714</v>
      </c>
      <c r="Q13" s="5">
        <v>15.883631874601246</v>
      </c>
      <c r="R13" s="5">
        <v>5023.5750538547682</v>
      </c>
      <c r="S13" s="31"/>
      <c r="T13" s="23">
        <v>1233761.5926360651</v>
      </c>
      <c r="U13" s="33">
        <v>75.905768292002904</v>
      </c>
      <c r="V13" s="5">
        <v>10</v>
      </c>
      <c r="W13" s="5">
        <v>72</v>
      </c>
      <c r="X13" s="33">
        <v>1006.5156823680894</v>
      </c>
      <c r="Y13" s="5">
        <v>41.329683035309976</v>
      </c>
      <c r="Z13" s="5">
        <v>6739.1420747183538</v>
      </c>
      <c r="AA13" s="35"/>
    </row>
    <row r="14" spans="2:27" x14ac:dyDescent="0.2">
      <c r="B14" s="46" t="s">
        <v>3</v>
      </c>
      <c r="C14" s="47"/>
      <c r="D14" s="9">
        <f>MIN(D4:D13)</f>
        <v>907298.53147202474</v>
      </c>
      <c r="E14" s="22">
        <f>INDEX(E4:E13, MATCH($D$14, D4:D13, 0))</f>
        <v>115.167511959</v>
      </c>
      <c r="F14" s="9">
        <f>INDEX(F4:F13, MATCH($D$14, D4:D13, 0))</f>
        <v>10</v>
      </c>
      <c r="G14" s="9">
        <f>INDEX(G4:G13, MATCH($D$14, D4:D13, 0))</f>
        <v>92</v>
      </c>
      <c r="H14" s="22">
        <f>INDEX(H4:H13, MATCH($D$14, D4:D13, 0))</f>
        <v>607.00375193376715</v>
      </c>
      <c r="I14" s="22">
        <f>INDEX(I4:I13, MATCH($D$14, D4:D13, 0))</f>
        <v>36.472450919501064</v>
      </c>
      <c r="J14" s="22">
        <f>INDEX(J4:J13, MATCH($D$14, D4:D13, 0))</f>
        <v>6020.2521679365173</v>
      </c>
      <c r="K14" s="32" t="e">
        <f>(D14-$D$15)/$D$15</f>
        <v>#DIV/0!</v>
      </c>
      <c r="L14" s="16">
        <f>MIN(L4:L13)</f>
        <v>1091784.6990928629</v>
      </c>
      <c r="M14" s="21">
        <f>INDEX(M4:M13, MATCH($L$14, L4:L13, 0))</f>
        <v>131.21839629200261</v>
      </c>
      <c r="N14" s="16">
        <f>INDEX(N4:N13, MATCH($L$14, L4:L13, 0))</f>
        <v>22</v>
      </c>
      <c r="O14" s="16">
        <f>INDEX(O4:O13, MATCH($L$14, L4:L13, 0))</f>
        <v>89</v>
      </c>
      <c r="P14" s="21">
        <f>INDEX(P4:P13, MATCH($L$14, L4:L13, 0))</f>
        <v>464.92127295020714</v>
      </c>
      <c r="Q14" s="21">
        <f>INDEX(Q4:Q13, MATCH($L$14, L4:L13, 0))</f>
        <v>15.883631874601246</v>
      </c>
      <c r="R14" s="21">
        <f>INDEX(R4:R13, MATCH($L$14, L4:L13, 0))</f>
        <v>5023.5750538547682</v>
      </c>
      <c r="S14" s="36" t="e">
        <f>(L14-$D$15)/$D$15</f>
        <v>#DIV/0!</v>
      </c>
      <c r="T14" s="38">
        <f>MIN(T4:T13)</f>
        <v>1172376.5533156891</v>
      </c>
      <c r="U14" s="39">
        <f>INDEX(U4:U13, MATCH($T$14, T4:T13, 0))</f>
        <v>86.266091875004349</v>
      </c>
      <c r="V14" s="38">
        <f>INDEX(V4:V13, MATCH($T$14, T4:T13, 0))</f>
        <v>11</v>
      </c>
      <c r="W14" s="38">
        <f>INDEX(W4:W13, MATCH($T$14, T4:T13, 0))</f>
        <v>78</v>
      </c>
      <c r="X14" s="39">
        <f>INDEX(X4:X13, MATCH($T$14, T4:T13, 0))</f>
        <v>1027.9491501438206</v>
      </c>
      <c r="Y14" s="39">
        <f>INDEX(Y4:Y13, MATCH($T$14, T4:T13, 0))</f>
        <v>41.165217872372367</v>
      </c>
      <c r="Z14" s="39">
        <f>INDEX(Z4:Z13, MATCH($T$14, T4:T13, 0))</f>
        <v>6665.612730469933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0.2033356841452427</v>
      </c>
      <c r="M15" s="45">
        <f t="shared" ref="M15:R15" si="0">(M14-E14)/E14</f>
        <v>0.13936989746480571</v>
      </c>
      <c r="N15" s="45">
        <f t="shared" si="0"/>
        <v>1.2</v>
      </c>
      <c r="O15" s="45">
        <f t="shared" si="0"/>
        <v>-3.2608695652173912E-2</v>
      </c>
      <c r="P15" s="45">
        <f t="shared" si="0"/>
        <v>-0.2340718299201934</v>
      </c>
      <c r="Q15" s="45">
        <f t="shared" si="0"/>
        <v>-0.5645033038865892</v>
      </c>
      <c r="R15" s="45">
        <f t="shared" si="0"/>
        <v>-0.16555404761780387</v>
      </c>
      <c r="S15"/>
      <c r="T15" s="45">
        <f>(T14-D14)/D14</f>
        <v>0.29216185483469798</v>
      </c>
      <c r="U15" s="45">
        <f t="shared" ref="U15:Z15" si="1">(U14-E14)/E14</f>
        <v>-0.25095115447388189</v>
      </c>
      <c r="V15" s="45">
        <f t="shared" si="1"/>
        <v>0.1</v>
      </c>
      <c r="W15" s="45">
        <f>(W14-G14)/G14</f>
        <v>-0.15217391304347827</v>
      </c>
      <c r="X15" s="45">
        <f t="shared" si="1"/>
        <v>0.69348071880778861</v>
      </c>
      <c r="Y15" s="45">
        <f t="shared" si="1"/>
        <v>0.12866607081681417</v>
      </c>
      <c r="Z15" s="45">
        <f t="shared" si="1"/>
        <v>0.10719826089188844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105" priority="9"/>
    <cfRule type="duplicateValues" dxfId="104" priority="10"/>
  </conditionalFormatting>
  <conditionalFormatting sqref="C4:C13">
    <cfRule type="duplicateValues" dxfId="103" priority="3"/>
    <cfRule type="duplicateValues" dxfId="102" priority="4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7"/>
    <cfRule type="duplicateValues" dxfId="98" priority="8"/>
  </conditionalFormatting>
  <conditionalFormatting sqref="C17:C30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B1DD-675F-DC49-A86F-E760CFA41678}">
  <sheetPr codeName="Sheet29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-0.84694055452823025</v>
      </c>
      <c r="J2" s="28" t="e">
        <f>(S14-J14)/J14</f>
        <v>#DIV/0!</v>
      </c>
      <c r="K2" s="28"/>
      <c r="L2" s="1" t="s">
        <v>19</v>
      </c>
      <c r="P2" s="1">
        <f>(P14-H14)/H14</f>
        <v>0.58393313355797916</v>
      </c>
      <c r="R2" s="1">
        <f>(R14-J14)/J14</f>
        <v>-7.2486910211558425E-2</v>
      </c>
      <c r="T2" s="1" t="s">
        <v>20</v>
      </c>
      <c r="X2" s="1">
        <f>(X14-P14)/P14</f>
        <v>1.3534237630830053</v>
      </c>
      <c r="Z2" s="1">
        <f>(Z14-R14)/R14</f>
        <v>0.31117730821199502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84</v>
      </c>
      <c r="D4" s="23">
        <v>723314.9801198506</v>
      </c>
      <c r="E4" s="33">
        <v>45.309762707998743</v>
      </c>
      <c r="F4" s="5">
        <v>9</v>
      </c>
      <c r="G4" s="23">
        <v>97</v>
      </c>
      <c r="H4" s="33">
        <v>214.9805358554093</v>
      </c>
      <c r="I4" s="23">
        <v>43.304291682893329</v>
      </c>
      <c r="J4" s="5">
        <v>5281.5967609099171</v>
      </c>
      <c r="K4" s="31"/>
      <c r="L4" s="23">
        <v>967029.65696776507</v>
      </c>
      <c r="M4" s="33">
        <v>155.23829637499881</v>
      </c>
      <c r="N4" s="5">
        <v>21</v>
      </c>
      <c r="O4" s="5">
        <v>94</v>
      </c>
      <c r="P4" s="33">
        <v>288.68783937373888</v>
      </c>
      <c r="Q4" s="5">
        <v>17.324719740848419</v>
      </c>
      <c r="R4" s="5">
        <v>4857.0422743213703</v>
      </c>
      <c r="S4" s="31"/>
      <c r="T4" s="23">
        <v>993127.32968521584</v>
      </c>
      <c r="U4" s="33">
        <v>100.9907166249977</v>
      </c>
      <c r="V4" s="5">
        <v>13</v>
      </c>
      <c r="W4" s="5">
        <v>94</v>
      </c>
      <c r="X4" s="33">
        <v>1142.202130832716</v>
      </c>
      <c r="Y4" s="5">
        <v>53.390776222205467</v>
      </c>
      <c r="Z4" s="5">
        <v>6650.2418193206368</v>
      </c>
      <c r="AA4" s="35"/>
    </row>
    <row r="5" spans="2:27" x14ac:dyDescent="0.2">
      <c r="B5" s="4">
        <v>2</v>
      </c>
      <c r="C5" s="4">
        <v>93</v>
      </c>
      <c r="D5" s="23">
        <v>806402.51309151598</v>
      </c>
      <c r="E5" s="33">
        <v>42.445209458001052</v>
      </c>
      <c r="F5" s="5">
        <v>11</v>
      </c>
      <c r="G5" s="23">
        <v>97</v>
      </c>
      <c r="H5" s="33">
        <v>385.48813425246306</v>
      </c>
      <c r="I5" s="23">
        <v>35.133656882632515</v>
      </c>
      <c r="J5" s="5">
        <v>5602.2550513661863</v>
      </c>
      <c r="K5" s="31"/>
      <c r="L5" s="23">
        <v>931425.0140467434</v>
      </c>
      <c r="M5" s="33">
        <v>140.5702957500034</v>
      </c>
      <c r="N5" s="5">
        <v>17</v>
      </c>
      <c r="O5" s="5">
        <v>89</v>
      </c>
      <c r="P5" s="33">
        <v>208.05626531600154</v>
      </c>
      <c r="Q5" s="5">
        <v>20.105000597254644</v>
      </c>
      <c r="R5" s="5">
        <v>4566.6142792906112</v>
      </c>
      <c r="S5" s="31"/>
      <c r="T5" s="23">
        <v>971990.33532537136</v>
      </c>
      <c r="U5" s="33">
        <v>53.827419250002997</v>
      </c>
      <c r="V5" s="5">
        <v>11</v>
      </c>
      <c r="W5" s="5">
        <v>86</v>
      </c>
      <c r="X5" s="33">
        <v>567.79168945684319</v>
      </c>
      <c r="Y5" s="5">
        <v>49.500351052853802</v>
      </c>
      <c r="Z5" s="5">
        <v>5941.185733569404</v>
      </c>
      <c r="AA5" s="35"/>
    </row>
    <row r="6" spans="2:27" x14ac:dyDescent="0.2">
      <c r="B6" s="4">
        <v>3</v>
      </c>
      <c r="C6" s="4">
        <v>272</v>
      </c>
      <c r="D6" s="23">
        <v>807705.03094534087</v>
      </c>
      <c r="E6" s="33">
        <v>64.378114499999356</v>
      </c>
      <c r="F6" s="5">
        <v>12</v>
      </c>
      <c r="G6" s="23">
        <v>97</v>
      </c>
      <c r="H6" s="33">
        <v>445.12008044431673</v>
      </c>
      <c r="I6" s="23">
        <v>32.766944839816631</v>
      </c>
      <c r="J6" s="5">
        <v>5345.8220924800144</v>
      </c>
      <c r="K6" s="31"/>
      <c r="L6" s="23">
        <v>967605.46924250037</v>
      </c>
      <c r="M6" s="33">
        <v>100.7650902500027</v>
      </c>
      <c r="N6" s="5">
        <v>19</v>
      </c>
      <c r="O6" s="5">
        <v>91</v>
      </c>
      <c r="P6" s="33">
        <v>242.54523754500619</v>
      </c>
      <c r="Q6" s="5">
        <v>18.434669085941181</v>
      </c>
      <c r="R6" s="5">
        <v>4789.806878118522</v>
      </c>
      <c r="S6" s="31"/>
      <c r="T6" s="23">
        <v>1004896.532789421</v>
      </c>
      <c r="U6" s="33">
        <v>68.920266583001649</v>
      </c>
      <c r="V6" s="5">
        <v>13</v>
      </c>
      <c r="W6" s="5">
        <v>93</v>
      </c>
      <c r="X6" s="33">
        <v>1219.2163642101366</v>
      </c>
      <c r="Y6" s="5">
        <v>52.34327842989633</v>
      </c>
      <c r="Z6" s="5">
        <v>6705.2027857744279</v>
      </c>
      <c r="AA6" s="35"/>
    </row>
    <row r="7" spans="2:27" x14ac:dyDescent="0.2">
      <c r="B7" s="4">
        <v>4</v>
      </c>
      <c r="C7" s="4">
        <v>342</v>
      </c>
      <c r="D7" s="23">
        <v>765935.87578329968</v>
      </c>
      <c r="E7" s="33">
        <v>102.04270241699849</v>
      </c>
      <c r="F7" s="5">
        <v>9</v>
      </c>
      <c r="G7" s="23">
        <v>97</v>
      </c>
      <c r="H7" s="33">
        <v>439.10773849777212</v>
      </c>
      <c r="I7" s="23">
        <v>42.182275878341329</v>
      </c>
      <c r="J7" s="5">
        <v>5486.3917567844182</v>
      </c>
      <c r="K7" s="31"/>
      <c r="L7" s="23">
        <v>1002492.960787329</v>
      </c>
      <c r="M7" s="33">
        <v>95.783658833999652</v>
      </c>
      <c r="N7" s="5">
        <v>18</v>
      </c>
      <c r="O7" s="5">
        <v>89</v>
      </c>
      <c r="P7" s="33">
        <v>459.76605425205423</v>
      </c>
      <c r="Q7" s="5">
        <v>18.597802788025962</v>
      </c>
      <c r="R7" s="5">
        <v>4908.8881204556501</v>
      </c>
      <c r="S7" s="31"/>
      <c r="T7" s="23">
        <v>1077614.7011787279</v>
      </c>
      <c r="U7" s="33">
        <v>66.493710499998997</v>
      </c>
      <c r="V7" s="5">
        <v>15</v>
      </c>
      <c r="W7" s="5">
        <v>97</v>
      </c>
      <c r="X7" s="33">
        <v>1754.8688328402757</v>
      </c>
      <c r="Y7" s="5">
        <v>50.709200036209495</v>
      </c>
      <c r="Z7" s="5">
        <v>7181.7846500261367</v>
      </c>
      <c r="AA7" s="35"/>
    </row>
    <row r="8" spans="2:27" x14ac:dyDescent="0.2">
      <c r="B8" s="4">
        <v>5</v>
      </c>
      <c r="C8" s="4">
        <v>647</v>
      </c>
      <c r="D8" s="23">
        <v>718392.58651595202</v>
      </c>
      <c r="E8" s="33">
        <v>75.023882166999101</v>
      </c>
      <c r="F8" s="5">
        <v>10</v>
      </c>
      <c r="G8" s="23">
        <v>97</v>
      </c>
      <c r="H8" s="33">
        <v>200.05797622691847</v>
      </c>
      <c r="I8" s="23">
        <v>38.33392134829235</v>
      </c>
      <c r="J8" s="5">
        <v>5024.0392611605503</v>
      </c>
      <c r="K8" s="31"/>
      <c r="L8" s="23">
        <v>962048.87624130538</v>
      </c>
      <c r="M8" s="33">
        <v>116.0475431250015</v>
      </c>
      <c r="N8" s="5">
        <v>16</v>
      </c>
      <c r="O8" s="5">
        <v>88</v>
      </c>
      <c r="P8" s="33">
        <v>274.96120926452693</v>
      </c>
      <c r="Q8" s="5">
        <v>20.213882481230524</v>
      </c>
      <c r="R8" s="5">
        <v>4841.4608959869038</v>
      </c>
      <c r="S8" s="31"/>
      <c r="T8" s="23">
        <v>1100211.0290499181</v>
      </c>
      <c r="U8" s="33">
        <v>57.135701624996727</v>
      </c>
      <c r="V8" s="5">
        <v>15</v>
      </c>
      <c r="W8" s="5">
        <v>96</v>
      </c>
      <c r="X8" s="33">
        <v>1849.8710380636778</v>
      </c>
      <c r="Y8" s="5">
        <v>50.444094183183196</v>
      </c>
      <c r="Z8" s="5">
        <v>7264.3629403393816</v>
      </c>
      <c r="AA8" s="35"/>
    </row>
    <row r="9" spans="2:27" x14ac:dyDescent="0.2">
      <c r="B9" s="4">
        <v>6</v>
      </c>
      <c r="C9" s="4">
        <v>661</v>
      </c>
      <c r="D9" s="23">
        <v>797416.1089023517</v>
      </c>
      <c r="E9" s="33">
        <v>40.709513042002072</v>
      </c>
      <c r="F9" s="5">
        <v>9</v>
      </c>
      <c r="G9" s="23">
        <v>95</v>
      </c>
      <c r="H9" s="33">
        <v>375.68050843823511</v>
      </c>
      <c r="I9" s="23">
        <v>42.090793167368247</v>
      </c>
      <c r="J9" s="5">
        <v>5591.6985219929929</v>
      </c>
      <c r="K9" s="31"/>
      <c r="L9" s="23">
        <v>981685.12698979047</v>
      </c>
      <c r="M9" s="33">
        <v>147.33439466699929</v>
      </c>
      <c r="N9" s="5">
        <v>19</v>
      </c>
      <c r="O9" s="5">
        <v>92</v>
      </c>
      <c r="P9" s="33">
        <v>420.99022590081057</v>
      </c>
      <c r="Q9" s="5">
        <v>18.539436534751754</v>
      </c>
      <c r="R9" s="5">
        <v>4972.8669480142516</v>
      </c>
      <c r="S9" s="31"/>
      <c r="T9" s="23">
        <v>955184.39538859844</v>
      </c>
      <c r="U9" s="33">
        <v>91.046870917001797</v>
      </c>
      <c r="V9" s="5">
        <v>11</v>
      </c>
      <c r="W9" s="5">
        <v>87</v>
      </c>
      <c r="X9" s="33">
        <v>489.64455885298048</v>
      </c>
      <c r="Y9" s="5">
        <v>51.503428980004017</v>
      </c>
      <c r="Z9" s="5">
        <v>5987.6410183627231</v>
      </c>
      <c r="AA9" s="35"/>
    </row>
    <row r="10" spans="2:27" x14ac:dyDescent="0.2">
      <c r="B10" s="4">
        <v>7</v>
      </c>
      <c r="C10" s="4">
        <v>771</v>
      </c>
      <c r="D10" s="23">
        <v>751083.98912846565</v>
      </c>
      <c r="E10" s="33">
        <v>58.762581957998918</v>
      </c>
      <c r="F10" s="5">
        <v>10</v>
      </c>
      <c r="G10" s="23">
        <v>97</v>
      </c>
      <c r="H10" s="33">
        <v>280.75059761098049</v>
      </c>
      <c r="I10" s="23">
        <v>37.726318968028458</v>
      </c>
      <c r="J10" s="5">
        <v>5263.3365638461801</v>
      </c>
      <c r="K10" s="31"/>
      <c r="L10" s="23">
        <v>974196.53875569836</v>
      </c>
      <c r="M10" s="33">
        <v>151.8487479579999</v>
      </c>
      <c r="N10" s="5">
        <v>17</v>
      </c>
      <c r="O10" s="5">
        <v>88</v>
      </c>
      <c r="P10" s="33">
        <v>366.84612003339078</v>
      </c>
      <c r="Q10" s="5">
        <v>19.891138130686766</v>
      </c>
      <c r="R10" s="5">
        <v>4726.204311965419</v>
      </c>
      <c r="S10" s="31"/>
      <c r="T10" s="23">
        <v>995228.0892737041</v>
      </c>
      <c r="U10" s="33">
        <v>89.004673125004047</v>
      </c>
      <c r="V10" s="5">
        <v>11</v>
      </c>
      <c r="W10" s="5">
        <v>87</v>
      </c>
      <c r="X10" s="33">
        <v>796.31045271716073</v>
      </c>
      <c r="Y10" s="5">
        <v>51.005918866578298</v>
      </c>
      <c r="Z10" s="5">
        <v>6250.7569336930665</v>
      </c>
      <c r="AA10" s="35"/>
    </row>
    <row r="11" spans="2:27" x14ac:dyDescent="0.2">
      <c r="B11" s="4">
        <v>8</v>
      </c>
      <c r="C11" s="4">
        <v>789</v>
      </c>
      <c r="D11" s="23">
        <v>703399.57591088454</v>
      </c>
      <c r="E11" s="33">
        <v>75.146707292002247</v>
      </c>
      <c r="F11" s="5">
        <v>10</v>
      </c>
      <c r="G11" s="23">
        <v>97</v>
      </c>
      <c r="H11" s="33">
        <v>131.35419728776432</v>
      </c>
      <c r="I11" s="23">
        <v>38.418811092134767</v>
      </c>
      <c r="J11" s="5">
        <v>4923.5038616352249</v>
      </c>
      <c r="K11" s="31"/>
      <c r="L11" s="23">
        <v>994367.15030035726</v>
      </c>
      <c r="M11" s="33">
        <v>179.24874375000221</v>
      </c>
      <c r="N11" s="5">
        <v>17</v>
      </c>
      <c r="O11" s="5">
        <v>88</v>
      </c>
      <c r="P11" s="33">
        <v>390.35111880095252</v>
      </c>
      <c r="Q11" s="5">
        <v>19.422497637608068</v>
      </c>
      <c r="R11" s="5">
        <v>4902.9889129088961</v>
      </c>
      <c r="S11" s="31"/>
      <c r="T11" s="23">
        <v>965915.79830081656</v>
      </c>
      <c r="U11" s="33">
        <v>59.637919790999149</v>
      </c>
      <c r="V11" s="5">
        <v>12</v>
      </c>
      <c r="W11" s="5">
        <v>92</v>
      </c>
      <c r="X11" s="33">
        <v>957.5706360693863</v>
      </c>
      <c r="Y11" s="5">
        <v>53.813817177046637</v>
      </c>
      <c r="Z11" s="5">
        <v>6477.4779377432487</v>
      </c>
      <c r="AA11" s="35"/>
    </row>
    <row r="12" spans="2:27" x14ac:dyDescent="0.2">
      <c r="B12" s="4">
        <v>9</v>
      </c>
      <c r="C12" s="4">
        <v>808</v>
      </c>
      <c r="D12" s="23">
        <v>735798.87305135943</v>
      </c>
      <c r="E12" s="33">
        <v>68.759281000002375</v>
      </c>
      <c r="F12" s="5">
        <v>10</v>
      </c>
      <c r="G12" s="23">
        <v>97</v>
      </c>
      <c r="H12" s="33">
        <v>225.83992846264621</v>
      </c>
      <c r="I12" s="23">
        <v>38.099922836902188</v>
      </c>
      <c r="J12" s="5">
        <v>5166.4110657745578</v>
      </c>
      <c r="K12" s="31"/>
      <c r="L12" s="23">
        <v>1002553.428671098</v>
      </c>
      <c r="M12" s="33">
        <v>72.761399374998291</v>
      </c>
      <c r="N12" s="5">
        <v>19</v>
      </c>
      <c r="O12" s="5">
        <v>90</v>
      </c>
      <c r="P12" s="33">
        <v>303.74574607651635</v>
      </c>
      <c r="Q12" s="5">
        <v>18.42344912811917</v>
      </c>
      <c r="R12" s="5">
        <v>4949.1717491622794</v>
      </c>
      <c r="S12" s="31"/>
      <c r="T12" s="23">
        <v>1069382.601392454</v>
      </c>
      <c r="U12" s="33">
        <v>71.297926541999914</v>
      </c>
      <c r="V12" s="5">
        <v>11</v>
      </c>
      <c r="W12" s="5">
        <v>82</v>
      </c>
      <c r="X12" s="33">
        <v>913.50632275527641</v>
      </c>
      <c r="Y12" s="5">
        <v>48.565864101234553</v>
      </c>
      <c r="Z12" s="5">
        <v>6296.9920155352684</v>
      </c>
      <c r="AA12" s="35"/>
    </row>
    <row r="13" spans="2:27" x14ac:dyDescent="0.2">
      <c r="B13" s="4">
        <v>10</v>
      </c>
      <c r="C13" s="4">
        <v>832</v>
      </c>
      <c r="D13" s="23">
        <v>869783.10400639684</v>
      </c>
      <c r="E13" s="33">
        <v>84.174117833998025</v>
      </c>
      <c r="F13" s="5">
        <v>9</v>
      </c>
      <c r="G13" s="23">
        <v>91</v>
      </c>
      <c r="H13" s="33">
        <v>479.55494077014095</v>
      </c>
      <c r="I13" s="23">
        <v>38.656918425096812</v>
      </c>
      <c r="J13" s="5">
        <v>5574.4137103753828</v>
      </c>
      <c r="K13" s="31"/>
      <c r="L13" s="23">
        <v>1037506.105105109</v>
      </c>
      <c r="M13" s="33">
        <v>167.8371661249985</v>
      </c>
      <c r="N13" s="5">
        <v>21</v>
      </c>
      <c r="O13" s="5">
        <v>91</v>
      </c>
      <c r="P13" s="33">
        <v>354.6718625716619</v>
      </c>
      <c r="Q13" s="5">
        <v>16.88646343153545</v>
      </c>
      <c r="R13" s="5">
        <v>5039.0019212335301</v>
      </c>
      <c r="S13" s="31"/>
      <c r="T13" s="23">
        <v>1055113.5097603991</v>
      </c>
      <c r="U13" s="33">
        <v>60.033302915995591</v>
      </c>
      <c r="V13" s="5">
        <v>10</v>
      </c>
      <c r="W13" s="5">
        <v>81</v>
      </c>
      <c r="X13" s="33">
        <v>753.82962925454626</v>
      </c>
      <c r="Y13" s="5">
        <v>55.831162210776007</v>
      </c>
      <c r="Z13" s="5">
        <v>6318.8558369104676</v>
      </c>
      <c r="AA13" s="35"/>
    </row>
    <row r="14" spans="2:27" x14ac:dyDescent="0.2">
      <c r="B14" s="46" t="s">
        <v>3</v>
      </c>
      <c r="C14" s="47"/>
      <c r="D14" s="9">
        <f>MIN(D4:D13)</f>
        <v>703399.57591088454</v>
      </c>
      <c r="E14" s="22">
        <f>INDEX(E4:E13, MATCH($D$14, D4:D13, 0))</f>
        <v>75.146707292002247</v>
      </c>
      <c r="F14" s="9">
        <f>INDEX(F4:F13, MATCH($D$14, D4:D13, 0))</f>
        <v>10</v>
      </c>
      <c r="G14" s="9">
        <f>INDEX(G4:G13, MATCH($D$14, D4:D13, 0))</f>
        <v>97</v>
      </c>
      <c r="H14" s="22">
        <f>INDEX(H4:H13, MATCH($D$14, D4:D13, 0))</f>
        <v>131.35419728776432</v>
      </c>
      <c r="I14" s="22">
        <f>INDEX(I4:I13, MATCH($D$14, D4:D13, 0))</f>
        <v>38.418811092134767</v>
      </c>
      <c r="J14" s="22">
        <f>INDEX(J4:J13, MATCH($D$14, D4:D13, 0))</f>
        <v>4923.5038616352249</v>
      </c>
      <c r="K14" s="32" t="e">
        <f>(D14-$D$15)/$D$15</f>
        <v>#DIV/0!</v>
      </c>
      <c r="L14" s="16">
        <f>MIN(L4:L13)</f>
        <v>931425.0140467434</v>
      </c>
      <c r="M14" s="21">
        <f>INDEX(M4:M13, MATCH($L$14, L4:L13, 0))</f>
        <v>140.5702957500034</v>
      </c>
      <c r="N14" s="16">
        <f>INDEX(N4:N13, MATCH($L$14, L4:L13, 0))</f>
        <v>17</v>
      </c>
      <c r="O14" s="16">
        <f>INDEX(O4:O13, MATCH($L$14, L4:L13, 0))</f>
        <v>89</v>
      </c>
      <c r="P14" s="21">
        <f>INDEX(P4:P13, MATCH($L$14, L4:L13, 0))</f>
        <v>208.05626531600154</v>
      </c>
      <c r="Q14" s="21">
        <f>INDEX(Q4:Q13, MATCH($L$14, L4:L13, 0))</f>
        <v>20.105000597254644</v>
      </c>
      <c r="R14" s="21">
        <f>INDEX(R4:R13, MATCH($L$14, L4:L13, 0))</f>
        <v>4566.6142792906112</v>
      </c>
      <c r="S14" s="36" t="e">
        <f>(L14-$D$15)/$D$15</f>
        <v>#DIV/0!</v>
      </c>
      <c r="T14" s="38">
        <f>MIN(T4:T13)</f>
        <v>955184.39538859844</v>
      </c>
      <c r="U14" s="39">
        <f>INDEX(U4:U13, MATCH($T$14, T4:T13, 0))</f>
        <v>91.046870917001797</v>
      </c>
      <c r="V14" s="38">
        <f>INDEX(V4:V13, MATCH($T$14, T4:T13, 0))</f>
        <v>11</v>
      </c>
      <c r="W14" s="38">
        <f>INDEX(W4:W13, MATCH($T$14, T4:T13, 0))</f>
        <v>87</v>
      </c>
      <c r="X14" s="39">
        <f>INDEX(X4:X13, MATCH($T$14, T4:T13, 0))</f>
        <v>489.64455885298048</v>
      </c>
      <c r="Y14" s="39">
        <f>INDEX(Y4:Y13, MATCH($T$14, T4:T13, 0))</f>
        <v>51.503428980004017</v>
      </c>
      <c r="Z14" s="39">
        <f>INDEX(Z4:Z13, MATCH($T$14, T4:T13, 0))</f>
        <v>5987.6410183627231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0.32417625194125504</v>
      </c>
      <c r="M15" s="45">
        <f t="shared" ref="M15:R15" si="0">(M14-E14)/E14</f>
        <v>0.8706115120091773</v>
      </c>
      <c r="N15" s="45">
        <f t="shared" si="0"/>
        <v>0.7</v>
      </c>
      <c r="O15" s="45">
        <f t="shared" si="0"/>
        <v>-8.247422680412371E-2</v>
      </c>
      <c r="P15" s="45">
        <f t="shared" si="0"/>
        <v>0.58393313355797916</v>
      </c>
      <c r="Q15" s="45">
        <f t="shared" si="0"/>
        <v>-0.4766886317996808</v>
      </c>
      <c r="R15" s="45">
        <f t="shared" si="0"/>
        <v>-7.2486910211558425E-2</v>
      </c>
      <c r="S15"/>
      <c r="T15" s="45">
        <f>(T14-D14)/D14</f>
        <v>0.35795418152144742</v>
      </c>
      <c r="U15" s="45">
        <f t="shared" ref="U15:Z15" si="1">(U14-E14)/E14</f>
        <v>0.21158829439080135</v>
      </c>
      <c r="V15" s="45">
        <f t="shared" si="1"/>
        <v>0.1</v>
      </c>
      <c r="W15" s="45">
        <f>(W14-G14)/G14</f>
        <v>-0.10309278350515463</v>
      </c>
      <c r="X15" s="45">
        <f t="shared" si="1"/>
        <v>2.7276658756498753</v>
      </c>
      <c r="Y15" s="45">
        <f t="shared" si="1"/>
        <v>0.34057841760095431</v>
      </c>
      <c r="Z15" s="45">
        <f t="shared" si="1"/>
        <v>0.21613411640019925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97" priority="9"/>
    <cfRule type="duplicateValues" dxfId="96" priority="10"/>
  </conditionalFormatting>
  <conditionalFormatting sqref="C4:C13">
    <cfRule type="duplicateValues" dxfId="95" priority="3"/>
    <cfRule type="duplicateValues" dxfId="94" priority="4"/>
  </conditionalFormatting>
  <conditionalFormatting sqref="C14">
    <cfRule type="duplicateValues" dxfId="93" priority="5"/>
    <cfRule type="duplicateValues" dxfId="92" priority="6"/>
  </conditionalFormatting>
  <conditionalFormatting sqref="C15">
    <cfRule type="duplicateValues" dxfId="91" priority="7"/>
    <cfRule type="duplicateValues" dxfId="90" priority="8"/>
  </conditionalFormatting>
  <conditionalFormatting sqref="C17:C30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3F8E-CBA0-CF43-980A-F204BFD52A8A}">
  <sheetPr codeName="Sheet30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-0.93300872759734155</v>
      </c>
      <c r="J2" s="28" t="e">
        <f>(S14-J14)/J14</f>
        <v>#DIV/0!</v>
      </c>
      <c r="K2" s="28"/>
      <c r="L2" s="1" t="s">
        <v>19</v>
      </c>
      <c r="P2" s="1">
        <f>(P14-H14)/H14</f>
        <v>-0.65261597368876889</v>
      </c>
      <c r="R2" s="1">
        <f>(R14-J14)/J14</f>
        <v>-0.17425917333271268</v>
      </c>
      <c r="T2" s="1" t="s">
        <v>20</v>
      </c>
      <c r="X2" s="1">
        <f>(X14-P14)/P14</f>
        <v>11.308082190753352</v>
      </c>
      <c r="Z2" s="1">
        <f>(Z14-R14)/R14</f>
        <v>0.44997003700201643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143</v>
      </c>
      <c r="D4" s="23">
        <v>791133.35308184533</v>
      </c>
      <c r="E4" s="33">
        <v>82.12614108300113</v>
      </c>
      <c r="F4" s="5">
        <v>7</v>
      </c>
      <c r="G4" s="23">
        <v>97</v>
      </c>
      <c r="H4" s="33">
        <v>714.10246107764431</v>
      </c>
      <c r="I4" s="23">
        <v>55.977415067874801</v>
      </c>
      <c r="J4" s="5">
        <v>6000.4197159560536</v>
      </c>
      <c r="K4" s="31"/>
      <c r="L4" s="23">
        <v>941608.1986390478</v>
      </c>
      <c r="M4" s="33">
        <v>212.29714200000311</v>
      </c>
      <c r="N4" s="5">
        <v>22</v>
      </c>
      <c r="O4" s="5">
        <v>94</v>
      </c>
      <c r="P4" s="33">
        <v>166.79513435989509</v>
      </c>
      <c r="Q4" s="5">
        <v>15.820119916625792</v>
      </c>
      <c r="R4" s="5">
        <v>4428.7327040599757</v>
      </c>
      <c r="S4" s="31"/>
      <c r="T4" s="23">
        <v>960093.53856791998</v>
      </c>
      <c r="U4" s="33">
        <v>107.1825358339993</v>
      </c>
      <c r="V4" s="5">
        <v>13</v>
      </c>
      <c r="W4" s="5">
        <v>94</v>
      </c>
      <c r="X4" s="33">
        <v>1110.1032195524572</v>
      </c>
      <c r="Y4" s="5">
        <v>54.32172046662523</v>
      </c>
      <c r="Z4" s="5">
        <v>6527.8643138857578</v>
      </c>
      <c r="AA4" s="35"/>
    </row>
    <row r="5" spans="2:27" x14ac:dyDescent="0.2">
      <c r="B5" s="4">
        <v>2</v>
      </c>
      <c r="C5" s="4">
        <v>298</v>
      </c>
      <c r="D5" s="23">
        <v>726199.12756825308</v>
      </c>
      <c r="E5" s="33">
        <v>38.697082750000853</v>
      </c>
      <c r="F5" s="5">
        <v>10</v>
      </c>
      <c r="G5" s="23">
        <v>97</v>
      </c>
      <c r="H5" s="33">
        <v>225.27347370526053</v>
      </c>
      <c r="I5" s="23">
        <v>36.892708563842675</v>
      </c>
      <c r="J5" s="5">
        <v>5119.6292364298552</v>
      </c>
      <c r="K5" s="31"/>
      <c r="L5" s="23">
        <v>963035.47219616815</v>
      </c>
      <c r="M5" s="33">
        <v>97.301006000001507</v>
      </c>
      <c r="N5" s="5">
        <v>22</v>
      </c>
      <c r="O5" s="5">
        <v>94</v>
      </c>
      <c r="P5" s="33">
        <v>241.2235049125841</v>
      </c>
      <c r="Q5" s="5">
        <v>16.068163106554596</v>
      </c>
      <c r="R5" s="5">
        <v>4613.6433217424783</v>
      </c>
      <c r="S5" s="31"/>
      <c r="T5" s="23">
        <v>1042937.956226125</v>
      </c>
      <c r="U5" s="33">
        <v>73.924875208002049</v>
      </c>
      <c r="V5" s="5">
        <v>13</v>
      </c>
      <c r="W5" s="5">
        <v>92</v>
      </c>
      <c r="X5" s="33">
        <v>1336.2689742093444</v>
      </c>
      <c r="Y5" s="5">
        <v>53.883349342152876</v>
      </c>
      <c r="Z5" s="5">
        <v>6897.9631427783879</v>
      </c>
      <c r="AA5" s="35"/>
    </row>
    <row r="6" spans="2:27" x14ac:dyDescent="0.2">
      <c r="B6" s="4">
        <v>3</v>
      </c>
      <c r="C6" s="4">
        <v>351</v>
      </c>
      <c r="D6" s="23">
        <v>778253.66388482915</v>
      </c>
      <c r="E6" s="33">
        <v>45.389239125001041</v>
      </c>
      <c r="F6" s="5">
        <v>11</v>
      </c>
      <c r="G6" s="23">
        <v>96</v>
      </c>
      <c r="H6" s="33">
        <v>419.94551152010246</v>
      </c>
      <c r="I6" s="23">
        <v>33.27969273925779</v>
      </c>
      <c r="J6" s="5">
        <v>5169.2873618858994</v>
      </c>
      <c r="K6" s="31"/>
      <c r="L6" s="23">
        <v>1002849.576165254</v>
      </c>
      <c r="M6" s="33">
        <v>106.3955101669999</v>
      </c>
      <c r="N6" s="5">
        <v>23</v>
      </c>
      <c r="O6" s="5">
        <v>94</v>
      </c>
      <c r="P6" s="33">
        <v>429.97949737498811</v>
      </c>
      <c r="Q6" s="5">
        <v>15.243619539958573</v>
      </c>
      <c r="R6" s="5">
        <v>4627.0149815968643</v>
      </c>
      <c r="S6" s="31"/>
      <c r="T6" s="23">
        <v>962834.71883427608</v>
      </c>
      <c r="U6" s="33">
        <v>114.3506576660002</v>
      </c>
      <c r="V6" s="5">
        <v>13</v>
      </c>
      <c r="W6" s="5">
        <v>96</v>
      </c>
      <c r="X6" s="33">
        <v>1221.8299444669158</v>
      </c>
      <c r="Y6" s="5">
        <v>55.907219398345973</v>
      </c>
      <c r="Z6" s="5">
        <v>6733.8338554192424</v>
      </c>
      <c r="AA6" s="35"/>
    </row>
    <row r="7" spans="2:27" x14ac:dyDescent="0.2">
      <c r="B7" s="4">
        <v>4</v>
      </c>
      <c r="C7" s="4">
        <v>481</v>
      </c>
      <c r="D7" s="23">
        <v>723564.74001942563</v>
      </c>
      <c r="E7" s="33">
        <v>74.571030374998372</v>
      </c>
      <c r="F7" s="5">
        <v>9</v>
      </c>
      <c r="G7" s="23">
        <v>97</v>
      </c>
      <c r="H7" s="33">
        <v>235.92308639520451</v>
      </c>
      <c r="I7" s="23">
        <v>40.254717166949341</v>
      </c>
      <c r="J7" s="5">
        <v>5244.0994302932459</v>
      </c>
      <c r="K7" s="31"/>
      <c r="L7" s="23">
        <v>938080.87613830215</v>
      </c>
      <c r="M7" s="33">
        <v>110.31434474999701</v>
      </c>
      <c r="N7" s="5">
        <v>21</v>
      </c>
      <c r="O7" s="5">
        <v>92</v>
      </c>
      <c r="P7" s="33">
        <v>182.94832720487273</v>
      </c>
      <c r="Q7" s="5">
        <v>15.990043271789776</v>
      </c>
      <c r="R7" s="5">
        <v>4248.8001831660649</v>
      </c>
      <c r="S7" s="31"/>
      <c r="T7" s="23">
        <v>958226.95402428694</v>
      </c>
      <c r="U7" s="33">
        <v>93.957325333998597</v>
      </c>
      <c r="V7" s="5">
        <v>14</v>
      </c>
      <c r="W7" s="5">
        <v>96</v>
      </c>
      <c r="X7" s="33">
        <v>1169.4397599261088</v>
      </c>
      <c r="Y7" s="5">
        <v>52.129691718493525</v>
      </c>
      <c r="Z7" s="5">
        <v>6522.2909442893697</v>
      </c>
      <c r="AA7" s="35"/>
    </row>
    <row r="8" spans="2:27" x14ac:dyDescent="0.2">
      <c r="B8" s="4">
        <v>5</v>
      </c>
      <c r="C8" s="4">
        <v>503</v>
      </c>
      <c r="D8" s="23">
        <v>782349.56536913663</v>
      </c>
      <c r="E8" s="33">
        <v>111.9459185419983</v>
      </c>
      <c r="F8" s="5">
        <v>8</v>
      </c>
      <c r="G8" s="23">
        <v>97</v>
      </c>
      <c r="H8" s="33">
        <v>578.5204420011795</v>
      </c>
      <c r="I8" s="23">
        <v>48.346298603840374</v>
      </c>
      <c r="J8" s="5">
        <v>5785.674034095603</v>
      </c>
      <c r="K8" s="31"/>
      <c r="L8" s="23">
        <v>934096.60108416097</v>
      </c>
      <c r="M8" s="33">
        <v>190.31240937500121</v>
      </c>
      <c r="N8" s="5">
        <v>20</v>
      </c>
      <c r="O8" s="5">
        <v>92</v>
      </c>
      <c r="P8" s="33">
        <v>187.61840420625151</v>
      </c>
      <c r="Q8" s="5">
        <v>16.919912448111187</v>
      </c>
      <c r="R8" s="5">
        <v>4439.0829270066051</v>
      </c>
      <c r="S8" s="31"/>
      <c r="T8" s="23">
        <v>938876.68285306485</v>
      </c>
      <c r="U8" s="33">
        <v>133.1191388750012</v>
      </c>
      <c r="V8" s="5">
        <v>14</v>
      </c>
      <c r="W8" s="5">
        <v>95</v>
      </c>
      <c r="X8" s="33">
        <v>1008.7200966277187</v>
      </c>
      <c r="Y8" s="5">
        <v>49.937766130311658</v>
      </c>
      <c r="Z8" s="5">
        <v>6278.7574003275531</v>
      </c>
      <c r="AA8" s="35"/>
    </row>
    <row r="9" spans="2:27" x14ac:dyDescent="0.2">
      <c r="B9" s="4">
        <v>6</v>
      </c>
      <c r="C9" s="4">
        <v>535</v>
      </c>
      <c r="D9" s="23">
        <v>732682.72223492165</v>
      </c>
      <c r="E9" s="33">
        <v>90.945429874998808</v>
      </c>
      <c r="F9" s="5">
        <v>8</v>
      </c>
      <c r="G9" s="23">
        <v>96</v>
      </c>
      <c r="H9" s="33">
        <v>323.7580477703662</v>
      </c>
      <c r="I9" s="23">
        <v>45.969256649673909</v>
      </c>
      <c r="J9" s="5">
        <v>5338.6235520271548</v>
      </c>
      <c r="K9" s="31"/>
      <c r="L9" s="23">
        <v>925677.4834122766</v>
      </c>
      <c r="M9" s="33">
        <v>147.3738476660001</v>
      </c>
      <c r="N9" s="5">
        <v>20</v>
      </c>
      <c r="O9" s="5">
        <v>92</v>
      </c>
      <c r="P9" s="33">
        <v>160.18801271870697</v>
      </c>
      <c r="Q9" s="5">
        <v>17.113036570056494</v>
      </c>
      <c r="R9" s="5">
        <v>4354.860696220524</v>
      </c>
      <c r="S9" s="31"/>
      <c r="T9" s="23">
        <v>964301.19487211166</v>
      </c>
      <c r="U9" s="33">
        <v>86.981640958998469</v>
      </c>
      <c r="V9" s="5">
        <v>14</v>
      </c>
      <c r="W9" s="5">
        <v>97</v>
      </c>
      <c r="X9" s="33">
        <v>1232.515180346735</v>
      </c>
      <c r="Y9" s="5">
        <v>52.723102405798272</v>
      </c>
      <c r="Z9" s="5">
        <v>6624.5776944206618</v>
      </c>
      <c r="AA9" s="35"/>
    </row>
    <row r="10" spans="2:27" x14ac:dyDescent="0.2">
      <c r="B10" s="4">
        <v>7</v>
      </c>
      <c r="C10" s="4">
        <v>668</v>
      </c>
      <c r="D10" s="23">
        <v>749219.56974105409</v>
      </c>
      <c r="E10" s="33">
        <v>82.299735125001462</v>
      </c>
      <c r="F10" s="5">
        <v>7</v>
      </c>
      <c r="G10" s="23">
        <v>97</v>
      </c>
      <c r="H10" s="33">
        <v>507.83278126446663</v>
      </c>
      <c r="I10" s="23">
        <v>54.413116161035013</v>
      </c>
      <c r="J10" s="5">
        <v>5728.3396333791434</v>
      </c>
      <c r="K10" s="31"/>
      <c r="L10" s="23">
        <v>940820.75429298624</v>
      </c>
      <c r="M10" s="33">
        <v>227.9290170000022</v>
      </c>
      <c r="N10" s="5">
        <v>19</v>
      </c>
      <c r="O10" s="5">
        <v>91</v>
      </c>
      <c r="P10" s="33">
        <v>109.02735582591839</v>
      </c>
      <c r="Q10" s="5">
        <v>17.517711903668047</v>
      </c>
      <c r="R10" s="5">
        <v>4565.5674653548285</v>
      </c>
      <c r="S10" s="31"/>
      <c r="T10" s="23">
        <v>1024356.644607986</v>
      </c>
      <c r="U10" s="33">
        <v>123.9327647500031</v>
      </c>
      <c r="V10" s="5">
        <v>13</v>
      </c>
      <c r="W10" s="5">
        <v>89</v>
      </c>
      <c r="X10" s="33">
        <v>995.92475666626456</v>
      </c>
      <c r="Y10" s="5">
        <v>48.910721390746332</v>
      </c>
      <c r="Z10" s="5">
        <v>6471.0754176460996</v>
      </c>
      <c r="AA10" s="35"/>
    </row>
    <row r="11" spans="2:27" x14ac:dyDescent="0.2">
      <c r="B11" s="4">
        <v>8</v>
      </c>
      <c r="C11" s="4">
        <v>794</v>
      </c>
      <c r="D11" s="23">
        <v>763874.01871737186</v>
      </c>
      <c r="E11" s="33">
        <v>41.623063082999579</v>
      </c>
      <c r="F11" s="5">
        <v>7</v>
      </c>
      <c r="G11" s="23">
        <v>97</v>
      </c>
      <c r="H11" s="33">
        <v>544.6358478438309</v>
      </c>
      <c r="I11" s="23">
        <v>54.657081836653887</v>
      </c>
      <c r="J11" s="5">
        <v>5840.5257401372437</v>
      </c>
      <c r="K11" s="31"/>
      <c r="L11" s="23">
        <v>995292.96394328447</v>
      </c>
      <c r="M11" s="33">
        <v>133.3904360830056</v>
      </c>
      <c r="N11" s="5">
        <v>24</v>
      </c>
      <c r="O11" s="5">
        <v>94</v>
      </c>
      <c r="P11" s="33">
        <v>196.53008809062638</v>
      </c>
      <c r="Q11" s="5">
        <v>14.310621626601788</v>
      </c>
      <c r="R11" s="5">
        <v>4513.432810396057</v>
      </c>
      <c r="S11" s="31"/>
      <c r="T11" s="23">
        <v>993570.23326892639</v>
      </c>
      <c r="U11" s="33">
        <v>58.198446540998702</v>
      </c>
      <c r="V11" s="5">
        <v>12</v>
      </c>
      <c r="W11" s="5">
        <v>88</v>
      </c>
      <c r="X11" s="33">
        <v>929.22987422785195</v>
      </c>
      <c r="Y11" s="5">
        <v>54.286364548233372</v>
      </c>
      <c r="Z11" s="5">
        <v>6318.4412016585256</v>
      </c>
      <c r="AA11" s="35"/>
    </row>
    <row r="12" spans="2:27" x14ac:dyDescent="0.2">
      <c r="B12" s="4">
        <v>9</v>
      </c>
      <c r="C12" s="4">
        <v>931</v>
      </c>
      <c r="D12" s="23">
        <v>767827.92975608842</v>
      </c>
      <c r="E12" s="33">
        <v>46.365009459001158</v>
      </c>
      <c r="F12" s="5">
        <v>9</v>
      </c>
      <c r="G12" s="23">
        <v>97</v>
      </c>
      <c r="H12" s="33">
        <v>435.18282698837294</v>
      </c>
      <c r="I12" s="23">
        <v>39.297495395161228</v>
      </c>
      <c r="J12" s="5">
        <v>5533.9777304656855</v>
      </c>
      <c r="K12" s="31"/>
      <c r="L12" s="23">
        <v>925232.23612361122</v>
      </c>
      <c r="M12" s="33">
        <v>177.9330377919978</v>
      </c>
      <c r="N12" s="5">
        <v>22</v>
      </c>
      <c r="O12" s="5">
        <v>94</v>
      </c>
      <c r="P12" s="33">
        <v>81.955911651738575</v>
      </c>
      <c r="Q12" s="5">
        <v>15.804787746777068</v>
      </c>
      <c r="R12" s="5">
        <v>4330.2669986957953</v>
      </c>
      <c r="S12" s="31"/>
      <c r="T12" s="23">
        <v>993358.52551098575</v>
      </c>
      <c r="U12" s="33">
        <v>92.737241499999072</v>
      </c>
      <c r="V12" s="5">
        <v>14</v>
      </c>
      <c r="W12" s="5">
        <v>94</v>
      </c>
      <c r="X12" s="33">
        <v>1129.6714510237471</v>
      </c>
      <c r="Y12" s="5">
        <v>50.518761685908643</v>
      </c>
      <c r="Z12" s="5">
        <v>6620.3289943791424</v>
      </c>
      <c r="AA12" s="35"/>
    </row>
    <row r="13" spans="2:27" x14ac:dyDescent="0.2">
      <c r="B13" s="4">
        <v>10</v>
      </c>
      <c r="C13" s="4">
        <v>941</v>
      </c>
      <c r="D13" s="23">
        <v>762078.71938158793</v>
      </c>
      <c r="E13" s="33">
        <v>55.608367500000902</v>
      </c>
      <c r="F13" s="5">
        <v>8</v>
      </c>
      <c r="G13" s="23">
        <v>93</v>
      </c>
      <c r="H13" s="33">
        <v>193.32086101796398</v>
      </c>
      <c r="I13" s="23">
        <v>43.512365576915961</v>
      </c>
      <c r="J13" s="5">
        <v>5252.1129564339781</v>
      </c>
      <c r="K13" s="31"/>
      <c r="L13" s="23">
        <v>1010401.565481791</v>
      </c>
      <c r="M13" s="33">
        <v>74.375021041996661</v>
      </c>
      <c r="N13" s="5">
        <v>22</v>
      </c>
      <c r="O13" s="5">
        <v>94</v>
      </c>
      <c r="P13" s="33">
        <v>454.38136049013826</v>
      </c>
      <c r="Q13" s="5">
        <v>15.794027319739383</v>
      </c>
      <c r="R13" s="5">
        <v>4919.8035332608579</v>
      </c>
      <c r="S13" s="31"/>
      <c r="T13" s="23">
        <v>1015588.084555271</v>
      </c>
      <c r="U13" s="33">
        <v>117.4280952920017</v>
      </c>
      <c r="V13" s="5">
        <v>13</v>
      </c>
      <c r="W13" s="5">
        <v>91</v>
      </c>
      <c r="X13" s="33">
        <v>1117.0704494224012</v>
      </c>
      <c r="Y13" s="5">
        <v>50.676438335645699</v>
      </c>
      <c r="Z13" s="5">
        <v>6584.4429138486676</v>
      </c>
      <c r="AA13" s="35"/>
    </row>
    <row r="14" spans="2:27" x14ac:dyDescent="0.2">
      <c r="B14" s="46" t="s">
        <v>3</v>
      </c>
      <c r="C14" s="47"/>
      <c r="D14" s="9">
        <f>MIN(D4:D13)</f>
        <v>723564.74001942563</v>
      </c>
      <c r="E14" s="22">
        <f>INDEX(E4:E13, MATCH($D$14, D4:D13, 0))</f>
        <v>74.571030374998372</v>
      </c>
      <c r="F14" s="9">
        <f>INDEX(F4:F13, MATCH($D$14, D4:D13, 0))</f>
        <v>9</v>
      </c>
      <c r="G14" s="9">
        <f>INDEX(G4:G13, MATCH($D$14, D4:D13, 0))</f>
        <v>97</v>
      </c>
      <c r="H14" s="22">
        <f>INDEX(H4:H13, MATCH($D$14, D4:D13, 0))</f>
        <v>235.92308639520451</v>
      </c>
      <c r="I14" s="22">
        <f>INDEX(I4:I13, MATCH($D$14, D4:D13, 0))</f>
        <v>40.254717166949341</v>
      </c>
      <c r="J14" s="22">
        <f>INDEX(J4:J13, MATCH($D$14, D4:D13, 0))</f>
        <v>5244.0994302932459</v>
      </c>
      <c r="K14" s="32" t="e">
        <f>(D14-$D$15)/$D$15</f>
        <v>#DIV/0!</v>
      </c>
      <c r="L14" s="16">
        <f>MIN(L4:L13)</f>
        <v>925232.23612361122</v>
      </c>
      <c r="M14" s="21">
        <f>INDEX(M4:M13, MATCH($L$14, L4:L13, 0))</f>
        <v>177.9330377919978</v>
      </c>
      <c r="N14" s="16">
        <f>INDEX(N4:N13, MATCH($L$14, L4:L13, 0))</f>
        <v>22</v>
      </c>
      <c r="O14" s="16">
        <f>INDEX(O4:O13, MATCH($L$14, L4:L13, 0))</f>
        <v>94</v>
      </c>
      <c r="P14" s="21">
        <f>INDEX(P4:P13, MATCH($L$14, L4:L13, 0))</f>
        <v>81.955911651738575</v>
      </c>
      <c r="Q14" s="21">
        <f>INDEX(Q4:Q13, MATCH($L$14, L4:L13, 0))</f>
        <v>15.804787746777068</v>
      </c>
      <c r="R14" s="21">
        <f>INDEX(R4:R13, MATCH($L$14, L4:L13, 0))</f>
        <v>4330.2669986957953</v>
      </c>
      <c r="S14" s="36" t="e">
        <f>(L14-$D$15)/$D$15</f>
        <v>#DIV/0!</v>
      </c>
      <c r="T14" s="38">
        <f>MIN(T4:T13)</f>
        <v>938876.68285306485</v>
      </c>
      <c r="U14" s="39">
        <f>INDEX(U4:U13, MATCH($T$14, T4:T13, 0))</f>
        <v>133.1191388750012</v>
      </c>
      <c r="V14" s="38">
        <f>INDEX(V4:V13, MATCH($T$14, T4:T13, 0))</f>
        <v>14</v>
      </c>
      <c r="W14" s="38">
        <f>INDEX(W4:W13, MATCH($T$14, T4:T13, 0))</f>
        <v>95</v>
      </c>
      <c r="X14" s="39">
        <f>INDEX(X4:X13, MATCH($T$14, T4:T13, 0))</f>
        <v>1008.7200966277187</v>
      </c>
      <c r="Y14" s="39">
        <f>INDEX(Y4:Y13, MATCH($T$14, T4:T13, 0))</f>
        <v>49.937766130311658</v>
      </c>
      <c r="Z14" s="39">
        <f>INDEX(Z4:Z13, MATCH($T$14, T4:T13, 0))</f>
        <v>6278.7574003275531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0.27871382469351863</v>
      </c>
      <c r="M15" s="45">
        <f t="shared" ref="M15:R15" si="0">(M14-E14)/E14</f>
        <v>1.3860879606627226</v>
      </c>
      <c r="N15" s="45">
        <f t="shared" si="0"/>
        <v>1.4444444444444444</v>
      </c>
      <c r="O15" s="45">
        <f t="shared" si="0"/>
        <v>-3.0927835051546393E-2</v>
      </c>
      <c r="P15" s="45">
        <f t="shared" si="0"/>
        <v>-0.65261597368876889</v>
      </c>
      <c r="Q15" s="45">
        <f t="shared" si="0"/>
        <v>-0.60738047962852415</v>
      </c>
      <c r="R15" s="45">
        <f t="shared" si="0"/>
        <v>-0.17425917333271268</v>
      </c>
      <c r="S15"/>
      <c r="T15" s="45">
        <f>(T14-D14)/D14</f>
        <v>0.29757108234414342</v>
      </c>
      <c r="U15" s="45">
        <f t="shared" ref="U15:Z15" si="1">(U14-E14)/E14</f>
        <v>0.78513208420990799</v>
      </c>
      <c r="V15" s="45">
        <f t="shared" si="1"/>
        <v>0.55555555555555558</v>
      </c>
      <c r="W15" s="45">
        <f>(W14-G14)/G14</f>
        <v>-2.0618556701030927E-2</v>
      </c>
      <c r="X15" s="45">
        <f t="shared" si="1"/>
        <v>3.2756311475934576</v>
      </c>
      <c r="Y15" s="45">
        <f t="shared" si="1"/>
        <v>0.24054445403761202</v>
      </c>
      <c r="Z15" s="45">
        <f t="shared" si="1"/>
        <v>0.19729945699684226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89" priority="9"/>
    <cfRule type="duplicateValues" dxfId="88" priority="10"/>
  </conditionalFormatting>
  <conditionalFormatting sqref="C4:C13">
    <cfRule type="duplicateValues" dxfId="87" priority="3"/>
    <cfRule type="duplicateValues" dxfId="86" priority="4"/>
  </conditionalFormatting>
  <conditionalFormatting sqref="C14">
    <cfRule type="duplicateValues" dxfId="85" priority="5"/>
    <cfRule type="duplicateValues" dxfId="84" priority="6"/>
  </conditionalFormatting>
  <conditionalFormatting sqref="C15">
    <cfRule type="duplicateValues" dxfId="83" priority="7"/>
    <cfRule type="duplicateValues" dxfId="82" priority="8"/>
  </conditionalFormatting>
  <conditionalFormatting sqref="C17:C30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E8A9-C031-5240-A150-7AB88AD3E3C9}">
  <sheetPr codeName="Sheet31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-0.88266039185364753</v>
      </c>
      <c r="J2" s="28" t="e">
        <f>(S14-J14)/J14</f>
        <v>#DIV/0!</v>
      </c>
      <c r="K2" s="28"/>
      <c r="L2" s="1" t="s">
        <v>19</v>
      </c>
      <c r="P2" s="1">
        <f>(P14-H14)/H14</f>
        <v>-4.9248465547534787E-2</v>
      </c>
      <c r="R2" s="1">
        <f>(R14-J14)/J14</f>
        <v>-0.15636119200299908</v>
      </c>
      <c r="T2" s="1" t="s">
        <v>20</v>
      </c>
      <c r="X2" s="1">
        <f>(X14-P14)/P14</f>
        <v>3.2578291181281296</v>
      </c>
      <c r="Z2" s="1">
        <f>(Z14-R14)/R14</f>
        <v>0.37353778397980725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193</v>
      </c>
      <c r="D4" s="23">
        <v>718522.99364858342</v>
      </c>
      <c r="E4" s="33">
        <v>120.61445395799819</v>
      </c>
      <c r="F4" s="5">
        <v>8</v>
      </c>
      <c r="G4" s="23">
        <v>95</v>
      </c>
      <c r="H4" s="33">
        <v>158.26629992439581</v>
      </c>
      <c r="I4" s="23">
        <v>46.002282078169529</v>
      </c>
      <c r="J4" s="5">
        <v>5257.5646564869121</v>
      </c>
      <c r="K4" s="31"/>
      <c r="L4" s="23">
        <v>946942.45500169741</v>
      </c>
      <c r="M4" s="33">
        <v>153.6405349159977</v>
      </c>
      <c r="N4" s="5">
        <v>23</v>
      </c>
      <c r="O4" s="5">
        <v>94</v>
      </c>
      <c r="P4" s="33">
        <v>193.93111137406524</v>
      </c>
      <c r="Q4" s="5">
        <v>15.368687006483102</v>
      </c>
      <c r="R4" s="5">
        <v>4310.5195656860706</v>
      </c>
      <c r="S4" s="31"/>
      <c r="T4" s="23">
        <v>908182.68137420109</v>
      </c>
      <c r="U4" s="33">
        <v>35.82308233299409</v>
      </c>
      <c r="V4" s="5">
        <v>11</v>
      </c>
      <c r="W4" s="5">
        <v>92</v>
      </c>
      <c r="X4" s="33">
        <v>734.6447422714964</v>
      </c>
      <c r="Y4" s="5">
        <v>53.116545805552853</v>
      </c>
      <c r="Z4" s="5">
        <v>6232.660060942253</v>
      </c>
      <c r="AA4" s="35"/>
    </row>
    <row r="5" spans="2:27" x14ac:dyDescent="0.2">
      <c r="B5" s="4">
        <v>2</v>
      </c>
      <c r="C5" s="4">
        <v>218</v>
      </c>
      <c r="D5" s="23">
        <v>768329.36293466389</v>
      </c>
      <c r="E5" s="33">
        <v>106.70376500000199</v>
      </c>
      <c r="F5" s="5">
        <v>7</v>
      </c>
      <c r="G5" s="23">
        <v>95</v>
      </c>
      <c r="H5" s="33">
        <v>321.80209655938916</v>
      </c>
      <c r="I5" s="23">
        <v>52.254248210994227</v>
      </c>
      <c r="J5" s="5">
        <v>5792.5191848700279</v>
      </c>
      <c r="K5" s="31"/>
      <c r="L5" s="23">
        <v>979657.01559507009</v>
      </c>
      <c r="M5" s="33">
        <v>211.47572020800001</v>
      </c>
      <c r="N5" s="5">
        <v>22</v>
      </c>
      <c r="O5" s="5">
        <v>94</v>
      </c>
      <c r="P5" s="33">
        <v>292.05736741472924</v>
      </c>
      <c r="Q5" s="5">
        <v>16.521787574594729</v>
      </c>
      <c r="R5" s="5">
        <v>4786.2850690614814</v>
      </c>
      <c r="S5" s="31"/>
      <c r="T5" s="23">
        <v>962274.88462995552</v>
      </c>
      <c r="U5" s="33">
        <v>124.5096114160042</v>
      </c>
      <c r="V5" s="5">
        <v>13</v>
      </c>
      <c r="W5" s="5">
        <v>95</v>
      </c>
      <c r="X5" s="33">
        <v>1151.7641267741212</v>
      </c>
      <c r="Y5" s="5">
        <v>50.834905095840782</v>
      </c>
      <c r="Z5" s="5">
        <v>6604.3517350260954</v>
      </c>
      <c r="AA5" s="35"/>
    </row>
    <row r="6" spans="2:27" x14ac:dyDescent="0.2">
      <c r="B6" s="4">
        <v>3</v>
      </c>
      <c r="C6" s="4">
        <v>312</v>
      </c>
      <c r="D6" s="23">
        <v>746576.0655930927</v>
      </c>
      <c r="E6" s="33">
        <v>102.2028757500011</v>
      </c>
      <c r="F6" s="5">
        <v>8</v>
      </c>
      <c r="G6" s="23">
        <v>95</v>
      </c>
      <c r="H6" s="33">
        <v>219.24183968438305</v>
      </c>
      <c r="I6" s="23">
        <v>44.061112224369339</v>
      </c>
      <c r="J6" s="5">
        <v>5475.1053560751452</v>
      </c>
      <c r="K6" s="31"/>
      <c r="L6" s="23">
        <v>1024057.737779947</v>
      </c>
      <c r="M6" s="33">
        <v>87.002332208998268</v>
      </c>
      <c r="N6" s="5">
        <v>20</v>
      </c>
      <c r="O6" s="5">
        <v>91</v>
      </c>
      <c r="P6" s="33">
        <v>331.68157909567918</v>
      </c>
      <c r="Q6" s="5">
        <v>17.099200853196333</v>
      </c>
      <c r="R6" s="5">
        <v>5124.0927194915266</v>
      </c>
      <c r="S6" s="31"/>
      <c r="T6" s="23">
        <v>929207.59047571954</v>
      </c>
      <c r="U6" s="33">
        <v>97.384988541001803</v>
      </c>
      <c r="V6" s="5">
        <v>13</v>
      </c>
      <c r="W6" s="5">
        <v>95</v>
      </c>
      <c r="X6" s="33">
        <v>941.26820504803709</v>
      </c>
      <c r="Y6" s="5">
        <v>50.45822782750146</v>
      </c>
      <c r="Z6" s="5">
        <v>6381.6019890728276</v>
      </c>
      <c r="AA6" s="35"/>
    </row>
    <row r="7" spans="2:27" x14ac:dyDescent="0.2">
      <c r="B7" s="4">
        <v>4</v>
      </c>
      <c r="C7" s="4">
        <v>444</v>
      </c>
      <c r="D7" s="23">
        <v>884829.09285824769</v>
      </c>
      <c r="E7" s="33">
        <v>46.174761957998271</v>
      </c>
      <c r="F7" s="5">
        <v>10</v>
      </c>
      <c r="G7" s="23">
        <v>94</v>
      </c>
      <c r="H7" s="33">
        <v>672.90885638977602</v>
      </c>
      <c r="I7" s="23">
        <v>38.094358734390866</v>
      </c>
      <c r="J7" s="5">
        <v>6066.0405784955983</v>
      </c>
      <c r="K7" s="31"/>
      <c r="L7" s="23">
        <v>945890.66994743398</v>
      </c>
      <c r="M7" s="33">
        <v>104.0245903750038</v>
      </c>
      <c r="N7" s="5">
        <v>20</v>
      </c>
      <c r="O7" s="5">
        <v>92</v>
      </c>
      <c r="P7" s="33">
        <v>202.98420462434567</v>
      </c>
      <c r="Q7" s="5">
        <v>17.466394751902129</v>
      </c>
      <c r="R7" s="5">
        <v>4587.1272378431895</v>
      </c>
      <c r="S7" s="31"/>
      <c r="T7" s="23">
        <v>1042901.666403954</v>
      </c>
      <c r="U7" s="33">
        <v>39.90557241699571</v>
      </c>
      <c r="V7" s="5">
        <v>14</v>
      </c>
      <c r="W7" s="5">
        <v>93</v>
      </c>
      <c r="X7" s="33">
        <v>1221.795142514693</v>
      </c>
      <c r="Y7" s="5">
        <v>44.348443963180344</v>
      </c>
      <c r="Z7" s="5">
        <v>6790.1450908037177</v>
      </c>
      <c r="AA7" s="35"/>
    </row>
    <row r="8" spans="2:27" x14ac:dyDescent="0.2">
      <c r="B8" s="4">
        <v>5</v>
      </c>
      <c r="C8" s="4">
        <v>484</v>
      </c>
      <c r="D8" s="23">
        <v>773828.35778837663</v>
      </c>
      <c r="E8" s="33">
        <v>51.812537833000533</v>
      </c>
      <c r="F8" s="5">
        <v>8</v>
      </c>
      <c r="G8" s="23">
        <v>95</v>
      </c>
      <c r="H8" s="33">
        <v>337.63555507754393</v>
      </c>
      <c r="I8" s="23">
        <v>46.021522121942759</v>
      </c>
      <c r="J8" s="5">
        <v>5665.0968552823315</v>
      </c>
      <c r="K8" s="31"/>
      <c r="L8" s="23">
        <v>966984.0350069881</v>
      </c>
      <c r="M8" s="33">
        <v>118.260566082994</v>
      </c>
      <c r="N8" s="5">
        <v>19</v>
      </c>
      <c r="O8" s="5">
        <v>90</v>
      </c>
      <c r="P8" s="33">
        <v>167.38985865626654</v>
      </c>
      <c r="Q8" s="5">
        <v>17.16984057945524</v>
      </c>
      <c r="R8" s="5">
        <v>4668.8042267787423</v>
      </c>
      <c r="S8" s="31"/>
      <c r="T8" s="23">
        <v>901067.01399243029</v>
      </c>
      <c r="U8" s="33">
        <v>113.7458390419997</v>
      </c>
      <c r="V8" s="5">
        <v>13</v>
      </c>
      <c r="W8" s="5">
        <v>95</v>
      </c>
      <c r="X8" s="33">
        <v>925.72311633852996</v>
      </c>
      <c r="Y8" s="5">
        <v>50.391754148506166</v>
      </c>
      <c r="Z8" s="5">
        <v>6064.8907935029583</v>
      </c>
      <c r="AA8" s="35"/>
    </row>
    <row r="9" spans="2:27" x14ac:dyDescent="0.2">
      <c r="B9" s="4">
        <v>6</v>
      </c>
      <c r="C9" s="4">
        <v>528</v>
      </c>
      <c r="D9" s="23">
        <v>782241.67237673653</v>
      </c>
      <c r="E9" s="33">
        <v>35.53452383399781</v>
      </c>
      <c r="F9" s="5">
        <v>7</v>
      </c>
      <c r="G9" s="23">
        <v>95</v>
      </c>
      <c r="H9" s="33">
        <v>408.91892647309891</v>
      </c>
      <c r="I9" s="23">
        <v>53.261404383438617</v>
      </c>
      <c r="J9" s="5">
        <v>5937.2477000116951</v>
      </c>
      <c r="K9" s="31"/>
      <c r="L9" s="23">
        <v>956256.18782742345</v>
      </c>
      <c r="M9" s="33">
        <v>72.225155874999473</v>
      </c>
      <c r="N9" s="5">
        <v>20</v>
      </c>
      <c r="O9" s="5">
        <v>91</v>
      </c>
      <c r="P9" s="33">
        <v>143.29387231013175</v>
      </c>
      <c r="Q9" s="5">
        <v>17.100693677741639</v>
      </c>
      <c r="R9" s="5">
        <v>4584.0727353606162</v>
      </c>
      <c r="S9" s="31"/>
      <c r="T9" s="23">
        <v>1033456.683653865</v>
      </c>
      <c r="U9" s="33">
        <v>90.279237875001854</v>
      </c>
      <c r="V9" s="5">
        <v>13</v>
      </c>
      <c r="W9" s="5">
        <v>90</v>
      </c>
      <c r="X9" s="33">
        <v>1024.0909697619088</v>
      </c>
      <c r="Y9" s="5">
        <v>46.67060144480547</v>
      </c>
      <c r="Z9" s="5">
        <v>6627.1916271519794</v>
      </c>
      <c r="AA9" s="35"/>
    </row>
    <row r="10" spans="2:27" x14ac:dyDescent="0.2">
      <c r="B10" s="4">
        <v>7</v>
      </c>
      <c r="C10" s="4">
        <v>703</v>
      </c>
      <c r="D10" s="23">
        <v>767860.61648460396</v>
      </c>
      <c r="E10" s="33">
        <v>37.43537941699833</v>
      </c>
      <c r="F10" s="5">
        <v>10</v>
      </c>
      <c r="G10" s="23">
        <v>95</v>
      </c>
      <c r="H10" s="33">
        <v>408.32622578902664</v>
      </c>
      <c r="I10" s="23">
        <v>38.244790762967945</v>
      </c>
      <c r="J10" s="5">
        <v>5157.318146104637</v>
      </c>
      <c r="K10" s="31"/>
      <c r="L10" s="23">
        <v>906017.0407174587</v>
      </c>
      <c r="M10" s="33">
        <v>278.53904116700141</v>
      </c>
      <c r="N10" s="5">
        <v>18</v>
      </c>
      <c r="O10" s="5">
        <v>91</v>
      </c>
      <c r="P10" s="33">
        <v>150.4719275052334</v>
      </c>
      <c r="Q10" s="5">
        <v>18.570905615901683</v>
      </c>
      <c r="R10" s="5">
        <v>4435.4855797657801</v>
      </c>
      <c r="S10" s="31"/>
      <c r="T10" s="23">
        <v>880454.63862853858</v>
      </c>
      <c r="U10" s="33">
        <v>76.512114042001485</v>
      </c>
      <c r="V10" s="5">
        <v>11</v>
      </c>
      <c r="W10" s="5">
        <v>93</v>
      </c>
      <c r="X10" s="33">
        <v>640.68375439264776</v>
      </c>
      <c r="Y10" s="5">
        <v>53.294976127211584</v>
      </c>
      <c r="Z10" s="5">
        <v>6092.3070341058801</v>
      </c>
      <c r="AA10" s="35"/>
    </row>
    <row r="11" spans="2:27" x14ac:dyDescent="0.2">
      <c r="B11" s="4">
        <v>8</v>
      </c>
      <c r="C11" s="4">
        <v>766</v>
      </c>
      <c r="D11" s="23">
        <v>785069.83916197368</v>
      </c>
      <c r="E11" s="33">
        <v>92.484726583999873</v>
      </c>
      <c r="F11" s="5">
        <v>9</v>
      </c>
      <c r="G11" s="23">
        <v>95</v>
      </c>
      <c r="H11" s="33">
        <v>273.66228449904469</v>
      </c>
      <c r="I11" s="23">
        <v>40.136207656364334</v>
      </c>
      <c r="J11" s="5">
        <v>5634.0014116463781</v>
      </c>
      <c r="K11" s="31"/>
      <c r="L11" s="23">
        <v>940543.23468285869</v>
      </c>
      <c r="M11" s="33">
        <v>111.64111137499999</v>
      </c>
      <c r="N11" s="5">
        <v>22</v>
      </c>
      <c r="O11" s="5">
        <v>93</v>
      </c>
      <c r="P11" s="33">
        <v>92.254740920420176</v>
      </c>
      <c r="Q11" s="5">
        <v>15.687250768132976</v>
      </c>
      <c r="R11" s="5">
        <v>4347.5101860813083</v>
      </c>
      <c r="S11" s="31"/>
      <c r="T11" s="23">
        <v>908989.55623337755</v>
      </c>
      <c r="U11" s="33">
        <v>80.829279375000624</v>
      </c>
      <c r="V11" s="5">
        <v>13</v>
      </c>
      <c r="W11" s="5">
        <v>93</v>
      </c>
      <c r="X11" s="33">
        <v>759.06877168569986</v>
      </c>
      <c r="Y11" s="5">
        <v>48.659178959572543</v>
      </c>
      <c r="Z11" s="5">
        <v>6056.0636127925609</v>
      </c>
      <c r="AA11" s="35"/>
    </row>
    <row r="12" spans="2:27" x14ac:dyDescent="0.2">
      <c r="B12" s="4">
        <v>9</v>
      </c>
      <c r="C12" s="4">
        <v>905</v>
      </c>
      <c r="D12" s="23">
        <v>749710.2499751501</v>
      </c>
      <c r="E12" s="33">
        <v>69.280519832998834</v>
      </c>
      <c r="F12" s="5">
        <v>8</v>
      </c>
      <c r="G12" s="23">
        <v>95</v>
      </c>
      <c r="H12" s="33">
        <v>198.98292821364743</v>
      </c>
      <c r="I12" s="23">
        <v>43.791354635339687</v>
      </c>
      <c r="J12" s="5">
        <v>5487.4742938731233</v>
      </c>
      <c r="K12" s="31"/>
      <c r="L12" s="23">
        <v>916066.47513261868</v>
      </c>
      <c r="M12" s="33">
        <v>242.12961654100221</v>
      </c>
      <c r="N12" s="5">
        <v>19</v>
      </c>
      <c r="O12" s="5">
        <v>91</v>
      </c>
      <c r="P12" s="33">
        <v>148.90487766604414</v>
      </c>
      <c r="Q12" s="5">
        <v>17.670245548576592</v>
      </c>
      <c r="R12" s="5">
        <v>4303.5260801324994</v>
      </c>
      <c r="S12" s="31"/>
      <c r="T12" s="23">
        <v>912605.47352611704</v>
      </c>
      <c r="U12" s="33">
        <v>62.723224875000597</v>
      </c>
      <c r="V12" s="5">
        <v>12</v>
      </c>
      <c r="W12" s="5">
        <v>94</v>
      </c>
      <c r="X12" s="33">
        <v>767.62508695757344</v>
      </c>
      <c r="Y12" s="5">
        <v>51.429921418167879</v>
      </c>
      <c r="Z12" s="5">
        <v>6275.675745106696</v>
      </c>
      <c r="AA12" s="35"/>
    </row>
    <row r="13" spans="2:27" x14ac:dyDescent="0.2">
      <c r="B13" s="4">
        <v>10</v>
      </c>
      <c r="C13" s="4">
        <v>947</v>
      </c>
      <c r="D13" s="23">
        <v>721703.90721631132</v>
      </c>
      <c r="E13" s="33">
        <v>32.077843209001003</v>
      </c>
      <c r="F13" s="5">
        <v>9</v>
      </c>
      <c r="G13" s="23">
        <v>95</v>
      </c>
      <c r="H13" s="33">
        <v>152.72742882067914</v>
      </c>
      <c r="I13" s="23">
        <v>40.776389295889999</v>
      </c>
      <c r="J13" s="5">
        <v>5060.2479421009402</v>
      </c>
      <c r="K13" s="31"/>
      <c r="L13" s="23">
        <v>912462.60723530455</v>
      </c>
      <c r="M13" s="33">
        <v>211.01255300000051</v>
      </c>
      <c r="N13" s="5">
        <v>17</v>
      </c>
      <c r="O13" s="5">
        <v>88</v>
      </c>
      <c r="P13" s="33">
        <v>90.234079212844208</v>
      </c>
      <c r="Q13" s="5">
        <v>19.167567309047531</v>
      </c>
      <c r="R13" s="5">
        <v>4245.3799108034837</v>
      </c>
      <c r="S13" s="31"/>
      <c r="T13" s="23">
        <v>904927.50204939023</v>
      </c>
      <c r="U13" s="33">
        <v>47.98220549999678</v>
      </c>
      <c r="V13" s="5">
        <v>12</v>
      </c>
      <c r="W13" s="5">
        <v>94</v>
      </c>
      <c r="X13" s="33">
        <v>800.80205420219431</v>
      </c>
      <c r="Y13" s="5">
        <v>54.706138782222588</v>
      </c>
      <c r="Z13" s="5">
        <v>6282.8105201348726</v>
      </c>
      <c r="AA13" s="35"/>
    </row>
    <row r="14" spans="2:27" x14ac:dyDescent="0.2">
      <c r="B14" s="46" t="s">
        <v>3</v>
      </c>
      <c r="C14" s="47"/>
      <c r="D14" s="9">
        <f>MIN(D4:D13)</f>
        <v>718522.99364858342</v>
      </c>
      <c r="E14" s="22">
        <f>INDEX(E4:E13, MATCH($D$14, D4:D13, 0))</f>
        <v>120.61445395799819</v>
      </c>
      <c r="F14" s="9">
        <f>INDEX(F4:F13, MATCH($D$14, D4:D13, 0))</f>
        <v>8</v>
      </c>
      <c r="G14" s="9">
        <f>INDEX(G4:G13, MATCH($D$14, D4:D13, 0))</f>
        <v>95</v>
      </c>
      <c r="H14" s="22">
        <f>INDEX(H4:H13, MATCH($D$14, D4:D13, 0))</f>
        <v>158.26629992439581</v>
      </c>
      <c r="I14" s="22">
        <f>INDEX(I4:I13, MATCH($D$14, D4:D13, 0))</f>
        <v>46.002282078169529</v>
      </c>
      <c r="J14" s="22">
        <f>INDEX(J4:J13, MATCH($D$14, D4:D13, 0))</f>
        <v>5257.5646564869121</v>
      </c>
      <c r="K14" s="32" t="e">
        <f>(D14-$D$15)/$D$15</f>
        <v>#DIV/0!</v>
      </c>
      <c r="L14" s="16">
        <f>MIN(L4:L13)</f>
        <v>906017.0407174587</v>
      </c>
      <c r="M14" s="21">
        <f>INDEX(M4:M13, MATCH($L$14, L4:L13, 0))</f>
        <v>278.53904116700141</v>
      </c>
      <c r="N14" s="16">
        <f>INDEX(N4:N13, MATCH($L$14, L4:L13, 0))</f>
        <v>18</v>
      </c>
      <c r="O14" s="16">
        <f>INDEX(O4:O13, MATCH($L$14, L4:L13, 0))</f>
        <v>91</v>
      </c>
      <c r="P14" s="21">
        <f>INDEX(P4:P13, MATCH($L$14, L4:L13, 0))</f>
        <v>150.4719275052334</v>
      </c>
      <c r="Q14" s="21">
        <f>INDEX(Q4:Q13, MATCH($L$14, L4:L13, 0))</f>
        <v>18.570905615901683</v>
      </c>
      <c r="R14" s="21">
        <f>INDEX(R4:R13, MATCH($L$14, L4:L13, 0))</f>
        <v>4435.4855797657801</v>
      </c>
      <c r="S14" s="36" t="e">
        <f>(L14-$D$15)/$D$15</f>
        <v>#DIV/0!</v>
      </c>
      <c r="T14" s="38">
        <f>MIN(T4:T13)</f>
        <v>880454.63862853858</v>
      </c>
      <c r="U14" s="39">
        <f>INDEX(U4:U13, MATCH($T$14, T4:T13, 0))</f>
        <v>76.512114042001485</v>
      </c>
      <c r="V14" s="38">
        <f>INDEX(V4:V13, MATCH($T$14, T4:T13, 0))</f>
        <v>11</v>
      </c>
      <c r="W14" s="38">
        <f>INDEX(W4:W13, MATCH($T$14, T4:T13, 0))</f>
        <v>93</v>
      </c>
      <c r="X14" s="39">
        <f>INDEX(X4:X13, MATCH($T$14, T4:T13, 0))</f>
        <v>640.68375439264776</v>
      </c>
      <c r="Y14" s="39">
        <f>INDEX(Y4:Y13, MATCH($T$14, T4:T13, 0))</f>
        <v>53.294976127211584</v>
      </c>
      <c r="Z14" s="39">
        <f>INDEX(Z4:Z13, MATCH($T$14, T4:T13, 0))</f>
        <v>6092.3070341058801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0.26094369801138922</v>
      </c>
      <c r="M15" s="45">
        <f t="shared" ref="M15:R15" si="0">(M14-E14)/E14</f>
        <v>1.3093338486944326</v>
      </c>
      <c r="N15" s="45">
        <f t="shared" si="0"/>
        <v>1.25</v>
      </c>
      <c r="O15" s="45">
        <f t="shared" si="0"/>
        <v>-4.2105263157894736E-2</v>
      </c>
      <c r="P15" s="45">
        <f t="shared" si="0"/>
        <v>-4.9248465547534787E-2</v>
      </c>
      <c r="Q15" s="45">
        <f t="shared" si="0"/>
        <v>-0.59630468800775993</v>
      </c>
      <c r="R15" s="45">
        <f t="shared" si="0"/>
        <v>-0.15636119200299908</v>
      </c>
      <c r="S15"/>
      <c r="T15" s="45">
        <f>(T14-D14)/D14</f>
        <v>0.22536738060070072</v>
      </c>
      <c r="U15" s="45">
        <f t="shared" ref="U15:Z15" si="1">(U14-E14)/E14</f>
        <v>-0.36564722111459835</v>
      </c>
      <c r="V15" s="45">
        <f t="shared" si="1"/>
        <v>0.375</v>
      </c>
      <c r="W15" s="45">
        <f>(W14-G14)/G14</f>
        <v>-2.1052631578947368E-2</v>
      </c>
      <c r="X15" s="45">
        <f t="shared" si="1"/>
        <v>3.0481375674967062</v>
      </c>
      <c r="Y15" s="45">
        <f t="shared" si="1"/>
        <v>0.15852896246864276</v>
      </c>
      <c r="Z15" s="45">
        <f t="shared" si="1"/>
        <v>0.15876977881556673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81" priority="9"/>
    <cfRule type="duplicateValues" dxfId="80" priority="10"/>
  </conditionalFormatting>
  <conditionalFormatting sqref="C4:C13">
    <cfRule type="duplicateValues" dxfId="79" priority="3"/>
    <cfRule type="duplicateValues" dxfId="78" priority="4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7"/>
    <cfRule type="duplicateValues" dxfId="74" priority="8"/>
  </conditionalFormatting>
  <conditionalFormatting sqref="C17:C30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D72-F826-4C4D-B4FF-F2478EC31FA9}">
  <sheetPr codeName="Sheet25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-0.88326330038459278</v>
      </c>
      <c r="J2" s="28" t="e">
        <f>(S14-J14)/J14</f>
        <v>#DIV/0!</v>
      </c>
      <c r="K2" s="28"/>
      <c r="L2" s="1" t="s">
        <v>19</v>
      </c>
      <c r="P2" s="1">
        <f>(P14-H14)/H14</f>
        <v>-0.11630919720795534</v>
      </c>
      <c r="R2" s="1">
        <f>(R14-J14)/J14</f>
        <v>-0.17999223556744826</v>
      </c>
      <c r="T2" s="1" t="s">
        <v>20</v>
      </c>
      <c r="X2" s="1">
        <f>(X14-P14)/P14</f>
        <v>2.6895307606961123</v>
      </c>
      <c r="Z2" s="1">
        <f>(Z14-R14)/R14</f>
        <v>0.4043352473388615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752084.68969656667</v>
      </c>
      <c r="E4" s="33">
        <v>36.637375000002073</v>
      </c>
      <c r="F4" s="5">
        <v>7</v>
      </c>
      <c r="G4" s="23">
        <v>91</v>
      </c>
      <c r="H4" s="33">
        <v>240.35535243057873</v>
      </c>
      <c r="I4" s="23">
        <v>46.691609106568038</v>
      </c>
      <c r="J4" s="5">
        <v>5176.5541954423325</v>
      </c>
      <c r="K4" s="31"/>
      <c r="L4" s="23">
        <v>847717.06703932723</v>
      </c>
      <c r="M4" s="33">
        <v>150.60302787500399</v>
      </c>
      <c r="N4" s="5">
        <v>20</v>
      </c>
      <c r="O4" s="5">
        <v>94</v>
      </c>
      <c r="P4" s="33">
        <v>127.62118120273794</v>
      </c>
      <c r="Q4" s="5">
        <v>16.858923333315911</v>
      </c>
      <c r="R4" s="5">
        <v>4017.3062266205984</v>
      </c>
      <c r="S4" s="31"/>
      <c r="T4" s="23">
        <v>772622.25145430397</v>
      </c>
      <c r="U4" s="33">
        <v>139.7383444999941</v>
      </c>
      <c r="V4" s="5">
        <v>12</v>
      </c>
      <c r="W4" s="5">
        <v>98</v>
      </c>
      <c r="X4" s="33">
        <v>496.11442277720482</v>
      </c>
      <c r="Y4" s="5">
        <v>52.858047580841173</v>
      </c>
      <c r="Z4" s="5">
        <v>5791.447223085137</v>
      </c>
      <c r="AA4" s="35"/>
    </row>
    <row r="5" spans="2:27" x14ac:dyDescent="0.2">
      <c r="B5" s="4">
        <v>2</v>
      </c>
      <c r="C5" s="4">
        <v>120</v>
      </c>
      <c r="D5" s="23">
        <v>580966.36588580755</v>
      </c>
      <c r="E5" s="33">
        <v>45.005289790999093</v>
      </c>
      <c r="F5" s="5">
        <v>7</v>
      </c>
      <c r="G5" s="23">
        <v>100</v>
      </c>
      <c r="H5" s="33">
        <v>144.41836533719194</v>
      </c>
      <c r="I5" s="23">
        <v>52.783057686588549</v>
      </c>
      <c r="J5" s="5">
        <v>4899.1075461347473</v>
      </c>
      <c r="K5" s="31"/>
      <c r="L5" s="23">
        <v>909144.5540994769</v>
      </c>
      <c r="M5" s="33">
        <v>150.15693612500041</v>
      </c>
      <c r="N5" s="5">
        <v>22</v>
      </c>
      <c r="O5" s="5">
        <v>95</v>
      </c>
      <c r="P5" s="33">
        <v>159.26207742762901</v>
      </c>
      <c r="Q5" s="5">
        <v>15.816991249985909</v>
      </c>
      <c r="R5" s="5">
        <v>4378.0867188326592</v>
      </c>
      <c r="S5" s="31"/>
      <c r="T5" s="23">
        <v>776541.83306551445</v>
      </c>
      <c r="U5" s="33">
        <v>37.539011667002342</v>
      </c>
      <c r="V5" s="5">
        <v>11</v>
      </c>
      <c r="W5" s="5">
        <v>99</v>
      </c>
      <c r="X5" s="33">
        <v>660.11071176635483</v>
      </c>
      <c r="Y5" s="5">
        <v>58.058961408769839</v>
      </c>
      <c r="Z5" s="5">
        <v>6077.5698713486536</v>
      </c>
      <c r="AA5" s="35"/>
    </row>
    <row r="6" spans="2:27" x14ac:dyDescent="0.2">
      <c r="B6" s="4">
        <v>3</v>
      </c>
      <c r="C6" s="4">
        <v>314</v>
      </c>
      <c r="D6" s="23">
        <v>682200.89550584415</v>
      </c>
      <c r="E6" s="33">
        <v>48.338793499999163</v>
      </c>
      <c r="F6" s="5">
        <v>6</v>
      </c>
      <c r="G6" s="23">
        <v>98</v>
      </c>
      <c r="H6" s="33">
        <v>393.47959795056613</v>
      </c>
      <c r="I6" s="23">
        <v>57.565708211186482</v>
      </c>
      <c r="J6" s="5">
        <v>5586.4225490764438</v>
      </c>
      <c r="K6" s="31"/>
      <c r="L6" s="23">
        <v>917778.7882837503</v>
      </c>
      <c r="M6" s="33">
        <v>129.1300939580033</v>
      </c>
      <c r="N6" s="5">
        <v>26</v>
      </c>
      <c r="O6" s="5">
        <v>98</v>
      </c>
      <c r="P6" s="33">
        <v>147.96233746262394</v>
      </c>
      <c r="Q6" s="5">
        <v>13.659046036208018</v>
      </c>
      <c r="R6" s="5">
        <v>4120.9058266720103</v>
      </c>
      <c r="S6" s="31"/>
      <c r="T6" s="23">
        <v>754844.77608735347</v>
      </c>
      <c r="U6" s="33">
        <v>108.4714139580028</v>
      </c>
      <c r="V6" s="5">
        <v>13</v>
      </c>
      <c r="W6" s="5">
        <v>100</v>
      </c>
      <c r="X6" s="33">
        <v>598.45497342127123</v>
      </c>
      <c r="Y6" s="5">
        <v>52.332119339789564</v>
      </c>
      <c r="Z6" s="5">
        <v>5710.9625916559553</v>
      </c>
      <c r="AA6" s="35"/>
    </row>
    <row r="7" spans="2:27" x14ac:dyDescent="0.2">
      <c r="B7" s="4">
        <v>4</v>
      </c>
      <c r="C7" s="4">
        <v>330</v>
      </c>
      <c r="D7" s="23">
        <v>750821.83584856999</v>
      </c>
      <c r="E7" s="33">
        <v>25.362144167000221</v>
      </c>
      <c r="F7" s="5">
        <v>10</v>
      </c>
      <c r="G7" s="23">
        <v>98</v>
      </c>
      <c r="H7" s="33">
        <v>413.15757780773737</v>
      </c>
      <c r="I7" s="23">
        <v>35.668139856604924</v>
      </c>
      <c r="J7" s="5">
        <v>5451.0037645572202</v>
      </c>
      <c r="K7" s="31"/>
      <c r="L7" s="23">
        <v>909548.13649450568</v>
      </c>
      <c r="M7" s="33">
        <v>99.463302583004406</v>
      </c>
      <c r="N7" s="5">
        <v>25</v>
      </c>
      <c r="O7" s="5">
        <v>99</v>
      </c>
      <c r="P7" s="33">
        <v>142.63764137594018</v>
      </c>
      <c r="Q7" s="5">
        <v>14.479844156954835</v>
      </c>
      <c r="R7" s="5">
        <v>4481.2223725538806</v>
      </c>
      <c r="S7" s="31"/>
      <c r="T7" s="23">
        <v>748360.07397988206</v>
      </c>
      <c r="U7" s="33">
        <v>81.109670249999908</v>
      </c>
      <c r="V7" s="5">
        <v>12</v>
      </c>
      <c r="W7" s="5">
        <v>99</v>
      </c>
      <c r="X7" s="33">
        <v>480.57837587386587</v>
      </c>
      <c r="Y7" s="5">
        <v>54.936141639109763</v>
      </c>
      <c r="Z7" s="5">
        <v>5751.8972172777658</v>
      </c>
      <c r="AA7" s="35"/>
    </row>
    <row r="8" spans="2:27" x14ac:dyDescent="0.2">
      <c r="B8" s="4">
        <v>5</v>
      </c>
      <c r="C8" s="4">
        <v>526</v>
      </c>
      <c r="D8" s="23">
        <v>605413.23040583357</v>
      </c>
      <c r="E8" s="33">
        <v>57.625900749997527</v>
      </c>
      <c r="F8" s="5">
        <v>8</v>
      </c>
      <c r="G8" s="23">
        <v>99</v>
      </c>
      <c r="H8" s="33">
        <v>109.46490179492058</v>
      </c>
      <c r="I8" s="23">
        <v>45.88799533802198</v>
      </c>
      <c r="J8" s="5">
        <v>4833.3687964028086</v>
      </c>
      <c r="K8" s="31"/>
      <c r="L8" s="23">
        <v>885103.95105971862</v>
      </c>
      <c r="M8" s="33">
        <v>252.75765570899969</v>
      </c>
      <c r="N8" s="5">
        <v>24</v>
      </c>
      <c r="O8" s="5">
        <v>98</v>
      </c>
      <c r="P8" s="33">
        <v>114.06522944633429</v>
      </c>
      <c r="Q8" s="5">
        <v>14.600756362465921</v>
      </c>
      <c r="R8" s="5">
        <v>4235.3381606700486</v>
      </c>
      <c r="S8" s="31"/>
      <c r="T8" s="23">
        <v>764522.92414973734</v>
      </c>
      <c r="U8" s="33">
        <v>49.693730416998733</v>
      </c>
      <c r="V8" s="5">
        <v>12</v>
      </c>
      <c r="W8" s="5">
        <v>99</v>
      </c>
      <c r="X8" s="33">
        <v>600.71230802523075</v>
      </c>
      <c r="Y8" s="5">
        <v>53.978152203514703</v>
      </c>
      <c r="Z8" s="5">
        <v>5797.152740119066</v>
      </c>
      <c r="AA8" s="35"/>
    </row>
    <row r="9" spans="2:27" x14ac:dyDescent="0.2">
      <c r="B9" s="4">
        <v>6</v>
      </c>
      <c r="C9" s="4">
        <v>603</v>
      </c>
      <c r="D9" s="23">
        <v>739443.20776818984</v>
      </c>
      <c r="E9" s="33">
        <v>39.944773125000211</v>
      </c>
      <c r="F9" s="5">
        <v>8</v>
      </c>
      <c r="G9" s="23">
        <v>89</v>
      </c>
      <c r="H9" s="33">
        <v>80.884926850026829</v>
      </c>
      <c r="I9" s="23">
        <v>40.524902577464999</v>
      </c>
      <c r="J9" s="5">
        <v>4575.0451947770671</v>
      </c>
      <c r="K9" s="31"/>
      <c r="L9" s="23">
        <v>939576.4539993013</v>
      </c>
      <c r="M9" s="33">
        <v>158.5360525419965</v>
      </c>
      <c r="N9" s="5">
        <v>20</v>
      </c>
      <c r="O9" s="5">
        <v>89</v>
      </c>
      <c r="P9" s="33">
        <v>126.58870763851374</v>
      </c>
      <c r="Q9" s="5">
        <v>15.700382212181347</v>
      </c>
      <c r="R9" s="5">
        <v>4043.0404074246139</v>
      </c>
      <c r="S9" s="31"/>
      <c r="T9" s="23">
        <v>957995.04059568478</v>
      </c>
      <c r="U9" s="33">
        <v>51.753287833998911</v>
      </c>
      <c r="V9" s="5">
        <v>12</v>
      </c>
      <c r="W9" s="5">
        <v>89</v>
      </c>
      <c r="X9" s="33">
        <v>863.97300942298523</v>
      </c>
      <c r="Y9" s="5">
        <v>48.747343739105737</v>
      </c>
      <c r="Z9" s="5">
        <v>6083.2092185598185</v>
      </c>
      <c r="AA9" s="35"/>
    </row>
    <row r="10" spans="2:27" x14ac:dyDescent="0.2">
      <c r="B10" s="4">
        <v>7</v>
      </c>
      <c r="C10" s="4">
        <v>677</v>
      </c>
      <c r="D10" s="23">
        <v>609352.77623881889</v>
      </c>
      <c r="E10" s="33">
        <v>25.278884374998601</v>
      </c>
      <c r="F10" s="5">
        <v>7</v>
      </c>
      <c r="G10" s="23">
        <v>100</v>
      </c>
      <c r="H10" s="33">
        <v>231.7040843877179</v>
      </c>
      <c r="I10" s="23">
        <v>51.724523983913706</v>
      </c>
      <c r="J10" s="5">
        <v>5097.6189540937985</v>
      </c>
      <c r="K10" s="31"/>
      <c r="L10" s="23">
        <v>911093.32667918736</v>
      </c>
      <c r="M10" s="33">
        <v>106.22479420799939</v>
      </c>
      <c r="N10" s="5">
        <v>21</v>
      </c>
      <c r="O10" s="5">
        <v>93</v>
      </c>
      <c r="P10" s="33">
        <v>138.72263572986463</v>
      </c>
      <c r="Q10" s="5">
        <v>16.044859477297376</v>
      </c>
      <c r="R10" s="5">
        <v>4263.5032264508964</v>
      </c>
      <c r="S10" s="31"/>
      <c r="T10" s="23">
        <v>806414.29754012101</v>
      </c>
      <c r="U10" s="33">
        <v>50.418498125000042</v>
      </c>
      <c r="V10" s="5">
        <v>11</v>
      </c>
      <c r="W10" s="5">
        <v>97</v>
      </c>
      <c r="X10" s="33">
        <v>805.03978244632185</v>
      </c>
      <c r="Y10" s="5">
        <v>57.036613006583963</v>
      </c>
      <c r="Z10" s="5">
        <v>5971.4366039674596</v>
      </c>
      <c r="AA10" s="35"/>
    </row>
    <row r="11" spans="2:27" x14ac:dyDescent="0.2">
      <c r="B11" s="4">
        <v>8</v>
      </c>
      <c r="C11" s="4">
        <v>940</v>
      </c>
      <c r="D11" s="23">
        <v>637070.05406788888</v>
      </c>
      <c r="E11" s="33">
        <v>37.569290415998687</v>
      </c>
      <c r="F11" s="5">
        <v>8</v>
      </c>
      <c r="G11" s="23">
        <v>100</v>
      </c>
      <c r="H11" s="33">
        <v>265.1421043085158</v>
      </c>
      <c r="I11" s="23">
        <v>45.909432373962474</v>
      </c>
      <c r="J11" s="5">
        <v>5123.6158998302071</v>
      </c>
      <c r="K11" s="31"/>
      <c r="L11" s="23">
        <v>880928.15564541845</v>
      </c>
      <c r="M11" s="33">
        <v>294.62616262499802</v>
      </c>
      <c r="N11" s="5">
        <v>22</v>
      </c>
      <c r="O11" s="5">
        <v>95</v>
      </c>
      <c r="P11" s="33">
        <v>108.65284525025692</v>
      </c>
      <c r="Q11" s="5">
        <v>15.649894940751871</v>
      </c>
      <c r="R11" s="5">
        <v>4107.9360108184737</v>
      </c>
      <c r="S11" s="31"/>
      <c r="T11" s="23">
        <v>785733.76306412625</v>
      </c>
      <c r="U11" s="33">
        <v>100.0430128750013</v>
      </c>
      <c r="V11" s="5">
        <v>11</v>
      </c>
      <c r="W11" s="5">
        <v>96</v>
      </c>
      <c r="X11" s="33">
        <v>542.24958550906456</v>
      </c>
      <c r="Y11" s="5">
        <v>53.991387232410005</v>
      </c>
      <c r="Z11" s="5">
        <v>5764.6086131029688</v>
      </c>
      <c r="AA11" s="35"/>
    </row>
    <row r="12" spans="2:27" x14ac:dyDescent="0.2">
      <c r="B12" s="4">
        <v>9</v>
      </c>
      <c r="C12" s="4">
        <v>962</v>
      </c>
      <c r="D12" s="23">
        <v>636936.38637604157</v>
      </c>
      <c r="E12" s="33">
        <v>59.875029458999052</v>
      </c>
      <c r="F12" s="5">
        <v>9</v>
      </c>
      <c r="G12" s="23">
        <v>100</v>
      </c>
      <c r="H12" s="33">
        <v>186.29116713404929</v>
      </c>
      <c r="I12" s="23">
        <v>41.09646749697837</v>
      </c>
      <c r="J12" s="5">
        <v>5002.1202468542642</v>
      </c>
      <c r="K12" s="31"/>
      <c r="L12" s="23">
        <v>1016150.280669844</v>
      </c>
      <c r="M12" s="33">
        <v>79.312472584002535</v>
      </c>
      <c r="N12" s="5">
        <v>21</v>
      </c>
      <c r="O12" s="5">
        <v>89</v>
      </c>
      <c r="P12" s="33">
        <v>271.91787996070553</v>
      </c>
      <c r="Q12" s="5">
        <v>15.590555282289595</v>
      </c>
      <c r="R12" s="5">
        <v>4578.3305356864676</v>
      </c>
      <c r="S12" s="31"/>
      <c r="T12" s="23">
        <v>736152.89000500028</v>
      </c>
      <c r="U12" s="33">
        <v>70.835548082999594</v>
      </c>
      <c r="V12" s="5">
        <v>12</v>
      </c>
      <c r="W12" s="5">
        <v>99</v>
      </c>
      <c r="X12" s="33">
        <v>470.8622737638741</v>
      </c>
      <c r="Y12" s="5">
        <v>55.537372046650894</v>
      </c>
      <c r="Z12" s="5">
        <v>5641.6447333971864</v>
      </c>
      <c r="AA12" s="35"/>
    </row>
    <row r="13" spans="2:27" x14ac:dyDescent="0.2">
      <c r="B13" s="4">
        <v>10</v>
      </c>
      <c r="C13" s="4">
        <v>969</v>
      </c>
      <c r="D13" s="23">
        <v>625879.70334831765</v>
      </c>
      <c r="E13" s="33">
        <v>79.424654082999041</v>
      </c>
      <c r="F13" s="5">
        <v>7</v>
      </c>
      <c r="G13" s="23">
        <v>99</v>
      </c>
      <c r="H13" s="33">
        <v>144.36177352691209</v>
      </c>
      <c r="I13" s="23">
        <v>50.568578037463503</v>
      </c>
      <c r="J13" s="5">
        <v>5174.5122568566248</v>
      </c>
      <c r="K13" s="31"/>
      <c r="L13" s="23">
        <v>940428.59291834489</v>
      </c>
      <c r="M13" s="33">
        <v>123.5912599160001</v>
      </c>
      <c r="N13" s="5">
        <v>25</v>
      </c>
      <c r="O13" s="5">
        <v>97</v>
      </c>
      <c r="P13" s="33">
        <v>196.37097374709543</v>
      </c>
      <c r="Q13" s="5">
        <v>13.830027987189768</v>
      </c>
      <c r="R13" s="5">
        <v>4346.1423198917737</v>
      </c>
      <c r="S13" s="31"/>
      <c r="T13" s="23">
        <v>742809.89463671297</v>
      </c>
      <c r="U13" s="33">
        <v>53.952385875003529</v>
      </c>
      <c r="V13" s="5">
        <v>12</v>
      </c>
      <c r="W13" s="5">
        <v>97</v>
      </c>
      <c r="X13" s="33">
        <v>393.49294995708931</v>
      </c>
      <c r="Y13" s="5">
        <v>51.12183276045301</v>
      </c>
      <c r="Z13" s="5">
        <v>5368.6775829715352</v>
      </c>
      <c r="AA13" s="35"/>
    </row>
    <row r="14" spans="2:27" x14ac:dyDescent="0.2">
      <c r="B14" s="46" t="s">
        <v>3</v>
      </c>
      <c r="C14" s="47"/>
      <c r="D14" s="9">
        <f>MIN(D4:D13)</f>
        <v>580966.36588580755</v>
      </c>
      <c r="E14" s="22">
        <f>INDEX(E4:E13, MATCH($D$14, D4:D13, 0))</f>
        <v>45.005289790999093</v>
      </c>
      <c r="F14" s="9">
        <f>INDEX(F4:F13, MATCH($D$14, D4:D13, 0))</f>
        <v>7</v>
      </c>
      <c r="G14" s="9">
        <f>INDEX(G4:G13, MATCH($D$14, D4:D13, 0))</f>
        <v>100</v>
      </c>
      <c r="H14" s="22">
        <f>INDEX(H4:H13, MATCH($D$14, D4:D13, 0))</f>
        <v>144.41836533719194</v>
      </c>
      <c r="I14" s="22">
        <f>INDEX(I4:I13, MATCH($D$14, D4:D13, 0))</f>
        <v>52.783057686588549</v>
      </c>
      <c r="J14" s="22">
        <f>INDEX(J4:J13, MATCH($D$14, D4:D13, 0))</f>
        <v>4899.1075461347473</v>
      </c>
      <c r="K14" s="32" t="e">
        <f>(D14-$D$15)/$D$15</f>
        <v>#DIV/0!</v>
      </c>
      <c r="L14" s="16">
        <f>MIN(L4:L13)</f>
        <v>847717.06703932723</v>
      </c>
      <c r="M14" s="21">
        <f>INDEX(M4:M13, MATCH($L$14, L4:L13, 0))</f>
        <v>150.60302787500399</v>
      </c>
      <c r="N14" s="16">
        <f>INDEX(N4:N13, MATCH($L$14, L4:L13, 0))</f>
        <v>20</v>
      </c>
      <c r="O14" s="16">
        <f>INDEX(O4:O13, MATCH($L$14, L4:L13, 0))</f>
        <v>94</v>
      </c>
      <c r="P14" s="21">
        <f>INDEX(P4:P13, MATCH($L$14, L4:L13, 0))</f>
        <v>127.62118120273794</v>
      </c>
      <c r="Q14" s="21">
        <f>INDEX(Q4:Q13, MATCH($L$14, L4:L13, 0))</f>
        <v>16.858923333315911</v>
      </c>
      <c r="R14" s="21">
        <f>INDEX(R4:R13, MATCH($L$14, L4:L13, 0))</f>
        <v>4017.3062266205984</v>
      </c>
      <c r="S14" s="36" t="e">
        <f>(L14-$D$15)/$D$15</f>
        <v>#DIV/0!</v>
      </c>
      <c r="T14" s="38">
        <f>MIN(T4:T13)</f>
        <v>736152.89000500028</v>
      </c>
      <c r="U14" s="39">
        <f>INDEX(U4:U13, MATCH($T$14, T4:T13, 0))</f>
        <v>70.835548082999594</v>
      </c>
      <c r="V14" s="38">
        <f>INDEX(V4:V13, MATCH($T$14, T4:T13, 0))</f>
        <v>12</v>
      </c>
      <c r="W14" s="38">
        <f>INDEX(W4:W13, MATCH($T$14, T4:T13, 0))</f>
        <v>99</v>
      </c>
      <c r="X14" s="39">
        <f>INDEX(X4:X13, MATCH($T$14, T4:T13, 0))</f>
        <v>470.8622737638741</v>
      </c>
      <c r="Y14" s="39">
        <f>INDEX(Y4:Y13, MATCH($T$14, T4:T13, 0))</f>
        <v>55.537372046650894</v>
      </c>
      <c r="Z14" s="39">
        <f>INDEX(Z4:Z13, MATCH($T$14, T4:T13, 0))</f>
        <v>5641.6447333971864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0.45914999011483421</v>
      </c>
      <c r="M15" s="45">
        <f t="shared" ref="M15:R15" si="0">(M14-E14)/E14</f>
        <v>2.3463405873929979</v>
      </c>
      <c r="N15" s="45">
        <f t="shared" si="0"/>
        <v>1.8571428571428572</v>
      </c>
      <c r="O15" s="45">
        <f t="shared" si="0"/>
        <v>-0.06</v>
      </c>
      <c r="P15" s="45">
        <f t="shared" si="0"/>
        <v>-0.11630919720795534</v>
      </c>
      <c r="Q15" s="45">
        <f t="shared" si="0"/>
        <v>-0.68059972134582236</v>
      </c>
      <c r="R15" s="45">
        <f t="shared" si="0"/>
        <v>-0.17999223556744826</v>
      </c>
      <c r="S15"/>
      <c r="T15" s="45">
        <f>(T14-D14)/D14</f>
        <v>0.26711791461899465</v>
      </c>
      <c r="U15" s="45">
        <f t="shared" ref="U15:Z15" si="1">(U14-E14)/E14</f>
        <v>0.57393827285534926</v>
      </c>
      <c r="V15" s="45">
        <f t="shared" si="1"/>
        <v>0.7142857142857143</v>
      </c>
      <c r="W15" s="45">
        <f>(W14-G14)/G14</f>
        <v>-0.01</v>
      </c>
      <c r="X15" s="45">
        <f t="shared" si="1"/>
        <v>2.2604043998454904</v>
      </c>
      <c r="Y15" s="45">
        <f t="shared" si="1"/>
        <v>5.2181788641664437E-2</v>
      </c>
      <c r="Z15" s="45">
        <f t="shared" si="1"/>
        <v>0.15156580668417441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73" priority="9"/>
    <cfRule type="duplicateValues" dxfId="72" priority="10"/>
  </conditionalFormatting>
  <conditionalFormatting sqref="C4:C13">
    <cfRule type="duplicateValues" dxfId="71" priority="3"/>
    <cfRule type="duplicateValues" dxfId="70" priority="4"/>
  </conditionalFormatting>
  <conditionalFormatting sqref="C14">
    <cfRule type="duplicateValues" dxfId="69" priority="5"/>
    <cfRule type="duplicateValues" dxfId="68" priority="6"/>
  </conditionalFormatting>
  <conditionalFormatting sqref="C15">
    <cfRule type="duplicateValues" dxfId="67" priority="7"/>
    <cfRule type="duplicateValues" dxfId="66" priority="8"/>
  </conditionalFormatting>
  <conditionalFormatting sqref="C17:C30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3A5C-EF77-4D48-9341-DC1804185942}">
  <sheetPr codeName="Sheet26"/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-0.96836644970731423</v>
      </c>
      <c r="J2" s="28" t="e">
        <f>(S14-J14)/J14</f>
        <v>#DIV/0!</v>
      </c>
      <c r="K2" s="28"/>
      <c r="L2" s="1" t="s">
        <v>19</v>
      </c>
      <c r="P2" s="1">
        <f>(P14-H14)/H14</f>
        <v>-0.27237805865079995</v>
      </c>
      <c r="R2" s="1">
        <f>(R14-J14)/J14</f>
        <v>-0.10796633108724003</v>
      </c>
      <c r="T2" s="1" t="s">
        <v>20</v>
      </c>
      <c r="X2" s="1">
        <f>(X14-P14)/P14</f>
        <v>1.533619696004116</v>
      </c>
      <c r="Z2" s="1">
        <f>(Z14-R14)/R14</f>
        <v>0.27143400796000106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</v>
      </c>
      <c r="D4" s="23">
        <v>917640.15253197972</v>
      </c>
      <c r="E4" s="33">
        <v>53.745924791997822</v>
      </c>
      <c r="F4" s="5">
        <v>9</v>
      </c>
      <c r="G4" s="23">
        <v>95</v>
      </c>
      <c r="H4" s="33">
        <v>978.14721992572515</v>
      </c>
      <c r="I4" s="23">
        <v>39.128054497623758</v>
      </c>
      <c r="J4" s="5">
        <v>6528.7711358249344</v>
      </c>
      <c r="K4" s="31"/>
      <c r="L4" s="23">
        <v>1072888.790343557</v>
      </c>
      <c r="M4" s="33">
        <v>90.797901917001582</v>
      </c>
      <c r="N4" s="5">
        <v>19</v>
      </c>
      <c r="O4" s="5">
        <v>90</v>
      </c>
      <c r="P4" s="33">
        <v>713.09771540980501</v>
      </c>
      <c r="Q4" s="5">
        <v>16.388769079648238</v>
      </c>
      <c r="R4" s="5">
        <v>5458.5608057444942</v>
      </c>
      <c r="S4" s="31"/>
      <c r="T4" s="23">
        <v>1198958.5050048931</v>
      </c>
      <c r="U4" s="33">
        <v>184.10455362499491</v>
      </c>
      <c r="V4" s="5">
        <v>11</v>
      </c>
      <c r="W4" s="5">
        <v>78</v>
      </c>
      <c r="X4" s="33">
        <v>1308.1521909850335</v>
      </c>
      <c r="Y4" s="5">
        <v>47.067102341778558</v>
      </c>
      <c r="Z4" s="5">
        <v>6993.3295277300294</v>
      </c>
      <c r="AA4" s="35"/>
    </row>
    <row r="5" spans="2:27" x14ac:dyDescent="0.2">
      <c r="B5" s="4">
        <v>2</v>
      </c>
      <c r="C5" s="4">
        <v>91</v>
      </c>
      <c r="D5" s="23">
        <v>872684.25108246051</v>
      </c>
      <c r="E5" s="33">
        <v>49.953416208001727</v>
      </c>
      <c r="F5" s="5">
        <v>10</v>
      </c>
      <c r="G5" s="23">
        <v>97</v>
      </c>
      <c r="H5" s="33">
        <v>827.76383861814395</v>
      </c>
      <c r="I5" s="23">
        <v>34.84168349946917</v>
      </c>
      <c r="J5" s="5">
        <v>6232.6496245205853</v>
      </c>
      <c r="K5" s="31"/>
      <c r="L5" s="23">
        <v>1096537.0203214469</v>
      </c>
      <c r="M5" s="33">
        <v>79.262528999999631</v>
      </c>
      <c r="N5" s="5">
        <v>25</v>
      </c>
      <c r="O5" s="5">
        <v>98</v>
      </c>
      <c r="P5" s="33">
        <v>874.42695358211347</v>
      </c>
      <c r="Q5" s="5">
        <v>14.490898018655573</v>
      </c>
      <c r="R5" s="5">
        <v>5583.0746094268461</v>
      </c>
      <c r="S5" s="31"/>
      <c r="T5" s="23">
        <v>1153645.7759779999</v>
      </c>
      <c r="U5" s="33">
        <v>111.2495132089971</v>
      </c>
      <c r="V5" s="5">
        <v>11</v>
      </c>
      <c r="W5" s="5">
        <v>78</v>
      </c>
      <c r="X5" s="33">
        <v>1042.4246024952668</v>
      </c>
      <c r="Y5" s="5">
        <v>42.752662347079934</v>
      </c>
      <c r="Z5" s="5">
        <v>6580.9158466106801</v>
      </c>
      <c r="AA5" s="35"/>
    </row>
    <row r="6" spans="2:27" x14ac:dyDescent="0.2">
      <c r="B6" s="4">
        <v>3</v>
      </c>
      <c r="C6" s="4">
        <v>160</v>
      </c>
      <c r="D6" s="23">
        <v>861392.89988889615</v>
      </c>
      <c r="E6" s="33">
        <v>44.340832125002628</v>
      </c>
      <c r="F6" s="5">
        <v>10</v>
      </c>
      <c r="G6" s="23">
        <v>92</v>
      </c>
      <c r="H6" s="33">
        <v>397.69283346833009</v>
      </c>
      <c r="I6" s="23">
        <v>32.356096492465909</v>
      </c>
      <c r="J6" s="5">
        <v>5634.2173477043079</v>
      </c>
      <c r="K6" s="31"/>
      <c r="L6" s="23">
        <v>1032703.787191535</v>
      </c>
      <c r="M6" s="33">
        <v>152.8905643329999</v>
      </c>
      <c r="N6" s="5">
        <v>23</v>
      </c>
      <c r="O6" s="5">
        <v>96</v>
      </c>
      <c r="P6" s="33">
        <v>602.81760358525287</v>
      </c>
      <c r="Q6" s="5">
        <v>14.842862772796598</v>
      </c>
      <c r="R6" s="5">
        <v>5197.1697174217397</v>
      </c>
      <c r="S6" s="31"/>
      <c r="T6" s="23">
        <v>1313074.9892240849</v>
      </c>
      <c r="U6" s="33">
        <v>106.29500845800069</v>
      </c>
      <c r="V6" s="5">
        <v>15</v>
      </c>
      <c r="W6" s="5">
        <v>89</v>
      </c>
      <c r="X6" s="33">
        <v>2669.1369035403518</v>
      </c>
      <c r="Y6" s="5">
        <v>44.837953697356753</v>
      </c>
      <c r="Z6" s="5">
        <v>8145.4544238907538</v>
      </c>
      <c r="AA6" s="35"/>
    </row>
    <row r="7" spans="2:27" x14ac:dyDescent="0.2">
      <c r="B7" s="4">
        <v>4</v>
      </c>
      <c r="C7" s="4">
        <v>352</v>
      </c>
      <c r="D7" s="23">
        <v>809530.69079298922</v>
      </c>
      <c r="E7" s="33">
        <v>120.9018781669984</v>
      </c>
      <c r="F7" s="5">
        <v>10</v>
      </c>
      <c r="G7" s="23">
        <v>99</v>
      </c>
      <c r="H7" s="33">
        <v>628.07051482268196</v>
      </c>
      <c r="I7" s="23">
        <v>35.922887275396839</v>
      </c>
      <c r="J7" s="5">
        <v>5997.8305948474699</v>
      </c>
      <c r="K7" s="31"/>
      <c r="L7" s="23">
        <v>1080210.3984365959</v>
      </c>
      <c r="M7" s="33">
        <v>89.624162083993724</v>
      </c>
      <c r="N7" s="5">
        <v>22</v>
      </c>
      <c r="O7" s="5">
        <v>95</v>
      </c>
      <c r="P7" s="33">
        <v>804.24843437270124</v>
      </c>
      <c r="Q7" s="5">
        <v>15.723981246800172</v>
      </c>
      <c r="R7" s="5">
        <v>5650.4938907269252</v>
      </c>
      <c r="S7" s="31"/>
      <c r="T7" s="23">
        <v>1141129.710484284</v>
      </c>
      <c r="U7" s="33">
        <v>108.82965450000481</v>
      </c>
      <c r="V7" s="5">
        <v>10</v>
      </c>
      <c r="W7" s="5">
        <v>77</v>
      </c>
      <c r="X7" s="33">
        <v>914.12645124932226</v>
      </c>
      <c r="Y7" s="5">
        <v>45.580046859806409</v>
      </c>
      <c r="Z7" s="5">
        <v>6573.4330762540985</v>
      </c>
      <c r="AA7" s="35"/>
    </row>
    <row r="8" spans="2:27" x14ac:dyDescent="0.2">
      <c r="B8" s="4">
        <v>5</v>
      </c>
      <c r="C8" s="4">
        <v>442</v>
      </c>
      <c r="D8" s="23">
        <v>1041605.569626483</v>
      </c>
      <c r="E8" s="33">
        <v>42.699855625000048</v>
      </c>
      <c r="F8" s="5">
        <v>10</v>
      </c>
      <c r="G8" s="23">
        <v>87</v>
      </c>
      <c r="H8" s="33">
        <v>892.73736395427193</v>
      </c>
      <c r="I8" s="23">
        <v>30.216699606940313</v>
      </c>
      <c r="J8" s="5">
        <v>6524.6816041977254</v>
      </c>
      <c r="K8" s="31"/>
      <c r="L8" s="23">
        <v>1079245.2767601409</v>
      </c>
      <c r="M8" s="33">
        <v>199.37289570799479</v>
      </c>
      <c r="N8" s="5">
        <v>23</v>
      </c>
      <c r="O8" s="5">
        <v>96</v>
      </c>
      <c r="P8" s="33">
        <v>704.16208567942283</v>
      </c>
      <c r="Q8" s="5">
        <v>15.223822933775402</v>
      </c>
      <c r="R8" s="5">
        <v>5664.1665011644473</v>
      </c>
      <c r="S8" s="31"/>
      <c r="T8" s="23">
        <v>1218151.2568104609</v>
      </c>
      <c r="U8" s="33">
        <v>77.742772584002523</v>
      </c>
      <c r="V8" s="5">
        <v>13</v>
      </c>
      <c r="W8" s="5">
        <v>78</v>
      </c>
      <c r="X8" s="33">
        <v>1282.6016263311606</v>
      </c>
      <c r="Y8" s="5">
        <v>40.715608350458496</v>
      </c>
      <c r="Z8" s="5">
        <v>6846.9181229627275</v>
      </c>
      <c r="AA8" s="35"/>
    </row>
    <row r="9" spans="2:27" x14ac:dyDescent="0.2">
      <c r="B9" s="4">
        <v>6</v>
      </c>
      <c r="C9" s="4">
        <v>459</v>
      </c>
      <c r="D9" s="23">
        <v>794213.78456369648</v>
      </c>
      <c r="E9" s="33">
        <v>67.806890208998084</v>
      </c>
      <c r="F9" s="5">
        <v>11</v>
      </c>
      <c r="G9" s="23">
        <v>99</v>
      </c>
      <c r="H9" s="33">
        <v>534.25411844973303</v>
      </c>
      <c r="I9" s="23">
        <v>32.872262176170018</v>
      </c>
      <c r="J9" s="5">
        <v>5744.804996718789</v>
      </c>
      <c r="K9" s="31"/>
      <c r="L9" s="23">
        <v>1053457.6077956031</v>
      </c>
      <c r="M9" s="33">
        <v>108.9133856249973</v>
      </c>
      <c r="N9" s="5">
        <v>24</v>
      </c>
      <c r="O9" s="5">
        <v>97</v>
      </c>
      <c r="P9" s="33">
        <v>679.06912876672118</v>
      </c>
      <c r="Q9" s="5">
        <v>14.87852357421697</v>
      </c>
      <c r="R9" s="5">
        <v>5329.7417783157616</v>
      </c>
      <c r="S9" s="31"/>
      <c r="T9" s="23">
        <v>1222458.158381229</v>
      </c>
      <c r="U9" s="33">
        <v>147.59425916700269</v>
      </c>
      <c r="V9" s="5">
        <v>12</v>
      </c>
      <c r="W9" s="5">
        <v>76</v>
      </c>
      <c r="X9" s="33">
        <v>1237.3038015532393</v>
      </c>
      <c r="Y9" s="5">
        <v>42.672079306009174</v>
      </c>
      <c r="Z9" s="5">
        <v>6808.8638351853624</v>
      </c>
      <c r="AA9" s="35"/>
    </row>
    <row r="10" spans="2:27" x14ac:dyDescent="0.2">
      <c r="B10" s="4">
        <v>7</v>
      </c>
      <c r="C10" s="4">
        <v>754</v>
      </c>
      <c r="D10" s="23">
        <v>831660.48289418756</v>
      </c>
      <c r="E10" s="33">
        <v>37.840202333001798</v>
      </c>
      <c r="F10" s="5">
        <v>10</v>
      </c>
      <c r="G10" s="23">
        <v>98</v>
      </c>
      <c r="H10" s="33">
        <v>666.16948597935925</v>
      </c>
      <c r="I10" s="23">
        <v>35.379396975749081</v>
      </c>
      <c r="J10" s="5">
        <v>6095.299012702606</v>
      </c>
      <c r="K10" s="31"/>
      <c r="L10" s="23">
        <v>994911.3877968078</v>
      </c>
      <c r="M10" s="33">
        <v>208.11396400000379</v>
      </c>
      <c r="N10" s="5">
        <v>19</v>
      </c>
      <c r="O10" s="5">
        <v>91</v>
      </c>
      <c r="P10" s="33">
        <v>388.73501884020021</v>
      </c>
      <c r="Q10" s="5">
        <v>16.900354525054176</v>
      </c>
      <c r="R10" s="5">
        <v>5124.5594784114173</v>
      </c>
      <c r="S10" s="31"/>
      <c r="T10" s="23">
        <v>1109215.1505173361</v>
      </c>
      <c r="U10" s="33">
        <v>41.168491374999583</v>
      </c>
      <c r="V10" s="5">
        <v>13</v>
      </c>
      <c r="W10" s="5">
        <v>83</v>
      </c>
      <c r="X10" s="33">
        <v>984.90670026006239</v>
      </c>
      <c r="Y10" s="5">
        <v>40.744457090939179</v>
      </c>
      <c r="Z10" s="5">
        <v>6515.5391966660409</v>
      </c>
      <c r="AA10" s="35"/>
    </row>
    <row r="11" spans="2:27" x14ac:dyDescent="0.2">
      <c r="B11" s="4">
        <v>8</v>
      </c>
      <c r="C11" s="4">
        <v>794</v>
      </c>
      <c r="D11" s="23">
        <v>805661.76084929239</v>
      </c>
      <c r="E11" s="33">
        <v>68.790930333001597</v>
      </c>
      <c r="F11" s="5">
        <v>8</v>
      </c>
      <c r="G11" s="23">
        <v>98</v>
      </c>
      <c r="H11" s="33">
        <v>731.9418346062356</v>
      </c>
      <c r="I11" s="23">
        <v>45.328385161638131</v>
      </c>
      <c r="J11" s="5">
        <v>6178.7325239401234</v>
      </c>
      <c r="K11" s="31"/>
      <c r="L11" s="23">
        <v>1086394.1931415549</v>
      </c>
      <c r="M11" s="33">
        <v>114.22484258300391</v>
      </c>
      <c r="N11" s="5">
        <v>23</v>
      </c>
      <c r="O11" s="5">
        <v>96</v>
      </c>
      <c r="P11" s="33">
        <v>842.79846060278123</v>
      </c>
      <c r="Q11" s="5">
        <v>14.813800313480058</v>
      </c>
      <c r="R11" s="5">
        <v>5637.4405419252153</v>
      </c>
      <c r="S11" s="31"/>
      <c r="T11" s="23">
        <v>1160919.678243658</v>
      </c>
      <c r="U11" s="33">
        <v>140.8282310409995</v>
      </c>
      <c r="V11" s="5">
        <v>13</v>
      </c>
      <c r="W11" s="5">
        <v>89</v>
      </c>
      <c r="X11" s="33">
        <v>1780.2408052946939</v>
      </c>
      <c r="Y11" s="5">
        <v>49.261950915589253</v>
      </c>
      <c r="Z11" s="5">
        <v>7479.6709243428413</v>
      </c>
      <c r="AA11" s="35"/>
    </row>
    <row r="12" spans="2:27" x14ac:dyDescent="0.2">
      <c r="B12" s="4">
        <v>9</v>
      </c>
      <c r="C12" s="4">
        <v>860</v>
      </c>
      <c r="D12" s="23">
        <v>896485.49366176454</v>
      </c>
      <c r="E12" s="33">
        <v>37.73359604199868</v>
      </c>
      <c r="F12" s="5">
        <v>9</v>
      </c>
      <c r="G12" s="23">
        <v>89</v>
      </c>
      <c r="H12" s="33">
        <v>523.79974652962915</v>
      </c>
      <c r="I12" s="23">
        <v>35.571131981725486</v>
      </c>
      <c r="J12" s="5">
        <v>5661.6268348020512</v>
      </c>
      <c r="K12" s="31"/>
      <c r="L12" s="23">
        <v>1008065.863066894</v>
      </c>
      <c r="M12" s="33">
        <v>156.64289825000009</v>
      </c>
      <c r="N12" s="5">
        <v>22</v>
      </c>
      <c r="O12" s="5">
        <v>95</v>
      </c>
      <c r="P12" s="33">
        <v>528.58892922476082</v>
      </c>
      <c r="Q12" s="5">
        <v>15.389382930090774</v>
      </c>
      <c r="R12" s="5">
        <v>5101.055945604603</v>
      </c>
      <c r="S12" s="31"/>
      <c r="T12" s="23">
        <v>1209683.3994087849</v>
      </c>
      <c r="U12" s="33">
        <v>54.998203709001253</v>
      </c>
      <c r="V12" s="5">
        <v>13</v>
      </c>
      <c r="W12" s="5">
        <v>91</v>
      </c>
      <c r="X12" s="33">
        <v>2302.8188993862154</v>
      </c>
      <c r="Y12" s="5">
        <v>51.851520890949089</v>
      </c>
      <c r="Z12" s="5">
        <v>7907.3530897947267</v>
      </c>
      <c r="AA12" s="35"/>
    </row>
    <row r="13" spans="2:27" x14ac:dyDescent="0.2">
      <c r="B13" s="4">
        <v>10</v>
      </c>
      <c r="C13" s="4">
        <v>946</v>
      </c>
      <c r="D13" s="23">
        <v>971139.47054131911</v>
      </c>
      <c r="E13" s="33">
        <v>86.457706624998536</v>
      </c>
      <c r="F13" s="5">
        <v>12</v>
      </c>
      <c r="G13" s="23">
        <v>91</v>
      </c>
      <c r="H13" s="33">
        <v>786.10944562566192</v>
      </c>
      <c r="I13" s="23">
        <v>27.313957447427029</v>
      </c>
      <c r="J13" s="5">
        <v>6007.7904779576547</v>
      </c>
      <c r="K13" s="31"/>
      <c r="L13" s="23">
        <v>1034829.045123824</v>
      </c>
      <c r="M13" s="33">
        <v>96.12704108300386</v>
      </c>
      <c r="N13" s="5">
        <v>21</v>
      </c>
      <c r="O13" s="5">
        <v>93</v>
      </c>
      <c r="P13" s="33">
        <v>525.03799368346995</v>
      </c>
      <c r="Q13" s="5">
        <v>15.916771943504743</v>
      </c>
      <c r="R13" s="5">
        <v>5293.1811421552675</v>
      </c>
      <c r="S13" s="31"/>
      <c r="T13" s="23">
        <v>1405461.7894822969</v>
      </c>
      <c r="U13" s="33">
        <v>65.320826332994329</v>
      </c>
      <c r="V13" s="5">
        <v>16</v>
      </c>
      <c r="W13" s="5">
        <v>89</v>
      </c>
      <c r="X13" s="33">
        <v>3083.2837062403905</v>
      </c>
      <c r="Y13" s="5">
        <v>43.884028956584295</v>
      </c>
      <c r="Z13" s="5">
        <v>8734.6947485706696</v>
      </c>
      <c r="AA13" s="35"/>
    </row>
    <row r="14" spans="2:27" x14ac:dyDescent="0.2">
      <c r="B14" s="46" t="s">
        <v>3</v>
      </c>
      <c r="C14" s="47"/>
      <c r="D14" s="9">
        <f>MIN(D4:D13)</f>
        <v>794213.78456369648</v>
      </c>
      <c r="E14" s="22">
        <f>INDEX(E4:E13, MATCH($D$14, D4:D13, 0))</f>
        <v>67.806890208998084</v>
      </c>
      <c r="F14" s="9">
        <f>INDEX(F4:F13, MATCH($D$14, D4:D13, 0))</f>
        <v>11</v>
      </c>
      <c r="G14" s="9">
        <f>INDEX(G4:G13, MATCH($D$14, D4:D13, 0))</f>
        <v>99</v>
      </c>
      <c r="H14" s="22">
        <f>INDEX(H4:H13, MATCH($D$14, D4:D13, 0))</f>
        <v>534.25411844973303</v>
      </c>
      <c r="I14" s="22">
        <f>INDEX(I4:I13, MATCH($D$14, D4:D13, 0))</f>
        <v>32.872262176170018</v>
      </c>
      <c r="J14" s="22">
        <f>INDEX(J4:J13, MATCH($D$14, D4:D13, 0))</f>
        <v>5744.804996718789</v>
      </c>
      <c r="K14" s="32" t="e">
        <f>(D14-$D$15)/$D$15</f>
        <v>#DIV/0!</v>
      </c>
      <c r="L14" s="16">
        <f>MIN(L4:L13)</f>
        <v>994911.3877968078</v>
      </c>
      <c r="M14" s="21">
        <f>INDEX(M4:M13, MATCH($L$14, L4:L13, 0))</f>
        <v>208.11396400000379</v>
      </c>
      <c r="N14" s="16">
        <f>INDEX(N4:N13, MATCH($L$14, L4:L13, 0))</f>
        <v>19</v>
      </c>
      <c r="O14" s="16">
        <f>INDEX(O4:O13, MATCH($L$14, L4:L13, 0))</f>
        <v>91</v>
      </c>
      <c r="P14" s="21">
        <f>INDEX(P4:P13, MATCH($L$14, L4:L13, 0))</f>
        <v>388.73501884020021</v>
      </c>
      <c r="Q14" s="21">
        <f>INDEX(Q4:Q13, MATCH($L$14, L4:L13, 0))</f>
        <v>16.900354525054176</v>
      </c>
      <c r="R14" s="21">
        <f>INDEX(R4:R13, MATCH($L$14, L4:L13, 0))</f>
        <v>5124.5594784114173</v>
      </c>
      <c r="S14" s="36" t="e">
        <f>(L14-$D$15)/$D$15</f>
        <v>#DIV/0!</v>
      </c>
      <c r="T14" s="38">
        <f>MIN(T4:T13)</f>
        <v>1109215.1505173361</v>
      </c>
      <c r="U14" s="39">
        <f>INDEX(U4:U13, MATCH($T$14, T4:T13, 0))</f>
        <v>41.168491374999583</v>
      </c>
      <c r="V14" s="38">
        <f>INDEX(V4:V13, MATCH($T$14, T4:T13, 0))</f>
        <v>13</v>
      </c>
      <c r="W14" s="38">
        <f>INDEX(W4:W13, MATCH($T$14, T4:T13, 0))</f>
        <v>83</v>
      </c>
      <c r="X14" s="39">
        <f>INDEX(X4:X13, MATCH($T$14, T4:T13, 0))</f>
        <v>984.90670026006239</v>
      </c>
      <c r="Y14" s="39">
        <f>INDEX(Y4:Y13, MATCH($T$14, T4:T13, 0))</f>
        <v>40.744457090939179</v>
      </c>
      <c r="Z14" s="39">
        <f>INDEX(Z4:Z13, MATCH($T$14, T4:T13, 0))</f>
        <v>6515.5391966660409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0.25269972283768044</v>
      </c>
      <c r="M15" s="45">
        <f t="shared" ref="M15:R15" si="0">(M14-E14)/E14</f>
        <v>2.0692155820528506</v>
      </c>
      <c r="N15" s="45">
        <f t="shared" si="0"/>
        <v>0.72727272727272729</v>
      </c>
      <c r="O15" s="45">
        <f t="shared" si="0"/>
        <v>-8.0808080808080815E-2</v>
      </c>
      <c r="P15" s="45">
        <f t="shared" si="0"/>
        <v>-0.27237805865079995</v>
      </c>
      <c r="Q15" s="45">
        <f t="shared" si="0"/>
        <v>-0.48587795891620461</v>
      </c>
      <c r="R15" s="45">
        <f t="shared" si="0"/>
        <v>-0.10796633108724003</v>
      </c>
      <c r="S15"/>
      <c r="T15" s="45">
        <f>(T14-D14)/D14</f>
        <v>0.39662037108394749</v>
      </c>
      <c r="U15" s="45">
        <f t="shared" ref="U15:Z15" si="1">(U14-E14)/E14</f>
        <v>-0.3928568136938913</v>
      </c>
      <c r="V15" s="45">
        <f t="shared" si="1"/>
        <v>0.18181818181818182</v>
      </c>
      <c r="W15" s="45">
        <f>(W14-G14)/G14</f>
        <v>-0.16161616161616163</v>
      </c>
      <c r="X15" s="45">
        <f t="shared" si="1"/>
        <v>0.84351728184708497</v>
      </c>
      <c r="Y15" s="45">
        <f t="shared" si="1"/>
        <v>0.23947834416080815</v>
      </c>
      <c r="Z15" s="45">
        <f t="shared" si="1"/>
        <v>0.13416194290101502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65" priority="9"/>
    <cfRule type="duplicateValues" dxfId="64" priority="10"/>
  </conditionalFormatting>
  <conditionalFormatting sqref="C4:C13">
    <cfRule type="duplicateValues" dxfId="63" priority="3"/>
    <cfRule type="duplicateValues" dxfId="62" priority="4"/>
  </conditionalFormatting>
  <conditionalFormatting sqref="C14">
    <cfRule type="duplicateValues" dxfId="61" priority="5"/>
    <cfRule type="duplicateValues" dxfId="60" priority="6"/>
  </conditionalFormatting>
  <conditionalFormatting sqref="C15">
    <cfRule type="duplicateValues" dxfId="59" priority="7"/>
    <cfRule type="duplicateValues" dxfId="58" priority="8"/>
  </conditionalFormatting>
  <conditionalFormatting sqref="C17:C3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EFAA-7C66-5044-8DEC-19362C7DF9B2}">
  <sheetPr codeName="Sheet27"/>
  <dimension ref="B1:AA17"/>
  <sheetViews>
    <sheetView tabSelected="1"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-0.80584217706749339</v>
      </c>
      <c r="J2" s="28" t="e">
        <f>(S14-J14)/J14</f>
        <v>#DIV/0!</v>
      </c>
      <c r="K2" s="28"/>
      <c r="L2" s="1" t="s">
        <v>19</v>
      </c>
      <c r="P2" s="1">
        <f>(P14-H14)/H14</f>
        <v>1.1925542936552014</v>
      </c>
      <c r="R2" s="1">
        <f>(R14-J14)/J14</f>
        <v>-0.12793975579043093</v>
      </c>
      <c r="T2" s="1" t="s">
        <v>20</v>
      </c>
      <c r="X2" s="1">
        <f>(X14-P14)/P14</f>
        <v>2.7769150252235777</v>
      </c>
      <c r="Z2" s="1">
        <f>(Z14-R14)/R14</f>
        <v>0.43970503732071159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</v>
      </c>
      <c r="D4" s="23">
        <v>739688.73236307921</v>
      </c>
      <c r="E4" s="33">
        <v>81.720803583000816</v>
      </c>
      <c r="F4" s="5">
        <v>9</v>
      </c>
      <c r="G4" s="23">
        <v>92</v>
      </c>
      <c r="H4" s="33">
        <v>109.44500748671712</v>
      </c>
      <c r="I4" s="23">
        <v>49.118197164079625</v>
      </c>
      <c r="J4" s="5">
        <v>4908.8684434168044</v>
      </c>
      <c r="K4" s="31"/>
      <c r="L4" s="23">
        <v>1053648.0040265881</v>
      </c>
      <c r="M4" s="33">
        <v>79.591062207997311</v>
      </c>
      <c r="N4" s="5">
        <v>22</v>
      </c>
      <c r="O4" s="5">
        <v>87</v>
      </c>
      <c r="P4" s="33">
        <v>201.02333074276339</v>
      </c>
      <c r="Q4" s="5">
        <v>18.530823653781287</v>
      </c>
      <c r="R4" s="5">
        <v>4537.758991639409</v>
      </c>
      <c r="S4" s="31"/>
      <c r="T4" s="23">
        <v>948687.06407455821</v>
      </c>
      <c r="U4" s="33">
        <v>96.045764458998747</v>
      </c>
      <c r="V4" s="5">
        <v>14</v>
      </c>
      <c r="W4" s="5">
        <v>92</v>
      </c>
      <c r="X4" s="33">
        <v>836.42773940981112</v>
      </c>
      <c r="Y4" s="5">
        <v>56.624284596987749</v>
      </c>
      <c r="Z4" s="5">
        <v>6253.0585648072438</v>
      </c>
      <c r="AA4" s="35"/>
    </row>
    <row r="5" spans="2:27" x14ac:dyDescent="0.2">
      <c r="B5" s="4">
        <v>2</v>
      </c>
      <c r="C5" s="4">
        <v>167</v>
      </c>
      <c r="D5" s="23">
        <v>733522.50334750628</v>
      </c>
      <c r="E5" s="33">
        <v>54.059686917000363</v>
      </c>
      <c r="F5" s="5">
        <v>9</v>
      </c>
      <c r="G5" s="23">
        <v>92</v>
      </c>
      <c r="H5" s="33">
        <v>91.65393855461582</v>
      </c>
      <c r="I5" s="23">
        <v>48.182440478701615</v>
      </c>
      <c r="J5" s="5">
        <v>4840.2120803120397</v>
      </c>
      <c r="K5" s="31"/>
      <c r="L5" s="23">
        <v>1096852.815144625</v>
      </c>
      <c r="M5" s="33">
        <v>76.431977416999871</v>
      </c>
      <c r="N5" s="5">
        <v>25</v>
      </c>
      <c r="O5" s="5">
        <v>89</v>
      </c>
      <c r="P5" s="33">
        <v>301.98121778185845</v>
      </c>
      <c r="Q5" s="5">
        <v>16.829146021783448</v>
      </c>
      <c r="R5" s="5">
        <v>4621.2983337004862</v>
      </c>
      <c r="S5" s="31"/>
      <c r="T5" s="23">
        <v>943926.1063970956</v>
      </c>
      <c r="U5" s="33">
        <v>90.403865708998637</v>
      </c>
      <c r="V5" s="5">
        <v>13</v>
      </c>
      <c r="W5" s="5">
        <v>88</v>
      </c>
      <c r="X5" s="33">
        <v>684.78887755344556</v>
      </c>
      <c r="Y5" s="5">
        <v>55.16984545735135</v>
      </c>
      <c r="Z5" s="5">
        <v>5904.8217861881894</v>
      </c>
      <c r="AA5" s="35"/>
    </row>
    <row r="6" spans="2:27" x14ac:dyDescent="0.2">
      <c r="B6" s="4">
        <v>3</v>
      </c>
      <c r="C6" s="4">
        <v>197</v>
      </c>
      <c r="D6" s="23">
        <v>782462.33328362776</v>
      </c>
      <c r="E6" s="33">
        <v>58.451282165999153</v>
      </c>
      <c r="F6" s="5">
        <v>9</v>
      </c>
      <c r="G6" s="23">
        <v>91</v>
      </c>
      <c r="H6" s="33">
        <v>231.96593545139919</v>
      </c>
      <c r="I6" s="23">
        <v>49.13276856750683</v>
      </c>
      <c r="J6" s="5">
        <v>5109.2411685728985</v>
      </c>
      <c r="K6" s="31"/>
      <c r="L6" s="23">
        <v>1054770.8399057791</v>
      </c>
      <c r="M6" s="33">
        <v>141.6086943749979</v>
      </c>
      <c r="N6" s="5">
        <v>26</v>
      </c>
      <c r="O6" s="5">
        <v>91</v>
      </c>
      <c r="P6" s="33">
        <v>162.10608773028039</v>
      </c>
      <c r="Q6" s="5">
        <v>17.04582889232254</v>
      </c>
      <c r="R6" s="5">
        <v>4418.2490005528143</v>
      </c>
      <c r="S6" s="31"/>
      <c r="T6" s="23">
        <v>933815.77846565272</v>
      </c>
      <c r="U6" s="33">
        <v>110.9558629999956</v>
      </c>
      <c r="V6" s="5">
        <v>14</v>
      </c>
      <c r="W6" s="5">
        <v>92</v>
      </c>
      <c r="X6" s="33">
        <v>949.57926371485678</v>
      </c>
      <c r="Y6" s="5">
        <v>60.068854250342042</v>
      </c>
      <c r="Z6" s="5">
        <v>6142.3607108274809</v>
      </c>
      <c r="AA6" s="35"/>
    </row>
    <row r="7" spans="2:27" x14ac:dyDescent="0.2">
      <c r="B7" s="4">
        <v>4</v>
      </c>
      <c r="C7" s="4">
        <v>249</v>
      </c>
      <c r="D7" s="23">
        <v>851063.43005256017</v>
      </c>
      <c r="E7" s="33">
        <v>32.124830167002067</v>
      </c>
      <c r="F7" s="5">
        <v>9</v>
      </c>
      <c r="G7" s="23">
        <v>90</v>
      </c>
      <c r="H7" s="33">
        <v>279.13929285273804</v>
      </c>
      <c r="I7" s="23">
        <v>48.80322674867265</v>
      </c>
      <c r="J7" s="5">
        <v>5640.4262059612765</v>
      </c>
      <c r="K7" s="31"/>
      <c r="L7" s="23">
        <v>1069781.439612482</v>
      </c>
      <c r="M7" s="33">
        <v>176.97465829100111</v>
      </c>
      <c r="N7" s="5">
        <v>24</v>
      </c>
      <c r="O7" s="5">
        <v>89</v>
      </c>
      <c r="P7" s="33">
        <v>224.12366820588559</v>
      </c>
      <c r="Q7" s="5">
        <v>17.441772044524001</v>
      </c>
      <c r="R7" s="5">
        <v>4544.8935939786425</v>
      </c>
      <c r="S7" s="31"/>
      <c r="T7" s="23">
        <v>934199.41846034315</v>
      </c>
      <c r="U7" s="33">
        <v>135.42313575000301</v>
      </c>
      <c r="V7" s="5">
        <v>13</v>
      </c>
      <c r="W7" s="5">
        <v>92</v>
      </c>
      <c r="X7" s="33">
        <v>984.97769319752183</v>
      </c>
      <c r="Y7" s="5">
        <v>61.596767545509266</v>
      </c>
      <c r="Z7" s="5">
        <v>6277.7422871424487</v>
      </c>
      <c r="AA7" s="35"/>
    </row>
    <row r="8" spans="2:27" x14ac:dyDescent="0.2">
      <c r="B8" s="4">
        <v>5</v>
      </c>
      <c r="C8" s="4">
        <v>294</v>
      </c>
      <c r="D8" s="23">
        <v>751412.0814031224</v>
      </c>
      <c r="E8" s="33">
        <v>37.881968541998503</v>
      </c>
      <c r="F8" s="5">
        <v>8</v>
      </c>
      <c r="G8" s="23">
        <v>92</v>
      </c>
      <c r="H8" s="33">
        <v>138.18838737295803</v>
      </c>
      <c r="I8" s="23">
        <v>55.063313551036316</v>
      </c>
      <c r="J8" s="5">
        <v>5135.9280938499132</v>
      </c>
      <c r="K8" s="31"/>
      <c r="L8" s="23">
        <v>1032404.792744499</v>
      </c>
      <c r="M8" s="33">
        <v>267.65571987500152</v>
      </c>
      <c r="N8" s="5">
        <v>23</v>
      </c>
      <c r="O8" s="5">
        <v>88</v>
      </c>
      <c r="P8" s="33">
        <v>97.099405208046022</v>
      </c>
      <c r="Q8" s="5">
        <v>18.195099925930347</v>
      </c>
      <c r="R8" s="5">
        <v>4365.6517181113195</v>
      </c>
      <c r="S8" s="31"/>
      <c r="T8" s="23">
        <v>959432.96192730765</v>
      </c>
      <c r="U8" s="33">
        <v>88.179626208999252</v>
      </c>
      <c r="V8" s="5">
        <v>13</v>
      </c>
      <c r="W8" s="5">
        <v>92</v>
      </c>
      <c r="X8" s="33">
        <v>1083.0299170118035</v>
      </c>
      <c r="Y8" s="5">
        <v>67.72716888363496</v>
      </c>
      <c r="Z8" s="5">
        <v>6551.624161702659</v>
      </c>
      <c r="AA8" s="35"/>
    </row>
    <row r="9" spans="2:27" x14ac:dyDescent="0.2">
      <c r="B9" s="4">
        <v>6</v>
      </c>
      <c r="C9" s="4">
        <v>339</v>
      </c>
      <c r="D9" s="23">
        <v>807454.83359675063</v>
      </c>
      <c r="E9" s="33">
        <v>39.239159000000647</v>
      </c>
      <c r="F9" s="5">
        <v>9</v>
      </c>
      <c r="G9" s="23">
        <v>91</v>
      </c>
      <c r="H9" s="33">
        <v>274.52854832569955</v>
      </c>
      <c r="I9" s="23">
        <v>50.85528884792091</v>
      </c>
      <c r="J9" s="5">
        <v>5370.6676667276452</v>
      </c>
      <c r="K9" s="31"/>
      <c r="L9" s="23">
        <v>1045664.337135592</v>
      </c>
      <c r="M9" s="33">
        <v>228.80250145900209</v>
      </c>
      <c r="N9" s="5">
        <v>25</v>
      </c>
      <c r="O9" s="5">
        <v>91</v>
      </c>
      <c r="P9" s="33">
        <v>88.305206200057356</v>
      </c>
      <c r="Q9" s="5">
        <v>17.283872947955221</v>
      </c>
      <c r="R9" s="5">
        <v>4569.7479073638297</v>
      </c>
      <c r="S9" s="31"/>
      <c r="T9" s="23">
        <v>1061453.5690603461</v>
      </c>
      <c r="U9" s="33">
        <v>74.882557958000689</v>
      </c>
      <c r="V9" s="5">
        <v>13</v>
      </c>
      <c r="W9" s="5">
        <v>84</v>
      </c>
      <c r="X9" s="33">
        <v>1046.74486595386</v>
      </c>
      <c r="Y9" s="5">
        <v>54.584746481050416</v>
      </c>
      <c r="Z9" s="5">
        <v>6368.5597564430718</v>
      </c>
      <c r="AA9" s="35"/>
    </row>
    <row r="10" spans="2:27" x14ac:dyDescent="0.2">
      <c r="B10" s="4">
        <v>7</v>
      </c>
      <c r="C10" s="4">
        <v>494</v>
      </c>
      <c r="D10" s="23">
        <v>798284.79802043212</v>
      </c>
      <c r="E10" s="33">
        <v>66.720037000002776</v>
      </c>
      <c r="F10" s="5">
        <v>9</v>
      </c>
      <c r="G10" s="23">
        <v>92</v>
      </c>
      <c r="H10" s="33">
        <v>348.21363644711448</v>
      </c>
      <c r="I10" s="23">
        <v>49.983715237881093</v>
      </c>
      <c r="J10" s="5">
        <v>5361.6006258295974</v>
      </c>
      <c r="K10" s="31"/>
      <c r="L10" s="23">
        <v>1038970.618350961</v>
      </c>
      <c r="M10" s="33">
        <v>184.60981699999681</v>
      </c>
      <c r="N10" s="5">
        <v>24</v>
      </c>
      <c r="O10" s="5">
        <v>90</v>
      </c>
      <c r="P10" s="33">
        <v>173.5573809354305</v>
      </c>
      <c r="Q10" s="5">
        <v>17.835165246643015</v>
      </c>
      <c r="R10" s="5">
        <v>4495.4539162656383</v>
      </c>
      <c r="S10" s="31"/>
      <c r="T10" s="23">
        <v>953600.34277829621</v>
      </c>
      <c r="U10" s="33">
        <v>109.74454291699659</v>
      </c>
      <c r="V10" s="5">
        <v>14</v>
      </c>
      <c r="W10" s="5">
        <v>91</v>
      </c>
      <c r="X10" s="33">
        <v>868.15738247722106</v>
      </c>
      <c r="Y10" s="5">
        <v>57.63491990758282</v>
      </c>
      <c r="Z10" s="5">
        <v>6224.1674379809765</v>
      </c>
      <c r="AA10" s="35"/>
    </row>
    <row r="11" spans="2:27" x14ac:dyDescent="0.2">
      <c r="B11" s="4">
        <v>8</v>
      </c>
      <c r="C11" s="4">
        <v>697</v>
      </c>
      <c r="D11" s="23">
        <v>858627.09462581598</v>
      </c>
      <c r="E11" s="33">
        <v>35.78904166600114</v>
      </c>
      <c r="F11" s="5">
        <v>10</v>
      </c>
      <c r="G11" s="23">
        <v>91</v>
      </c>
      <c r="H11" s="33">
        <v>427.80604341349522</v>
      </c>
      <c r="I11" s="23">
        <v>44.606817287584356</v>
      </c>
      <c r="J11" s="5">
        <v>5617.5181480454467</v>
      </c>
      <c r="K11" s="31"/>
      <c r="L11" s="23">
        <v>1012545.371678256</v>
      </c>
      <c r="M11" s="33">
        <v>383.96155370799528</v>
      </c>
      <c r="N11" s="5">
        <v>24</v>
      </c>
      <c r="O11" s="5">
        <v>90</v>
      </c>
      <c r="P11" s="33">
        <v>200.95623650833292</v>
      </c>
      <c r="Q11" s="5">
        <v>17.795329172953945</v>
      </c>
      <c r="R11" s="5">
        <v>4220.9565287830237</v>
      </c>
      <c r="S11" s="31"/>
      <c r="T11" s="23">
        <v>1021804.1783832801</v>
      </c>
      <c r="U11" s="33">
        <v>36.831573750001553</v>
      </c>
      <c r="V11" s="5">
        <v>14</v>
      </c>
      <c r="W11" s="5">
        <v>92</v>
      </c>
      <c r="X11" s="33">
        <v>1366.0186873156897</v>
      </c>
      <c r="Y11" s="5">
        <v>61.889121619439479</v>
      </c>
      <c r="Z11" s="5">
        <v>6732.7580262826532</v>
      </c>
      <c r="AA11" s="35"/>
    </row>
    <row r="12" spans="2:27" x14ac:dyDescent="0.2">
      <c r="B12" s="4">
        <v>9</v>
      </c>
      <c r="C12" s="4">
        <v>749</v>
      </c>
      <c r="D12" s="23">
        <v>733752.41006977495</v>
      </c>
      <c r="E12" s="33">
        <v>38.971549500001863</v>
      </c>
      <c r="F12" s="5">
        <v>9</v>
      </c>
      <c r="G12" s="23">
        <v>92</v>
      </c>
      <c r="H12" s="33">
        <v>147.25879136908961</v>
      </c>
      <c r="I12" s="23">
        <v>48.450994015905103</v>
      </c>
      <c r="J12" s="5">
        <v>4825.5325837501759</v>
      </c>
      <c r="K12" s="31"/>
      <c r="L12" s="23">
        <v>1106616.3670735201</v>
      </c>
      <c r="M12" s="33">
        <v>176.12179691700291</v>
      </c>
      <c r="N12" s="5">
        <v>27</v>
      </c>
      <c r="O12" s="5">
        <v>91</v>
      </c>
      <c r="P12" s="33">
        <v>262.47846028331497</v>
      </c>
      <c r="Q12" s="5">
        <v>16.013946684225566</v>
      </c>
      <c r="R12" s="5">
        <v>4642.0559717829592</v>
      </c>
      <c r="S12" s="31"/>
      <c r="T12" s="23">
        <v>926347.04953291151</v>
      </c>
      <c r="U12" s="33">
        <v>125.60982891700409</v>
      </c>
      <c r="V12" s="5">
        <v>13</v>
      </c>
      <c r="W12" s="5">
        <v>89</v>
      </c>
      <c r="X12" s="33">
        <v>612.27777040736191</v>
      </c>
      <c r="Y12" s="5">
        <v>57.507316699880818</v>
      </c>
      <c r="Z12" s="5">
        <v>5845.7641771091394</v>
      </c>
      <c r="AA12" s="35"/>
    </row>
    <row r="13" spans="2:27" x14ac:dyDescent="0.2">
      <c r="B13" s="4">
        <v>10</v>
      </c>
      <c r="C13" s="4">
        <v>36</v>
      </c>
      <c r="D13" s="23">
        <v>768506.22667533904</v>
      </c>
      <c r="E13" s="33">
        <v>98.504300458997022</v>
      </c>
      <c r="F13" s="5">
        <v>9</v>
      </c>
      <c r="G13" s="23">
        <v>92</v>
      </c>
      <c r="H13" s="33">
        <v>135.11711190326298</v>
      </c>
      <c r="I13" s="23">
        <v>47.58804787840976</v>
      </c>
      <c r="J13" s="5">
        <v>5148.7642013974173</v>
      </c>
      <c r="K13" s="31"/>
      <c r="L13" s="23">
        <v>1041659.26222328</v>
      </c>
      <c r="M13" s="33">
        <v>173.7205850409955</v>
      </c>
      <c r="N13" s="5">
        <v>26</v>
      </c>
      <c r="O13" s="5">
        <v>91</v>
      </c>
      <c r="P13" s="33">
        <v>132.61358764635943</v>
      </c>
      <c r="Q13" s="5">
        <v>16.970581920209387</v>
      </c>
      <c r="R13" s="5">
        <v>4281.9515247535883</v>
      </c>
      <c r="S13" s="31"/>
      <c r="T13" s="23">
        <v>907418.17461118381</v>
      </c>
      <c r="U13" s="33">
        <v>176.02799370900169</v>
      </c>
      <c r="V13" s="5">
        <v>13</v>
      </c>
      <c r="W13" s="5">
        <v>91</v>
      </c>
      <c r="X13" s="33">
        <v>758.99462908070552</v>
      </c>
      <c r="Y13" s="5">
        <v>63.532557236462793</v>
      </c>
      <c r="Z13" s="5">
        <v>6076.9323768006643</v>
      </c>
      <c r="AA13" s="35"/>
    </row>
    <row r="14" spans="2:27" x14ac:dyDescent="0.2">
      <c r="B14" s="46" t="s">
        <v>3</v>
      </c>
      <c r="C14" s="47"/>
      <c r="D14" s="9">
        <f>MIN(D4:D13)</f>
        <v>733522.50334750628</v>
      </c>
      <c r="E14" s="22">
        <f>INDEX(E4:E13, MATCH($D$14, D4:D13, 0))</f>
        <v>54.059686917000363</v>
      </c>
      <c r="F14" s="9">
        <f>INDEX(F4:F13, MATCH($D$14, D4:D13, 0))</f>
        <v>9</v>
      </c>
      <c r="G14" s="9">
        <f>INDEX(G4:G13, MATCH($D$14, D4:D13, 0))</f>
        <v>92</v>
      </c>
      <c r="H14" s="22">
        <f>INDEX(H4:H13, MATCH($D$14, D4:D13, 0))</f>
        <v>91.65393855461582</v>
      </c>
      <c r="I14" s="22">
        <f>INDEX(I4:I13, MATCH($D$14, D4:D13, 0))</f>
        <v>48.182440478701615</v>
      </c>
      <c r="J14" s="22">
        <f>INDEX(J4:J13, MATCH($D$14, D4:D13, 0))</f>
        <v>4840.2120803120397</v>
      </c>
      <c r="K14" s="32" t="e">
        <f>(D14-$D$15)/$D$15</f>
        <v>#DIV/0!</v>
      </c>
      <c r="L14" s="16">
        <f>MIN(L4:L13)</f>
        <v>1012545.371678256</v>
      </c>
      <c r="M14" s="21">
        <f>INDEX(M4:M13, MATCH($L$14, L4:L13, 0))</f>
        <v>383.96155370799528</v>
      </c>
      <c r="N14" s="16">
        <f>INDEX(N4:N13, MATCH($L$14, L4:L13, 0))</f>
        <v>24</v>
      </c>
      <c r="O14" s="16">
        <f>INDEX(O4:O13, MATCH($L$14, L4:L13, 0))</f>
        <v>90</v>
      </c>
      <c r="P14" s="21">
        <f>INDEX(P4:P13, MATCH($L$14, L4:L13, 0))</f>
        <v>200.95623650833292</v>
      </c>
      <c r="Q14" s="21">
        <f>INDEX(Q4:Q13, MATCH($L$14, L4:L13, 0))</f>
        <v>17.795329172953945</v>
      </c>
      <c r="R14" s="21">
        <f>INDEX(R4:R13, MATCH($L$14, L4:L13, 0))</f>
        <v>4220.9565287830237</v>
      </c>
      <c r="S14" s="36" t="e">
        <f>(L14-$D$15)/$D$15</f>
        <v>#DIV/0!</v>
      </c>
      <c r="T14" s="38">
        <f>MIN(T4:T13)</f>
        <v>907418.17461118381</v>
      </c>
      <c r="U14" s="39">
        <f>INDEX(U4:U13, MATCH($T$14, T4:T13, 0))</f>
        <v>176.02799370900169</v>
      </c>
      <c r="V14" s="38">
        <f>INDEX(V4:V13, MATCH($T$14, T4:T13, 0))</f>
        <v>13</v>
      </c>
      <c r="W14" s="38">
        <f>INDEX(W4:W13, MATCH($T$14, T4:T13, 0))</f>
        <v>91</v>
      </c>
      <c r="X14" s="39">
        <f>INDEX(X4:X13, MATCH($T$14, T4:T13, 0))</f>
        <v>758.99462908070552</v>
      </c>
      <c r="Y14" s="39">
        <f>INDEX(Y4:Y13, MATCH($T$14, T4:T13, 0))</f>
        <v>63.532557236462793</v>
      </c>
      <c r="Z14" s="39">
        <f>INDEX(Z4:Z13, MATCH($T$14, T4:T13, 0))</f>
        <v>6076.9323768006643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0.38038760509377667</v>
      </c>
      <c r="M15" s="45">
        <f t="shared" ref="M15:R15" si="0">(M14-E14)/E14</f>
        <v>6.1025486014653438</v>
      </c>
      <c r="N15" s="45">
        <f t="shared" si="0"/>
        <v>1.6666666666666667</v>
      </c>
      <c r="O15" s="45">
        <f t="shared" si="0"/>
        <v>-2.1739130434782608E-2</v>
      </c>
      <c r="P15" s="45">
        <f t="shared" si="0"/>
        <v>1.1925542936552014</v>
      </c>
      <c r="Q15" s="45">
        <f t="shared" si="0"/>
        <v>-0.63066774957528093</v>
      </c>
      <c r="R15" s="45">
        <f t="shared" si="0"/>
        <v>-0.12793975579043093</v>
      </c>
      <c r="S15"/>
      <c r="T15" s="45">
        <f>(T14-D14)/D14</f>
        <v>0.23706930662670408</v>
      </c>
      <c r="U15" s="45">
        <f t="shared" ref="U15:Z15" si="1">(U14-E14)/E14</f>
        <v>2.2561785638763192</v>
      </c>
      <c r="V15" s="45">
        <f t="shared" si="1"/>
        <v>0.44444444444444442</v>
      </c>
      <c r="W15" s="45">
        <f>(W14-G14)/G14</f>
        <v>-1.0869565217391304E-2</v>
      </c>
      <c r="X15" s="45">
        <f t="shared" si="1"/>
        <v>7.2810912553247995</v>
      </c>
      <c r="Y15" s="45">
        <f t="shared" si="1"/>
        <v>0.31858321424267594</v>
      </c>
      <c r="Z15" s="45">
        <f t="shared" si="1"/>
        <v>0.25550952643564651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31:C1048576">
    <cfRule type="duplicateValues" dxfId="57" priority="9"/>
    <cfRule type="duplicateValues" dxfId="56" priority="10"/>
  </conditionalFormatting>
  <conditionalFormatting sqref="C4:C13">
    <cfRule type="duplicateValues" dxfId="55" priority="3"/>
    <cfRule type="duplicateValues" dxfId="54" priority="4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7"/>
    <cfRule type="duplicateValues" dxfId="50" priority="8"/>
  </conditionalFormatting>
  <conditionalFormatting sqref="C17:C3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sheetPr codeName="Sheet4"/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sheetPr codeName="Sheet5"/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sheetPr codeName="Sheet6"/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sheetPr codeName="Sheet7"/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sheetPr codeName="Sheet8"/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sheetPr codeName="Sheet9"/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sheetPr codeName="Sheet10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sheetPr codeName="Sheet11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sheetPr codeName="Sheet12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sheetPr codeName="Sheet13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sheetPr codeName="Sheet14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sheetPr codeName="Sheet15"/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sheetPr codeName="Sheet16"/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sheetPr codeName="Sheet17"/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sheetPr codeName="Sheet18"/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sheetPr codeName="Sheet19"/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sheetPr codeName="Sheet20"/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results56</vt:lpstr>
      <vt:lpstr>results257</vt:lpstr>
      <vt:lpstr>results403</vt:lpstr>
      <vt:lpstr>results580</vt:lpstr>
      <vt:lpstr>results583</vt:lpstr>
      <vt:lpstr>results597</vt:lpstr>
      <vt:lpstr>results663</vt:lpstr>
      <vt:lpstr>results795</vt:lpstr>
      <vt:lpstr>results918</vt:lpstr>
      <vt:lpstr>results944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2026-10-21T19:27:50Z</dcterms:modified>
</cp:coreProperties>
</file>