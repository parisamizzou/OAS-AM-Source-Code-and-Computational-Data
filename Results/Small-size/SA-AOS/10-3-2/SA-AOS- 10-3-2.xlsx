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10-3-2/"/>
    </mc:Choice>
  </mc:AlternateContent>
  <xr:revisionPtr revIDLastSave="0" documentId="13_ncr:1_{DF828697-A80D-9140-8D05-3CE4A71ECABE}" xr6:coauthVersionLast="47" xr6:coauthVersionMax="47" xr10:uidLastSave="{00000000-0000-0000-0000-000000000000}"/>
  <bookViews>
    <workbookView xWindow="0" yWindow="760" windowWidth="34560" windowHeight="20500" xr2:uid="{41E620E7-D6DF-9342-B452-EA60AB3B07C5}"/>
  </bookViews>
  <sheets>
    <sheet name="Summary" sheetId="68" r:id="rId1"/>
    <sheet name="results37" sheetId="57" r:id="rId2"/>
    <sheet name="results40" sheetId="65" r:id="rId3"/>
    <sheet name="results148" sheetId="59" r:id="rId4"/>
    <sheet name="results216" sheetId="60" r:id="rId5"/>
    <sheet name="results351" sheetId="63" r:id="rId6"/>
    <sheet name="results530" sheetId="67" r:id="rId7"/>
    <sheet name="results652" sheetId="62" r:id="rId8"/>
    <sheet name="results707" sheetId="64" r:id="rId9"/>
    <sheet name="results823" sheetId="66" r:id="rId10"/>
    <sheet name="results919" sheetId="58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58" l="1"/>
  <c r="I14" i="58"/>
  <c r="H14" i="58"/>
  <c r="G14" i="58"/>
  <c r="F14" i="58"/>
  <c r="E14" i="58"/>
  <c r="D14" i="58"/>
  <c r="D14" i="66"/>
  <c r="G14" i="64"/>
  <c r="F14" i="64"/>
  <c r="E14" i="64"/>
  <c r="D14" i="64"/>
  <c r="H14" i="64" s="1"/>
  <c r="D14" i="62"/>
  <c r="E14" i="62" s="1"/>
  <c r="H14" i="67"/>
  <c r="G14" i="67"/>
  <c r="F14" i="67"/>
  <c r="E14" i="67"/>
  <c r="D14" i="67"/>
  <c r="I14" i="67" s="1"/>
  <c r="J14" i="63"/>
  <c r="I14" i="63"/>
  <c r="H14" i="63"/>
  <c r="G14" i="63"/>
  <c r="F14" i="63"/>
  <c r="E14" i="63"/>
  <c r="D14" i="63"/>
  <c r="I14" i="60"/>
  <c r="H14" i="60"/>
  <c r="G14" i="60"/>
  <c r="F14" i="60"/>
  <c r="E14" i="60"/>
  <c r="D14" i="60"/>
  <c r="H14" i="59"/>
  <c r="G14" i="59"/>
  <c r="F14" i="59"/>
  <c r="E14" i="59"/>
  <c r="D14" i="59"/>
  <c r="J14" i="65"/>
  <c r="I14" i="65"/>
  <c r="H14" i="65"/>
  <c r="G14" i="65"/>
  <c r="F14" i="65"/>
  <c r="E14" i="65"/>
  <c r="D14" i="65"/>
  <c r="F14" i="57"/>
  <c r="D14" i="57"/>
  <c r="I14" i="66" l="1"/>
  <c r="H14" i="66"/>
  <c r="J14" i="66"/>
  <c r="E14" i="66"/>
  <c r="F14" i="66"/>
  <c r="G14" i="66"/>
  <c r="J14" i="64"/>
  <c r="I14" i="64"/>
  <c r="F14" i="62"/>
  <c r="G14" i="62"/>
  <c r="H14" i="62"/>
  <c r="I14" i="62"/>
  <c r="J14" i="62"/>
  <c r="J14" i="67"/>
  <c r="J14" i="60"/>
  <c r="I14" i="59"/>
  <c r="J14" i="59"/>
  <c r="E14" i="57"/>
  <c r="G14" i="57"/>
  <c r="H14" i="57"/>
  <c r="J14" i="57"/>
  <c r="I14" i="57"/>
  <c r="C5" i="68" a="1"/>
  <c r="G6" i="68" a="1"/>
  <c r="F11" i="68" a="1"/>
  <c r="E8" i="68" a="1"/>
  <c r="H5" i="68" a="1"/>
  <c r="I7" i="68" a="1"/>
  <c r="C4" i="68" a="1"/>
  <c r="H7" i="68" a="1"/>
  <c r="F4" i="68" a="1"/>
  <c r="D7" i="68" a="1"/>
  <c r="D6" i="68" a="1"/>
  <c r="E7" i="68" a="1"/>
  <c r="I12" i="68" a="1"/>
  <c r="E5" i="68" a="1"/>
  <c r="H8" i="68" a="1"/>
  <c r="H9" i="68" a="1"/>
  <c r="G8" i="68" a="1"/>
  <c r="D5" i="68" a="1"/>
  <c r="F7" i="68" a="1"/>
  <c r="D10" i="68" a="1"/>
  <c r="D9" i="68" a="1"/>
  <c r="C9" i="68" a="1"/>
  <c r="E6" i="68" a="1"/>
  <c r="E3" i="68" a="1"/>
  <c r="F6" i="68" a="1"/>
  <c r="I5" i="68" a="1"/>
  <c r="C12" i="68" a="1"/>
  <c r="G10" i="68" a="1"/>
  <c r="C7" i="68" a="1"/>
  <c r="F10" i="68" a="1"/>
  <c r="F8" i="68" a="1"/>
  <c r="I3" i="68" a="1"/>
  <c r="I9" i="68" a="1"/>
  <c r="F5" i="68" a="1"/>
  <c r="D4" i="68" a="1"/>
  <c r="E12" i="68" a="1"/>
  <c r="G12" i="68" a="1"/>
  <c r="F12" i="68" a="1"/>
  <c r="H12" i="68" a="1"/>
  <c r="E10" i="68" a="1"/>
  <c r="I4" i="68" a="1"/>
  <c r="G7" i="68" a="1"/>
  <c r="I11" i="68" a="1"/>
  <c r="E11" i="68" a="1"/>
  <c r="C10" i="68" a="1"/>
  <c r="I6" i="68" a="1"/>
  <c r="D3" i="68" a="1"/>
  <c r="H10" i="68" a="1"/>
  <c r="C11" i="68" a="1"/>
  <c r="H6" i="68" a="1"/>
  <c r="G9" i="68" a="1"/>
  <c r="C6" i="68" a="1"/>
  <c r="G5" i="68" a="1"/>
  <c r="D12" i="68" a="1"/>
  <c r="G3" i="68" a="1"/>
  <c r="F9" i="68" a="1"/>
  <c r="E4" i="68" a="1"/>
  <c r="G4" i="68" a="1"/>
  <c r="F3" i="68" a="1"/>
  <c r="D11" i="68" a="1"/>
  <c r="H4" i="68" a="1"/>
  <c r="D8" i="68" a="1"/>
  <c r="H11" i="68" a="1"/>
  <c r="I8" i="68" a="1"/>
  <c r="E9" i="68" a="1"/>
  <c r="G11" i="68" a="1"/>
  <c r="C3" i="68" a="1"/>
  <c r="C8" i="68" a="1"/>
  <c r="I10" i="68" a="1"/>
  <c r="H3" i="68" a="1"/>
  <c r="E9" i="68" l="1"/>
  <c r="H4" i="68"/>
  <c r="E11" i="68"/>
  <c r="H12" i="68"/>
  <c r="H10" i="68"/>
  <c r="E3" i="68"/>
  <c r="H6" i="68"/>
  <c r="E5" i="68"/>
  <c r="H8" i="68"/>
  <c r="E7" i="68"/>
  <c r="I4" i="68"/>
  <c r="C6" i="68"/>
  <c r="C10" i="68"/>
  <c r="D3" i="68"/>
  <c r="G4" i="68"/>
  <c r="D5" i="68"/>
  <c r="G6" i="68"/>
  <c r="D7" i="68"/>
  <c r="G8" i="68"/>
  <c r="D9" i="68"/>
  <c r="G10" i="68"/>
  <c r="D11" i="68"/>
  <c r="G12" i="68"/>
  <c r="I6" i="68"/>
  <c r="I12" i="68"/>
  <c r="G3" i="68"/>
  <c r="G5" i="68"/>
  <c r="D12" i="68"/>
  <c r="H3" i="68"/>
  <c r="E4" i="68"/>
  <c r="H5" i="68"/>
  <c r="E6" i="68"/>
  <c r="H7" i="68"/>
  <c r="E8" i="68"/>
  <c r="H9" i="68"/>
  <c r="E10" i="68"/>
  <c r="H11" i="68"/>
  <c r="E12" i="68"/>
  <c r="F3" i="68"/>
  <c r="F7" i="68"/>
  <c r="I10" i="68"/>
  <c r="C12" i="68"/>
  <c r="D6" i="68"/>
  <c r="G7" i="68"/>
  <c r="C4" i="68"/>
  <c r="F5" i="68"/>
  <c r="I8" i="68"/>
  <c r="F11" i="68"/>
  <c r="D10" i="68"/>
  <c r="G11" i="68"/>
  <c r="C3" i="68"/>
  <c r="I3" i="68"/>
  <c r="F4" i="68"/>
  <c r="C5" i="68"/>
  <c r="I5" i="68"/>
  <c r="F6" i="68"/>
  <c r="C7" i="68"/>
  <c r="I7" i="68"/>
  <c r="F8" i="68"/>
  <c r="C9" i="68"/>
  <c r="I9" i="68"/>
  <c r="F10" i="68"/>
  <c r="C11" i="68"/>
  <c r="I11" i="68"/>
  <c r="F12" i="68"/>
  <c r="C8" i="68"/>
  <c r="F9" i="68"/>
  <c r="D4" i="68"/>
  <c r="D8" i="68"/>
  <c r="G9" i="68"/>
  <c r="C16" i="68" l="1"/>
  <c r="E13" i="68"/>
  <c r="F13" i="68"/>
  <c r="G13" i="68"/>
  <c r="C13" i="68"/>
  <c r="D13" i="68"/>
  <c r="H13" i="68"/>
  <c r="I13" i="68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D9" i="23" a="1"/>
  <c r="E8" i="23" a="1"/>
  <c r="G5" i="23" a="1"/>
  <c r="D4" i="23" a="1"/>
  <c r="D5" i="23" a="1"/>
  <c r="E11" i="23" a="1"/>
  <c r="E7" i="23" a="1"/>
  <c r="E12" i="23" a="1"/>
  <c r="E10" i="23" a="1"/>
  <c r="F10" i="23" a="1"/>
  <c r="F8" i="23" a="1"/>
  <c r="G13" i="23" a="1"/>
  <c r="E9" i="23" a="1"/>
  <c r="D7" i="23" a="1"/>
  <c r="F13" i="23" a="1"/>
  <c r="G11" i="23" a="1"/>
  <c r="G9" i="23" a="1"/>
  <c r="D6" i="23" a="1"/>
  <c r="F12" i="23" a="1"/>
  <c r="G4" i="23" a="1"/>
  <c r="G6" i="23" a="1"/>
  <c r="D8" i="23" a="1"/>
  <c r="G7" i="23" a="1"/>
  <c r="D10" i="23" a="1"/>
  <c r="G10" i="23" a="1"/>
  <c r="G8" i="23" a="1"/>
  <c r="D11" i="23" a="1"/>
  <c r="G12" i="23" a="1"/>
  <c r="F9" i="23" a="1"/>
  <c r="E4" i="23" a="1"/>
  <c r="F5" i="23" a="1"/>
  <c r="F4" i="23" a="1"/>
  <c r="E6" i="23" a="1"/>
  <c r="D12" i="23" a="1"/>
  <c r="D13" i="23" a="1"/>
  <c r="E5" i="23" a="1"/>
  <c r="E13" i="23" a="1"/>
  <c r="F6" i="23" a="1"/>
  <c r="F11" i="23" a="1"/>
  <c r="F7" i="23" a="1"/>
  <c r="T14" i="58" l="1"/>
  <c r="T14" i="64"/>
  <c r="T14" i="62"/>
  <c r="AA14" i="62" s="1"/>
  <c r="T14" i="66"/>
  <c r="W14" i="66" s="1"/>
  <c r="T14" i="67"/>
  <c r="T14" i="63"/>
  <c r="W14" i="63" s="1"/>
  <c r="T14" i="60"/>
  <c r="V14" i="60" s="1"/>
  <c r="T14" i="59"/>
  <c r="T14" i="65"/>
  <c r="V14" i="65" s="1"/>
  <c r="T14" i="57"/>
  <c r="L14" i="58"/>
  <c r="O14" i="58" s="1"/>
  <c r="L14" i="64"/>
  <c r="P14" i="64" s="1"/>
  <c r="L14" i="66"/>
  <c r="O14" i="66" s="1"/>
  <c r="L14" i="67"/>
  <c r="L14" i="63"/>
  <c r="P14" i="63" s="1"/>
  <c r="L14" i="60"/>
  <c r="O14" i="60" s="1"/>
  <c r="L14" i="59"/>
  <c r="L14" i="65"/>
  <c r="AA14" i="58"/>
  <c r="Z14" i="58"/>
  <c r="Y14" i="58"/>
  <c r="V14" i="58"/>
  <c r="U14" i="58"/>
  <c r="X14" i="58"/>
  <c r="W14" i="58"/>
  <c r="O14" i="64"/>
  <c r="N14" i="64"/>
  <c r="R14" i="64"/>
  <c r="M14" i="64"/>
  <c r="S14" i="64"/>
  <c r="Q14" i="64"/>
  <c r="AA14" i="64"/>
  <c r="Z14" i="64"/>
  <c r="Y14" i="64"/>
  <c r="V14" i="64"/>
  <c r="U14" i="64"/>
  <c r="X14" i="64"/>
  <c r="W14" i="64"/>
  <c r="L14" i="62"/>
  <c r="N14" i="67"/>
  <c r="M14" i="67"/>
  <c r="S14" i="67"/>
  <c r="Q14" i="67"/>
  <c r="P14" i="67"/>
  <c r="O14" i="67"/>
  <c r="R14" i="67"/>
  <c r="AA14" i="67"/>
  <c r="Z14" i="67"/>
  <c r="Y14" i="67"/>
  <c r="X14" i="67"/>
  <c r="W14" i="67"/>
  <c r="U14" i="67"/>
  <c r="V14" i="67"/>
  <c r="O14" i="63"/>
  <c r="N14" i="63"/>
  <c r="M14" i="63"/>
  <c r="R14" i="63"/>
  <c r="Q14" i="63"/>
  <c r="AA14" i="60"/>
  <c r="U14" i="60"/>
  <c r="W14" i="60"/>
  <c r="AA14" i="59"/>
  <c r="Z14" i="59"/>
  <c r="Y14" i="59"/>
  <c r="X14" i="59"/>
  <c r="W14" i="59"/>
  <c r="V14" i="59"/>
  <c r="U14" i="59"/>
  <c r="S14" i="59"/>
  <c r="R14" i="59"/>
  <c r="Q14" i="59"/>
  <c r="P14" i="59"/>
  <c r="O14" i="59"/>
  <c r="N14" i="59"/>
  <c r="M14" i="59"/>
  <c r="Z14" i="65"/>
  <c r="O14" i="65"/>
  <c r="N14" i="65"/>
  <c r="Q14" i="65"/>
  <c r="M14" i="65"/>
  <c r="S14" i="65"/>
  <c r="R14" i="65"/>
  <c r="P14" i="65"/>
  <c r="L14" i="57"/>
  <c r="N14" i="57" s="1"/>
  <c r="AA14" i="57"/>
  <c r="V14" i="57"/>
  <c r="Z14" i="57"/>
  <c r="Y14" i="57"/>
  <c r="W14" i="57"/>
  <c r="X14" i="57"/>
  <c r="U14" i="5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K5" i="68" a="1"/>
  <c r="S8" i="68" a="1"/>
  <c r="K7" i="68" a="1"/>
  <c r="Y8" i="68" a="1"/>
  <c r="V3" i="68" a="1"/>
  <c r="V8" i="68" a="1"/>
  <c r="V6" i="68" a="1"/>
  <c r="M8" i="68" a="1"/>
  <c r="V11" i="68" a="1"/>
  <c r="K12" i="68" a="1"/>
  <c r="S6" i="68" a="1"/>
  <c r="K10" i="68" a="1"/>
  <c r="L5" i="68" a="1"/>
  <c r="U8" i="68" a="1"/>
  <c r="O7" i="68" a="1"/>
  <c r="Q7" i="68" a="1"/>
  <c r="O10" i="68" a="1"/>
  <c r="O4" i="68" a="1"/>
  <c r="V7" i="68" a="1"/>
  <c r="X8" i="68" a="1"/>
  <c r="P5" i="68" a="1"/>
  <c r="U12" i="68" a="1"/>
  <c r="N8" i="68" a="1"/>
  <c r="T6" i="68" a="1"/>
  <c r="Y4" i="68" a="1"/>
  <c r="K9" i="68" a="1"/>
  <c r="O5" i="68" a="1"/>
  <c r="V10" i="68" a="1"/>
  <c r="T3" i="68" a="1"/>
  <c r="U4" i="68" a="1"/>
  <c r="K3" i="68" a="1"/>
  <c r="L10" i="68" a="1"/>
  <c r="V5" i="68" a="1"/>
  <c r="Q10" i="68" a="1"/>
  <c r="U6" i="68" a="1"/>
  <c r="Q8" i="68" a="1"/>
  <c r="U3" i="68" a="1"/>
  <c r="L8" i="68" a="1"/>
  <c r="Q4" i="68" a="1"/>
  <c r="N6" i="68" a="1"/>
  <c r="N5" i="68" a="1"/>
  <c r="S12" i="68" a="1"/>
  <c r="V12" i="68" a="1"/>
  <c r="N12" i="68" a="1"/>
  <c r="P7" i="68" a="1"/>
  <c r="O8" i="68" a="1"/>
  <c r="M5" i="68" a="1"/>
  <c r="N11" i="68" a="1"/>
  <c r="S7" i="68" a="1"/>
  <c r="T8" i="68" a="1"/>
  <c r="Y5" i="68" a="1"/>
  <c r="S9" i="68" a="1"/>
  <c r="L7" i="68" a="1"/>
  <c r="M4" i="68" a="1"/>
  <c r="X5" i="68" a="1"/>
  <c r="K11" i="68" a="1"/>
  <c r="N10" i="68" a="1"/>
  <c r="U10" i="68" a="1"/>
  <c r="Y12" i="68" a="1"/>
  <c r="W12" i="68" a="1"/>
  <c r="S5" i="68" a="1"/>
  <c r="K6" i="68" a="1"/>
  <c r="S11" i="68" a="1"/>
  <c r="N4" i="68" a="1"/>
  <c r="W3" i="68" a="1"/>
  <c r="P8" i="68" a="1"/>
  <c r="X10" i="68" a="1"/>
  <c r="S10" i="68" a="1"/>
  <c r="M3" i="68" a="1"/>
  <c r="T5" i="68" a="1"/>
  <c r="S3" i="68" a="1"/>
  <c r="L4" i="68" a="1"/>
  <c r="P4" i="68" a="1"/>
  <c r="M10" i="68" a="1"/>
  <c r="Y10" i="68" a="1"/>
  <c r="K4" i="68" a="1"/>
  <c r="Y3" i="68" a="1"/>
  <c r="T10" i="68" a="1"/>
  <c r="Q5" i="68" a="1"/>
  <c r="K8" i="68" a="1"/>
  <c r="X12" i="68" a="1"/>
  <c r="W8" i="68" a="1"/>
  <c r="U5" i="68" a="1"/>
  <c r="W10" i="68" a="1"/>
  <c r="X3" i="68" a="1"/>
  <c r="S4" i="68" a="1"/>
  <c r="M7" i="68" a="1"/>
  <c r="N7" i="68" a="1"/>
  <c r="T12" i="68" a="1"/>
  <c r="W5" i="68" a="1"/>
  <c r="P10" i="68" a="1"/>
  <c r="S12" i="68" l="1"/>
  <c r="Y14" i="66"/>
  <c r="S10" i="68"/>
  <c r="U14" i="62"/>
  <c r="V14" i="62"/>
  <c r="W14" i="62"/>
  <c r="Y14" i="62"/>
  <c r="X14" i="62"/>
  <c r="Z14" i="62"/>
  <c r="S9" i="68"/>
  <c r="Z14" i="66"/>
  <c r="AA14" i="66"/>
  <c r="U14" i="66"/>
  <c r="X14" i="66"/>
  <c r="V14" i="66"/>
  <c r="S11" i="68"/>
  <c r="S8" i="68"/>
  <c r="X14" i="63"/>
  <c r="U14" i="63"/>
  <c r="Z14" i="63"/>
  <c r="Y14" i="63"/>
  <c r="V14" i="63"/>
  <c r="AA14" i="63"/>
  <c r="S7" i="68"/>
  <c r="X14" i="60"/>
  <c r="Y14" i="60"/>
  <c r="Z14" i="60"/>
  <c r="S6" i="68"/>
  <c r="S5" i="68"/>
  <c r="W14" i="65"/>
  <c r="AA14" i="65"/>
  <c r="X14" i="65"/>
  <c r="Y14" i="65"/>
  <c r="U14" i="65"/>
  <c r="S4" i="68"/>
  <c r="S3" i="68"/>
  <c r="P14" i="58"/>
  <c r="M14" i="58"/>
  <c r="R14" i="58"/>
  <c r="S14" i="58"/>
  <c r="N14" i="58"/>
  <c r="Q14" i="58"/>
  <c r="K12" i="68"/>
  <c r="K10" i="68"/>
  <c r="P14" i="66"/>
  <c r="R14" i="66"/>
  <c r="S14" i="66"/>
  <c r="M14" i="66"/>
  <c r="Q14" i="66"/>
  <c r="N14" i="66"/>
  <c r="K8" i="68"/>
  <c r="K11" i="68"/>
  <c r="S14" i="63"/>
  <c r="K7" i="68"/>
  <c r="P14" i="60"/>
  <c r="S14" i="60"/>
  <c r="M14" i="60"/>
  <c r="N14" i="60"/>
  <c r="Q14" i="60"/>
  <c r="R14" i="60"/>
  <c r="K6" i="68"/>
  <c r="K5" i="68"/>
  <c r="K4" i="68"/>
  <c r="K9" i="68"/>
  <c r="O14" i="62"/>
  <c r="N14" i="62"/>
  <c r="M14" i="62"/>
  <c r="P14" i="62"/>
  <c r="R14" i="62"/>
  <c r="S14" i="62"/>
  <c r="Q14" i="62"/>
  <c r="P14" i="57"/>
  <c r="S14" i="57"/>
  <c r="O14" i="57"/>
  <c r="Q14" i="57"/>
  <c r="R14" i="57"/>
  <c r="M14" i="57"/>
  <c r="K3" i="68"/>
  <c r="Q4" i="68"/>
  <c r="W12" i="68"/>
  <c r="U5" i="68"/>
  <c r="V5" i="68"/>
  <c r="L7" i="68"/>
  <c r="Y12" i="68"/>
  <c r="N4" i="68"/>
  <c r="U6" i="68"/>
  <c r="N11" i="68"/>
  <c r="Q7" i="68"/>
  <c r="L10" i="68"/>
  <c r="Y10" i="68"/>
  <c r="L4" i="68"/>
  <c r="T10" i="68"/>
  <c r="N7" i="68"/>
  <c r="P5" i="68"/>
  <c r="L8" i="68"/>
  <c r="V3" i="68"/>
  <c r="X10" i="68"/>
  <c r="V6" i="68"/>
  <c r="V12" i="68"/>
  <c r="O4" i="68"/>
  <c r="X12" i="68"/>
  <c r="T6" i="68"/>
  <c r="W3" i="68"/>
  <c r="P4" i="68"/>
  <c r="N6" i="68"/>
  <c r="T5" i="68"/>
  <c r="W5" i="68"/>
  <c r="Y8" i="68"/>
  <c r="P7" i="68"/>
  <c r="O5" i="68"/>
  <c r="M10" i="68"/>
  <c r="T12" i="68"/>
  <c r="M8" i="68"/>
  <c r="M4" i="68"/>
  <c r="U12" i="68"/>
  <c r="V10" i="68"/>
  <c r="O10" i="68"/>
  <c r="M3" i="68"/>
  <c r="N12" i="68"/>
  <c r="O7" i="68"/>
  <c r="N10" i="68"/>
  <c r="Q8" i="68"/>
  <c r="V7" i="68"/>
  <c r="W10" i="68"/>
  <c r="M5" i="68"/>
  <c r="Y5" i="68"/>
  <c r="T8" i="68"/>
  <c r="V8" i="68"/>
  <c r="X5" i="68"/>
  <c r="M7" i="68"/>
  <c r="U10" i="68"/>
  <c r="Y4" i="68"/>
  <c r="Y3" i="68"/>
  <c r="Q5" i="68"/>
  <c r="U3" i="68"/>
  <c r="V11" i="68"/>
  <c r="O8" i="68"/>
  <c r="P10" i="68"/>
  <c r="U8" i="68"/>
  <c r="W8" i="68"/>
  <c r="P8" i="68"/>
  <c r="L5" i="68"/>
  <c r="X3" i="68"/>
  <c r="N5" i="68"/>
  <c r="Q10" i="68"/>
  <c r="N8" i="68"/>
  <c r="X8" i="68"/>
  <c r="T3" i="68"/>
  <c r="U4" i="68"/>
  <c r="L9" i="68" a="1"/>
  <c r="Y7" i="68" a="1"/>
  <c r="N3" i="68" a="1"/>
  <c r="X11" i="68" a="1"/>
  <c r="T7" i="68" a="1"/>
  <c r="M12" i="68" a="1"/>
  <c r="X4" i="68" a="1"/>
  <c r="O6" i="68" a="1"/>
  <c r="L12" i="68" a="1"/>
  <c r="W4" i="68" a="1"/>
  <c r="Q3" i="68" a="1"/>
  <c r="P12" i="68" a="1"/>
  <c r="L11" i="68" a="1"/>
  <c r="Q12" i="68" a="1"/>
  <c r="Q11" i="68" a="1"/>
  <c r="O12" i="68" a="1"/>
  <c r="U9" i="68" a="1"/>
  <c r="X6" i="68" a="1"/>
  <c r="W11" i="68" a="1"/>
  <c r="T11" i="68" a="1"/>
  <c r="M9" i="68" a="1"/>
  <c r="P3" i="68" a="1"/>
  <c r="O3" i="68" a="1"/>
  <c r="Q9" i="68" a="1"/>
  <c r="Y11" i="68" a="1"/>
  <c r="U7" i="68" a="1"/>
  <c r="O11" i="68" a="1"/>
  <c r="M6" i="68" a="1"/>
  <c r="N9" i="68" a="1"/>
  <c r="L3" i="68" a="1"/>
  <c r="V9" i="68" a="1"/>
  <c r="Y9" i="68" a="1"/>
  <c r="X9" i="68" a="1"/>
  <c r="W6" i="68" a="1"/>
  <c r="W9" i="68" a="1"/>
  <c r="T9" i="68" a="1"/>
  <c r="W7" i="68" a="1"/>
  <c r="V4" i="68" a="1"/>
  <c r="P11" i="68" a="1"/>
  <c r="L6" i="68" a="1"/>
  <c r="P6" i="68" a="1"/>
  <c r="Q6" i="68" a="1"/>
  <c r="Y6" i="68" a="1"/>
  <c r="T4" i="68" a="1"/>
  <c r="U11" i="68" a="1"/>
  <c r="O9" i="68" a="1"/>
  <c r="X7" i="68" a="1"/>
  <c r="M11" i="68" a="1"/>
  <c r="P9" i="68" a="1"/>
  <c r="K16" i="68" l="1"/>
  <c r="S16" i="68"/>
  <c r="X11" i="68"/>
  <c r="U9" i="68"/>
  <c r="T9" i="68"/>
  <c r="X9" i="68"/>
  <c r="V9" i="68"/>
  <c r="W9" i="68"/>
  <c r="Y9" i="68"/>
  <c r="W11" i="68"/>
  <c r="T11" i="68"/>
  <c r="Y11" i="68"/>
  <c r="U11" i="68"/>
  <c r="X7" i="68"/>
  <c r="Y7" i="68"/>
  <c r="U7" i="68"/>
  <c r="T7" i="68"/>
  <c r="W7" i="68"/>
  <c r="W6" i="68"/>
  <c r="Y6" i="68"/>
  <c r="X6" i="68"/>
  <c r="S13" i="68"/>
  <c r="Z13" i="68" s="1"/>
  <c r="V4" i="68"/>
  <c r="T4" i="68"/>
  <c r="X4" i="68"/>
  <c r="W4" i="68"/>
  <c r="O12" i="68"/>
  <c r="L12" i="68"/>
  <c r="M12" i="68"/>
  <c r="Q12" i="68"/>
  <c r="P12" i="68"/>
  <c r="O11" i="68"/>
  <c r="Q11" i="68"/>
  <c r="L11" i="68"/>
  <c r="P11" i="68"/>
  <c r="M11" i="68"/>
  <c r="Q6" i="68"/>
  <c r="P6" i="68"/>
  <c r="M6" i="68"/>
  <c r="L6" i="68"/>
  <c r="O6" i="68"/>
  <c r="K13" i="68"/>
  <c r="P9" i="68"/>
  <c r="Q9" i="68"/>
  <c r="O9" i="68"/>
  <c r="L9" i="68"/>
  <c r="M9" i="68"/>
  <c r="N9" i="68"/>
  <c r="O3" i="68"/>
  <c r="L3" i="68"/>
  <c r="Q3" i="68"/>
  <c r="P3" i="68"/>
  <c r="N3" i="68"/>
  <c r="U13" i="68" l="1"/>
  <c r="V13" i="68"/>
  <c r="Y13" i="68"/>
  <c r="T13" i="68"/>
  <c r="X13" i="68"/>
  <c r="W13" i="68"/>
  <c r="M13" i="68"/>
  <c r="P13" i="68"/>
  <c r="Q13" i="68"/>
  <c r="N13" i="68"/>
  <c r="L13" i="68"/>
  <c r="O13" i="68"/>
  <c r="R13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<sst xmlns="http://schemas.openxmlformats.org/spreadsheetml/2006/main" count="670" uniqueCount="21">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</sst>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D7D4-1179-8940-9BC4-E6BEEB5F1D01}">
  <dimension ref="B1:Z16"/>
  <sheetViews>
    <sheetView tabSelected="1" zoomScale="85" zoomScaleNormal="85" workbookViewId="0">
      <selection activeCell="J13" sqref="J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37</v>
      </c>
      <c r="C3" s="5" cm="1">
        <f t="array" aca="1" ref="C3" ca="1">INDIRECT("'results" &amp; $B3 &amp; "'!D$14")</f>
        <v>27077.46528904092</v>
      </c>
      <c r="D3" s="33" cm="1">
        <f t="array" aca="1" ref="D3" ca="1">INDIRECT("'results" &amp; $B3 &amp; "'!E$14")</f>
        <v>1.1255367909980121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100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23.565788348822593</v>
      </c>
      <c r="I3" s="5" cm="1">
        <f t="array" aca="1" ref="I3" ca="1">INDIRECT("'results" &amp; $B3 &amp; "'!J$14")</f>
        <v>1179.1166341472369</v>
      </c>
      <c r="J3" s="5"/>
      <c r="K3" s="5" cm="1">
        <f t="array" aca="1" ref="K3" ca="1">INDIRECT("'results" &amp; $B3 &amp; "'!L$14")</f>
        <v>30194.342272302049</v>
      </c>
      <c r="L3" s="5" cm="1">
        <f t="array" aca="1" ref="L3" ca="1">INDIRECT("'results" &amp; $B3 &amp; "'!M$14")</f>
        <v>1.677308708000055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90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20.497525090341938</v>
      </c>
      <c r="Q3" s="5" cm="1">
        <f t="array" aca="1" ref="Q3" ca="1">INDIRECT("'results" &amp; $B3 &amp; "'!R$14")</f>
        <v>1045.4936392016471</v>
      </c>
      <c r="R3" s="5"/>
      <c r="S3" s="5" cm="1">
        <f t="array" aca="1" ref="S3" ca="1">INDIRECT("'results" &amp; $B3 &amp; "'!T$14")</f>
        <v>28306.231911359951</v>
      </c>
      <c r="T3" s="5" cm="1">
        <f t="array" aca="1" ref="T3" ca="1">INDIRECT("'results" &amp; $B3 &amp; "'!U$14")</f>
        <v>1.2104970830005191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100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26.649099107960666</v>
      </c>
      <c r="Y3" s="5" cm="1">
        <f t="array" aca="1" ref="Y3" ca="1">INDIRECT("'results" &amp; $B3 &amp; "'!Z$14")</f>
        <v>1367.7491530503089</v>
      </c>
      <c r="Z3" s="5"/>
    </row>
    <row r="4" spans="2:26" x14ac:dyDescent="0.2">
      <c r="B4" s="4">
        <v>40</v>
      </c>
      <c r="C4" s="5" cm="1">
        <f t="array" aca="1" ref="C4" ca="1">INDIRECT("'results" &amp; $B4 &amp; "'!D$14")</f>
        <v>33240.49679159349</v>
      </c>
      <c r="D4" s="33" cm="1">
        <f t="array" aca="1" ref="D4" ca="1">INDIRECT("'results" &amp; $B4 &amp; "'!E$14")</f>
        <v>1.7287961670008369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8.4823418307875986</v>
      </c>
      <c r="I4" s="5" cm="1">
        <f t="array" aca="1" ref="I4" ca="1">INDIRECT("'results" &amp; $B4 &amp; "'!J$14")</f>
        <v>1080.2358259062612</v>
      </c>
      <c r="J4" s="5"/>
      <c r="K4" s="5" cm="1">
        <f t="array" aca="1" ref="K4" ca="1">INDIRECT("'results" &amp; $B4 &amp; "'!L$14")</f>
        <v>36899.387184987318</v>
      </c>
      <c r="L4" s="5" cm="1">
        <f t="array" aca="1" ref="L4" ca="1">INDIRECT("'results" &amp; $B4 &amp; "'!M$14")</f>
        <v>1.979714167000566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7.4644892179338456</v>
      </c>
      <c r="Q4" s="5" cm="1">
        <f t="array" aca="1" ref="Q4" ca="1">INDIRECT("'results" &amp; $B4 &amp; "'!R$14")</f>
        <v>1055.546992719389</v>
      </c>
      <c r="R4" s="5"/>
      <c r="S4" s="5" cm="1">
        <f t="array" aca="1" ref="S4" ca="1">INDIRECT("'results" &amp; $B4 &amp; "'!T$14")</f>
        <v>35282.363289766683</v>
      </c>
      <c r="T4" s="5" cm="1">
        <f t="array" aca="1" ref="T4" ca="1">INDIRECT("'results" &amp; $B4 &amp; "'!U$14")</f>
        <v>1.603910499999984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90</v>
      </c>
      <c r="W4" s="5" cm="1">
        <f t="array" aca="1" ref="W4" ca="1">INDIRECT("'results" &amp; $B4 &amp; "'!X$14")</f>
        <v>0</v>
      </c>
      <c r="X4" s="5" cm="1">
        <f t="array" aca="1" ref="X4" ca="1">INDIRECT("'results" &amp; $B4 &amp; "'!Y$14")</f>
        <v>16.549441952955362</v>
      </c>
      <c r="Y4" s="5" cm="1">
        <f t="array" aca="1" ref="Y4" ca="1">INDIRECT("'results" &amp; $B4 &amp; "'!Z$14")</f>
        <v>1494.5253520241458</v>
      </c>
      <c r="Z4" s="5"/>
    </row>
    <row r="5" spans="2:26" x14ac:dyDescent="0.2">
      <c r="B5" s="4">
        <v>148</v>
      </c>
      <c r="C5" s="5" cm="1">
        <f t="array" aca="1" ref="C5" ca="1">INDIRECT("'results" &amp; $B5 &amp; "'!D$14")</f>
        <v>33826.361199326908</v>
      </c>
      <c r="D5" s="33" cm="1">
        <f t="array" aca="1" ref="D5" ca="1">INDIRECT("'results" &amp; $B5 &amp; "'!E$14")</f>
        <v>1.492506709000736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9.7097916801958579</v>
      </c>
      <c r="I5" s="5" cm="1">
        <f t="array" aca="1" ref="I5" ca="1">INDIRECT("'results" &amp; $B5 &amp; "'!J$14")</f>
        <v>783.83061797784785</v>
      </c>
      <c r="J5" s="5"/>
      <c r="K5" s="5" cm="1">
        <f t="array" aca="1" ref="K5" ca="1">INDIRECT("'results" &amp; $B5 &amp; "'!L$14")</f>
        <v>34335.724496864517</v>
      </c>
      <c r="L5" s="5" cm="1">
        <f t="array" aca="1" ref="L5" ca="1">INDIRECT("'results" &amp; $B5 &amp; "'!M$14")</f>
        <v>1.1726234999987351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9.7499515485999986</v>
      </c>
      <c r="Q5" s="5" cm="1">
        <f t="array" aca="1" ref="Q5" ca="1">INDIRECT("'results" &amp; $B5 &amp; "'!R$14")</f>
        <v>852.3477593200264</v>
      </c>
      <c r="R5" s="5"/>
      <c r="S5" s="5" cm="1">
        <f t="array" aca="1" ref="S5" ca="1">INDIRECT("'results" &amp; $B5 &amp; "'!T$14")</f>
        <v>34652.511087467647</v>
      </c>
      <c r="T5" s="5" cm="1">
        <f t="array" aca="1" ref="T5" ca="1">INDIRECT("'results" &amp; $B5 &amp; "'!U$14")</f>
        <v>1.403428584000721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0</v>
      </c>
      <c r="X5" s="5" cm="1">
        <f t="array" aca="1" ref="X5" ca="1">INDIRECT("'results" &amp; $B5 &amp; "'!Y$14")</f>
        <v>19.927161035845135</v>
      </c>
      <c r="Y5" s="5" cm="1">
        <f t="array" aca="1" ref="Y5" ca="1">INDIRECT("'results" &amp; $B5 &amp; "'!Z$14")</f>
        <v>1173.8483391638028</v>
      </c>
      <c r="Z5" s="5"/>
    </row>
    <row r="6" spans="2:26" x14ac:dyDescent="0.2">
      <c r="B6" s="4">
        <v>216</v>
      </c>
      <c r="C6" s="5" cm="1">
        <f t="array" aca="1" ref="C6" ca="1">INDIRECT("'results" &amp; $B6 &amp; "'!D$14")</f>
        <v>33087.705946808434</v>
      </c>
      <c r="D6" s="33" cm="1">
        <f t="array" aca="1" ref="D6" ca="1">INDIRECT("'results" &amp; $B6 &amp; "'!E$14")</f>
        <v>1.7006148330037829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9.7542387393341023</v>
      </c>
      <c r="I6" s="5" cm="1">
        <f t="array" aca="1" ref="I6" ca="1">INDIRECT("'results" &amp; $B6 &amp; "'!J$14")</f>
        <v>1028.8038896816543</v>
      </c>
      <c r="J6" s="5"/>
      <c r="K6" s="5" cm="1">
        <f t="array" aca="1" ref="K6" ca="1">INDIRECT("'results" &amp; $B6 &amp; "'!L$14")</f>
        <v>33087.705946808434</v>
      </c>
      <c r="L6" s="5" cm="1">
        <f t="array" aca="1" ref="L6" ca="1">INDIRECT("'results" &amp; $B6 &amp; "'!M$14")</f>
        <v>1.625239291999605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90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9.7542387393341023</v>
      </c>
      <c r="Q6" s="5" cm="1">
        <f t="array" aca="1" ref="Q6" ca="1">INDIRECT("'results" &amp; $B6 &amp; "'!R$14")</f>
        <v>1028.8038896816543</v>
      </c>
      <c r="R6" s="5"/>
      <c r="S6" s="5" cm="1">
        <f t="array" aca="1" ref="S6" ca="1">INDIRECT("'results" &amp; $B6 &amp; "'!T$14")</f>
        <v>35330.673049050863</v>
      </c>
      <c r="T6" s="5" cm="1">
        <f t="array" aca="1" ref="T6" ca="1">INDIRECT("'results" &amp; $B6 &amp; "'!U$14")</f>
        <v>1.5082929159998459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17.446345183172486</v>
      </c>
      <c r="Y6" s="5" cm="1">
        <f t="array" aca="1" ref="Y6" ca="1">INDIRECT("'results" &amp; $B6 &amp; "'!Z$14")</f>
        <v>1416.3229419168392</v>
      </c>
      <c r="Z6" s="5"/>
    </row>
    <row r="7" spans="2:26" x14ac:dyDescent="0.2">
      <c r="B7" s="4">
        <v>351</v>
      </c>
      <c r="C7" s="5" cm="1">
        <f t="array" aca="1" ref="C7" ca="1">INDIRECT("'results" &amp; $B7 &amp; "'!D$14")</f>
        <v>26717.36226027882</v>
      </c>
      <c r="D7" s="33" cm="1">
        <f t="array" aca="1" ref="D7" ca="1">INDIRECT("'results" &amp; $B7 &amp; "'!E$14")</f>
        <v>1.463022959003865</v>
      </c>
      <c r="E7" s="5" cm="1">
        <f t="array" aca="1" ref="E7" ca="1">INDIRECT("'results" &amp; $B7 &amp; "'!F$14")</f>
        <v>1</v>
      </c>
      <c r="F7" s="5" cm="1">
        <f t="array" aca="1" ref="F7" ca="1">INDIRECT("'results" &amp; $B7 &amp; "'!G$14")</f>
        <v>80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38.940648723257418</v>
      </c>
      <c r="I7" s="5" cm="1">
        <f t="array" aca="1" ref="I7" ca="1">INDIRECT("'results" &amp; $B7 &amp; "'!J$14")</f>
        <v>1194.9805329509652</v>
      </c>
      <c r="J7" s="5"/>
      <c r="K7" s="5" cm="1">
        <f t="array" aca="1" ref="K7" ca="1">INDIRECT("'results" &amp; $B7 &amp; "'!L$14")</f>
        <v>34578.042362821972</v>
      </c>
      <c r="L7" s="5" cm="1">
        <f t="array" aca="1" ref="L7" ca="1">INDIRECT("'results" &amp; $B7 &amp; "'!M$14")</f>
        <v>1.872615875001429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80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16.818172015182885</v>
      </c>
      <c r="Q7" s="5" cm="1">
        <f t="array" aca="1" ref="Q7" ca="1">INDIRECT("'results" &amp; $B7 &amp; "'!R$14")</f>
        <v>856.45690723033704</v>
      </c>
      <c r="R7" s="5"/>
      <c r="S7" s="5" cm="1">
        <f t="array" aca="1" ref="S7" ca="1">INDIRECT("'results" &amp; $B7 &amp; "'!T$14")</f>
        <v>31577.286954268809</v>
      </c>
      <c r="T7" s="5" cm="1">
        <f t="array" aca="1" ref="T7" ca="1">INDIRECT("'results" &amp; $B7 &amp; "'!U$14")</f>
        <v>1.4658400829994209</v>
      </c>
      <c r="U7" s="5" cm="1">
        <f t="array" aca="1" ref="U7" ca="1">INDIRECT("'results" &amp; $B7 &amp; "'!V$14")</f>
        <v>1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24.837417033176244</v>
      </c>
      <c r="X7" s="5" cm="1">
        <f t="array" aca="1" ref="X7" ca="1">INDIRECT("'results" &amp; $B7 &amp; "'!Y$14")</f>
        <v>62.612207400128533</v>
      </c>
      <c r="Y7" s="5" cm="1">
        <f t="array" aca="1" ref="Y7" ca="1">INDIRECT("'results" &amp; $B7 &amp; "'!Z$14")</f>
        <v>1672.8619192322335</v>
      </c>
      <c r="Z7" s="5"/>
    </row>
    <row r="8" spans="2:26" x14ac:dyDescent="0.2">
      <c r="B8" s="4">
        <v>530</v>
      </c>
      <c r="C8" s="5" cm="1">
        <f t="array" aca="1" ref="C8" ca="1">INDIRECT("'results" &amp; $B8 &amp; "'!D$14")</f>
        <v>28519.97113125792</v>
      </c>
      <c r="D8" s="33" cm="1">
        <f t="array" aca="1" ref="D8" ca="1">INDIRECT("'results" &amp; $B8 &amp; "'!E$14")</f>
        <v>1.293275667005219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100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17.276102857414919</v>
      </c>
      <c r="I8" s="5" cm="1">
        <f t="array" aca="1" ref="I8" ca="1">INDIRECT("'results" &amp; $B8 &amp; "'!J$14")</f>
        <v>1249.1669865352696</v>
      </c>
      <c r="J8" s="5"/>
      <c r="K8" s="5" cm="1">
        <f t="array" aca="1" ref="K8" ca="1">INDIRECT("'results" &amp; $B8 &amp; "'!L$14")</f>
        <v>28519.97113125792</v>
      </c>
      <c r="L8" s="5" cm="1">
        <f t="array" aca="1" ref="L8" ca="1">INDIRECT("'results" &amp; $B8 &amp; "'!M$14")</f>
        <v>1.1783018749993059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100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17.276102857414919</v>
      </c>
      <c r="Q8" s="5" cm="1">
        <f t="array" aca="1" ref="Q8" ca="1">INDIRECT("'results" &amp; $B8 &amp; "'!R$14")</f>
        <v>1249.1669865352696</v>
      </c>
      <c r="R8" s="5"/>
      <c r="S8" s="5" cm="1">
        <f t="array" aca="1" ref="S8" ca="1">INDIRECT("'results" &amp; $B8 &amp; "'!T$14")</f>
        <v>32350.59330192157</v>
      </c>
      <c r="T8" s="5" cm="1">
        <f t="array" aca="1" ref="T8" ca="1">INDIRECT("'results" &amp; $B8 &amp; "'!U$14")</f>
        <v>1.1381697090000671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100</v>
      </c>
      <c r="W8" s="5" cm="1">
        <f t="array" aca="1" ref="W8" ca="1">INDIRECT("'results" &amp; $B8 &amp; "'!X$14")</f>
        <v>33.691340094338287</v>
      </c>
      <c r="X8" s="5" cm="1">
        <f t="array" aca="1" ref="X8" ca="1">INDIRECT("'results" &amp; $B8 &amp; "'!Y$14")</f>
        <v>33.732657069671838</v>
      </c>
      <c r="Y8" s="5" cm="1">
        <f t="array" aca="1" ref="Y8" ca="1">INDIRECT("'results" &amp; $B8 &amp; "'!Z$14")</f>
        <v>1967.3941978946143</v>
      </c>
      <c r="Z8" s="5"/>
    </row>
    <row r="9" spans="2:26" x14ac:dyDescent="0.2">
      <c r="B9" s="4">
        <v>652</v>
      </c>
      <c r="C9" s="5" cm="1">
        <f t="array" aca="1" ref="C9" ca="1">INDIRECT("'results" &amp; $B9 &amp; "'!D$14")</f>
        <v>31290.250640511451</v>
      </c>
      <c r="D9" s="33" cm="1">
        <f t="array" aca="1" ref="D9" ca="1">INDIRECT("'results" &amp; $B9 &amp; "'!E$14")</f>
        <v>1.8085968329978639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90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12.672041731334389</v>
      </c>
      <c r="I9" s="5" cm="1">
        <f t="array" aca="1" ref="I9" ca="1">INDIRECT("'results" &amp; $B9 &amp; "'!J$14")</f>
        <v>901.96323753084437</v>
      </c>
      <c r="J9" s="5"/>
      <c r="K9" s="5" cm="1">
        <f t="array" aca="1" ref="K9" ca="1">INDIRECT("'results" &amp; $B9 &amp; "'!L$14")</f>
        <v>31290.250640511451</v>
      </c>
      <c r="L9" s="5" cm="1">
        <f t="array" aca="1" ref="L9" ca="1">INDIRECT("'results" &amp; $B9 &amp; "'!M$14")</f>
        <v>1.5103030830014179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90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12.672041731334389</v>
      </c>
      <c r="Q9" s="5" cm="1">
        <f t="array" aca="1" ref="Q9" ca="1">INDIRECT("'results" &amp; $B9 &amp; "'!R$14")</f>
        <v>901.96323753084437</v>
      </c>
      <c r="R9" s="5"/>
      <c r="S9" s="5" cm="1">
        <f t="array" aca="1" ref="S9" ca="1">INDIRECT("'results" &amp; $B9 &amp; "'!T$14")</f>
        <v>31836.017811226189</v>
      </c>
      <c r="T9" s="5" cm="1">
        <f t="array" aca="1" ref="T9" ca="1">INDIRECT("'results" &amp; $B9 &amp; "'!U$14")</f>
        <v>1.5378160410000421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90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26.961812730629731</v>
      </c>
      <c r="Y9" s="5" cm="1">
        <f t="array" aca="1" ref="Y9" ca="1">INDIRECT("'results" &amp; $B9 &amp; "'!Z$14")</f>
        <v>1267.9143967809873</v>
      </c>
      <c r="Z9" s="5"/>
    </row>
    <row r="10" spans="2:26" x14ac:dyDescent="0.2">
      <c r="B10" s="4">
        <v>707</v>
      </c>
      <c r="C10" s="5" cm="1">
        <f t="array" aca="1" ref="C10" ca="1">INDIRECT("'results" &amp; $B10 &amp; "'!D$14")</f>
        <v>30056.899586381682</v>
      </c>
      <c r="D10" s="33" cm="1">
        <f t="array" aca="1" ref="D10" ca="1">INDIRECT("'results" &amp; $B10 &amp; "'!E$14")</f>
        <v>1.524334082998394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12.546034533692564</v>
      </c>
      <c r="I10" s="5" cm="1">
        <f t="array" aca="1" ref="I10" ca="1">INDIRECT("'results" &amp; $B10 &amp; "'!J$14")</f>
        <v>859.75232822943303</v>
      </c>
      <c r="J10" s="5"/>
      <c r="K10" s="5" cm="1">
        <f t="array" aca="1" ref="K10" ca="1">INDIRECT("'results" &amp; $B10 &amp; "'!L$14")</f>
        <v>34105.711040324881</v>
      </c>
      <c r="L10" s="5" cm="1">
        <f t="array" aca="1" ref="L10" ca="1">INDIRECT("'results" &amp; $B10 &amp; "'!M$14")</f>
        <v>1.825245209000059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11.455149826403154</v>
      </c>
      <c r="Q10" s="5" cm="1">
        <f t="array" aca="1" ref="Q10" ca="1">INDIRECT("'results" &amp; $B10 &amp; "'!R$14")</f>
        <v>792.5995947644343</v>
      </c>
      <c r="R10" s="5"/>
      <c r="S10" s="5" cm="1">
        <f t="array" aca="1" ref="S10" ca="1">INDIRECT("'results" &amp; $B10 &amp; "'!T$14")</f>
        <v>29772.841048313629</v>
      </c>
      <c r="T10" s="5" cm="1">
        <f t="array" aca="1" ref="T10" ca="1">INDIRECT("'results" &amp; $B10 &amp; "'!U$14")</f>
        <v>1.4575061670002469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25.129835585075259</v>
      </c>
      <c r="Y10" s="5" cm="1">
        <f t="array" aca="1" ref="Y10" ca="1">INDIRECT("'results" &amp; $B10 &amp; "'!Z$14")</f>
        <v>1113.468159581834</v>
      </c>
      <c r="Z10" s="5"/>
    </row>
    <row r="11" spans="2:26" x14ac:dyDescent="0.2">
      <c r="B11" s="4">
        <v>823</v>
      </c>
      <c r="C11" s="5" cm="1">
        <f t="array" aca="1" ref="C11" ca="1">INDIRECT("'results" &amp; $B11 &amp; "'!D$14")</f>
        <v>25533.657956810031</v>
      </c>
      <c r="D11" s="33" cm="1">
        <f t="array" aca="1" ref="D11" ca="1">INDIRECT("'results" &amp; $B11 &amp; "'!E$14")</f>
        <v>1.2287886670019359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100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8.7253580995928655</v>
      </c>
      <c r="I11" s="5" cm="1">
        <f t="array" aca="1" ref="I11" ca="1">INDIRECT("'results" &amp; $B11 &amp; "'!J$14")</f>
        <v>748.13040388033573</v>
      </c>
      <c r="J11" s="5"/>
      <c r="K11" s="5" cm="1">
        <f t="array" aca="1" ref="K11" ca="1">INDIRECT("'results" &amp; $B11 &amp; "'!L$14")</f>
        <v>25533.657956810031</v>
      </c>
      <c r="L11" s="5" cm="1">
        <f t="array" aca="1" ref="L11" ca="1">INDIRECT("'results" &amp; $B11 &amp; "'!M$14")</f>
        <v>1.2998379590007969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100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8.7253580995928655</v>
      </c>
      <c r="Q11" s="5" cm="1">
        <f t="array" aca="1" ref="Q11" ca="1">INDIRECT("'results" &amp; $B11 &amp; "'!R$14")</f>
        <v>748.13040388033573</v>
      </c>
      <c r="R11" s="5"/>
      <c r="S11" s="5" cm="1">
        <f t="array" aca="1" ref="S11" ca="1">INDIRECT("'results" &amp; $B11 &amp; "'!T$14")</f>
        <v>26402.35384801315</v>
      </c>
      <c r="T11" s="5" cm="1">
        <f t="array" aca="1" ref="T11" ca="1">INDIRECT("'results" &amp; $B11 &amp; "'!U$14")</f>
        <v>1.1540941659986861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100</v>
      </c>
      <c r="W11" s="5" cm="1">
        <f t="array" aca="1" ref="W11" ca="1">INDIRECT("'results" &amp; $B11 &amp; "'!X$14")</f>
        <v>0</v>
      </c>
      <c r="X11" s="5" cm="1">
        <f t="array" aca="1" ref="X11" ca="1">INDIRECT("'results" &amp; $B11 &amp; "'!Y$14")</f>
        <v>21.143451670718818</v>
      </c>
      <c r="Y11" s="5" cm="1">
        <f t="array" aca="1" ref="Y11" ca="1">INDIRECT("'results" &amp; $B11 &amp; "'!Z$14")</f>
        <v>1090.361081302834</v>
      </c>
      <c r="Z11" s="5"/>
    </row>
    <row r="12" spans="2:26" x14ac:dyDescent="0.2">
      <c r="B12" s="4">
        <v>919</v>
      </c>
      <c r="C12" s="5" cm="1">
        <f t="array" aca="1" ref="C12" ca="1">INDIRECT("'results" &amp; $B12 &amp; "'!D$14")</f>
        <v>35936.241574734871</v>
      </c>
      <c r="D12" s="33" cm="1">
        <f t="array" aca="1" ref="D12" ca="1">INDIRECT("'results" &amp; $B12 &amp; "'!E$14")</f>
        <v>1.759983915999328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90</v>
      </c>
      <c r="G12" s="5" cm="1">
        <f t="array" aca="1" ref="G12" ca="1">INDIRECT("'results" &amp; $B12 &amp; "'!H$14")</f>
        <v>32.640922319288116</v>
      </c>
      <c r="H12" s="33" cm="1">
        <f t="array" aca="1" ref="H12" ca="1">INDIRECT("'results" &amp; $B12 &amp; "'!I$14")</f>
        <v>30.34748227890589</v>
      </c>
      <c r="I12" s="5" cm="1">
        <f t="array" aca="1" ref="I12" ca="1">INDIRECT("'results" &amp; $B12 &amp; "'!J$14")</f>
        <v>1758.8700736661667</v>
      </c>
      <c r="J12" s="5"/>
      <c r="K12" s="5" cm="1">
        <f t="array" aca="1" ref="K12" ca="1">INDIRECT("'results" &amp; $B12 &amp; "'!L$14")</f>
        <v>40744.905214100298</v>
      </c>
      <c r="L12" s="5" cm="1">
        <f t="array" aca="1" ref="L12" ca="1">INDIRECT("'results" &amp; $B12 &amp; "'!M$14")</f>
        <v>1.6047654159992819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70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12.606247740796352</v>
      </c>
      <c r="Q12" s="5" cm="1">
        <f t="array" aca="1" ref="Q12" ca="1">INDIRECT("'results" &amp; $B12 &amp; "'!R$14")</f>
        <v>1050.4539460718277</v>
      </c>
      <c r="R12" s="5"/>
      <c r="S12" s="5" cm="1">
        <f t="array" aca="1" ref="S12" ca="1">INDIRECT("'results" &amp; $B12 &amp; "'!T$14")</f>
        <v>39399.237329240161</v>
      </c>
      <c r="T12" s="5" cm="1">
        <f t="array" aca="1" ref="T12" ca="1">INDIRECT("'results" &amp; $B12 &amp; "'!U$14")</f>
        <v>1.907661916999132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80</v>
      </c>
      <c r="W12" s="5" cm="1">
        <f t="array" aca="1" ref="W12" ca="1">INDIRECT("'results" &amp; $B12 &amp; "'!X$14")</f>
        <v>97.724723976728114</v>
      </c>
      <c r="X12" s="5" cm="1">
        <f t="array" aca="1" ref="X12" ca="1">INDIRECT("'results" &amp; $B12 &amp; "'!Y$14")</f>
        <v>43.711476887992958</v>
      </c>
      <c r="Y12" s="5" cm="1">
        <f t="array" aca="1" ref="Y12" ca="1">INDIRECT("'results" &amp; $B12 &amp; "'!Z$14")</f>
        <v>2138.9722433696334</v>
      </c>
      <c r="Z12" s="5"/>
    </row>
    <row r="13" spans="2:26" x14ac:dyDescent="0.2">
      <c r="B13" s="8" t="s">
        <v>3</v>
      </c>
      <c r="C13" s="9">
        <f ca="1">AVERAGE(C3:C12)</f>
        <v>30528.641237674448</v>
      </c>
      <c r="D13" s="10">
        <f t="shared" ref="D13:I13" ca="1" si="0">AVERAGE(D3:D12)</f>
        <v>1.5125456625009974</v>
      </c>
      <c r="E13" s="9">
        <f t="shared" ca="1" si="0"/>
        <v>1.9</v>
      </c>
      <c r="F13" s="9">
        <f t="shared" ca="1" si="0"/>
        <v>91</v>
      </c>
      <c r="G13" s="9">
        <f t="shared" ca="1" si="0"/>
        <v>3.2640922319288115</v>
      </c>
      <c r="H13" s="10">
        <f t="shared" ca="1" si="0"/>
        <v>17.201982882333816</v>
      </c>
      <c r="I13" s="9">
        <f t="shared" ca="1" si="0"/>
        <v>1078.4850530506014</v>
      </c>
      <c r="J13" s="32"/>
      <c r="K13" s="16">
        <f ca="1">AVERAGE(K3:K12)</f>
        <v>32928.96982467889</v>
      </c>
      <c r="L13" s="41">
        <f t="shared" ref="L13:Q13" ca="1" si="1">AVERAGE(L3:L12)</f>
        <v>1.5745955084001253</v>
      </c>
      <c r="M13" s="16">
        <f t="shared" ca="1" si="1"/>
        <v>2</v>
      </c>
      <c r="N13" s="16">
        <f ca="1">AVERAGE(N3:N12)</f>
        <v>86</v>
      </c>
      <c r="O13" s="16">
        <f t="shared" ca="1" si="1"/>
        <v>0</v>
      </c>
      <c r="P13" s="41">
        <f t="shared" ca="1" si="1"/>
        <v>12.701927686693443</v>
      </c>
      <c r="Q13" s="16">
        <f t="shared" ca="1" si="1"/>
        <v>958.09633569357663</v>
      </c>
      <c r="R13" s="42" t="e">
        <f ca="1">(K13-$D$15)/$D$15</f>
        <v>#DIV/0!</v>
      </c>
      <c r="S13" s="38">
        <f ca="1">AVERAGE(S3:S12)</f>
        <v>32491.010963062861</v>
      </c>
      <c r="T13" s="43">
        <f t="shared" ref="T13:Y13" ca="1" si="2">AVERAGE(T3:T12)</f>
        <v>1.4387217165998663</v>
      </c>
      <c r="U13" s="38">
        <f t="shared" ca="1" si="2"/>
        <v>1.9</v>
      </c>
      <c r="V13" s="38">
        <f t="shared" ca="1" si="2"/>
        <v>89</v>
      </c>
      <c r="W13" s="38">
        <f t="shared" ca="1" si="2"/>
        <v>15.625348110424264</v>
      </c>
      <c r="X13" s="43">
        <f t="shared" ca="1" si="2"/>
        <v>29.386348862415076</v>
      </c>
      <c r="Y13" s="38">
        <f t="shared" ca="1" si="2"/>
        <v>1470.3417784317232</v>
      </c>
      <c r="Z13" s="44" t="e">
        <f ca="1">(S13-$D$15)/$D$15</f>
        <v>#DIV/0!</v>
      </c>
    </row>
    <row r="14" spans="2:26" x14ac:dyDescent="0.2">
      <c r="K14" s="45"/>
      <c r="L14" s="45"/>
      <c r="M14" s="45"/>
      <c r="N14" s="45"/>
      <c r="O14" s="45"/>
      <c r="P14" s="45"/>
      <c r="Q14" s="45"/>
      <c r="S14" s="45"/>
      <c r="T14" s="45"/>
      <c r="U14" s="45"/>
      <c r="V14" s="45"/>
      <c r="W14" s="45"/>
      <c r="X14" s="45"/>
      <c r="Y14" s="45"/>
    </row>
    <row r="16" spans="2:26" x14ac:dyDescent="0.2">
      <c r="B16" s="1" t="s">
        <v>20</v>
      </c>
      <c r="C16">
        <f ca="1">_xlfn.STDEV.S(C3:C12)</f>
        <v>3499.900579449225</v>
      </c>
      <c r="J16" s="1" t="s">
        <v>20</v>
      </c>
      <c r="K16">
        <f ca="1">_xlfn.STDEV.S(K3:K12)</f>
        <v>4310.9018331035068</v>
      </c>
      <c r="R16" s="1" t="s">
        <v>20</v>
      </c>
      <c r="S16">
        <f ca="1">_xlfn.STDEV.S(S3:S12)</f>
        <v>3822.5529058611664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529D-E45C-B64F-954D-BB13CF107AA8}">
  <dimension ref="B1:AA17"/>
  <sheetViews>
    <sheetView zoomScale="118" zoomScaleNormal="120" workbookViewId="0">
      <selection activeCell="A2" sqref="A2:XFD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519</v>
      </c>
      <c r="D4" s="23">
        <v>27077.46528904092</v>
      </c>
      <c r="E4" s="33">
        <v>1.1255367909980121</v>
      </c>
      <c r="F4" s="5">
        <v>2</v>
      </c>
      <c r="G4" s="23">
        <v>100</v>
      </c>
      <c r="H4" s="33">
        <v>0</v>
      </c>
      <c r="I4" s="23">
        <v>23.565788348822593</v>
      </c>
      <c r="J4" s="5">
        <v>1179.1166341472369</v>
      </c>
      <c r="K4" s="31"/>
      <c r="L4" s="23">
        <v>33849.678526791547</v>
      </c>
      <c r="M4" s="33">
        <v>1.8889311250004539</v>
      </c>
      <c r="N4" s="5">
        <v>3</v>
      </c>
      <c r="O4" s="5">
        <v>100</v>
      </c>
      <c r="P4" s="33">
        <v>0</v>
      </c>
      <c r="Q4" s="5">
        <v>13.793234925764999</v>
      </c>
      <c r="R4" s="5">
        <v>800.009463423032</v>
      </c>
      <c r="S4" s="35"/>
      <c r="T4" s="23">
        <v>28480.66665823069</v>
      </c>
      <c r="U4" s="33">
        <v>1.0902162090005729</v>
      </c>
      <c r="V4" s="5">
        <v>2</v>
      </c>
      <c r="W4" s="5">
        <v>100</v>
      </c>
      <c r="X4" s="33">
        <v>0</v>
      </c>
      <c r="Y4" s="5">
        <v>38.675040259673352</v>
      </c>
      <c r="Z4" s="5">
        <v>1619.595189877268</v>
      </c>
      <c r="AA4" s="35"/>
    </row>
    <row r="5" spans="2:27" x14ac:dyDescent="0.2">
      <c r="B5" s="4">
        <v>2</v>
      </c>
      <c r="C5" s="4">
        <v>591</v>
      </c>
      <c r="D5" s="23">
        <v>27077.46528904092</v>
      </c>
      <c r="E5" s="33">
        <v>1.252074291998724</v>
      </c>
      <c r="F5" s="5">
        <v>2</v>
      </c>
      <c r="G5" s="23">
        <v>100</v>
      </c>
      <c r="H5" s="33">
        <v>0</v>
      </c>
      <c r="I5" s="23">
        <v>23.565788348822593</v>
      </c>
      <c r="J5" s="5">
        <v>1179.1166341472369</v>
      </c>
      <c r="K5" s="31"/>
      <c r="L5" s="23">
        <v>30194.342272302049</v>
      </c>
      <c r="M5" s="33">
        <v>1.677308708000055</v>
      </c>
      <c r="N5" s="5">
        <v>2</v>
      </c>
      <c r="O5" s="5">
        <v>90</v>
      </c>
      <c r="P5" s="33">
        <v>0</v>
      </c>
      <c r="Q5" s="5">
        <v>20.497525090341938</v>
      </c>
      <c r="R5" s="5">
        <v>1045.4936392016471</v>
      </c>
      <c r="S5" s="35"/>
      <c r="T5" s="23">
        <v>28480.66665823069</v>
      </c>
      <c r="U5" s="33">
        <v>1.242448332999629</v>
      </c>
      <c r="V5" s="5">
        <v>2</v>
      </c>
      <c r="W5" s="5">
        <v>100</v>
      </c>
      <c r="X5" s="33">
        <v>0</v>
      </c>
      <c r="Y5" s="5">
        <v>38.675040259673352</v>
      </c>
      <c r="Z5" s="5">
        <v>1619.595189877268</v>
      </c>
      <c r="AA5" s="35"/>
    </row>
    <row r="6" spans="2:27" x14ac:dyDescent="0.2">
      <c r="B6" s="4">
        <v>3</v>
      </c>
      <c r="C6" s="4">
        <v>676</v>
      </c>
      <c r="D6" s="23">
        <v>27077.46528904092</v>
      </c>
      <c r="E6" s="33">
        <v>1.169074292000005</v>
      </c>
      <c r="F6" s="5">
        <v>2</v>
      </c>
      <c r="G6" s="23">
        <v>100</v>
      </c>
      <c r="H6" s="33">
        <v>0</v>
      </c>
      <c r="I6" s="23">
        <v>23.565788348822593</v>
      </c>
      <c r="J6" s="5">
        <v>1179.1166341472369</v>
      </c>
      <c r="K6" s="31"/>
      <c r="L6" s="23">
        <v>33849.678526791547</v>
      </c>
      <c r="M6" s="33">
        <v>1.9039135829989391</v>
      </c>
      <c r="N6" s="5">
        <v>3</v>
      </c>
      <c r="O6" s="5">
        <v>100</v>
      </c>
      <c r="P6" s="33">
        <v>0</v>
      </c>
      <c r="Q6" s="5">
        <v>13.793234925764999</v>
      </c>
      <c r="R6" s="5">
        <v>800.009463423032</v>
      </c>
      <c r="S6" s="35"/>
      <c r="T6" s="23">
        <v>28480.66665823069</v>
      </c>
      <c r="U6" s="33">
        <v>1.1132265420001199</v>
      </c>
      <c r="V6" s="5">
        <v>2</v>
      </c>
      <c r="W6" s="5">
        <v>100</v>
      </c>
      <c r="X6" s="33">
        <v>0</v>
      </c>
      <c r="Y6" s="5">
        <v>38.675040259673352</v>
      </c>
      <c r="Z6" s="5">
        <v>1619.595189877268</v>
      </c>
      <c r="AA6" s="35"/>
    </row>
    <row r="7" spans="2:27" x14ac:dyDescent="0.2">
      <c r="B7" s="4">
        <v>4</v>
      </c>
      <c r="C7" s="4">
        <v>614</v>
      </c>
      <c r="D7" s="23">
        <v>27077.46528904092</v>
      </c>
      <c r="E7" s="33">
        <v>1.138597709003079</v>
      </c>
      <c r="F7" s="5">
        <v>2</v>
      </c>
      <c r="G7" s="23">
        <v>100</v>
      </c>
      <c r="H7" s="33">
        <v>0</v>
      </c>
      <c r="I7" s="23">
        <v>23.565788348822593</v>
      </c>
      <c r="J7" s="5">
        <v>1179.1166341472369</v>
      </c>
      <c r="K7" s="31"/>
      <c r="L7" s="23">
        <v>33849.678526791547</v>
      </c>
      <c r="M7" s="33">
        <v>1.9113560000005241</v>
      </c>
      <c r="N7" s="5">
        <v>3</v>
      </c>
      <c r="O7" s="5">
        <v>100</v>
      </c>
      <c r="P7" s="33">
        <v>0</v>
      </c>
      <c r="Q7" s="5">
        <v>13.793234925764999</v>
      </c>
      <c r="R7" s="5">
        <v>800.009463423032</v>
      </c>
      <c r="S7" s="35"/>
      <c r="T7" s="23">
        <v>28480.66665823069</v>
      </c>
      <c r="U7" s="33">
        <v>1.128136666000501</v>
      </c>
      <c r="V7" s="5">
        <v>2</v>
      </c>
      <c r="W7" s="5">
        <v>100</v>
      </c>
      <c r="X7" s="33">
        <v>0</v>
      </c>
      <c r="Y7" s="5">
        <v>38.675040259673352</v>
      </c>
      <c r="Z7" s="5">
        <v>1619.595189877268</v>
      </c>
      <c r="AA7" s="35"/>
    </row>
    <row r="8" spans="2:27" x14ac:dyDescent="0.2">
      <c r="B8" s="4">
        <v>5</v>
      </c>
      <c r="C8" s="4">
        <v>971</v>
      </c>
      <c r="D8" s="23">
        <v>27077.46528904092</v>
      </c>
      <c r="E8" s="33">
        <v>1.320429958999739</v>
      </c>
      <c r="F8" s="5">
        <v>2</v>
      </c>
      <c r="G8" s="23">
        <v>100</v>
      </c>
      <c r="H8" s="33">
        <v>0</v>
      </c>
      <c r="I8" s="23">
        <v>23.565788348822593</v>
      </c>
      <c r="J8" s="5">
        <v>1179.1166341472369</v>
      </c>
      <c r="K8" s="31"/>
      <c r="L8" s="23">
        <v>30194.342272302049</v>
      </c>
      <c r="M8" s="33">
        <v>1.6749638330002199</v>
      </c>
      <c r="N8" s="5">
        <v>2</v>
      </c>
      <c r="O8" s="5">
        <v>90</v>
      </c>
      <c r="P8" s="33">
        <v>0</v>
      </c>
      <c r="Q8" s="5">
        <v>20.497525090341938</v>
      </c>
      <c r="R8" s="5">
        <v>1045.4936392016471</v>
      </c>
      <c r="S8" s="35"/>
      <c r="T8" s="23">
        <v>28480.66665823069</v>
      </c>
      <c r="U8" s="33">
        <v>1.2490380840008579</v>
      </c>
      <c r="V8" s="5">
        <v>2</v>
      </c>
      <c r="W8" s="5">
        <v>100</v>
      </c>
      <c r="X8" s="33">
        <v>0</v>
      </c>
      <c r="Y8" s="5">
        <v>38.675040259673352</v>
      </c>
      <c r="Z8" s="5">
        <v>1619.595189877268</v>
      </c>
      <c r="AA8" s="35"/>
    </row>
    <row r="9" spans="2:27" x14ac:dyDescent="0.2">
      <c r="B9" s="4">
        <v>6</v>
      </c>
      <c r="C9" s="4">
        <v>138</v>
      </c>
      <c r="D9" s="23">
        <v>27172.612733072041</v>
      </c>
      <c r="E9" s="33">
        <v>1.2580134999989241</v>
      </c>
      <c r="F9" s="5">
        <v>2</v>
      </c>
      <c r="G9" s="23">
        <v>100</v>
      </c>
      <c r="H9" s="33">
        <v>0</v>
      </c>
      <c r="I9" s="23">
        <v>15.898712067615875</v>
      </c>
      <c r="J9" s="5">
        <v>1038.6999718672996</v>
      </c>
      <c r="K9" s="31"/>
      <c r="L9" s="23">
        <v>30298.125739712679</v>
      </c>
      <c r="M9" s="33">
        <v>1.946228875000088</v>
      </c>
      <c r="N9" s="5">
        <v>2</v>
      </c>
      <c r="O9" s="5">
        <v>90</v>
      </c>
      <c r="P9" s="33">
        <v>0</v>
      </c>
      <c r="Q9" s="5">
        <v>13.847811579215385</v>
      </c>
      <c r="R9" s="5">
        <v>931.56348464932614</v>
      </c>
      <c r="S9" s="35"/>
      <c r="T9" s="23">
        <v>28306.231911359951</v>
      </c>
      <c r="U9" s="33">
        <v>1.2104970830005191</v>
      </c>
      <c r="V9" s="5">
        <v>2</v>
      </c>
      <c r="W9" s="5">
        <v>100</v>
      </c>
      <c r="X9" s="33">
        <v>0</v>
      </c>
      <c r="Y9" s="5">
        <v>26.649099107960666</v>
      </c>
      <c r="Z9" s="5">
        <v>1367.7491530503089</v>
      </c>
      <c r="AA9" s="35"/>
    </row>
    <row r="10" spans="2:27" x14ac:dyDescent="0.2">
      <c r="B10" s="4">
        <v>7</v>
      </c>
      <c r="C10" s="4">
        <v>490</v>
      </c>
      <c r="D10" s="23">
        <v>27077.46528904092</v>
      </c>
      <c r="E10" s="33">
        <v>1.1038451250024079</v>
      </c>
      <c r="F10" s="5">
        <v>2</v>
      </c>
      <c r="G10" s="23">
        <v>100</v>
      </c>
      <c r="H10" s="33">
        <v>0</v>
      </c>
      <c r="I10" s="23">
        <v>23.565788348822593</v>
      </c>
      <c r="J10" s="5">
        <v>1179.1166341472369</v>
      </c>
      <c r="K10" s="31"/>
      <c r="L10" s="23">
        <v>33849.678526791547</v>
      </c>
      <c r="M10" s="33">
        <v>1.926302875001056</v>
      </c>
      <c r="N10" s="5">
        <v>3</v>
      </c>
      <c r="O10" s="5">
        <v>100</v>
      </c>
      <c r="P10" s="33">
        <v>0</v>
      </c>
      <c r="Q10" s="5">
        <v>13.793234925764999</v>
      </c>
      <c r="R10" s="5">
        <v>800.009463423032</v>
      </c>
      <c r="S10" s="35"/>
      <c r="T10" s="23">
        <v>28480.66665823069</v>
      </c>
      <c r="U10" s="33">
        <v>1.139372583000295</v>
      </c>
      <c r="V10" s="5">
        <v>2</v>
      </c>
      <c r="W10" s="5">
        <v>100</v>
      </c>
      <c r="X10" s="33">
        <v>0</v>
      </c>
      <c r="Y10" s="5">
        <v>38.675040259673352</v>
      </c>
      <c r="Z10" s="5">
        <v>1619.595189877268</v>
      </c>
      <c r="AA10" s="35"/>
    </row>
    <row r="11" spans="2:27" x14ac:dyDescent="0.2">
      <c r="B11" s="4">
        <v>8</v>
      </c>
      <c r="C11" s="4">
        <v>848</v>
      </c>
      <c r="D11" s="23">
        <v>27077.46528904092</v>
      </c>
      <c r="E11" s="33">
        <v>1.1591222499992</v>
      </c>
      <c r="F11" s="5">
        <v>2</v>
      </c>
      <c r="G11" s="23">
        <v>100</v>
      </c>
      <c r="H11" s="33">
        <v>0</v>
      </c>
      <c r="I11" s="23">
        <v>23.565788348822593</v>
      </c>
      <c r="J11" s="5">
        <v>1179.1166341472369</v>
      </c>
      <c r="K11" s="31"/>
      <c r="L11" s="23">
        <v>33849.678526791547</v>
      </c>
      <c r="M11" s="33">
        <v>1.9224268329999179</v>
      </c>
      <c r="N11" s="5">
        <v>3</v>
      </c>
      <c r="O11" s="5">
        <v>100</v>
      </c>
      <c r="P11" s="33">
        <v>0</v>
      </c>
      <c r="Q11" s="5">
        <v>13.793234925764999</v>
      </c>
      <c r="R11" s="5">
        <v>800.009463423032</v>
      </c>
      <c r="S11" s="35"/>
      <c r="T11" s="23">
        <v>28480.66665823069</v>
      </c>
      <c r="U11" s="33">
        <v>1.119862208000995</v>
      </c>
      <c r="V11" s="5">
        <v>2</v>
      </c>
      <c r="W11" s="5">
        <v>100</v>
      </c>
      <c r="X11" s="33">
        <v>0</v>
      </c>
      <c r="Y11" s="5">
        <v>38.675040259673352</v>
      </c>
      <c r="Z11" s="5">
        <v>1619.595189877268</v>
      </c>
      <c r="AA11" s="35"/>
    </row>
    <row r="12" spans="2:27" x14ac:dyDescent="0.2">
      <c r="B12" s="4">
        <v>9</v>
      </c>
      <c r="C12" s="4">
        <v>300</v>
      </c>
      <c r="D12" s="23">
        <v>27077.46528904092</v>
      </c>
      <c r="E12" s="33">
        <v>1.1912602499978679</v>
      </c>
      <c r="F12" s="5">
        <v>2</v>
      </c>
      <c r="G12" s="23">
        <v>100</v>
      </c>
      <c r="H12" s="33">
        <v>0</v>
      </c>
      <c r="I12" s="23">
        <v>23.565788348822593</v>
      </c>
      <c r="J12" s="5">
        <v>1179.1166341472369</v>
      </c>
      <c r="K12" s="31"/>
      <c r="L12" s="23">
        <v>33849.678526791547</v>
      </c>
      <c r="M12" s="33">
        <v>1.91801950000081</v>
      </c>
      <c r="N12" s="5">
        <v>3</v>
      </c>
      <c r="O12" s="5">
        <v>100</v>
      </c>
      <c r="P12" s="33">
        <v>0</v>
      </c>
      <c r="Q12" s="5">
        <v>13.793234925764999</v>
      </c>
      <c r="R12" s="5">
        <v>800.009463423032</v>
      </c>
      <c r="S12" s="35"/>
      <c r="T12" s="23">
        <v>28480.66665823069</v>
      </c>
      <c r="U12" s="33">
        <v>1.125782457998866</v>
      </c>
      <c r="V12" s="5">
        <v>2</v>
      </c>
      <c r="W12" s="5">
        <v>100</v>
      </c>
      <c r="X12" s="33">
        <v>0</v>
      </c>
      <c r="Y12" s="5">
        <v>38.675040259673352</v>
      </c>
      <c r="Z12" s="5">
        <v>1619.595189877268</v>
      </c>
      <c r="AA12" s="35"/>
    </row>
    <row r="13" spans="2:27" x14ac:dyDescent="0.2">
      <c r="B13" s="4">
        <v>10</v>
      </c>
      <c r="C13" s="4">
        <v>411</v>
      </c>
      <c r="D13" s="23">
        <v>27077.46528904092</v>
      </c>
      <c r="E13" s="33">
        <v>1.2135702910018149</v>
      </c>
      <c r="F13" s="5">
        <v>2</v>
      </c>
      <c r="G13" s="23">
        <v>100</v>
      </c>
      <c r="H13" s="33">
        <v>0</v>
      </c>
      <c r="I13" s="23">
        <v>23.565788348822593</v>
      </c>
      <c r="J13" s="5">
        <v>1179.1166341472369</v>
      </c>
      <c r="K13" s="31"/>
      <c r="L13" s="23">
        <v>30194.342272302049</v>
      </c>
      <c r="M13" s="33">
        <v>1.7346931669999319</v>
      </c>
      <c r="N13" s="5">
        <v>2</v>
      </c>
      <c r="O13" s="5">
        <v>90</v>
      </c>
      <c r="P13" s="33">
        <v>0</v>
      </c>
      <c r="Q13" s="5">
        <v>20.497525090341938</v>
      </c>
      <c r="R13" s="5">
        <v>1045.4936392016471</v>
      </c>
      <c r="S13" s="35"/>
      <c r="T13" s="23">
        <v>28480.66665823069</v>
      </c>
      <c r="U13" s="33">
        <v>1.2318592499996159</v>
      </c>
      <c r="V13" s="5">
        <v>2</v>
      </c>
      <c r="W13" s="5">
        <v>100</v>
      </c>
      <c r="X13" s="33">
        <v>0</v>
      </c>
      <c r="Y13" s="5">
        <v>38.675040259673352</v>
      </c>
      <c r="Z13" s="5">
        <v>1619.595189877268</v>
      </c>
      <c r="AA13" s="35"/>
    </row>
    <row r="14" spans="2:27" x14ac:dyDescent="0.2">
      <c r="B14" s="46" t="s">
        <v>3</v>
      </c>
      <c r="C14" s="47"/>
      <c r="D14" s="9">
        <f>MIN(D4:D13)</f>
        <v>27077.46528904092</v>
      </c>
      <c r="E14" s="22">
        <f>INDEX(E4:E13, MATCH($D$14, D4:D13, 0))</f>
        <v>1.1255367909980121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23.565788348822593</v>
      </c>
      <c r="J14" s="22">
        <f>INDEX(J4:J13, MATCH($D$14, D4:D13, 0))</f>
        <v>1179.1166341472369</v>
      </c>
      <c r="K14" s="32"/>
      <c r="L14" s="16">
        <f>MIN(L4:L13)</f>
        <v>30194.342272302049</v>
      </c>
      <c r="M14" s="21">
        <f>INDEX(M4:M13, MATCH($L$14, L4:L13, 0))</f>
        <v>1.677308708000055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20.497525090341938</v>
      </c>
      <c r="R14" s="21">
        <f>INDEX(R4:R13, MATCH($L$14, L4:L13, 0))</f>
        <v>1045.4936392016471</v>
      </c>
      <c r="S14" s="36" t="e">
        <f>(L14-$D$15)/$D$15</f>
        <v>#DIV/0!</v>
      </c>
      <c r="T14" s="38">
        <f>MIN(T4:T13)</f>
        <v>28306.231911359951</v>
      </c>
      <c r="U14" s="39">
        <f>INDEX(U4:U13, MATCH($T$14, T4:T13, 0))</f>
        <v>1.2104970830005191</v>
      </c>
      <c r="V14" s="38">
        <f>INDEX(V4:V13, MATCH($T$14, T4:T13, 0))</f>
        <v>2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26.649099107960666</v>
      </c>
      <c r="Z14" s="39">
        <f>INDEX(Z4:Z13, MATCH($T$14, T4:T13, 0))</f>
        <v>1367.7491530503089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9" priority="1"/>
    <cfRule type="duplicateValues" dxfId="88" priority="2"/>
  </conditionalFormatting>
  <conditionalFormatting sqref="C15:C1048576 C1:C13">
    <cfRule type="duplicateValues" dxfId="87" priority="5"/>
    <cfRule type="duplicateValues" dxfId="86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E818-41AF-AB4F-9F35-F4D84A4F4FBC}">
  <dimension ref="B1:AA17"/>
  <sheetViews>
    <sheetView zoomScale="118" zoomScaleNormal="12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33240.49679159349</v>
      </c>
      <c r="E4" s="33">
        <v>1.7287961670008369</v>
      </c>
      <c r="F4" s="5">
        <v>2</v>
      </c>
      <c r="G4" s="23">
        <v>90</v>
      </c>
      <c r="H4" s="33">
        <v>0</v>
      </c>
      <c r="I4" s="23">
        <v>8.4823418307875986</v>
      </c>
      <c r="J4" s="5">
        <v>1080.2358259062612</v>
      </c>
      <c r="K4" s="31"/>
      <c r="L4" s="23">
        <v>41655.022615896392</v>
      </c>
      <c r="M4" s="33">
        <v>2.3289550000008599</v>
      </c>
      <c r="N4" s="5">
        <v>3</v>
      </c>
      <c r="O4" s="5">
        <v>90</v>
      </c>
      <c r="P4" s="33">
        <v>0</v>
      </c>
      <c r="Q4" s="5">
        <v>6.2877803902287477</v>
      </c>
      <c r="R4" s="5">
        <v>946.6478779588482</v>
      </c>
      <c r="S4" s="35"/>
      <c r="T4" s="23">
        <v>35282.363289766683</v>
      </c>
      <c r="U4" s="33">
        <v>1.603910499999984</v>
      </c>
      <c r="V4" s="5">
        <v>2</v>
      </c>
      <c r="W4" s="5">
        <v>90</v>
      </c>
      <c r="X4" s="33">
        <v>0</v>
      </c>
      <c r="Y4" s="5">
        <v>16.549441952955362</v>
      </c>
      <c r="Z4" s="5">
        <v>1494.5253520241458</v>
      </c>
      <c r="AA4" s="35"/>
    </row>
    <row r="5" spans="2:27" x14ac:dyDescent="0.2">
      <c r="B5" s="4">
        <v>2</v>
      </c>
      <c r="C5" s="4">
        <v>554</v>
      </c>
      <c r="D5" s="23">
        <v>33240.49679159349</v>
      </c>
      <c r="E5" s="33">
        <v>1.7209908329969039</v>
      </c>
      <c r="F5" s="5">
        <v>2</v>
      </c>
      <c r="G5" s="23">
        <v>90</v>
      </c>
      <c r="H5" s="33">
        <v>0</v>
      </c>
      <c r="I5" s="23">
        <v>8.4823418307875986</v>
      </c>
      <c r="J5" s="5">
        <v>1080.2358259062612</v>
      </c>
      <c r="K5" s="31"/>
      <c r="L5" s="23">
        <v>41655.022615896392</v>
      </c>
      <c r="M5" s="33">
        <v>2.32230379199973</v>
      </c>
      <c r="N5" s="5">
        <v>3</v>
      </c>
      <c r="O5" s="5">
        <v>90</v>
      </c>
      <c r="P5" s="33">
        <v>0</v>
      </c>
      <c r="Q5" s="5">
        <v>6.2877803902287477</v>
      </c>
      <c r="R5" s="5">
        <v>946.6478779588482</v>
      </c>
      <c r="S5" s="35"/>
      <c r="T5" s="23">
        <v>35282.363289766683</v>
      </c>
      <c r="U5" s="33">
        <v>1.6138142499985411</v>
      </c>
      <c r="V5" s="5">
        <v>2</v>
      </c>
      <c r="W5" s="5">
        <v>90</v>
      </c>
      <c r="X5" s="33">
        <v>0</v>
      </c>
      <c r="Y5" s="5">
        <v>16.549441952955362</v>
      </c>
      <c r="Z5" s="5">
        <v>1494.5253520241458</v>
      </c>
      <c r="AA5" s="35"/>
    </row>
    <row r="6" spans="2:27" x14ac:dyDescent="0.2">
      <c r="B6" s="4">
        <v>3</v>
      </c>
      <c r="C6" s="4">
        <v>594</v>
      </c>
      <c r="D6" s="23">
        <v>34728.379021047353</v>
      </c>
      <c r="E6" s="33">
        <v>1.5832514170033389</v>
      </c>
      <c r="F6" s="5">
        <v>2</v>
      </c>
      <c r="G6" s="23">
        <v>90</v>
      </c>
      <c r="H6" s="33">
        <v>0</v>
      </c>
      <c r="I6" s="23">
        <v>9.7359943994632783</v>
      </c>
      <c r="J6" s="5">
        <v>1251.0864240892911</v>
      </c>
      <c r="K6" s="31"/>
      <c r="L6" s="23">
        <v>41655.022615896392</v>
      </c>
      <c r="M6" s="33">
        <v>2.2882462919988029</v>
      </c>
      <c r="N6" s="5">
        <v>3</v>
      </c>
      <c r="O6" s="5">
        <v>90</v>
      </c>
      <c r="P6" s="33">
        <v>0</v>
      </c>
      <c r="Q6" s="5">
        <v>6.2877803902287477</v>
      </c>
      <c r="R6" s="5">
        <v>946.6478779588482</v>
      </c>
      <c r="S6" s="35"/>
      <c r="T6" s="23">
        <v>37669.046479930097</v>
      </c>
      <c r="U6" s="33">
        <v>1.4245985419984211</v>
      </c>
      <c r="V6" s="5">
        <v>2</v>
      </c>
      <c r="W6" s="5">
        <v>90</v>
      </c>
      <c r="X6" s="33">
        <v>0</v>
      </c>
      <c r="Y6" s="5">
        <v>17.719504129353925</v>
      </c>
      <c r="Z6" s="5">
        <v>1746.5408136737485</v>
      </c>
      <c r="AA6" s="35"/>
    </row>
    <row r="7" spans="2:27" x14ac:dyDescent="0.2">
      <c r="B7" s="4">
        <v>4</v>
      </c>
      <c r="C7" s="4">
        <v>655</v>
      </c>
      <c r="D7" s="23">
        <v>34409.791832307274</v>
      </c>
      <c r="E7" s="33">
        <v>1.4317126250025469</v>
      </c>
      <c r="F7" s="5">
        <v>2</v>
      </c>
      <c r="G7" s="23">
        <v>90</v>
      </c>
      <c r="H7" s="33">
        <v>0</v>
      </c>
      <c r="I7" s="23">
        <v>11.217958568404731</v>
      </c>
      <c r="J7" s="5">
        <v>1248.4132106051838</v>
      </c>
      <c r="K7" s="31"/>
      <c r="L7" s="23">
        <v>41655.022615896392</v>
      </c>
      <c r="M7" s="33">
        <v>2.298346083000069</v>
      </c>
      <c r="N7" s="5">
        <v>3</v>
      </c>
      <c r="O7" s="5">
        <v>90</v>
      </c>
      <c r="P7" s="33">
        <v>0</v>
      </c>
      <c r="Q7" s="5">
        <v>6.2877803902287477</v>
      </c>
      <c r="R7" s="5">
        <v>946.6478779588482</v>
      </c>
      <c r="S7" s="35"/>
      <c r="T7" s="23">
        <v>37202.918488518189</v>
      </c>
      <c r="U7" s="33">
        <v>1.4351338750002469</v>
      </c>
      <c r="V7" s="5">
        <v>2</v>
      </c>
      <c r="W7" s="5">
        <v>90</v>
      </c>
      <c r="X7" s="33">
        <v>0</v>
      </c>
      <c r="Y7" s="5">
        <v>21.110600883083087</v>
      </c>
      <c r="Z7" s="5">
        <v>1772.0862950750031</v>
      </c>
      <c r="AA7" s="35"/>
    </row>
    <row r="8" spans="2:27" x14ac:dyDescent="0.2">
      <c r="B8" s="4">
        <v>5</v>
      </c>
      <c r="C8" s="4">
        <v>657</v>
      </c>
      <c r="D8" s="23">
        <v>33240.49679159349</v>
      </c>
      <c r="E8" s="33">
        <v>1.72707024999545</v>
      </c>
      <c r="F8" s="5">
        <v>2</v>
      </c>
      <c r="G8" s="23">
        <v>90</v>
      </c>
      <c r="H8" s="33">
        <v>0</v>
      </c>
      <c r="I8" s="23">
        <v>8.4823418307875986</v>
      </c>
      <c r="J8" s="5">
        <v>1080.2358259062612</v>
      </c>
      <c r="K8" s="31"/>
      <c r="L8" s="23">
        <v>41655.022615896392</v>
      </c>
      <c r="M8" s="33">
        <v>2.3353631249992759</v>
      </c>
      <c r="N8" s="5">
        <v>3</v>
      </c>
      <c r="O8" s="5">
        <v>90</v>
      </c>
      <c r="P8" s="33">
        <v>0</v>
      </c>
      <c r="Q8" s="5">
        <v>6.2877803902287477</v>
      </c>
      <c r="R8" s="5">
        <v>946.6478779588482</v>
      </c>
      <c r="S8" s="35"/>
      <c r="T8" s="23">
        <v>35282.363289766683</v>
      </c>
      <c r="U8" s="33">
        <v>1.620185457999469</v>
      </c>
      <c r="V8" s="5">
        <v>2</v>
      </c>
      <c r="W8" s="5">
        <v>90</v>
      </c>
      <c r="X8" s="33">
        <v>0</v>
      </c>
      <c r="Y8" s="5">
        <v>16.549441952955362</v>
      </c>
      <c r="Z8" s="5">
        <v>1494.5253520241458</v>
      </c>
      <c r="AA8" s="35"/>
    </row>
    <row r="9" spans="2:27" x14ac:dyDescent="0.2">
      <c r="B9" s="4">
        <v>6</v>
      </c>
      <c r="C9" s="4">
        <v>723</v>
      </c>
      <c r="D9" s="23">
        <v>33240.49679159349</v>
      </c>
      <c r="E9" s="33">
        <v>1.683015167000121</v>
      </c>
      <c r="F9" s="5">
        <v>2</v>
      </c>
      <c r="G9" s="23">
        <v>90</v>
      </c>
      <c r="H9" s="33">
        <v>0</v>
      </c>
      <c r="I9" s="23">
        <v>8.4823418307875986</v>
      </c>
      <c r="J9" s="5">
        <v>1080.2358259062612</v>
      </c>
      <c r="K9" s="31"/>
      <c r="L9" s="23">
        <v>41655.022615896392</v>
      </c>
      <c r="M9" s="33">
        <v>2.328496624999389</v>
      </c>
      <c r="N9" s="5">
        <v>3</v>
      </c>
      <c r="O9" s="5">
        <v>90</v>
      </c>
      <c r="P9" s="33">
        <v>0</v>
      </c>
      <c r="Q9" s="5">
        <v>6.2877803902287477</v>
      </c>
      <c r="R9" s="5">
        <v>946.6478779588482</v>
      </c>
      <c r="S9" s="35"/>
      <c r="T9" s="23">
        <v>35282.363289766683</v>
      </c>
      <c r="U9" s="33">
        <v>1.621886625000116</v>
      </c>
      <c r="V9" s="5">
        <v>2</v>
      </c>
      <c r="W9" s="5">
        <v>90</v>
      </c>
      <c r="X9" s="33">
        <v>0</v>
      </c>
      <c r="Y9" s="5">
        <v>16.549441952955362</v>
      </c>
      <c r="Z9" s="5">
        <v>1494.5253520241458</v>
      </c>
      <c r="AA9" s="35"/>
    </row>
    <row r="10" spans="2:27" x14ac:dyDescent="0.2">
      <c r="B10" s="4">
        <v>7</v>
      </c>
      <c r="C10" s="4">
        <v>847</v>
      </c>
      <c r="D10" s="23">
        <v>33240.49679159349</v>
      </c>
      <c r="E10" s="33">
        <v>1.7259857919998469</v>
      </c>
      <c r="F10" s="5">
        <v>2</v>
      </c>
      <c r="G10" s="23">
        <v>90</v>
      </c>
      <c r="H10" s="33">
        <v>0</v>
      </c>
      <c r="I10" s="23">
        <v>8.4823418307875986</v>
      </c>
      <c r="J10" s="5">
        <v>1080.2358259062612</v>
      </c>
      <c r="K10" s="31"/>
      <c r="L10" s="23">
        <v>36899.387184987318</v>
      </c>
      <c r="M10" s="33">
        <v>1.979714167000566</v>
      </c>
      <c r="N10" s="5">
        <v>2</v>
      </c>
      <c r="O10" s="5">
        <v>80</v>
      </c>
      <c r="P10" s="33">
        <v>0</v>
      </c>
      <c r="Q10" s="5">
        <v>7.4644892179338456</v>
      </c>
      <c r="R10" s="5">
        <v>1055.546992719389</v>
      </c>
      <c r="S10" s="35"/>
      <c r="T10" s="23">
        <v>35282.363289766683</v>
      </c>
      <c r="U10" s="33">
        <v>1.632634166000571</v>
      </c>
      <c r="V10" s="5">
        <v>2</v>
      </c>
      <c r="W10" s="5">
        <v>90</v>
      </c>
      <c r="X10" s="33">
        <v>0</v>
      </c>
      <c r="Y10" s="5">
        <v>16.549441952955362</v>
      </c>
      <c r="Z10" s="5">
        <v>1494.5253520241458</v>
      </c>
      <c r="AA10" s="35"/>
    </row>
    <row r="11" spans="2:27" x14ac:dyDescent="0.2">
      <c r="B11" s="4">
        <v>8</v>
      </c>
      <c r="C11" s="4">
        <v>903</v>
      </c>
      <c r="D11" s="23">
        <v>33240.49679159349</v>
      </c>
      <c r="E11" s="33">
        <v>1.788023165994673</v>
      </c>
      <c r="F11" s="5">
        <v>2</v>
      </c>
      <c r="G11" s="23">
        <v>90</v>
      </c>
      <c r="H11" s="33">
        <v>0</v>
      </c>
      <c r="I11" s="23">
        <v>8.4823418307875986</v>
      </c>
      <c r="J11" s="5">
        <v>1080.2358259062612</v>
      </c>
      <c r="K11" s="31"/>
      <c r="L11" s="23">
        <v>41655.022615896392</v>
      </c>
      <c r="M11" s="33">
        <v>2.50410704100068</v>
      </c>
      <c r="N11" s="5">
        <v>3</v>
      </c>
      <c r="O11" s="5">
        <v>90</v>
      </c>
      <c r="P11" s="33">
        <v>0</v>
      </c>
      <c r="Q11" s="5">
        <v>6.2877803902287477</v>
      </c>
      <c r="R11" s="5">
        <v>946.6478779588482</v>
      </c>
      <c r="S11" s="35"/>
      <c r="T11" s="23">
        <v>35282.363289766683</v>
      </c>
      <c r="U11" s="33">
        <v>1.6206390419993111</v>
      </c>
      <c r="V11" s="5">
        <v>2</v>
      </c>
      <c r="W11" s="5">
        <v>90</v>
      </c>
      <c r="X11" s="33">
        <v>0</v>
      </c>
      <c r="Y11" s="5">
        <v>16.549441952955362</v>
      </c>
      <c r="Z11" s="5">
        <v>1494.5253520241458</v>
      </c>
      <c r="AA11" s="35"/>
    </row>
    <row r="12" spans="2:27" x14ac:dyDescent="0.2">
      <c r="B12" s="4">
        <v>9</v>
      </c>
      <c r="C12" s="4">
        <v>956</v>
      </c>
      <c r="D12" s="23">
        <v>33240.49679159349</v>
      </c>
      <c r="E12" s="33">
        <v>1.715445707995968</v>
      </c>
      <c r="F12" s="5">
        <v>2</v>
      </c>
      <c r="G12" s="23">
        <v>90</v>
      </c>
      <c r="H12" s="33">
        <v>0</v>
      </c>
      <c r="I12" s="23">
        <v>8.4823418307875986</v>
      </c>
      <c r="J12" s="5">
        <v>1080.2358259062612</v>
      </c>
      <c r="K12" s="31"/>
      <c r="L12" s="23">
        <v>41655.022615896392</v>
      </c>
      <c r="M12" s="33">
        <v>2.5022474170000351</v>
      </c>
      <c r="N12" s="5">
        <v>3</v>
      </c>
      <c r="O12" s="5">
        <v>90</v>
      </c>
      <c r="P12" s="33">
        <v>0</v>
      </c>
      <c r="Q12" s="5">
        <v>6.2877803902287477</v>
      </c>
      <c r="R12" s="5">
        <v>946.6478779588482</v>
      </c>
      <c r="S12" s="35"/>
      <c r="T12" s="23">
        <v>35282.363289766683</v>
      </c>
      <c r="U12" s="33">
        <v>1.6445403340003391</v>
      </c>
      <c r="V12" s="5">
        <v>2</v>
      </c>
      <c r="W12" s="5">
        <v>90</v>
      </c>
      <c r="X12" s="33">
        <v>0</v>
      </c>
      <c r="Y12" s="5">
        <v>16.549441952955362</v>
      </c>
      <c r="Z12" s="5">
        <v>1494.5253520241458</v>
      </c>
      <c r="AA12" s="35"/>
    </row>
    <row r="13" spans="2:27" x14ac:dyDescent="0.2">
      <c r="B13" s="4">
        <v>10</v>
      </c>
      <c r="C13" s="4">
        <v>968</v>
      </c>
      <c r="D13" s="23">
        <v>34409.791832307274</v>
      </c>
      <c r="E13" s="33">
        <v>1.482666125004471</v>
      </c>
      <c r="F13" s="5">
        <v>2</v>
      </c>
      <c r="G13" s="23">
        <v>90</v>
      </c>
      <c r="H13" s="33">
        <v>0</v>
      </c>
      <c r="I13" s="23">
        <v>11.217958568404731</v>
      </c>
      <c r="J13" s="5">
        <v>1248.4132106051838</v>
      </c>
      <c r="K13" s="31"/>
      <c r="L13" s="23">
        <v>41655.022615896392</v>
      </c>
      <c r="M13" s="33">
        <v>2.3822482909999958</v>
      </c>
      <c r="N13" s="5">
        <v>3</v>
      </c>
      <c r="O13" s="5">
        <v>90</v>
      </c>
      <c r="P13" s="33">
        <v>0</v>
      </c>
      <c r="Q13" s="5">
        <v>6.2877803902287477</v>
      </c>
      <c r="R13" s="5">
        <v>946.6478779588482</v>
      </c>
      <c r="S13" s="35"/>
      <c r="T13" s="23">
        <v>37202.918488518189</v>
      </c>
      <c r="U13" s="33">
        <v>1.446020417000909</v>
      </c>
      <c r="V13" s="5">
        <v>2</v>
      </c>
      <c r="W13" s="5">
        <v>90</v>
      </c>
      <c r="X13" s="33">
        <v>0</v>
      </c>
      <c r="Y13" s="5">
        <v>21.110600883083087</v>
      </c>
      <c r="Z13" s="5">
        <v>1772.0862950750031</v>
      </c>
      <c r="AA13" s="35"/>
    </row>
    <row r="14" spans="2:27" x14ac:dyDescent="0.2">
      <c r="B14" s="46" t="s">
        <v>3</v>
      </c>
      <c r="C14" s="47"/>
      <c r="D14" s="9">
        <f>MIN(D4:D13)</f>
        <v>33240.49679159349</v>
      </c>
      <c r="E14" s="22">
        <f>INDEX(E4:E13, MATCH($D$14, D4:D13, 0))</f>
        <v>1.7287961670008369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8.4823418307875986</v>
      </c>
      <c r="J14" s="22">
        <f>INDEX(J4:J13, MATCH($D$14, D4:D13, 0))</f>
        <v>1080.2358259062612</v>
      </c>
      <c r="K14" s="32"/>
      <c r="L14" s="16">
        <f>MIN(L4:L13)</f>
        <v>36899.387184987318</v>
      </c>
      <c r="M14" s="21">
        <f>INDEX(M4:M13, MATCH($L$14, L4:L13, 0))</f>
        <v>1.979714167000566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7.4644892179338456</v>
      </c>
      <c r="R14" s="21">
        <f>INDEX(R4:R13, MATCH($L$14, L4:L13, 0))</f>
        <v>1055.546992719389</v>
      </c>
      <c r="S14" s="36" t="e">
        <f>(L14-$D$15)/$D$15</f>
        <v>#DIV/0!</v>
      </c>
      <c r="T14" s="38">
        <f>MIN(T4:T13)</f>
        <v>35282.363289766683</v>
      </c>
      <c r="U14" s="39">
        <f>INDEX(U4:U13, MATCH($T$14, T4:T13, 0))</f>
        <v>1.603910499999984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16.549441952955362</v>
      </c>
      <c r="Z14" s="39">
        <f>INDEX(Z4:Z13, MATCH($T$14, T4:T13, 0))</f>
        <v>1494.5253520241458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2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34D9-F15B-4648-AA7C-4980B44FE6F1}">
  <dimension ref="B1:AA17"/>
  <sheetViews>
    <sheetView zoomScale="118" zoomScaleNormal="120" workbookViewId="0">
      <selection activeCell="A15" sqref="A15:XFD3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645</v>
      </c>
      <c r="D4" s="23">
        <v>33826.361199326908</v>
      </c>
      <c r="E4" s="33">
        <v>1.492506709000736</v>
      </c>
      <c r="F4" s="5">
        <v>2</v>
      </c>
      <c r="G4" s="23">
        <v>80</v>
      </c>
      <c r="H4" s="33">
        <v>0</v>
      </c>
      <c r="I4" s="23">
        <v>9.7097916801958579</v>
      </c>
      <c r="J4" s="5">
        <v>783.83061797784785</v>
      </c>
      <c r="K4" s="31"/>
      <c r="L4" s="23">
        <v>34335.724496864517</v>
      </c>
      <c r="M4" s="33">
        <v>1.1726234999987351</v>
      </c>
      <c r="N4" s="5">
        <v>2</v>
      </c>
      <c r="O4" s="5">
        <v>80</v>
      </c>
      <c r="P4" s="33">
        <v>0</v>
      </c>
      <c r="Q4" s="5">
        <v>9.7499515485999986</v>
      </c>
      <c r="R4" s="5">
        <v>852.3477593200264</v>
      </c>
      <c r="S4" s="35"/>
      <c r="T4" s="23">
        <v>34652.511087467647</v>
      </c>
      <c r="U4" s="33">
        <v>1.403428584000721</v>
      </c>
      <c r="V4" s="5">
        <v>2</v>
      </c>
      <c r="W4" s="5">
        <v>80</v>
      </c>
      <c r="X4" s="33">
        <v>0</v>
      </c>
      <c r="Y4" s="5">
        <v>19.927161035845135</v>
      </c>
      <c r="Z4" s="5">
        <v>1173.8483391638028</v>
      </c>
      <c r="AA4" s="35"/>
    </row>
    <row r="5" spans="2:27" x14ac:dyDescent="0.2">
      <c r="B5" s="4">
        <v>2</v>
      </c>
      <c r="C5" s="4">
        <v>252</v>
      </c>
      <c r="D5" s="23">
        <v>34053.864623564848</v>
      </c>
      <c r="E5" s="33">
        <v>1.511519540999871</v>
      </c>
      <c r="F5" s="5">
        <v>2</v>
      </c>
      <c r="G5" s="23">
        <v>80</v>
      </c>
      <c r="H5" s="33">
        <v>0</v>
      </c>
      <c r="I5" s="23">
        <v>9.6309958669654083</v>
      </c>
      <c r="J5" s="5">
        <v>812.39324319257685</v>
      </c>
      <c r="K5" s="31"/>
      <c r="L5" s="23">
        <v>34335.724496864517</v>
      </c>
      <c r="M5" s="33">
        <v>1.3639585000000809</v>
      </c>
      <c r="N5" s="5">
        <v>2</v>
      </c>
      <c r="O5" s="5">
        <v>80</v>
      </c>
      <c r="P5" s="33">
        <v>0</v>
      </c>
      <c r="Q5" s="5">
        <v>9.7499515485999986</v>
      </c>
      <c r="R5" s="5">
        <v>852.3477593200264</v>
      </c>
      <c r="S5" s="35"/>
      <c r="T5" s="23">
        <v>35270.072462864351</v>
      </c>
      <c r="U5" s="33">
        <v>1.4212747500005209</v>
      </c>
      <c r="V5" s="5">
        <v>2</v>
      </c>
      <c r="W5" s="5">
        <v>80</v>
      </c>
      <c r="X5" s="33">
        <v>0</v>
      </c>
      <c r="Y5" s="5">
        <v>19.7560321221377</v>
      </c>
      <c r="Z5" s="5">
        <v>1252.5356942881585</v>
      </c>
      <c r="AA5" s="35"/>
    </row>
    <row r="6" spans="2:27" x14ac:dyDescent="0.2">
      <c r="B6" s="4">
        <v>3</v>
      </c>
      <c r="C6" s="4">
        <v>265</v>
      </c>
      <c r="D6" s="23">
        <v>33826.361199326908</v>
      </c>
      <c r="E6" s="33">
        <v>1.471391958999448</v>
      </c>
      <c r="F6" s="5">
        <v>2</v>
      </c>
      <c r="G6" s="23">
        <v>80</v>
      </c>
      <c r="H6" s="33">
        <v>0</v>
      </c>
      <c r="I6" s="23">
        <v>9.7097916801958579</v>
      </c>
      <c r="J6" s="5">
        <v>783.83061797784785</v>
      </c>
      <c r="K6" s="31"/>
      <c r="L6" s="23">
        <v>34335.724496864517</v>
      </c>
      <c r="M6" s="33">
        <v>1.1689796249993381</v>
      </c>
      <c r="N6" s="5">
        <v>2</v>
      </c>
      <c r="O6" s="5">
        <v>80</v>
      </c>
      <c r="P6" s="33">
        <v>0</v>
      </c>
      <c r="Q6" s="5">
        <v>9.7499515485999986</v>
      </c>
      <c r="R6" s="5">
        <v>852.3477593200264</v>
      </c>
      <c r="S6" s="35"/>
      <c r="T6" s="23">
        <v>34652.511087467647</v>
      </c>
      <c r="U6" s="33">
        <v>1.4255339169994841</v>
      </c>
      <c r="V6" s="5">
        <v>2</v>
      </c>
      <c r="W6" s="5">
        <v>80</v>
      </c>
      <c r="X6" s="33">
        <v>0</v>
      </c>
      <c r="Y6" s="5">
        <v>19.927161035845135</v>
      </c>
      <c r="Z6" s="5">
        <v>1173.8483391638028</v>
      </c>
      <c r="AA6" s="35"/>
    </row>
    <row r="7" spans="2:27" x14ac:dyDescent="0.2">
      <c r="B7" s="4">
        <v>4</v>
      </c>
      <c r="C7" s="4">
        <v>813</v>
      </c>
      <c r="D7" s="23">
        <v>33826.361199326908</v>
      </c>
      <c r="E7" s="33">
        <v>1.3808939999980789</v>
      </c>
      <c r="F7" s="5">
        <v>2</v>
      </c>
      <c r="G7" s="23">
        <v>80</v>
      </c>
      <c r="H7" s="33">
        <v>0</v>
      </c>
      <c r="I7" s="23">
        <v>9.7097916801958579</v>
      </c>
      <c r="J7" s="5">
        <v>783.83061797784785</v>
      </c>
      <c r="K7" s="31"/>
      <c r="L7" s="23">
        <v>34335.724496864517</v>
      </c>
      <c r="M7" s="33">
        <v>1.389908625000317</v>
      </c>
      <c r="N7" s="5">
        <v>2</v>
      </c>
      <c r="O7" s="5">
        <v>80</v>
      </c>
      <c r="P7" s="33">
        <v>0</v>
      </c>
      <c r="Q7" s="5">
        <v>9.7499515485999986</v>
      </c>
      <c r="R7" s="5">
        <v>852.3477593200264</v>
      </c>
      <c r="S7" s="35"/>
      <c r="T7" s="23">
        <v>34652.511087467647</v>
      </c>
      <c r="U7" s="33">
        <v>1.292477041999518</v>
      </c>
      <c r="V7" s="5">
        <v>2</v>
      </c>
      <c r="W7" s="5">
        <v>80</v>
      </c>
      <c r="X7" s="33">
        <v>0</v>
      </c>
      <c r="Y7" s="5">
        <v>19.927161035845135</v>
      </c>
      <c r="Z7" s="5">
        <v>1173.8483391638028</v>
      </c>
      <c r="AA7" s="35"/>
    </row>
    <row r="8" spans="2:27" x14ac:dyDescent="0.2">
      <c r="B8" s="4">
        <v>5</v>
      </c>
      <c r="C8" s="4">
        <v>940</v>
      </c>
      <c r="D8" s="23">
        <v>33826.361199326908</v>
      </c>
      <c r="E8" s="33">
        <v>1.5490933749970279</v>
      </c>
      <c r="F8" s="5">
        <v>2</v>
      </c>
      <c r="G8" s="23">
        <v>80</v>
      </c>
      <c r="H8" s="33">
        <v>0</v>
      </c>
      <c r="I8" s="23">
        <v>9.7097916801958579</v>
      </c>
      <c r="J8" s="5">
        <v>783.83061797784785</v>
      </c>
      <c r="K8" s="31"/>
      <c r="L8" s="23">
        <v>34335.724496864517</v>
      </c>
      <c r="M8" s="33">
        <v>1.262715583001409</v>
      </c>
      <c r="N8" s="5">
        <v>2</v>
      </c>
      <c r="O8" s="5">
        <v>80</v>
      </c>
      <c r="P8" s="33">
        <v>0</v>
      </c>
      <c r="Q8" s="5">
        <v>9.7499515485999986</v>
      </c>
      <c r="R8" s="5">
        <v>852.3477593200264</v>
      </c>
      <c r="S8" s="35"/>
      <c r="T8" s="23">
        <v>34652.511087467647</v>
      </c>
      <c r="U8" s="33">
        <v>1.435320874999888</v>
      </c>
      <c r="V8" s="5">
        <v>2</v>
      </c>
      <c r="W8" s="5">
        <v>80</v>
      </c>
      <c r="X8" s="33">
        <v>0</v>
      </c>
      <c r="Y8" s="5">
        <v>19.927161035845135</v>
      </c>
      <c r="Z8" s="5">
        <v>1173.8483391638028</v>
      </c>
      <c r="AA8" s="35"/>
    </row>
    <row r="9" spans="2:27" x14ac:dyDescent="0.2">
      <c r="B9" s="4">
        <v>6</v>
      </c>
      <c r="C9" s="4">
        <v>76</v>
      </c>
      <c r="D9" s="23">
        <v>34053.864623564848</v>
      </c>
      <c r="E9" s="33">
        <v>1.473793124998338</v>
      </c>
      <c r="F9" s="5">
        <v>2</v>
      </c>
      <c r="G9" s="23">
        <v>80</v>
      </c>
      <c r="H9" s="33">
        <v>0</v>
      </c>
      <c r="I9" s="23">
        <v>9.6309958669654083</v>
      </c>
      <c r="J9" s="5">
        <v>812.39324319257685</v>
      </c>
      <c r="K9" s="31"/>
      <c r="L9" s="23">
        <v>34483.817337402979</v>
      </c>
      <c r="M9" s="33">
        <v>1.2782218329994071</v>
      </c>
      <c r="N9" s="5">
        <v>2</v>
      </c>
      <c r="O9" s="5">
        <v>80</v>
      </c>
      <c r="P9" s="33">
        <v>0</v>
      </c>
      <c r="Q9" s="5">
        <v>9.6705282374257333</v>
      </c>
      <c r="R9" s="5">
        <v>870.11767575868384</v>
      </c>
      <c r="S9" s="35"/>
      <c r="T9" s="23">
        <v>35270.072462864351</v>
      </c>
      <c r="U9" s="33">
        <v>1.419438666998758</v>
      </c>
      <c r="V9" s="5">
        <v>2</v>
      </c>
      <c r="W9" s="5">
        <v>80</v>
      </c>
      <c r="X9" s="33">
        <v>0</v>
      </c>
      <c r="Y9" s="5">
        <v>19.7560321221377</v>
      </c>
      <c r="Z9" s="5">
        <v>1252.5356942881585</v>
      </c>
      <c r="AA9" s="35"/>
    </row>
    <row r="10" spans="2:27" x14ac:dyDescent="0.2">
      <c r="B10" s="4">
        <v>7</v>
      </c>
      <c r="C10" s="4">
        <v>228</v>
      </c>
      <c r="D10" s="23">
        <v>33826.361199326908</v>
      </c>
      <c r="E10" s="33">
        <v>1.451922374999413</v>
      </c>
      <c r="F10" s="5">
        <v>2</v>
      </c>
      <c r="G10" s="23">
        <v>80</v>
      </c>
      <c r="H10" s="33">
        <v>0</v>
      </c>
      <c r="I10" s="23">
        <v>9.7097916801958579</v>
      </c>
      <c r="J10" s="5">
        <v>783.83061797784785</v>
      </c>
      <c r="K10" s="31"/>
      <c r="L10" s="23">
        <v>34483.817337402979</v>
      </c>
      <c r="M10" s="33">
        <v>1.303002332999313</v>
      </c>
      <c r="N10" s="5">
        <v>2</v>
      </c>
      <c r="O10" s="5">
        <v>80</v>
      </c>
      <c r="P10" s="33">
        <v>0</v>
      </c>
      <c r="Q10" s="5">
        <v>9.6705282374257333</v>
      </c>
      <c r="R10" s="5">
        <v>870.11767575868384</v>
      </c>
      <c r="S10" s="35"/>
      <c r="T10" s="23">
        <v>34652.511087467647</v>
      </c>
      <c r="U10" s="33">
        <v>1.4281609999998179</v>
      </c>
      <c r="V10" s="5">
        <v>2</v>
      </c>
      <c r="W10" s="5">
        <v>80</v>
      </c>
      <c r="X10" s="33">
        <v>0</v>
      </c>
      <c r="Y10" s="5">
        <v>19.927161035845135</v>
      </c>
      <c r="Z10" s="5">
        <v>1173.8483391638028</v>
      </c>
      <c r="AA10" s="35"/>
    </row>
    <row r="11" spans="2:27" x14ac:dyDescent="0.2">
      <c r="B11" s="4">
        <v>8</v>
      </c>
      <c r="C11" s="4">
        <v>292</v>
      </c>
      <c r="D11" s="23">
        <v>34053.864623564848</v>
      </c>
      <c r="E11" s="33">
        <v>1.459587582998211</v>
      </c>
      <c r="F11" s="5">
        <v>2</v>
      </c>
      <c r="G11" s="23">
        <v>80</v>
      </c>
      <c r="H11" s="33">
        <v>0</v>
      </c>
      <c r="I11" s="23">
        <v>9.6309958669654083</v>
      </c>
      <c r="J11" s="5">
        <v>812.39324319257685</v>
      </c>
      <c r="K11" s="31"/>
      <c r="L11" s="23">
        <v>34483.817337402979</v>
      </c>
      <c r="M11" s="33">
        <v>1.259090499999729</v>
      </c>
      <c r="N11" s="5">
        <v>2</v>
      </c>
      <c r="O11" s="5">
        <v>80</v>
      </c>
      <c r="P11" s="33">
        <v>0</v>
      </c>
      <c r="Q11" s="5">
        <v>9.6705282374257333</v>
      </c>
      <c r="R11" s="5">
        <v>870.11767575868384</v>
      </c>
      <c r="S11" s="35"/>
      <c r="T11" s="23">
        <v>35270.072462864351</v>
      </c>
      <c r="U11" s="33">
        <v>1.4222455830004039</v>
      </c>
      <c r="V11" s="5">
        <v>2</v>
      </c>
      <c r="W11" s="5">
        <v>80</v>
      </c>
      <c r="X11" s="33">
        <v>0</v>
      </c>
      <c r="Y11" s="5">
        <v>19.7560321221377</v>
      </c>
      <c r="Z11" s="5">
        <v>1252.5356942881585</v>
      </c>
      <c r="AA11" s="35"/>
    </row>
    <row r="12" spans="2:27" x14ac:dyDescent="0.2">
      <c r="B12" s="4">
        <v>9</v>
      </c>
      <c r="C12" s="4">
        <v>386</v>
      </c>
      <c r="D12" s="23">
        <v>33826.361199326908</v>
      </c>
      <c r="E12" s="33">
        <v>1.463058291999914</v>
      </c>
      <c r="F12" s="5">
        <v>2</v>
      </c>
      <c r="G12" s="23">
        <v>80</v>
      </c>
      <c r="H12" s="33">
        <v>0</v>
      </c>
      <c r="I12" s="23">
        <v>9.7097916801958579</v>
      </c>
      <c r="J12" s="5">
        <v>783.83061797784785</v>
      </c>
      <c r="K12" s="31"/>
      <c r="L12" s="23">
        <v>34335.724496864517</v>
      </c>
      <c r="M12" s="33">
        <v>1.3532240840013401</v>
      </c>
      <c r="N12" s="5">
        <v>2</v>
      </c>
      <c r="O12" s="5">
        <v>80</v>
      </c>
      <c r="P12" s="33">
        <v>0</v>
      </c>
      <c r="Q12" s="5">
        <v>9.7499515485999986</v>
      </c>
      <c r="R12" s="5">
        <v>852.3477593200264</v>
      </c>
      <c r="S12" s="35"/>
      <c r="T12" s="23">
        <v>34652.511087467647</v>
      </c>
      <c r="U12" s="33">
        <v>1.418617375000395</v>
      </c>
      <c r="V12" s="5">
        <v>2</v>
      </c>
      <c r="W12" s="5">
        <v>80</v>
      </c>
      <c r="X12" s="33">
        <v>0</v>
      </c>
      <c r="Y12" s="5">
        <v>19.927161035845135</v>
      </c>
      <c r="Z12" s="5">
        <v>1173.8483391638028</v>
      </c>
      <c r="AA12" s="35"/>
    </row>
    <row r="13" spans="2:27" x14ac:dyDescent="0.2">
      <c r="B13" s="4">
        <v>10</v>
      </c>
      <c r="C13" s="4">
        <v>604</v>
      </c>
      <c r="D13" s="23">
        <v>33826.361199326908</v>
      </c>
      <c r="E13" s="33">
        <v>1.4760700829974669</v>
      </c>
      <c r="F13" s="5">
        <v>2</v>
      </c>
      <c r="G13" s="23">
        <v>80</v>
      </c>
      <c r="H13" s="33">
        <v>0</v>
      </c>
      <c r="I13" s="23">
        <v>9.7097916801958579</v>
      </c>
      <c r="J13" s="5">
        <v>783.83061797784785</v>
      </c>
      <c r="K13" s="31"/>
      <c r="L13" s="23">
        <v>34335.724496864517</v>
      </c>
      <c r="M13" s="33">
        <v>1.1809781669999211</v>
      </c>
      <c r="N13" s="5">
        <v>2</v>
      </c>
      <c r="O13" s="5">
        <v>80</v>
      </c>
      <c r="P13" s="33">
        <v>0</v>
      </c>
      <c r="Q13" s="5">
        <v>9.7499515485999986</v>
      </c>
      <c r="R13" s="5">
        <v>852.3477593200264</v>
      </c>
      <c r="S13" s="35"/>
      <c r="T13" s="23">
        <v>34652.511087467647</v>
      </c>
      <c r="U13" s="33">
        <v>1.4201711670011721</v>
      </c>
      <c r="V13" s="5">
        <v>2</v>
      </c>
      <c r="W13" s="5">
        <v>80</v>
      </c>
      <c r="X13" s="33">
        <v>0</v>
      </c>
      <c r="Y13" s="5">
        <v>19.927161035845135</v>
      </c>
      <c r="Z13" s="5">
        <v>1173.8483391638028</v>
      </c>
      <c r="AA13" s="35"/>
    </row>
    <row r="14" spans="2:27" x14ac:dyDescent="0.2">
      <c r="B14" s="46" t="s">
        <v>3</v>
      </c>
      <c r="C14" s="47"/>
      <c r="D14" s="9">
        <f>MIN(D4:D13)</f>
        <v>33826.361199326908</v>
      </c>
      <c r="E14" s="22">
        <f>INDEX(E4:E13, MATCH($D$14, D4:D13, 0))</f>
        <v>1.492506709000736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9.7097916801958579</v>
      </c>
      <c r="J14" s="22">
        <f>INDEX(J4:J13, MATCH($D$14, D4:D13, 0))</f>
        <v>783.83061797784785</v>
      </c>
      <c r="K14" s="32"/>
      <c r="L14" s="16">
        <f>MIN(L4:L13)</f>
        <v>34335.724496864517</v>
      </c>
      <c r="M14" s="21">
        <f>INDEX(M4:M13, MATCH($L$14, L4:L13, 0))</f>
        <v>1.1726234999987351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9.7499515485999986</v>
      </c>
      <c r="R14" s="21">
        <f>INDEX(R4:R13, MATCH($L$14, L4:L13, 0))</f>
        <v>852.3477593200264</v>
      </c>
      <c r="S14" s="36" t="e">
        <f>(L14-$D$15)/$D$15</f>
        <v>#DIV/0!</v>
      </c>
      <c r="T14" s="38">
        <f>MIN(T4:T13)</f>
        <v>34652.511087467647</v>
      </c>
      <c r="U14" s="39">
        <f>INDEX(U4:U13, MATCH($T$14, T4:T13, 0))</f>
        <v>1.403428584000721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19.927161035845135</v>
      </c>
      <c r="Z14" s="39">
        <f>INDEX(Z4:Z13, MATCH($T$14, T4:T13, 0))</f>
        <v>1173.8483391638028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1" priority="3"/>
    <cfRule type="duplicateValues" dxfId="80" priority="4"/>
  </conditionalFormatting>
  <conditionalFormatting sqref="C15:C1048576 C1 C3:C13">
    <cfRule type="duplicateValues" dxfId="79" priority="7"/>
    <cfRule type="duplicateValues" dxfId="78" priority="8"/>
  </conditionalFormatting>
  <conditionalFormatting sqref="C2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617B-A0AA-1744-904E-23ABD7835977}">
  <dimension ref="B1:AA17"/>
  <sheetViews>
    <sheetView zoomScale="118" zoomScaleNormal="120" workbookViewId="0">
      <selection activeCell="A15" sqref="A15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50</v>
      </c>
      <c r="D4" s="23">
        <v>33087.705946808434</v>
      </c>
      <c r="E4" s="33">
        <v>1.7006148330037829</v>
      </c>
      <c r="F4" s="5">
        <v>2</v>
      </c>
      <c r="G4" s="23">
        <v>90</v>
      </c>
      <c r="H4" s="33">
        <v>0</v>
      </c>
      <c r="I4" s="23">
        <v>9.7542387393341023</v>
      </c>
      <c r="J4" s="5">
        <v>1028.8038896816543</v>
      </c>
      <c r="K4" s="31"/>
      <c r="L4" s="23">
        <v>33087.705946808434</v>
      </c>
      <c r="M4" s="33">
        <v>1.625239291999605</v>
      </c>
      <c r="N4" s="5">
        <v>2</v>
      </c>
      <c r="O4" s="5">
        <v>90</v>
      </c>
      <c r="P4" s="33">
        <v>0</v>
      </c>
      <c r="Q4" s="5">
        <v>9.7542387393341023</v>
      </c>
      <c r="R4" s="5">
        <v>1028.8038896816543</v>
      </c>
      <c r="S4" s="35"/>
      <c r="T4" s="23">
        <v>35330.673049050863</v>
      </c>
      <c r="U4" s="33">
        <v>1.5082929159998459</v>
      </c>
      <c r="V4" s="5">
        <v>2</v>
      </c>
      <c r="W4" s="5">
        <v>90</v>
      </c>
      <c r="X4" s="33">
        <v>0</v>
      </c>
      <c r="Y4" s="5">
        <v>17.446345183172486</v>
      </c>
      <c r="Z4" s="5">
        <v>1416.3229419168392</v>
      </c>
      <c r="AA4" s="35"/>
    </row>
    <row r="5" spans="2:27" x14ac:dyDescent="0.2">
      <c r="B5" s="4">
        <v>2</v>
      </c>
      <c r="C5" s="4">
        <v>474</v>
      </c>
      <c r="D5" s="23">
        <v>33087.705946808434</v>
      </c>
      <c r="E5" s="33">
        <v>1.85856729200168</v>
      </c>
      <c r="F5" s="5">
        <v>2</v>
      </c>
      <c r="G5" s="23">
        <v>90</v>
      </c>
      <c r="H5" s="33">
        <v>0</v>
      </c>
      <c r="I5" s="23">
        <v>9.7542387393341023</v>
      </c>
      <c r="J5" s="5">
        <v>1028.8038896816543</v>
      </c>
      <c r="K5" s="31"/>
      <c r="L5" s="23">
        <v>33087.705946808434</v>
      </c>
      <c r="M5" s="33">
        <v>1.804039082999225</v>
      </c>
      <c r="N5" s="5">
        <v>2</v>
      </c>
      <c r="O5" s="5">
        <v>90</v>
      </c>
      <c r="P5" s="33">
        <v>0</v>
      </c>
      <c r="Q5" s="5">
        <v>9.7542387393341023</v>
      </c>
      <c r="R5" s="5">
        <v>1028.8038896816543</v>
      </c>
      <c r="S5" s="35"/>
      <c r="T5" s="23">
        <v>35330.673049050863</v>
      </c>
      <c r="U5" s="33">
        <v>1.6672372079992781</v>
      </c>
      <c r="V5" s="5">
        <v>2</v>
      </c>
      <c r="W5" s="5">
        <v>90</v>
      </c>
      <c r="X5" s="33">
        <v>0</v>
      </c>
      <c r="Y5" s="5">
        <v>17.446345183172486</v>
      </c>
      <c r="Z5" s="5">
        <v>1416.3229419168392</v>
      </c>
      <c r="AA5" s="35"/>
    </row>
    <row r="6" spans="2:27" x14ac:dyDescent="0.2">
      <c r="B6" s="4">
        <v>3</v>
      </c>
      <c r="C6" s="4">
        <v>703</v>
      </c>
      <c r="D6" s="23">
        <v>33087.705946808434</v>
      </c>
      <c r="E6" s="33">
        <v>1.687471625002217</v>
      </c>
      <c r="F6" s="5">
        <v>2</v>
      </c>
      <c r="G6" s="23">
        <v>90</v>
      </c>
      <c r="H6" s="33">
        <v>0</v>
      </c>
      <c r="I6" s="23">
        <v>9.7542387393341023</v>
      </c>
      <c r="J6" s="5">
        <v>1028.8038896816543</v>
      </c>
      <c r="K6" s="31"/>
      <c r="L6" s="23">
        <v>33087.705946808434</v>
      </c>
      <c r="M6" s="33">
        <v>1.8124514999999519</v>
      </c>
      <c r="N6" s="5">
        <v>2</v>
      </c>
      <c r="O6" s="5">
        <v>90</v>
      </c>
      <c r="P6" s="33">
        <v>0</v>
      </c>
      <c r="Q6" s="5">
        <v>9.7542387393341023</v>
      </c>
      <c r="R6" s="5">
        <v>1028.8038896816543</v>
      </c>
      <c r="S6" s="35"/>
      <c r="T6" s="23">
        <v>35330.673049050863</v>
      </c>
      <c r="U6" s="33">
        <v>1.703919290999693</v>
      </c>
      <c r="V6" s="5">
        <v>2</v>
      </c>
      <c r="W6" s="5">
        <v>90</v>
      </c>
      <c r="X6" s="33">
        <v>0</v>
      </c>
      <c r="Y6" s="5">
        <v>17.446345183172486</v>
      </c>
      <c r="Z6" s="5">
        <v>1416.3229419168392</v>
      </c>
      <c r="AA6" s="35"/>
    </row>
    <row r="7" spans="2:27" x14ac:dyDescent="0.2">
      <c r="B7" s="4">
        <v>4</v>
      </c>
      <c r="C7" s="4">
        <v>714</v>
      </c>
      <c r="D7" s="23">
        <v>33087.705946808434</v>
      </c>
      <c r="E7" s="33">
        <v>1.7852536249993141</v>
      </c>
      <c r="F7" s="5">
        <v>2</v>
      </c>
      <c r="G7" s="23">
        <v>90</v>
      </c>
      <c r="H7" s="33">
        <v>0</v>
      </c>
      <c r="I7" s="23">
        <v>9.7542387393341023</v>
      </c>
      <c r="J7" s="5">
        <v>1028.8038896816543</v>
      </c>
      <c r="K7" s="31"/>
      <c r="L7" s="23">
        <v>34250.565768130298</v>
      </c>
      <c r="M7" s="33">
        <v>1.578984750000018</v>
      </c>
      <c r="N7" s="5">
        <v>2</v>
      </c>
      <c r="O7" s="5">
        <v>90</v>
      </c>
      <c r="P7" s="33">
        <v>0</v>
      </c>
      <c r="Q7" s="5">
        <v>8.7896351101756434</v>
      </c>
      <c r="R7" s="5">
        <v>1129.524460345225</v>
      </c>
      <c r="S7" s="35"/>
      <c r="T7" s="23">
        <v>35330.673049050863</v>
      </c>
      <c r="U7" s="33">
        <v>1.6860664170017119</v>
      </c>
      <c r="V7" s="5">
        <v>2</v>
      </c>
      <c r="W7" s="5">
        <v>90</v>
      </c>
      <c r="X7" s="33">
        <v>0</v>
      </c>
      <c r="Y7" s="5">
        <v>17.446345183172486</v>
      </c>
      <c r="Z7" s="5">
        <v>1416.3229419168392</v>
      </c>
      <c r="AA7" s="35"/>
    </row>
    <row r="8" spans="2:27" x14ac:dyDescent="0.2">
      <c r="B8" s="4">
        <v>5</v>
      </c>
      <c r="C8" s="4">
        <v>771</v>
      </c>
      <c r="D8" s="23">
        <v>33087.705946808434</v>
      </c>
      <c r="E8" s="33">
        <v>1.7836843330005649</v>
      </c>
      <c r="F8" s="5">
        <v>2</v>
      </c>
      <c r="G8" s="23">
        <v>90</v>
      </c>
      <c r="H8" s="33">
        <v>0</v>
      </c>
      <c r="I8" s="23">
        <v>9.7542387393341023</v>
      </c>
      <c r="J8" s="5">
        <v>1028.8038896816543</v>
      </c>
      <c r="K8" s="31"/>
      <c r="L8" s="23">
        <v>33087.705946808434</v>
      </c>
      <c r="M8" s="33">
        <v>1.828501334000975</v>
      </c>
      <c r="N8" s="5">
        <v>2</v>
      </c>
      <c r="O8" s="5">
        <v>90</v>
      </c>
      <c r="P8" s="33">
        <v>0</v>
      </c>
      <c r="Q8" s="5">
        <v>9.7542387393341023</v>
      </c>
      <c r="R8" s="5">
        <v>1028.8038896816543</v>
      </c>
      <c r="S8" s="35"/>
      <c r="T8" s="23">
        <v>35330.673049050863</v>
      </c>
      <c r="U8" s="33">
        <v>1.6764853750009929</v>
      </c>
      <c r="V8" s="5">
        <v>2</v>
      </c>
      <c r="W8" s="5">
        <v>90</v>
      </c>
      <c r="X8" s="33">
        <v>0</v>
      </c>
      <c r="Y8" s="5">
        <v>17.446345183172486</v>
      </c>
      <c r="Z8" s="5">
        <v>1416.3229419168392</v>
      </c>
      <c r="AA8" s="35"/>
    </row>
    <row r="9" spans="2:27" x14ac:dyDescent="0.2">
      <c r="B9" s="4">
        <v>6</v>
      </c>
      <c r="C9" s="4">
        <v>847</v>
      </c>
      <c r="D9" s="23">
        <v>33087.705946808434</v>
      </c>
      <c r="E9" s="33">
        <v>1.803350166002929</v>
      </c>
      <c r="F9" s="5">
        <v>2</v>
      </c>
      <c r="G9" s="23">
        <v>90</v>
      </c>
      <c r="H9" s="33">
        <v>0</v>
      </c>
      <c r="I9" s="23">
        <v>9.7542387393341023</v>
      </c>
      <c r="J9" s="5">
        <v>1028.8038896816543</v>
      </c>
      <c r="K9" s="31"/>
      <c r="L9" s="23">
        <v>33087.705946808434</v>
      </c>
      <c r="M9" s="33">
        <v>1.809588084001007</v>
      </c>
      <c r="N9" s="5">
        <v>2</v>
      </c>
      <c r="O9" s="5">
        <v>90</v>
      </c>
      <c r="P9" s="33">
        <v>0</v>
      </c>
      <c r="Q9" s="5">
        <v>9.7542387393341023</v>
      </c>
      <c r="R9" s="5">
        <v>1028.8038896816543</v>
      </c>
      <c r="S9" s="35"/>
      <c r="T9" s="23">
        <v>35330.673049050863</v>
      </c>
      <c r="U9" s="33">
        <v>1.6945193749998</v>
      </c>
      <c r="V9" s="5">
        <v>2</v>
      </c>
      <c r="W9" s="5">
        <v>90</v>
      </c>
      <c r="X9" s="33">
        <v>0</v>
      </c>
      <c r="Y9" s="5">
        <v>17.446345183172486</v>
      </c>
      <c r="Z9" s="5">
        <v>1416.3229419168392</v>
      </c>
      <c r="AA9" s="35"/>
    </row>
    <row r="10" spans="2:27" x14ac:dyDescent="0.2">
      <c r="B10" s="4">
        <v>7</v>
      </c>
      <c r="C10" s="4">
        <v>498</v>
      </c>
      <c r="D10" s="23">
        <v>33087.705946808434</v>
      </c>
      <c r="E10" s="33">
        <v>1.725675875000888</v>
      </c>
      <c r="F10" s="5">
        <v>2</v>
      </c>
      <c r="G10" s="23">
        <v>90</v>
      </c>
      <c r="H10" s="33">
        <v>0</v>
      </c>
      <c r="I10" s="23">
        <v>9.7542387393341023</v>
      </c>
      <c r="J10" s="5">
        <v>1028.8038896816543</v>
      </c>
      <c r="K10" s="31"/>
      <c r="L10" s="23">
        <v>33087.705946808434</v>
      </c>
      <c r="M10" s="33">
        <v>1.8328139170007489</v>
      </c>
      <c r="N10" s="5">
        <v>2</v>
      </c>
      <c r="O10" s="5">
        <v>90</v>
      </c>
      <c r="P10" s="33">
        <v>0</v>
      </c>
      <c r="Q10" s="5">
        <v>9.7542387393341023</v>
      </c>
      <c r="R10" s="5">
        <v>1028.8038896816543</v>
      </c>
      <c r="S10" s="35"/>
      <c r="T10" s="23">
        <v>35330.673049050863</v>
      </c>
      <c r="U10" s="33">
        <v>1.6743636669998521</v>
      </c>
      <c r="V10" s="5">
        <v>2</v>
      </c>
      <c r="W10" s="5">
        <v>90</v>
      </c>
      <c r="X10" s="33">
        <v>0</v>
      </c>
      <c r="Y10" s="5">
        <v>17.446345183172486</v>
      </c>
      <c r="Z10" s="5">
        <v>1416.3229419168392</v>
      </c>
      <c r="AA10" s="35"/>
    </row>
    <row r="11" spans="2:27" x14ac:dyDescent="0.2">
      <c r="B11" s="4">
        <v>8</v>
      </c>
      <c r="C11" s="4">
        <v>712</v>
      </c>
      <c r="D11" s="23">
        <v>33087.705946808434</v>
      </c>
      <c r="E11" s="33">
        <v>1.7291137499996689</v>
      </c>
      <c r="F11" s="5">
        <v>2</v>
      </c>
      <c r="G11" s="23">
        <v>90</v>
      </c>
      <c r="H11" s="33">
        <v>0</v>
      </c>
      <c r="I11" s="23">
        <v>9.7542387393341023</v>
      </c>
      <c r="J11" s="5">
        <v>1028.8038896816543</v>
      </c>
      <c r="K11" s="31"/>
      <c r="L11" s="23">
        <v>33087.705946808434</v>
      </c>
      <c r="M11" s="33">
        <v>1.8225055830007479</v>
      </c>
      <c r="N11" s="5">
        <v>2</v>
      </c>
      <c r="O11" s="5">
        <v>90</v>
      </c>
      <c r="P11" s="33">
        <v>0</v>
      </c>
      <c r="Q11" s="5">
        <v>9.7542387393341023</v>
      </c>
      <c r="R11" s="5">
        <v>1028.8038896816543</v>
      </c>
      <c r="S11" s="35"/>
      <c r="T11" s="23">
        <v>35330.673049050863</v>
      </c>
      <c r="U11" s="33">
        <v>1.681594625000798</v>
      </c>
      <c r="V11" s="5">
        <v>2</v>
      </c>
      <c r="W11" s="5">
        <v>90</v>
      </c>
      <c r="X11" s="33">
        <v>0</v>
      </c>
      <c r="Y11" s="5">
        <v>17.446345183172486</v>
      </c>
      <c r="Z11" s="5">
        <v>1416.3229419168392</v>
      </c>
      <c r="AA11" s="35"/>
    </row>
    <row r="12" spans="2:27" x14ac:dyDescent="0.2">
      <c r="B12" s="4">
        <v>9</v>
      </c>
      <c r="C12" s="4">
        <v>981</v>
      </c>
      <c r="D12" s="23">
        <v>33087.705946808434</v>
      </c>
      <c r="E12" s="33">
        <v>1.692139584003598</v>
      </c>
      <c r="F12" s="5">
        <v>2</v>
      </c>
      <c r="G12" s="23">
        <v>90</v>
      </c>
      <c r="H12" s="33">
        <v>0</v>
      </c>
      <c r="I12" s="23">
        <v>9.7542387393341023</v>
      </c>
      <c r="J12" s="5">
        <v>1028.8038896816543</v>
      </c>
      <c r="K12" s="31"/>
      <c r="L12" s="23">
        <v>33087.705946808434</v>
      </c>
      <c r="M12" s="33">
        <v>1.93435616700117</v>
      </c>
      <c r="N12" s="5">
        <v>2</v>
      </c>
      <c r="O12" s="5">
        <v>90</v>
      </c>
      <c r="P12" s="33">
        <v>0</v>
      </c>
      <c r="Q12" s="5">
        <v>9.7542387393341023</v>
      </c>
      <c r="R12" s="5">
        <v>1028.8038896816543</v>
      </c>
      <c r="S12" s="35"/>
      <c r="T12" s="23">
        <v>35330.673049050863</v>
      </c>
      <c r="U12" s="33">
        <v>1.6901115840009879</v>
      </c>
      <c r="V12" s="5">
        <v>2</v>
      </c>
      <c r="W12" s="5">
        <v>90</v>
      </c>
      <c r="X12" s="33">
        <v>0</v>
      </c>
      <c r="Y12" s="5">
        <v>17.446345183172486</v>
      </c>
      <c r="Z12" s="5">
        <v>1416.3229419168392</v>
      </c>
      <c r="AA12" s="35"/>
    </row>
    <row r="13" spans="2:27" x14ac:dyDescent="0.2">
      <c r="B13" s="4">
        <v>10</v>
      </c>
      <c r="C13" s="4">
        <v>11</v>
      </c>
      <c r="D13" s="23">
        <v>33087.705946808434</v>
      </c>
      <c r="E13" s="33">
        <v>1.707628416996158</v>
      </c>
      <c r="F13" s="5">
        <v>2</v>
      </c>
      <c r="G13" s="23">
        <v>90</v>
      </c>
      <c r="H13" s="33">
        <v>0</v>
      </c>
      <c r="I13" s="23">
        <v>9.7542387393341023</v>
      </c>
      <c r="J13" s="5">
        <v>1028.8038896816543</v>
      </c>
      <c r="K13" s="31"/>
      <c r="L13" s="23">
        <v>33087.705946808434</v>
      </c>
      <c r="M13" s="33">
        <v>1.841728125000373</v>
      </c>
      <c r="N13" s="5">
        <v>2</v>
      </c>
      <c r="O13" s="5">
        <v>90</v>
      </c>
      <c r="P13" s="33">
        <v>0</v>
      </c>
      <c r="Q13" s="5">
        <v>9.7542387393341023</v>
      </c>
      <c r="R13" s="5">
        <v>1028.8038896816543</v>
      </c>
      <c r="S13" s="35"/>
      <c r="T13" s="23">
        <v>35330.673049050863</v>
      </c>
      <c r="U13" s="33">
        <v>1.696487958000944</v>
      </c>
      <c r="V13" s="5">
        <v>2</v>
      </c>
      <c r="W13" s="5">
        <v>90</v>
      </c>
      <c r="X13" s="33">
        <v>0</v>
      </c>
      <c r="Y13" s="5">
        <v>17.446345183172486</v>
      </c>
      <c r="Z13" s="5">
        <v>1416.3229419168392</v>
      </c>
      <c r="AA13" s="35"/>
    </row>
    <row r="14" spans="2:27" x14ac:dyDescent="0.2">
      <c r="B14" s="46" t="s">
        <v>3</v>
      </c>
      <c r="C14" s="47"/>
      <c r="D14" s="9">
        <f>MIN(D4:D13)</f>
        <v>33087.705946808434</v>
      </c>
      <c r="E14" s="22">
        <f>INDEX(E4:E13, MATCH($D$14, D4:D13, 0))</f>
        <v>1.7006148330037829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9.7542387393341023</v>
      </c>
      <c r="J14" s="22">
        <f>INDEX(J4:J13, MATCH($D$14, D4:D13, 0))</f>
        <v>1028.8038896816543</v>
      </c>
      <c r="K14" s="32"/>
      <c r="L14" s="16">
        <f>MIN(L4:L13)</f>
        <v>33087.705946808434</v>
      </c>
      <c r="M14" s="21">
        <f>INDEX(M4:M13, MATCH($L$14, L4:L13, 0))</f>
        <v>1.625239291999605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9.7542387393341023</v>
      </c>
      <c r="R14" s="21">
        <f>INDEX(R4:R13, MATCH($L$14, L4:L13, 0))</f>
        <v>1028.8038896816543</v>
      </c>
      <c r="S14" s="36" t="e">
        <f>(L14-$D$15)/$D$15</f>
        <v>#DIV/0!</v>
      </c>
      <c r="T14" s="38">
        <f>MIN(T4:T13)</f>
        <v>35330.673049050863</v>
      </c>
      <c r="U14" s="39">
        <f>INDEX(U4:U13, MATCH($T$14, T4:T13, 0))</f>
        <v>1.5082929159998459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17.446345183172486</v>
      </c>
      <c r="Z14" s="39">
        <f>INDEX(Z4:Z13, MATCH($T$14, T4:T13, 0))</f>
        <v>1416.3229419168392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77" priority="3"/>
    <cfRule type="duplicateValues" dxfId="76" priority="4"/>
  </conditionalFormatting>
  <conditionalFormatting sqref="C15:C1048576 C1 C3:C13">
    <cfRule type="duplicateValues" dxfId="75" priority="7"/>
    <cfRule type="duplicateValues" dxfId="74" priority="8"/>
  </conditionalFormatting>
  <conditionalFormatting sqref="C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F034-CA10-3144-B131-1EE19F20943F}">
  <dimension ref="B1:AA17"/>
  <sheetViews>
    <sheetView zoomScale="118" zoomScaleNormal="120" workbookViewId="0">
      <selection activeCell="A15" sqref="A15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152</v>
      </c>
      <c r="D4" s="23">
        <v>26717.36226027882</v>
      </c>
      <c r="E4" s="33">
        <v>1.463022959003865</v>
      </c>
      <c r="F4" s="5">
        <v>1</v>
      </c>
      <c r="G4" s="23">
        <v>80</v>
      </c>
      <c r="H4" s="33">
        <v>0</v>
      </c>
      <c r="I4" s="23">
        <v>38.940648723257418</v>
      </c>
      <c r="J4" s="5">
        <v>1194.9805329509652</v>
      </c>
      <c r="K4" s="31"/>
      <c r="L4" s="23">
        <v>34578.042362821972</v>
      </c>
      <c r="M4" s="33">
        <v>1.872615875001429</v>
      </c>
      <c r="N4" s="5">
        <v>2</v>
      </c>
      <c r="O4" s="5">
        <v>80</v>
      </c>
      <c r="P4" s="33">
        <v>0</v>
      </c>
      <c r="Q4" s="5">
        <v>16.818172015182885</v>
      </c>
      <c r="R4" s="5">
        <v>856.45690723033704</v>
      </c>
      <c r="S4" s="35"/>
      <c r="T4" s="23">
        <v>31577.286954268809</v>
      </c>
      <c r="U4" s="33">
        <v>1.4658400829994209</v>
      </c>
      <c r="V4" s="5">
        <v>1</v>
      </c>
      <c r="W4" s="5">
        <v>70</v>
      </c>
      <c r="X4" s="33">
        <v>24.837417033176244</v>
      </c>
      <c r="Y4" s="5">
        <v>62.612207400128533</v>
      </c>
      <c r="Z4" s="5">
        <v>1672.8619192322335</v>
      </c>
      <c r="AA4" s="35"/>
    </row>
    <row r="5" spans="2:27" x14ac:dyDescent="0.2">
      <c r="B5" s="4">
        <v>2</v>
      </c>
      <c r="C5" s="4">
        <v>283</v>
      </c>
      <c r="D5" s="23">
        <v>26717.36226027882</v>
      </c>
      <c r="E5" s="33">
        <v>1.521635083998262</v>
      </c>
      <c r="F5" s="5">
        <v>1</v>
      </c>
      <c r="G5" s="23">
        <v>80</v>
      </c>
      <c r="H5" s="33">
        <v>0</v>
      </c>
      <c r="I5" s="23">
        <v>38.940648723257418</v>
      </c>
      <c r="J5" s="5">
        <v>1194.9805329509652</v>
      </c>
      <c r="K5" s="31"/>
      <c r="L5" s="23">
        <v>34578.042362821972</v>
      </c>
      <c r="M5" s="33">
        <v>1.8342440420001369</v>
      </c>
      <c r="N5" s="5">
        <v>2</v>
      </c>
      <c r="O5" s="5">
        <v>80</v>
      </c>
      <c r="P5" s="33">
        <v>0</v>
      </c>
      <c r="Q5" s="5">
        <v>16.818172015182885</v>
      </c>
      <c r="R5" s="5">
        <v>856.45690723033704</v>
      </c>
      <c r="S5" s="35"/>
      <c r="T5" s="23">
        <v>31577.286954268809</v>
      </c>
      <c r="U5" s="33">
        <v>1.5138780830002361</v>
      </c>
      <c r="V5" s="5">
        <v>1</v>
      </c>
      <c r="W5" s="5">
        <v>70</v>
      </c>
      <c r="X5" s="33">
        <v>24.837417033176244</v>
      </c>
      <c r="Y5" s="5">
        <v>62.612207400128533</v>
      </c>
      <c r="Z5" s="5">
        <v>1672.8619192322335</v>
      </c>
      <c r="AA5" s="35"/>
    </row>
    <row r="6" spans="2:27" x14ac:dyDescent="0.2">
      <c r="B6" s="4">
        <v>3</v>
      </c>
      <c r="C6" s="4">
        <v>290</v>
      </c>
      <c r="D6" s="23">
        <v>26717.36226027882</v>
      </c>
      <c r="E6" s="33">
        <v>1.5131877500025439</v>
      </c>
      <c r="F6" s="5">
        <v>1</v>
      </c>
      <c r="G6" s="23">
        <v>80</v>
      </c>
      <c r="H6" s="33">
        <v>0</v>
      </c>
      <c r="I6" s="23">
        <v>38.940648723257418</v>
      </c>
      <c r="J6" s="5">
        <v>1194.9805329509652</v>
      </c>
      <c r="K6" s="31"/>
      <c r="L6" s="23">
        <v>37505.457543593468</v>
      </c>
      <c r="M6" s="33">
        <v>3.6021862500001589</v>
      </c>
      <c r="N6" s="5">
        <v>2</v>
      </c>
      <c r="O6" s="5">
        <v>80</v>
      </c>
      <c r="P6" s="33">
        <v>0</v>
      </c>
      <c r="Q6" s="5">
        <v>9.002976190476188</v>
      </c>
      <c r="R6" s="5">
        <v>1002.2590144848996</v>
      </c>
      <c r="S6" s="35"/>
      <c r="T6" s="23">
        <v>31577.286954268809</v>
      </c>
      <c r="U6" s="33">
        <v>1.5147974590017841</v>
      </c>
      <c r="V6" s="5">
        <v>1</v>
      </c>
      <c r="W6" s="5">
        <v>70</v>
      </c>
      <c r="X6" s="33">
        <v>24.837417033176244</v>
      </c>
      <c r="Y6" s="5">
        <v>62.612207400128533</v>
      </c>
      <c r="Z6" s="5">
        <v>1672.8619192322335</v>
      </c>
      <c r="AA6" s="35"/>
    </row>
    <row r="7" spans="2:27" x14ac:dyDescent="0.2">
      <c r="B7" s="4">
        <v>4</v>
      </c>
      <c r="C7" s="4">
        <v>351</v>
      </c>
      <c r="D7" s="23">
        <v>26717.36226027882</v>
      </c>
      <c r="E7" s="33">
        <v>1.524019459000556</v>
      </c>
      <c r="F7" s="5">
        <v>1</v>
      </c>
      <c r="G7" s="23">
        <v>80</v>
      </c>
      <c r="H7" s="33">
        <v>0</v>
      </c>
      <c r="I7" s="23">
        <v>38.940648723257418</v>
      </c>
      <c r="J7" s="5">
        <v>1194.9805329509652</v>
      </c>
      <c r="K7" s="31"/>
      <c r="L7" s="23">
        <v>34578.042362821972</v>
      </c>
      <c r="M7" s="33">
        <v>1.8610190420004069</v>
      </c>
      <c r="N7" s="5">
        <v>2</v>
      </c>
      <c r="O7" s="5">
        <v>80</v>
      </c>
      <c r="P7" s="33">
        <v>0</v>
      </c>
      <c r="Q7" s="5">
        <v>16.818172015182885</v>
      </c>
      <c r="R7" s="5">
        <v>856.45690723033704</v>
      </c>
      <c r="S7" s="35"/>
      <c r="T7" s="23">
        <v>31577.286954268809</v>
      </c>
      <c r="U7" s="33">
        <v>1.523406333000821</v>
      </c>
      <c r="V7" s="5">
        <v>1</v>
      </c>
      <c r="W7" s="5">
        <v>70</v>
      </c>
      <c r="X7" s="33">
        <v>24.837417033176244</v>
      </c>
      <c r="Y7" s="5">
        <v>62.612207400128533</v>
      </c>
      <c r="Z7" s="5">
        <v>1672.8619192322335</v>
      </c>
      <c r="AA7" s="35"/>
    </row>
    <row r="8" spans="2:27" x14ac:dyDescent="0.2">
      <c r="B8" s="4">
        <v>5</v>
      </c>
      <c r="C8" s="4">
        <v>717</v>
      </c>
      <c r="D8" s="23">
        <v>26717.36226027882</v>
      </c>
      <c r="E8" s="33">
        <v>1.287844875005248</v>
      </c>
      <c r="F8" s="5">
        <v>1</v>
      </c>
      <c r="G8" s="23">
        <v>80</v>
      </c>
      <c r="H8" s="33">
        <v>0</v>
      </c>
      <c r="I8" s="23">
        <v>38.940648723257418</v>
      </c>
      <c r="J8" s="5">
        <v>1194.9805329509652</v>
      </c>
      <c r="K8" s="31"/>
      <c r="L8" s="23">
        <v>35460.664227291687</v>
      </c>
      <c r="M8" s="33">
        <v>1.8267362500009769</v>
      </c>
      <c r="N8" s="5">
        <v>2</v>
      </c>
      <c r="O8" s="5">
        <v>80</v>
      </c>
      <c r="P8" s="33">
        <v>0</v>
      </c>
      <c r="Q8" s="5">
        <v>15.589918334483553</v>
      </c>
      <c r="R8" s="5">
        <v>923.53635570578854</v>
      </c>
      <c r="S8" s="35"/>
      <c r="T8" s="23">
        <v>31577.286954268809</v>
      </c>
      <c r="U8" s="33">
        <v>1.5078291659992831</v>
      </c>
      <c r="V8" s="5">
        <v>1</v>
      </c>
      <c r="W8" s="5">
        <v>70</v>
      </c>
      <c r="X8" s="33">
        <v>24.837417033176244</v>
      </c>
      <c r="Y8" s="5">
        <v>62.612207400128533</v>
      </c>
      <c r="Z8" s="5">
        <v>1672.8619192322335</v>
      </c>
      <c r="AA8" s="35"/>
    </row>
    <row r="9" spans="2:27" x14ac:dyDescent="0.2">
      <c r="B9" s="4">
        <v>6</v>
      </c>
      <c r="C9" s="4">
        <v>801</v>
      </c>
      <c r="D9" s="23">
        <v>26717.36226027882</v>
      </c>
      <c r="E9" s="33">
        <v>1.261789042000601</v>
      </c>
      <c r="F9" s="5">
        <v>1</v>
      </c>
      <c r="G9" s="23">
        <v>80</v>
      </c>
      <c r="H9" s="33">
        <v>0</v>
      </c>
      <c r="I9" s="23">
        <v>38.940648723257418</v>
      </c>
      <c r="J9" s="5">
        <v>1194.9805329509652</v>
      </c>
      <c r="K9" s="31"/>
      <c r="L9" s="23">
        <v>37505.457543593468</v>
      </c>
      <c r="M9" s="33">
        <v>1.9356971249999331</v>
      </c>
      <c r="N9" s="5">
        <v>2</v>
      </c>
      <c r="O9" s="5">
        <v>80</v>
      </c>
      <c r="P9" s="33">
        <v>0</v>
      </c>
      <c r="Q9" s="5">
        <v>9.002976190476188</v>
      </c>
      <c r="R9" s="5">
        <v>1002.2590144848996</v>
      </c>
      <c r="S9" s="35"/>
      <c r="T9" s="23">
        <v>31577.286954268809</v>
      </c>
      <c r="U9" s="33">
        <v>1.520313084000009</v>
      </c>
      <c r="V9" s="5">
        <v>1</v>
      </c>
      <c r="W9" s="5">
        <v>70</v>
      </c>
      <c r="X9" s="33">
        <v>24.837417033176244</v>
      </c>
      <c r="Y9" s="5">
        <v>62.612207400128533</v>
      </c>
      <c r="Z9" s="5">
        <v>1672.8619192322335</v>
      </c>
      <c r="AA9" s="35"/>
    </row>
    <row r="10" spans="2:27" x14ac:dyDescent="0.2">
      <c r="B10" s="4">
        <v>7</v>
      </c>
      <c r="C10" s="4">
        <v>900</v>
      </c>
      <c r="D10" s="23">
        <v>26717.36226027882</v>
      </c>
      <c r="E10" s="33">
        <v>1.5132414170002451</v>
      </c>
      <c r="F10" s="5">
        <v>1</v>
      </c>
      <c r="G10" s="23">
        <v>80</v>
      </c>
      <c r="H10" s="33">
        <v>0</v>
      </c>
      <c r="I10" s="23">
        <v>38.940648723257418</v>
      </c>
      <c r="J10" s="5">
        <v>1194.9805329509652</v>
      </c>
      <c r="K10" s="31"/>
      <c r="L10" s="23">
        <v>34578.042362821972</v>
      </c>
      <c r="M10" s="33">
        <v>1.860305832999074</v>
      </c>
      <c r="N10" s="5">
        <v>2</v>
      </c>
      <c r="O10" s="5">
        <v>80</v>
      </c>
      <c r="P10" s="33">
        <v>0</v>
      </c>
      <c r="Q10" s="5">
        <v>16.818172015182885</v>
      </c>
      <c r="R10" s="5">
        <v>856.45690723033704</v>
      </c>
      <c r="S10" s="35"/>
      <c r="T10" s="23">
        <v>31577.286954268809</v>
      </c>
      <c r="U10" s="33">
        <v>1.5218758339997289</v>
      </c>
      <c r="V10" s="5">
        <v>1</v>
      </c>
      <c r="W10" s="5">
        <v>70</v>
      </c>
      <c r="X10" s="33">
        <v>24.837417033176244</v>
      </c>
      <c r="Y10" s="5">
        <v>62.612207400128533</v>
      </c>
      <c r="Z10" s="5">
        <v>1672.8619192322335</v>
      </c>
      <c r="AA10" s="35"/>
    </row>
    <row r="11" spans="2:27" x14ac:dyDescent="0.2">
      <c r="B11" s="4">
        <v>8</v>
      </c>
      <c r="C11" s="4">
        <v>964</v>
      </c>
      <c r="D11" s="23">
        <v>26717.36226027882</v>
      </c>
      <c r="E11" s="33">
        <v>1.512124541994126</v>
      </c>
      <c r="F11" s="5">
        <v>1</v>
      </c>
      <c r="G11" s="23">
        <v>80</v>
      </c>
      <c r="H11" s="33">
        <v>0</v>
      </c>
      <c r="I11" s="23">
        <v>38.940648723257418</v>
      </c>
      <c r="J11" s="5">
        <v>1194.9805329509652</v>
      </c>
      <c r="K11" s="31"/>
      <c r="L11" s="23">
        <v>40143.841381900093</v>
      </c>
      <c r="M11" s="33">
        <v>2.3499362910006312</v>
      </c>
      <c r="N11" s="5">
        <v>2</v>
      </c>
      <c r="O11" s="5">
        <v>70</v>
      </c>
      <c r="P11" s="33">
        <v>0</v>
      </c>
      <c r="Q11" s="5">
        <v>6.7080026455026474</v>
      </c>
      <c r="R11" s="5">
        <v>842.52435047275355</v>
      </c>
      <c r="S11" s="35"/>
      <c r="T11" s="23">
        <v>31577.286954268809</v>
      </c>
      <c r="U11" s="33">
        <v>1.539149874999566</v>
      </c>
      <c r="V11" s="5">
        <v>1</v>
      </c>
      <c r="W11" s="5">
        <v>70</v>
      </c>
      <c r="X11" s="33">
        <v>24.837417033176244</v>
      </c>
      <c r="Y11" s="5">
        <v>62.612207400128533</v>
      </c>
      <c r="Z11" s="5">
        <v>1672.8619192322335</v>
      </c>
      <c r="AA11" s="35"/>
    </row>
    <row r="12" spans="2:27" x14ac:dyDescent="0.2">
      <c r="B12" s="4">
        <v>9</v>
      </c>
      <c r="C12" s="4">
        <v>924</v>
      </c>
      <c r="D12" s="23">
        <v>26717.36226027882</v>
      </c>
      <c r="E12" s="33">
        <v>1.3610264160015499</v>
      </c>
      <c r="F12" s="5">
        <v>1</v>
      </c>
      <c r="G12" s="23">
        <v>80</v>
      </c>
      <c r="H12" s="33">
        <v>0</v>
      </c>
      <c r="I12" s="23">
        <v>38.940648723257418</v>
      </c>
      <c r="J12" s="5">
        <v>1194.9805329509652</v>
      </c>
      <c r="K12" s="31"/>
      <c r="L12" s="23">
        <v>35460.664227291687</v>
      </c>
      <c r="M12" s="33">
        <v>1.909978458001206</v>
      </c>
      <c r="N12" s="5">
        <v>2</v>
      </c>
      <c r="O12" s="5">
        <v>80</v>
      </c>
      <c r="P12" s="33">
        <v>0</v>
      </c>
      <c r="Q12" s="5">
        <v>15.589918334483553</v>
      </c>
      <c r="R12" s="5">
        <v>923.53635570578854</v>
      </c>
      <c r="S12" s="35"/>
      <c r="T12" s="23">
        <v>31577.286954268809</v>
      </c>
      <c r="U12" s="33">
        <v>1.5523832079998101</v>
      </c>
      <c r="V12" s="5">
        <v>1</v>
      </c>
      <c r="W12" s="5">
        <v>70</v>
      </c>
      <c r="X12" s="33">
        <v>24.837417033176244</v>
      </c>
      <c r="Y12" s="5">
        <v>62.612207400128533</v>
      </c>
      <c r="Z12" s="5">
        <v>1672.8619192322335</v>
      </c>
      <c r="AA12" s="35"/>
    </row>
    <row r="13" spans="2:27" x14ac:dyDescent="0.2">
      <c r="B13" s="4">
        <v>10</v>
      </c>
      <c r="C13" s="4">
        <v>722</v>
      </c>
      <c r="D13" s="23">
        <v>26717.36226027882</v>
      </c>
      <c r="E13" s="33">
        <v>1.4081217920029301</v>
      </c>
      <c r="F13" s="5">
        <v>1</v>
      </c>
      <c r="G13" s="23">
        <v>80</v>
      </c>
      <c r="H13" s="33">
        <v>0</v>
      </c>
      <c r="I13" s="23">
        <v>38.940648723257418</v>
      </c>
      <c r="J13" s="5">
        <v>1194.9805329509652</v>
      </c>
      <c r="K13" s="31"/>
      <c r="L13" s="23">
        <v>35460.664227291687</v>
      </c>
      <c r="M13" s="33">
        <v>2.0287959580000461</v>
      </c>
      <c r="N13" s="5">
        <v>2</v>
      </c>
      <c r="O13" s="5">
        <v>80</v>
      </c>
      <c r="P13" s="33">
        <v>0</v>
      </c>
      <c r="Q13" s="5">
        <v>15.589918334483553</v>
      </c>
      <c r="R13" s="5">
        <v>923.53635570578854</v>
      </c>
      <c r="S13" s="35"/>
      <c r="T13" s="23">
        <v>31577.286954268809</v>
      </c>
      <c r="U13" s="33">
        <v>1.588532541998575</v>
      </c>
      <c r="V13" s="5">
        <v>1</v>
      </c>
      <c r="W13" s="5">
        <v>70</v>
      </c>
      <c r="X13" s="33">
        <v>24.837417033176244</v>
      </c>
      <c r="Y13" s="5">
        <v>62.612207400128533</v>
      </c>
      <c r="Z13" s="5">
        <v>1672.8619192322335</v>
      </c>
      <c r="AA13" s="35"/>
    </row>
    <row r="14" spans="2:27" x14ac:dyDescent="0.2">
      <c r="B14" s="46" t="s">
        <v>3</v>
      </c>
      <c r="C14" s="47"/>
      <c r="D14" s="9">
        <f>MIN(D4:D13)</f>
        <v>26717.36226027882</v>
      </c>
      <c r="E14" s="22">
        <f>INDEX(E4:E13, MATCH($D$14, D4:D13, 0))</f>
        <v>1.463022959003865</v>
      </c>
      <c r="F14" s="9">
        <f>INDEX(F4:F13, MATCH($D$14, D4:D13, 0))</f>
        <v>1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38.940648723257418</v>
      </c>
      <c r="J14" s="22">
        <f>INDEX(J4:J13, MATCH($D$14, D4:D13, 0))</f>
        <v>1194.9805329509652</v>
      </c>
      <c r="K14" s="32"/>
      <c r="L14" s="16">
        <f>MIN(L4:L13)</f>
        <v>34578.042362821972</v>
      </c>
      <c r="M14" s="21">
        <f>INDEX(M4:M13, MATCH($L$14, L4:L13, 0))</f>
        <v>1.872615875001429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16.818172015182885</v>
      </c>
      <c r="R14" s="21">
        <f>INDEX(R4:R13, MATCH($L$14, L4:L13, 0))</f>
        <v>856.45690723033704</v>
      </c>
      <c r="S14" s="36" t="e">
        <f>(L14-$D$15)/$D$15</f>
        <v>#DIV/0!</v>
      </c>
      <c r="T14" s="38">
        <f>MIN(T4:T13)</f>
        <v>31577.286954268809</v>
      </c>
      <c r="U14" s="39">
        <f>INDEX(U4:U13, MATCH($T$14, T4:T13, 0))</f>
        <v>1.4658400829994209</v>
      </c>
      <c r="V14" s="38">
        <f>INDEX(V4:V13, MATCH($T$14, T4:T13, 0))</f>
        <v>1</v>
      </c>
      <c r="W14" s="38">
        <f>INDEX(W4:W13, MATCH($T$14, T4:T13, 0))</f>
        <v>70</v>
      </c>
      <c r="X14" s="39">
        <f>INDEX(X4:X13, MATCH($T$14, T4:T13, 0))</f>
        <v>24.837417033176244</v>
      </c>
      <c r="Y14" s="39">
        <f>INDEX(Y4:Y13, MATCH($T$14, T4:T13, 0))</f>
        <v>62.612207400128533</v>
      </c>
      <c r="Z14" s="39">
        <f>INDEX(Z4:Z13, MATCH($T$14, T4:T13, 0))</f>
        <v>1672.8619192322335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EBA1-23A1-B44C-9FB3-1AAA86400478}">
  <dimension ref="B1:AA17"/>
  <sheetViews>
    <sheetView zoomScale="118" zoomScaleNormal="120" workbookViewId="0">
      <selection activeCell="A15" sqref="A15:XFD2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80</v>
      </c>
      <c r="D4" s="23">
        <v>28519.97113125792</v>
      </c>
      <c r="E4" s="33">
        <v>1.293275667005219</v>
      </c>
      <c r="F4" s="5">
        <v>2</v>
      </c>
      <c r="G4" s="23">
        <v>100</v>
      </c>
      <c r="H4" s="33">
        <v>0</v>
      </c>
      <c r="I4" s="23">
        <v>17.276102857414919</v>
      </c>
      <c r="J4" s="5">
        <v>1249.1669865352696</v>
      </c>
      <c r="K4" s="31"/>
      <c r="L4" s="23">
        <v>28519.97113125792</v>
      </c>
      <c r="M4" s="33">
        <v>1.1783018749993059</v>
      </c>
      <c r="N4" s="5">
        <v>2</v>
      </c>
      <c r="O4" s="5">
        <v>100</v>
      </c>
      <c r="P4" s="33">
        <v>0</v>
      </c>
      <c r="Q4" s="5">
        <v>17.276102857414919</v>
      </c>
      <c r="R4" s="5">
        <v>1249.1669865352696</v>
      </c>
      <c r="S4" s="35"/>
      <c r="T4" s="23">
        <v>32691.333595686381</v>
      </c>
      <c r="U4" s="33">
        <v>1.3279464160004859</v>
      </c>
      <c r="V4" s="5">
        <v>2</v>
      </c>
      <c r="W4" s="5">
        <v>100</v>
      </c>
      <c r="X4" s="33">
        <v>43.232204849700622</v>
      </c>
      <c r="Y4" s="5">
        <v>31.903865248945493</v>
      </c>
      <c r="Z4" s="5">
        <v>1958.2773920611628</v>
      </c>
      <c r="AA4" s="35"/>
    </row>
    <row r="5" spans="2:27" x14ac:dyDescent="0.2">
      <c r="B5" s="4">
        <v>2</v>
      </c>
      <c r="C5" s="4">
        <v>121</v>
      </c>
      <c r="D5" s="23">
        <v>28519.97113125792</v>
      </c>
      <c r="E5" s="33">
        <v>1.4477917080002951</v>
      </c>
      <c r="F5" s="5">
        <v>2</v>
      </c>
      <c r="G5" s="23">
        <v>100</v>
      </c>
      <c r="H5" s="33">
        <v>0</v>
      </c>
      <c r="I5" s="23">
        <v>17.276102857414919</v>
      </c>
      <c r="J5" s="5">
        <v>1249.1669865352696</v>
      </c>
      <c r="K5" s="31"/>
      <c r="L5" s="23">
        <v>28519.97113125792</v>
      </c>
      <c r="M5" s="33">
        <v>1.332486875000541</v>
      </c>
      <c r="N5" s="5">
        <v>2</v>
      </c>
      <c r="O5" s="5">
        <v>100</v>
      </c>
      <c r="P5" s="33">
        <v>0</v>
      </c>
      <c r="Q5" s="5">
        <v>17.276102857414919</v>
      </c>
      <c r="R5" s="5">
        <v>1249.1669865352696</v>
      </c>
      <c r="S5" s="35"/>
      <c r="T5" s="23">
        <v>32691.333595686381</v>
      </c>
      <c r="U5" s="33">
        <v>1.4962817499999801</v>
      </c>
      <c r="V5" s="5">
        <v>2</v>
      </c>
      <c r="W5" s="5">
        <v>100</v>
      </c>
      <c r="X5" s="33">
        <v>43.232204849700622</v>
      </c>
      <c r="Y5" s="5">
        <v>31.903865248945493</v>
      </c>
      <c r="Z5" s="5">
        <v>1958.2773920611628</v>
      </c>
      <c r="AA5" s="35"/>
    </row>
    <row r="6" spans="2:27" x14ac:dyDescent="0.2">
      <c r="B6" s="4">
        <v>3</v>
      </c>
      <c r="C6" s="4">
        <v>935</v>
      </c>
      <c r="D6" s="23">
        <v>28519.97113125792</v>
      </c>
      <c r="E6" s="33">
        <v>1.463071416997991</v>
      </c>
      <c r="F6" s="5">
        <v>2</v>
      </c>
      <c r="G6" s="23">
        <v>100</v>
      </c>
      <c r="H6" s="33">
        <v>0</v>
      </c>
      <c r="I6" s="23">
        <v>17.276102857414919</v>
      </c>
      <c r="J6" s="5">
        <v>1249.1669865352696</v>
      </c>
      <c r="K6" s="31"/>
      <c r="L6" s="23">
        <v>28519.97113125792</v>
      </c>
      <c r="M6" s="33">
        <v>1.315714500000468</v>
      </c>
      <c r="N6" s="5">
        <v>2</v>
      </c>
      <c r="O6" s="5">
        <v>100</v>
      </c>
      <c r="P6" s="33">
        <v>0</v>
      </c>
      <c r="Q6" s="5">
        <v>17.276102857414919</v>
      </c>
      <c r="R6" s="5">
        <v>1249.1669865352696</v>
      </c>
      <c r="S6" s="35"/>
      <c r="T6" s="23">
        <v>32691.333595686381</v>
      </c>
      <c r="U6" s="33">
        <v>1.4901053749999851</v>
      </c>
      <c r="V6" s="5">
        <v>2</v>
      </c>
      <c r="W6" s="5">
        <v>100</v>
      </c>
      <c r="X6" s="33">
        <v>43.232204849700622</v>
      </c>
      <c r="Y6" s="5">
        <v>31.903865248945493</v>
      </c>
      <c r="Z6" s="5">
        <v>1958.2773920611628</v>
      </c>
      <c r="AA6" s="35"/>
    </row>
    <row r="7" spans="2:27" x14ac:dyDescent="0.2">
      <c r="B7" s="4">
        <v>4</v>
      </c>
      <c r="C7" s="4">
        <v>228</v>
      </c>
      <c r="D7" s="23">
        <v>28519.97113125792</v>
      </c>
      <c r="E7" s="33">
        <v>1.298565666998911</v>
      </c>
      <c r="F7" s="5">
        <v>2</v>
      </c>
      <c r="G7" s="23">
        <v>100</v>
      </c>
      <c r="H7" s="33">
        <v>0</v>
      </c>
      <c r="I7" s="23">
        <v>17.276102857414919</v>
      </c>
      <c r="J7" s="5">
        <v>1249.1669865352696</v>
      </c>
      <c r="K7" s="31"/>
      <c r="L7" s="23">
        <v>28519.97113125792</v>
      </c>
      <c r="M7" s="33">
        <v>1.182026082999073</v>
      </c>
      <c r="N7" s="5">
        <v>2</v>
      </c>
      <c r="O7" s="5">
        <v>100</v>
      </c>
      <c r="P7" s="33">
        <v>0</v>
      </c>
      <c r="Q7" s="5">
        <v>17.276102857414919</v>
      </c>
      <c r="R7" s="5">
        <v>1249.1669865352696</v>
      </c>
      <c r="S7" s="35"/>
      <c r="T7" s="23">
        <v>32691.333595686381</v>
      </c>
      <c r="U7" s="33">
        <v>1.376307833001192</v>
      </c>
      <c r="V7" s="5">
        <v>2</v>
      </c>
      <c r="W7" s="5">
        <v>100</v>
      </c>
      <c r="X7" s="33">
        <v>43.232204849700622</v>
      </c>
      <c r="Y7" s="5">
        <v>31.903865248945493</v>
      </c>
      <c r="Z7" s="5">
        <v>1958.2773920611628</v>
      </c>
      <c r="AA7" s="35"/>
    </row>
    <row r="8" spans="2:27" x14ac:dyDescent="0.2">
      <c r="B8" s="4">
        <v>5</v>
      </c>
      <c r="C8" s="4">
        <v>357</v>
      </c>
      <c r="D8" s="23">
        <v>28519.97113125792</v>
      </c>
      <c r="E8" s="33">
        <v>1.313547417004884</v>
      </c>
      <c r="F8" s="5">
        <v>2</v>
      </c>
      <c r="G8" s="23">
        <v>100</v>
      </c>
      <c r="H8" s="33">
        <v>0</v>
      </c>
      <c r="I8" s="23">
        <v>17.276102857414919</v>
      </c>
      <c r="J8" s="5">
        <v>1249.1669865352696</v>
      </c>
      <c r="K8" s="31"/>
      <c r="L8" s="23">
        <v>28519.97113125792</v>
      </c>
      <c r="M8" s="33">
        <v>1.2125932500002821</v>
      </c>
      <c r="N8" s="5">
        <v>2</v>
      </c>
      <c r="O8" s="5">
        <v>100</v>
      </c>
      <c r="P8" s="33">
        <v>0</v>
      </c>
      <c r="Q8" s="5">
        <v>17.276102857414919</v>
      </c>
      <c r="R8" s="5">
        <v>1249.1669865352696</v>
      </c>
      <c r="S8" s="35"/>
      <c r="T8" s="23">
        <v>32691.333595686381</v>
      </c>
      <c r="U8" s="33">
        <v>1.362573166999937</v>
      </c>
      <c r="V8" s="5">
        <v>2</v>
      </c>
      <c r="W8" s="5">
        <v>100</v>
      </c>
      <c r="X8" s="33">
        <v>43.232204849700622</v>
      </c>
      <c r="Y8" s="5">
        <v>31.903865248945493</v>
      </c>
      <c r="Z8" s="5">
        <v>1958.2773920611628</v>
      </c>
      <c r="AA8" s="35"/>
    </row>
    <row r="9" spans="2:27" x14ac:dyDescent="0.2">
      <c r="B9" s="4">
        <v>6</v>
      </c>
      <c r="C9" s="4">
        <v>3</v>
      </c>
      <c r="D9" s="23">
        <v>28519.97113125792</v>
      </c>
      <c r="E9" s="33">
        <v>1.42862591699668</v>
      </c>
      <c r="F9" s="5">
        <v>2</v>
      </c>
      <c r="G9" s="23">
        <v>100</v>
      </c>
      <c r="H9" s="33">
        <v>0</v>
      </c>
      <c r="I9" s="23">
        <v>17.276102857414919</v>
      </c>
      <c r="J9" s="5">
        <v>1249.1669865352696</v>
      </c>
      <c r="K9" s="31"/>
      <c r="L9" s="23">
        <v>28519.97113125792</v>
      </c>
      <c r="M9" s="33">
        <v>1.299052749998737</v>
      </c>
      <c r="N9" s="5">
        <v>2</v>
      </c>
      <c r="O9" s="5">
        <v>100</v>
      </c>
      <c r="P9" s="33">
        <v>0</v>
      </c>
      <c r="Q9" s="5">
        <v>17.276102857414919</v>
      </c>
      <c r="R9" s="5">
        <v>1249.1669865352696</v>
      </c>
      <c r="S9" s="35"/>
      <c r="T9" s="23">
        <v>32691.333595686381</v>
      </c>
      <c r="U9" s="33">
        <v>1.515840957999899</v>
      </c>
      <c r="V9" s="5">
        <v>2</v>
      </c>
      <c r="W9" s="5">
        <v>100</v>
      </c>
      <c r="X9" s="33">
        <v>43.232204849700622</v>
      </c>
      <c r="Y9" s="5">
        <v>31.903865248945493</v>
      </c>
      <c r="Z9" s="5">
        <v>1958.2773920611628</v>
      </c>
      <c r="AA9" s="35"/>
    </row>
    <row r="10" spans="2:27" x14ac:dyDescent="0.2">
      <c r="B10" s="4">
        <v>7</v>
      </c>
      <c r="C10" s="4">
        <v>160</v>
      </c>
      <c r="D10" s="23">
        <v>28591.057268826091</v>
      </c>
      <c r="E10" s="33">
        <v>0.99257624999881955</v>
      </c>
      <c r="F10" s="5">
        <v>2</v>
      </c>
      <c r="G10" s="23">
        <v>100</v>
      </c>
      <c r="H10" s="33">
        <v>0</v>
      </c>
      <c r="I10" s="23">
        <v>17.853849894991271</v>
      </c>
      <c r="J10" s="5">
        <v>1268.188253165727</v>
      </c>
      <c r="K10" s="31"/>
      <c r="L10" s="23">
        <v>29522.904861877261</v>
      </c>
      <c r="M10" s="33">
        <v>1.2013310420006751</v>
      </c>
      <c r="N10" s="5">
        <v>2</v>
      </c>
      <c r="O10" s="5">
        <v>100</v>
      </c>
      <c r="P10" s="33">
        <v>0</v>
      </c>
      <c r="Q10" s="5">
        <v>16.110412017276779</v>
      </c>
      <c r="R10" s="5">
        <v>1329.1457462850592</v>
      </c>
      <c r="S10" s="35"/>
      <c r="T10" s="23">
        <v>32350.59330192157</v>
      </c>
      <c r="U10" s="33">
        <v>1.1381697090000671</v>
      </c>
      <c r="V10" s="5">
        <v>2</v>
      </c>
      <c r="W10" s="5">
        <v>100</v>
      </c>
      <c r="X10" s="33">
        <v>33.691340094338287</v>
      </c>
      <c r="Y10" s="5">
        <v>33.732657069671838</v>
      </c>
      <c r="Z10" s="5">
        <v>1967.3941978946143</v>
      </c>
      <c r="AA10" s="35"/>
    </row>
    <row r="11" spans="2:27" x14ac:dyDescent="0.2">
      <c r="B11" s="4">
        <v>8</v>
      </c>
      <c r="C11" s="4">
        <v>182</v>
      </c>
      <c r="D11" s="23">
        <v>28519.97113125792</v>
      </c>
      <c r="E11" s="33">
        <v>1.272540459001902</v>
      </c>
      <c r="F11" s="5">
        <v>2</v>
      </c>
      <c r="G11" s="23">
        <v>100</v>
      </c>
      <c r="H11" s="33">
        <v>0</v>
      </c>
      <c r="I11" s="23">
        <v>17.276102857414919</v>
      </c>
      <c r="J11" s="5">
        <v>1249.1669865352696</v>
      </c>
      <c r="K11" s="31"/>
      <c r="L11" s="23">
        <v>28519.97113125792</v>
      </c>
      <c r="M11" s="33">
        <v>1.1939345409991799</v>
      </c>
      <c r="N11" s="5">
        <v>2</v>
      </c>
      <c r="O11" s="5">
        <v>100</v>
      </c>
      <c r="P11" s="33">
        <v>0</v>
      </c>
      <c r="Q11" s="5">
        <v>17.276102857414919</v>
      </c>
      <c r="R11" s="5">
        <v>1249.1669865352696</v>
      </c>
      <c r="S11" s="35"/>
      <c r="T11" s="23">
        <v>32691.333595686381</v>
      </c>
      <c r="U11" s="33">
        <v>1.376214457999595</v>
      </c>
      <c r="V11" s="5">
        <v>2</v>
      </c>
      <c r="W11" s="5">
        <v>100</v>
      </c>
      <c r="X11" s="33">
        <v>43.232204849700622</v>
      </c>
      <c r="Y11" s="5">
        <v>31.903865248945493</v>
      </c>
      <c r="Z11" s="5">
        <v>1958.2773920611628</v>
      </c>
      <c r="AA11" s="35"/>
    </row>
    <row r="12" spans="2:27" x14ac:dyDescent="0.2">
      <c r="B12" s="4">
        <v>9</v>
      </c>
      <c r="C12" s="4">
        <v>184</v>
      </c>
      <c r="D12" s="23">
        <v>28519.97113125792</v>
      </c>
      <c r="E12" s="33">
        <v>1.4206830420007459</v>
      </c>
      <c r="F12" s="5">
        <v>2</v>
      </c>
      <c r="G12" s="23">
        <v>100</v>
      </c>
      <c r="H12" s="33">
        <v>0</v>
      </c>
      <c r="I12" s="23">
        <v>17.276102857414919</v>
      </c>
      <c r="J12" s="5">
        <v>1249.1669865352696</v>
      </c>
      <c r="K12" s="31"/>
      <c r="L12" s="23">
        <v>28519.97113125792</v>
      </c>
      <c r="M12" s="33">
        <v>1.3067594170006489</v>
      </c>
      <c r="N12" s="5">
        <v>2</v>
      </c>
      <c r="O12" s="5">
        <v>100</v>
      </c>
      <c r="P12" s="33">
        <v>0</v>
      </c>
      <c r="Q12" s="5">
        <v>17.276102857414919</v>
      </c>
      <c r="R12" s="5">
        <v>1249.1669865352696</v>
      </c>
      <c r="S12" s="35"/>
      <c r="T12" s="23">
        <v>32691.333595686381</v>
      </c>
      <c r="U12" s="33">
        <v>1.4973891669997099</v>
      </c>
      <c r="V12" s="5">
        <v>2</v>
      </c>
      <c r="W12" s="5">
        <v>100</v>
      </c>
      <c r="X12" s="33">
        <v>43.232204849700622</v>
      </c>
      <c r="Y12" s="5">
        <v>31.903865248945493</v>
      </c>
      <c r="Z12" s="5">
        <v>1958.2773920611628</v>
      </c>
      <c r="AA12" s="35"/>
    </row>
    <row r="13" spans="2:27" x14ac:dyDescent="0.2">
      <c r="B13" s="4">
        <v>10</v>
      </c>
      <c r="C13" s="4">
        <v>918</v>
      </c>
      <c r="D13" s="23">
        <v>28519.97113125792</v>
      </c>
      <c r="E13" s="33">
        <v>1.303021457999421</v>
      </c>
      <c r="F13" s="5">
        <v>2</v>
      </c>
      <c r="G13" s="23">
        <v>100</v>
      </c>
      <c r="H13" s="33">
        <v>0</v>
      </c>
      <c r="I13" s="23">
        <v>17.276102857414919</v>
      </c>
      <c r="J13" s="5">
        <v>1249.1669865352696</v>
      </c>
      <c r="K13" s="31"/>
      <c r="L13" s="23">
        <v>28519.97113125792</v>
      </c>
      <c r="M13" s="33">
        <v>1.2026663750002631</v>
      </c>
      <c r="N13" s="5">
        <v>2</v>
      </c>
      <c r="O13" s="5">
        <v>100</v>
      </c>
      <c r="P13" s="33">
        <v>0</v>
      </c>
      <c r="Q13" s="5">
        <v>17.276102857414919</v>
      </c>
      <c r="R13" s="5">
        <v>1249.1669865352696</v>
      </c>
      <c r="S13" s="35"/>
      <c r="T13" s="23">
        <v>32691.333595686381</v>
      </c>
      <c r="U13" s="33">
        <v>1.3814737920001789</v>
      </c>
      <c r="V13" s="5">
        <v>2</v>
      </c>
      <c r="W13" s="5">
        <v>100</v>
      </c>
      <c r="X13" s="33">
        <v>43.232204849700622</v>
      </c>
      <c r="Y13" s="5">
        <v>31.903865248945493</v>
      </c>
      <c r="Z13" s="5">
        <v>1958.2773920611628</v>
      </c>
      <c r="AA13" s="35"/>
    </row>
    <row r="14" spans="2:27" x14ac:dyDescent="0.2">
      <c r="B14" s="46" t="s">
        <v>3</v>
      </c>
      <c r="C14" s="47"/>
      <c r="D14" s="9">
        <f>MIN(D4:D13)</f>
        <v>28519.97113125792</v>
      </c>
      <c r="E14" s="22">
        <f>INDEX(E4:E13, MATCH($D$14, D4:D13, 0))</f>
        <v>1.293275667005219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17.276102857414919</v>
      </c>
      <c r="J14" s="22">
        <f>INDEX(J4:J13, MATCH($D$14, D4:D13, 0))</f>
        <v>1249.1669865352696</v>
      </c>
      <c r="K14" s="32"/>
      <c r="L14" s="16">
        <f>MIN(L4:L13)</f>
        <v>28519.97113125792</v>
      </c>
      <c r="M14" s="21">
        <f>INDEX(M4:M13, MATCH($L$14, L4:L13, 0))</f>
        <v>1.1783018749993059</v>
      </c>
      <c r="N14" s="16">
        <f>INDEX(N4:N13, MATCH($L$14, L4:L13, 0))</f>
        <v>2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17.276102857414919</v>
      </c>
      <c r="R14" s="21">
        <f>INDEX(R4:R13, MATCH($L$14, L4:L13, 0))</f>
        <v>1249.1669865352696</v>
      </c>
      <c r="S14" s="36" t="e">
        <f>(L14-$D$15)/$D$15</f>
        <v>#DIV/0!</v>
      </c>
      <c r="T14" s="38">
        <f>MIN(T4:T13)</f>
        <v>32350.59330192157</v>
      </c>
      <c r="U14" s="39">
        <f>INDEX(U4:U13, MATCH($T$14, T4:T13, 0))</f>
        <v>1.1381697090000671</v>
      </c>
      <c r="V14" s="38">
        <f>INDEX(V4:V13, MATCH($T$14, T4:T13, 0))</f>
        <v>2</v>
      </c>
      <c r="W14" s="38">
        <f>INDEX(W4:W13, MATCH($T$14, T4:T13, 0))</f>
        <v>100</v>
      </c>
      <c r="X14" s="39">
        <f>INDEX(X4:X13, MATCH($T$14, T4:T13, 0))</f>
        <v>33.691340094338287</v>
      </c>
      <c r="Y14" s="39">
        <f>INDEX(Y4:Y13, MATCH($T$14, T4:T13, 0))</f>
        <v>33.732657069671838</v>
      </c>
      <c r="Z14" s="39">
        <f>INDEX(Z4:Z13, MATCH($T$14, T4:T13, 0))</f>
        <v>1967.3941978946143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9" priority="3"/>
    <cfRule type="duplicateValues" dxfId="68" priority="4"/>
  </conditionalFormatting>
  <conditionalFormatting sqref="C15:C1048576 C1 C3:C13">
    <cfRule type="duplicateValues" dxfId="67" priority="7"/>
    <cfRule type="duplicateValues" dxfId="66" priority="8"/>
  </conditionalFormatting>
  <conditionalFormatting sqref="C2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4921-97AA-974B-BD35-A704C4A6E711}">
  <dimension ref="B1:AA17"/>
  <sheetViews>
    <sheetView zoomScale="118" zoomScaleNormal="120" workbookViewId="0">
      <selection activeCell="A15" sqref="A15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31290.250640511451</v>
      </c>
      <c r="E4" s="33">
        <v>1.8085968329978639</v>
      </c>
      <c r="F4" s="5">
        <v>2</v>
      </c>
      <c r="G4" s="23">
        <v>90</v>
      </c>
      <c r="H4" s="33">
        <v>0</v>
      </c>
      <c r="I4" s="23">
        <v>12.672041731334389</v>
      </c>
      <c r="J4" s="5">
        <v>901.96323753084437</v>
      </c>
      <c r="K4" s="31"/>
      <c r="L4" s="23">
        <v>31290.250640511451</v>
      </c>
      <c r="M4" s="33">
        <v>1.5103030830014179</v>
      </c>
      <c r="N4" s="5">
        <v>2</v>
      </c>
      <c r="O4" s="5">
        <v>90</v>
      </c>
      <c r="P4" s="33">
        <v>0</v>
      </c>
      <c r="Q4" s="5">
        <v>12.672041731334389</v>
      </c>
      <c r="R4" s="5">
        <v>901.96323753084437</v>
      </c>
      <c r="S4" s="35"/>
      <c r="T4" s="23">
        <v>31836.017811226189</v>
      </c>
      <c r="U4" s="33">
        <v>1.5378160410000421</v>
      </c>
      <c r="V4" s="5">
        <v>2</v>
      </c>
      <c r="W4" s="5">
        <v>90</v>
      </c>
      <c r="X4" s="33">
        <v>0</v>
      </c>
      <c r="Y4" s="5">
        <v>26.961812730629731</v>
      </c>
      <c r="Z4" s="5">
        <v>1267.9143967809873</v>
      </c>
      <c r="AA4" s="35"/>
    </row>
    <row r="5" spans="2:27" x14ac:dyDescent="0.2">
      <c r="B5" s="4">
        <v>2</v>
      </c>
      <c r="C5" s="4">
        <v>398</v>
      </c>
      <c r="D5" s="23">
        <v>31290.250640511451</v>
      </c>
      <c r="E5" s="33">
        <v>1.7652083329958259</v>
      </c>
      <c r="F5" s="5">
        <v>2</v>
      </c>
      <c r="G5" s="23">
        <v>90</v>
      </c>
      <c r="H5" s="33">
        <v>0</v>
      </c>
      <c r="I5" s="23">
        <v>12.672041731334389</v>
      </c>
      <c r="J5" s="5">
        <v>901.96323753084437</v>
      </c>
      <c r="K5" s="31"/>
      <c r="L5" s="23">
        <v>31604.333938514232</v>
      </c>
      <c r="M5" s="33">
        <v>1.2425967920007679</v>
      </c>
      <c r="N5" s="5">
        <v>2</v>
      </c>
      <c r="O5" s="5">
        <v>90</v>
      </c>
      <c r="P5" s="33">
        <v>0</v>
      </c>
      <c r="Q5" s="5">
        <v>12.724604692775859</v>
      </c>
      <c r="R5" s="5">
        <v>935.20398410442999</v>
      </c>
      <c r="S5" s="35"/>
      <c r="T5" s="23">
        <v>31836.017811226189</v>
      </c>
      <c r="U5" s="33">
        <v>1.6978142919997481</v>
      </c>
      <c r="V5" s="5">
        <v>2</v>
      </c>
      <c r="W5" s="5">
        <v>90</v>
      </c>
      <c r="X5" s="33">
        <v>0</v>
      </c>
      <c r="Y5" s="5">
        <v>26.961812730629731</v>
      </c>
      <c r="Z5" s="5">
        <v>1267.9143967809873</v>
      </c>
      <c r="AA5" s="35"/>
    </row>
    <row r="6" spans="2:27" x14ac:dyDescent="0.2">
      <c r="B6" s="4">
        <v>3</v>
      </c>
      <c r="C6" s="4">
        <v>870</v>
      </c>
      <c r="D6" s="23">
        <v>31290.250640511451</v>
      </c>
      <c r="E6" s="33">
        <v>1.781719250000606</v>
      </c>
      <c r="F6" s="5">
        <v>2</v>
      </c>
      <c r="G6" s="23">
        <v>90</v>
      </c>
      <c r="H6" s="33">
        <v>0</v>
      </c>
      <c r="I6" s="23">
        <v>12.672041731334389</v>
      </c>
      <c r="J6" s="5">
        <v>901.96323753084437</v>
      </c>
      <c r="K6" s="31"/>
      <c r="L6" s="23">
        <v>31290.250640511451</v>
      </c>
      <c r="M6" s="33">
        <v>1.505047124999692</v>
      </c>
      <c r="N6" s="5">
        <v>2</v>
      </c>
      <c r="O6" s="5">
        <v>90</v>
      </c>
      <c r="P6" s="33">
        <v>0</v>
      </c>
      <c r="Q6" s="5">
        <v>12.672041731334389</v>
      </c>
      <c r="R6" s="5">
        <v>901.96323753084437</v>
      </c>
      <c r="S6" s="35"/>
      <c r="T6" s="23">
        <v>31836.017811226189</v>
      </c>
      <c r="U6" s="33">
        <v>1.7072872499993541</v>
      </c>
      <c r="V6" s="5">
        <v>2</v>
      </c>
      <c r="W6" s="5">
        <v>90</v>
      </c>
      <c r="X6" s="33">
        <v>0</v>
      </c>
      <c r="Y6" s="5">
        <v>26.961812730629731</v>
      </c>
      <c r="Z6" s="5">
        <v>1267.9143967809873</v>
      </c>
      <c r="AA6" s="35"/>
    </row>
    <row r="7" spans="2:27" x14ac:dyDescent="0.2">
      <c r="B7" s="4">
        <v>4</v>
      </c>
      <c r="C7" s="4">
        <v>58</v>
      </c>
      <c r="D7" s="23">
        <v>31290.250640511451</v>
      </c>
      <c r="E7" s="33">
        <v>1.767973292000534</v>
      </c>
      <c r="F7" s="5">
        <v>2</v>
      </c>
      <c r="G7" s="23">
        <v>90</v>
      </c>
      <c r="H7" s="33">
        <v>0</v>
      </c>
      <c r="I7" s="23">
        <v>12.672041731334389</v>
      </c>
      <c r="J7" s="5">
        <v>901.96323753084437</v>
      </c>
      <c r="K7" s="31"/>
      <c r="L7" s="23">
        <v>31290.250640511451</v>
      </c>
      <c r="M7" s="33">
        <v>1.5029054999995419</v>
      </c>
      <c r="N7" s="5">
        <v>2</v>
      </c>
      <c r="O7" s="5">
        <v>90</v>
      </c>
      <c r="P7" s="33">
        <v>0</v>
      </c>
      <c r="Q7" s="5">
        <v>12.672041731334389</v>
      </c>
      <c r="R7" s="5">
        <v>901.96323753084437</v>
      </c>
      <c r="S7" s="35"/>
      <c r="T7" s="23">
        <v>31836.017811226189</v>
      </c>
      <c r="U7" s="33">
        <v>1.718558917000337</v>
      </c>
      <c r="V7" s="5">
        <v>2</v>
      </c>
      <c r="W7" s="5">
        <v>90</v>
      </c>
      <c r="X7" s="33">
        <v>0</v>
      </c>
      <c r="Y7" s="5">
        <v>26.961812730629731</v>
      </c>
      <c r="Z7" s="5">
        <v>1267.9143967809873</v>
      </c>
      <c r="AA7" s="35"/>
    </row>
    <row r="8" spans="2:27" x14ac:dyDescent="0.2">
      <c r="B8" s="4">
        <v>5</v>
      </c>
      <c r="C8" s="4">
        <v>414</v>
      </c>
      <c r="D8" s="23">
        <v>31290.250640511451</v>
      </c>
      <c r="E8" s="33">
        <v>1.7572326250010519</v>
      </c>
      <c r="F8" s="5">
        <v>2</v>
      </c>
      <c r="G8" s="23">
        <v>90</v>
      </c>
      <c r="H8" s="33">
        <v>0</v>
      </c>
      <c r="I8" s="23">
        <v>12.672041731334389</v>
      </c>
      <c r="J8" s="5">
        <v>901.96323753084437</v>
      </c>
      <c r="K8" s="31"/>
      <c r="L8" s="23">
        <v>31604.333938514232</v>
      </c>
      <c r="M8" s="33">
        <v>1.268146250000427</v>
      </c>
      <c r="N8" s="5">
        <v>2</v>
      </c>
      <c r="O8" s="5">
        <v>90</v>
      </c>
      <c r="P8" s="33">
        <v>0</v>
      </c>
      <c r="Q8" s="5">
        <v>12.724604692775859</v>
      </c>
      <c r="R8" s="5">
        <v>935.20398410442999</v>
      </c>
      <c r="S8" s="35"/>
      <c r="T8" s="23">
        <v>31836.017811226189</v>
      </c>
      <c r="U8" s="33">
        <v>1.6936596670002471</v>
      </c>
      <c r="V8" s="5">
        <v>2</v>
      </c>
      <c r="W8" s="5">
        <v>90</v>
      </c>
      <c r="X8" s="33">
        <v>0</v>
      </c>
      <c r="Y8" s="5">
        <v>26.961812730629731</v>
      </c>
      <c r="Z8" s="5">
        <v>1267.9143967809873</v>
      </c>
      <c r="AA8" s="35"/>
    </row>
    <row r="9" spans="2:27" x14ac:dyDescent="0.2">
      <c r="B9" s="4">
        <v>6</v>
      </c>
      <c r="C9" s="4">
        <v>420</v>
      </c>
      <c r="D9" s="23">
        <v>31290.250640511451</v>
      </c>
      <c r="E9" s="33">
        <v>1.770061792005436</v>
      </c>
      <c r="F9" s="5">
        <v>2</v>
      </c>
      <c r="G9" s="23">
        <v>90</v>
      </c>
      <c r="H9" s="33">
        <v>0</v>
      </c>
      <c r="I9" s="23">
        <v>12.672041731334389</v>
      </c>
      <c r="J9" s="5">
        <v>901.96323753084437</v>
      </c>
      <c r="K9" s="31"/>
      <c r="L9" s="23">
        <v>31290.250640511451</v>
      </c>
      <c r="M9" s="33">
        <v>1.5405100419993689</v>
      </c>
      <c r="N9" s="5">
        <v>2</v>
      </c>
      <c r="O9" s="5">
        <v>90</v>
      </c>
      <c r="P9" s="33">
        <v>0</v>
      </c>
      <c r="Q9" s="5">
        <v>12.672041731334389</v>
      </c>
      <c r="R9" s="5">
        <v>901.96323753084437</v>
      </c>
      <c r="S9" s="35"/>
      <c r="T9" s="23">
        <v>31836.017811226189</v>
      </c>
      <c r="U9" s="33">
        <v>1.7169245000004589</v>
      </c>
      <c r="V9" s="5">
        <v>2</v>
      </c>
      <c r="W9" s="5">
        <v>90</v>
      </c>
      <c r="X9" s="33">
        <v>0</v>
      </c>
      <c r="Y9" s="5">
        <v>26.961812730629731</v>
      </c>
      <c r="Z9" s="5">
        <v>1267.9143967809873</v>
      </c>
      <c r="AA9" s="35"/>
    </row>
    <row r="10" spans="2:27" x14ac:dyDescent="0.2">
      <c r="B10" s="4">
        <v>7</v>
      </c>
      <c r="C10" s="4">
        <v>587</v>
      </c>
      <c r="D10" s="23">
        <v>31290.250640511451</v>
      </c>
      <c r="E10" s="33">
        <v>1.698328916994797</v>
      </c>
      <c r="F10" s="5">
        <v>2</v>
      </c>
      <c r="G10" s="23">
        <v>90</v>
      </c>
      <c r="H10" s="33">
        <v>0</v>
      </c>
      <c r="I10" s="23">
        <v>12.672041731334389</v>
      </c>
      <c r="J10" s="5">
        <v>901.96323753084437</v>
      </c>
      <c r="K10" s="31"/>
      <c r="L10" s="23">
        <v>31290.250640511451</v>
      </c>
      <c r="M10" s="33">
        <v>1.5123730420000361</v>
      </c>
      <c r="N10" s="5">
        <v>2</v>
      </c>
      <c r="O10" s="5">
        <v>90</v>
      </c>
      <c r="P10" s="33">
        <v>0</v>
      </c>
      <c r="Q10" s="5">
        <v>12.672041731334389</v>
      </c>
      <c r="R10" s="5">
        <v>901.96323753084437</v>
      </c>
      <c r="S10" s="35"/>
      <c r="T10" s="23">
        <v>31836.017811226189</v>
      </c>
      <c r="U10" s="33">
        <v>1.7019486660010441</v>
      </c>
      <c r="V10" s="5">
        <v>2</v>
      </c>
      <c r="W10" s="5">
        <v>90</v>
      </c>
      <c r="X10" s="33">
        <v>0</v>
      </c>
      <c r="Y10" s="5">
        <v>26.961812730629731</v>
      </c>
      <c r="Z10" s="5">
        <v>1267.9143967809873</v>
      </c>
      <c r="AA10" s="35"/>
    </row>
    <row r="11" spans="2:27" x14ac:dyDescent="0.2">
      <c r="B11" s="4">
        <v>8</v>
      </c>
      <c r="C11" s="4">
        <v>808</v>
      </c>
      <c r="D11" s="23">
        <v>31290.250640511451</v>
      </c>
      <c r="E11" s="33">
        <v>1.7770499160033071</v>
      </c>
      <c r="F11" s="5">
        <v>2</v>
      </c>
      <c r="G11" s="23">
        <v>90</v>
      </c>
      <c r="H11" s="33">
        <v>0</v>
      </c>
      <c r="I11" s="23">
        <v>12.672041731334389</v>
      </c>
      <c r="J11" s="5">
        <v>901.96323753084437</v>
      </c>
      <c r="K11" s="31"/>
      <c r="L11" s="23">
        <v>31604.333938514232</v>
      </c>
      <c r="M11" s="33">
        <v>1.296949792000305</v>
      </c>
      <c r="N11" s="5">
        <v>2</v>
      </c>
      <c r="O11" s="5">
        <v>90</v>
      </c>
      <c r="P11" s="33">
        <v>0</v>
      </c>
      <c r="Q11" s="5">
        <v>12.724604692775859</v>
      </c>
      <c r="R11" s="5">
        <v>935.20398410442999</v>
      </c>
      <c r="S11" s="35"/>
      <c r="T11" s="23">
        <v>31836.017811226189</v>
      </c>
      <c r="U11" s="33">
        <v>1.54634870800146</v>
      </c>
      <c r="V11" s="5">
        <v>2</v>
      </c>
      <c r="W11" s="5">
        <v>90</v>
      </c>
      <c r="X11" s="33">
        <v>0</v>
      </c>
      <c r="Y11" s="5">
        <v>26.961812730629731</v>
      </c>
      <c r="Z11" s="5">
        <v>1267.9143967809873</v>
      </c>
      <c r="AA11" s="35"/>
    </row>
    <row r="12" spans="2:27" x14ac:dyDescent="0.2">
      <c r="B12" s="4">
        <v>9</v>
      </c>
      <c r="C12" s="4">
        <v>950</v>
      </c>
      <c r="D12" s="23">
        <v>31604.333938514232</v>
      </c>
      <c r="E12" s="33">
        <v>1.542976290998922</v>
      </c>
      <c r="F12" s="5">
        <v>2</v>
      </c>
      <c r="G12" s="23">
        <v>90</v>
      </c>
      <c r="H12" s="33">
        <v>0</v>
      </c>
      <c r="I12" s="23">
        <v>12.724604692775859</v>
      </c>
      <c r="J12" s="5">
        <v>935.20398410442999</v>
      </c>
      <c r="K12" s="31"/>
      <c r="L12" s="23">
        <v>31290.250640511451</v>
      </c>
      <c r="M12" s="33">
        <v>1.5407780409987031</v>
      </c>
      <c r="N12" s="5">
        <v>2</v>
      </c>
      <c r="O12" s="5">
        <v>90</v>
      </c>
      <c r="P12" s="33">
        <v>0</v>
      </c>
      <c r="Q12" s="5">
        <v>12.672041731334389</v>
      </c>
      <c r="R12" s="5">
        <v>901.96323753084437</v>
      </c>
      <c r="S12" s="35"/>
      <c r="T12" s="23">
        <v>32359.035255143721</v>
      </c>
      <c r="U12" s="33">
        <v>1.501944624998941</v>
      </c>
      <c r="V12" s="5">
        <v>2</v>
      </c>
      <c r="W12" s="5">
        <v>90</v>
      </c>
      <c r="X12" s="33">
        <v>0</v>
      </c>
      <c r="Y12" s="5">
        <v>27.103111256114666</v>
      </c>
      <c r="Z12" s="5">
        <v>1326.6702879629238</v>
      </c>
      <c r="AA12" s="35"/>
    </row>
    <row r="13" spans="2:27" x14ac:dyDescent="0.2">
      <c r="B13" s="4">
        <v>10</v>
      </c>
      <c r="C13" s="4">
        <v>952</v>
      </c>
      <c r="D13" s="23">
        <v>31604.333938514232</v>
      </c>
      <c r="E13" s="33">
        <v>1.5396205840006589</v>
      </c>
      <c r="F13" s="5">
        <v>2</v>
      </c>
      <c r="G13" s="23">
        <v>90</v>
      </c>
      <c r="H13" s="33">
        <v>0</v>
      </c>
      <c r="I13" s="23">
        <v>12.724604692775859</v>
      </c>
      <c r="J13" s="5">
        <v>935.20398410442999</v>
      </c>
      <c r="K13" s="31"/>
      <c r="L13" s="23">
        <v>31290.250640511451</v>
      </c>
      <c r="M13" s="33">
        <v>1.535999874999106</v>
      </c>
      <c r="N13" s="5">
        <v>2</v>
      </c>
      <c r="O13" s="5">
        <v>90</v>
      </c>
      <c r="P13" s="33">
        <v>0</v>
      </c>
      <c r="Q13" s="5">
        <v>12.672041731334389</v>
      </c>
      <c r="R13" s="5">
        <v>901.96323753084437</v>
      </c>
      <c r="S13" s="35"/>
      <c r="T13" s="23">
        <v>32359.035255143721</v>
      </c>
      <c r="U13" s="33">
        <v>1.3541839169993179</v>
      </c>
      <c r="V13" s="5">
        <v>2</v>
      </c>
      <c r="W13" s="5">
        <v>90</v>
      </c>
      <c r="X13" s="33">
        <v>0</v>
      </c>
      <c r="Y13" s="5">
        <v>27.103111256114666</v>
      </c>
      <c r="Z13" s="5">
        <v>1326.6702879629238</v>
      </c>
      <c r="AA13" s="35"/>
    </row>
    <row r="14" spans="2:27" x14ac:dyDescent="0.2">
      <c r="B14" s="46" t="s">
        <v>3</v>
      </c>
      <c r="C14" s="47"/>
      <c r="D14" s="9">
        <f>MIN(D4:D13)</f>
        <v>31290.250640511451</v>
      </c>
      <c r="E14" s="22">
        <f>INDEX(E4:E13, MATCH($D$14, D4:D13, 0))</f>
        <v>1.8085968329978639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12.672041731334389</v>
      </c>
      <c r="J14" s="22">
        <f>INDEX(J4:J13, MATCH($D$14, D4:D13, 0))</f>
        <v>901.96323753084437</v>
      </c>
      <c r="K14" s="32"/>
      <c r="L14" s="16">
        <f>MIN(L4:L13)</f>
        <v>31290.250640511451</v>
      </c>
      <c r="M14" s="21">
        <f>INDEX(M4:M13, MATCH($L$14, L4:L13, 0))</f>
        <v>1.5103030830014179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12.672041731334389</v>
      </c>
      <c r="R14" s="21">
        <f>INDEX(R4:R13, MATCH($L$14, L4:L13, 0))</f>
        <v>901.96323753084437</v>
      </c>
      <c r="S14" s="36" t="e">
        <f>(L14-$D$15)/$D$15</f>
        <v>#DIV/0!</v>
      </c>
      <c r="T14" s="38">
        <f>MIN(T4:T13)</f>
        <v>31836.017811226189</v>
      </c>
      <c r="U14" s="39">
        <f>INDEX(U4:U13, MATCH($T$14, T4:T13, 0))</f>
        <v>1.5378160410000421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26.961812730629731</v>
      </c>
      <c r="Z14" s="39">
        <f>INDEX(Z4:Z13, MATCH($T$14, T4:T13, 0))</f>
        <v>1267.9143967809873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5" priority="3"/>
    <cfRule type="duplicateValues" dxfId="64" priority="4"/>
  </conditionalFormatting>
  <conditionalFormatting sqref="C15:C1048576 C1 C3:C13">
    <cfRule type="duplicateValues" dxfId="63" priority="7"/>
    <cfRule type="duplicateValues" dxfId="62" priority="8"/>
  </conditionalFormatting>
  <conditionalFormatting sqref="C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10A8-148A-774F-A00B-2828D673B00C}">
  <dimension ref="B1:AA17"/>
  <sheetViews>
    <sheetView zoomScale="118" zoomScaleNormal="120" workbookViewId="0">
      <selection activeCell="A15" sqref="A15:XFD2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53</v>
      </c>
      <c r="D4" s="23">
        <v>30056.899586381682</v>
      </c>
      <c r="E4" s="33">
        <v>1.524334082998394</v>
      </c>
      <c r="F4" s="5">
        <v>2</v>
      </c>
      <c r="G4" s="23">
        <v>90</v>
      </c>
      <c r="H4" s="33">
        <v>0</v>
      </c>
      <c r="I4" s="23">
        <v>12.546034533692564</v>
      </c>
      <c r="J4" s="5">
        <v>859.75232822943303</v>
      </c>
      <c r="K4" s="31"/>
      <c r="L4" s="23">
        <v>34105.711040324881</v>
      </c>
      <c r="M4" s="33">
        <v>1.825245209000059</v>
      </c>
      <c r="N4" s="5">
        <v>2</v>
      </c>
      <c r="O4" s="5">
        <v>80</v>
      </c>
      <c r="P4" s="33">
        <v>0</v>
      </c>
      <c r="Q4" s="5">
        <v>11.455149826403154</v>
      </c>
      <c r="R4" s="5">
        <v>792.5995947644343</v>
      </c>
      <c r="S4" s="35"/>
      <c r="T4" s="23">
        <v>29772.841048313629</v>
      </c>
      <c r="U4" s="33">
        <v>1.4575061670002469</v>
      </c>
      <c r="V4" s="5">
        <v>2</v>
      </c>
      <c r="W4" s="5">
        <v>90</v>
      </c>
      <c r="X4" s="33">
        <v>0</v>
      </c>
      <c r="Y4" s="5">
        <v>25.129835585075259</v>
      </c>
      <c r="Z4" s="5">
        <v>1113.468159581834</v>
      </c>
      <c r="AA4" s="35"/>
    </row>
    <row r="5" spans="2:27" x14ac:dyDescent="0.2">
      <c r="B5" s="4">
        <v>2</v>
      </c>
      <c r="C5" s="4">
        <v>534</v>
      </c>
      <c r="D5" s="23">
        <v>30056.899586381682</v>
      </c>
      <c r="E5" s="33">
        <v>1.638103332996252</v>
      </c>
      <c r="F5" s="5">
        <v>2</v>
      </c>
      <c r="G5" s="23">
        <v>90</v>
      </c>
      <c r="H5" s="33">
        <v>0</v>
      </c>
      <c r="I5" s="23">
        <v>12.546034533692564</v>
      </c>
      <c r="J5" s="5">
        <v>859.75232822943303</v>
      </c>
      <c r="K5" s="31"/>
      <c r="L5" s="23">
        <v>34105.711040324881</v>
      </c>
      <c r="M5" s="33">
        <v>1.82233429200096</v>
      </c>
      <c r="N5" s="5">
        <v>2</v>
      </c>
      <c r="O5" s="5">
        <v>80</v>
      </c>
      <c r="P5" s="33">
        <v>0</v>
      </c>
      <c r="Q5" s="5">
        <v>11.455149826403154</v>
      </c>
      <c r="R5" s="5">
        <v>792.5995947644343</v>
      </c>
      <c r="S5" s="35"/>
      <c r="T5" s="23">
        <v>29772.841048313629</v>
      </c>
      <c r="U5" s="33">
        <v>1.594367083000179</v>
      </c>
      <c r="V5" s="5">
        <v>2</v>
      </c>
      <c r="W5" s="5">
        <v>90</v>
      </c>
      <c r="X5" s="33">
        <v>0</v>
      </c>
      <c r="Y5" s="5">
        <v>25.129835585075259</v>
      </c>
      <c r="Z5" s="5">
        <v>1113.468159581834</v>
      </c>
      <c r="AA5" s="35"/>
    </row>
    <row r="6" spans="2:27" x14ac:dyDescent="0.2">
      <c r="B6" s="4">
        <v>3</v>
      </c>
      <c r="C6" s="4">
        <v>778</v>
      </c>
      <c r="D6" s="23">
        <v>30056.899586381682</v>
      </c>
      <c r="E6" s="33">
        <v>1.6882947089980009</v>
      </c>
      <c r="F6" s="5">
        <v>2</v>
      </c>
      <c r="G6" s="23">
        <v>90</v>
      </c>
      <c r="H6" s="33">
        <v>0</v>
      </c>
      <c r="I6" s="23">
        <v>12.546034533692564</v>
      </c>
      <c r="J6" s="5">
        <v>859.75232822943303</v>
      </c>
      <c r="K6" s="31"/>
      <c r="L6" s="23">
        <v>41520.445590625517</v>
      </c>
      <c r="M6" s="33">
        <v>2.240131208000093</v>
      </c>
      <c r="N6" s="5">
        <v>3</v>
      </c>
      <c r="O6" s="5">
        <v>90</v>
      </c>
      <c r="P6" s="33">
        <v>0</v>
      </c>
      <c r="Q6" s="5">
        <v>9.4721574656488539</v>
      </c>
      <c r="R6" s="5">
        <v>1075.8346057163901</v>
      </c>
      <c r="S6" s="35"/>
      <c r="T6" s="23">
        <v>29772.841048313629</v>
      </c>
      <c r="U6" s="33">
        <v>1.6083190000008469</v>
      </c>
      <c r="V6" s="5">
        <v>2</v>
      </c>
      <c r="W6" s="5">
        <v>90</v>
      </c>
      <c r="X6" s="33">
        <v>0</v>
      </c>
      <c r="Y6" s="5">
        <v>25.129835585075259</v>
      </c>
      <c r="Z6" s="5">
        <v>1113.468159581834</v>
      </c>
      <c r="AA6" s="35"/>
    </row>
    <row r="7" spans="2:27" x14ac:dyDescent="0.2">
      <c r="B7" s="4">
        <v>4</v>
      </c>
      <c r="C7" s="4">
        <v>369</v>
      </c>
      <c r="D7" s="23">
        <v>30056.899586381682</v>
      </c>
      <c r="E7" s="33">
        <v>1.67648208400351</v>
      </c>
      <c r="F7" s="5">
        <v>2</v>
      </c>
      <c r="G7" s="23">
        <v>90</v>
      </c>
      <c r="H7" s="33">
        <v>0</v>
      </c>
      <c r="I7" s="23">
        <v>12.546034533692564</v>
      </c>
      <c r="J7" s="5">
        <v>859.75232822943303</v>
      </c>
      <c r="K7" s="31"/>
      <c r="L7" s="23">
        <v>34105.711040324881</v>
      </c>
      <c r="M7" s="33">
        <v>1.8656194589984809</v>
      </c>
      <c r="N7" s="5">
        <v>2</v>
      </c>
      <c r="O7" s="5">
        <v>80</v>
      </c>
      <c r="P7" s="33">
        <v>0</v>
      </c>
      <c r="Q7" s="5">
        <v>11.455149826403154</v>
      </c>
      <c r="R7" s="5">
        <v>792.5995947644343</v>
      </c>
      <c r="S7" s="35"/>
      <c r="T7" s="23">
        <v>29772.841048313629</v>
      </c>
      <c r="U7" s="33">
        <v>1.61548437500096</v>
      </c>
      <c r="V7" s="5">
        <v>2</v>
      </c>
      <c r="W7" s="5">
        <v>90</v>
      </c>
      <c r="X7" s="33">
        <v>0</v>
      </c>
      <c r="Y7" s="5">
        <v>25.129835585075259</v>
      </c>
      <c r="Z7" s="5">
        <v>1113.468159581834</v>
      </c>
      <c r="AA7" s="35"/>
    </row>
    <row r="8" spans="2:27" x14ac:dyDescent="0.2">
      <c r="B8" s="4">
        <v>5</v>
      </c>
      <c r="C8" s="4">
        <v>165</v>
      </c>
      <c r="D8" s="23">
        <v>30564.676141414129</v>
      </c>
      <c r="E8" s="33">
        <v>1.6529196249975939</v>
      </c>
      <c r="F8" s="5">
        <v>2</v>
      </c>
      <c r="G8" s="23">
        <v>90</v>
      </c>
      <c r="H8" s="33">
        <v>0</v>
      </c>
      <c r="I8" s="23">
        <v>13.421763920577559</v>
      </c>
      <c r="J8" s="5">
        <v>937.3792031836191</v>
      </c>
      <c r="K8" s="31"/>
      <c r="L8" s="23">
        <v>34105.711040324881</v>
      </c>
      <c r="M8" s="33">
        <v>1.864918291999857</v>
      </c>
      <c r="N8" s="5">
        <v>2</v>
      </c>
      <c r="O8" s="5">
        <v>80</v>
      </c>
      <c r="P8" s="33">
        <v>0</v>
      </c>
      <c r="Q8" s="5">
        <v>11.455149826403154</v>
      </c>
      <c r="R8" s="5">
        <v>792.5995947644343</v>
      </c>
      <c r="S8" s="35"/>
      <c r="T8" s="23">
        <v>31029.291128469638</v>
      </c>
      <c r="U8" s="33">
        <v>1.5804595419995171</v>
      </c>
      <c r="V8" s="5">
        <v>2</v>
      </c>
      <c r="W8" s="5">
        <v>90</v>
      </c>
      <c r="X8" s="33">
        <v>0</v>
      </c>
      <c r="Y8" s="5">
        <v>27.02298353055301</v>
      </c>
      <c r="Z8" s="5">
        <v>1299.3254678229885</v>
      </c>
      <c r="AA8" s="35"/>
    </row>
    <row r="9" spans="2:27" x14ac:dyDescent="0.2">
      <c r="B9" s="4">
        <v>6</v>
      </c>
      <c r="C9" s="4">
        <v>290</v>
      </c>
      <c r="D9" s="23">
        <v>30056.899586381682</v>
      </c>
      <c r="E9" s="33">
        <v>1.7090320829956911</v>
      </c>
      <c r="F9" s="5">
        <v>2</v>
      </c>
      <c r="G9" s="23">
        <v>90</v>
      </c>
      <c r="H9" s="33">
        <v>0</v>
      </c>
      <c r="I9" s="23">
        <v>12.546034533692564</v>
      </c>
      <c r="J9" s="5">
        <v>859.75232822943303</v>
      </c>
      <c r="K9" s="31"/>
      <c r="L9" s="23">
        <v>34105.711040324881</v>
      </c>
      <c r="M9" s="33">
        <v>1.8758156669991879</v>
      </c>
      <c r="N9" s="5">
        <v>2</v>
      </c>
      <c r="O9" s="5">
        <v>80</v>
      </c>
      <c r="P9" s="33">
        <v>0</v>
      </c>
      <c r="Q9" s="5">
        <v>11.455149826403154</v>
      </c>
      <c r="R9" s="5">
        <v>792.5995947644343</v>
      </c>
      <c r="S9" s="35"/>
      <c r="T9" s="23">
        <v>29772.841048313629</v>
      </c>
      <c r="U9" s="33">
        <v>1.6234347079989671</v>
      </c>
      <c r="V9" s="5">
        <v>2</v>
      </c>
      <c r="W9" s="5">
        <v>90</v>
      </c>
      <c r="X9" s="33">
        <v>0</v>
      </c>
      <c r="Y9" s="5">
        <v>25.129835585075259</v>
      </c>
      <c r="Z9" s="5">
        <v>1113.468159581834</v>
      </c>
      <c r="AA9" s="35"/>
    </row>
    <row r="10" spans="2:27" x14ac:dyDescent="0.2">
      <c r="B10" s="4">
        <v>7</v>
      </c>
      <c r="C10" s="4">
        <v>801</v>
      </c>
      <c r="D10" s="23">
        <v>30056.899586381682</v>
      </c>
      <c r="E10" s="33">
        <v>1.5601259579998441</v>
      </c>
      <c r="F10" s="5">
        <v>2</v>
      </c>
      <c r="G10" s="23">
        <v>90</v>
      </c>
      <c r="H10" s="33">
        <v>0</v>
      </c>
      <c r="I10" s="23">
        <v>12.546034533692564</v>
      </c>
      <c r="J10" s="5">
        <v>859.75232822943303</v>
      </c>
      <c r="K10" s="31"/>
      <c r="L10" s="23">
        <v>41520.445590625517</v>
      </c>
      <c r="M10" s="33">
        <v>2.2823040420007601</v>
      </c>
      <c r="N10" s="5">
        <v>3</v>
      </c>
      <c r="O10" s="5">
        <v>90</v>
      </c>
      <c r="P10" s="33">
        <v>0</v>
      </c>
      <c r="Q10" s="5">
        <v>9.4721574656488539</v>
      </c>
      <c r="R10" s="5">
        <v>1075.8346057163901</v>
      </c>
      <c r="S10" s="35"/>
      <c r="T10" s="23">
        <v>29772.841048313629</v>
      </c>
      <c r="U10" s="33">
        <v>1.635335124999983</v>
      </c>
      <c r="V10" s="5">
        <v>2</v>
      </c>
      <c r="W10" s="5">
        <v>90</v>
      </c>
      <c r="X10" s="33">
        <v>0</v>
      </c>
      <c r="Y10" s="5">
        <v>25.129835585075259</v>
      </c>
      <c r="Z10" s="5">
        <v>1113.468159581834</v>
      </c>
      <c r="AA10" s="35"/>
    </row>
    <row r="11" spans="2:27" x14ac:dyDescent="0.2">
      <c r="B11" s="4">
        <v>8</v>
      </c>
      <c r="C11" s="4">
        <v>351</v>
      </c>
      <c r="D11" s="23">
        <v>30564.676141414129</v>
      </c>
      <c r="E11" s="33">
        <v>1.744330875000742</v>
      </c>
      <c r="F11" s="5">
        <v>2</v>
      </c>
      <c r="G11" s="23">
        <v>90</v>
      </c>
      <c r="H11" s="33">
        <v>0</v>
      </c>
      <c r="I11" s="23">
        <v>13.421763920577559</v>
      </c>
      <c r="J11" s="5">
        <v>937.3792031836191</v>
      </c>
      <c r="K11" s="31"/>
      <c r="L11" s="23">
        <v>41520.445590625517</v>
      </c>
      <c r="M11" s="33">
        <v>2.251066417000402</v>
      </c>
      <c r="N11" s="5">
        <v>3</v>
      </c>
      <c r="O11" s="5">
        <v>90</v>
      </c>
      <c r="P11" s="33">
        <v>0</v>
      </c>
      <c r="Q11" s="5">
        <v>9.4721574656488539</v>
      </c>
      <c r="R11" s="5">
        <v>1075.8346057163901</v>
      </c>
      <c r="S11" s="35"/>
      <c r="T11" s="23">
        <v>31029.291128469638</v>
      </c>
      <c r="U11" s="33">
        <v>1.622423165999862</v>
      </c>
      <c r="V11" s="5">
        <v>2</v>
      </c>
      <c r="W11" s="5">
        <v>90</v>
      </c>
      <c r="X11" s="33">
        <v>0</v>
      </c>
      <c r="Y11" s="5">
        <v>27.02298353055301</v>
      </c>
      <c r="Z11" s="5">
        <v>1299.3254678229885</v>
      </c>
      <c r="AA11" s="35"/>
    </row>
    <row r="12" spans="2:27" x14ac:dyDescent="0.2">
      <c r="B12" s="4">
        <v>9</v>
      </c>
      <c r="C12" s="4">
        <v>688</v>
      </c>
      <c r="D12" s="23">
        <v>30564.676141414129</v>
      </c>
      <c r="E12" s="33">
        <v>1.7048981659972919</v>
      </c>
      <c r="F12" s="5">
        <v>2</v>
      </c>
      <c r="G12" s="23">
        <v>90</v>
      </c>
      <c r="H12" s="33">
        <v>0</v>
      </c>
      <c r="I12" s="23">
        <v>13.421763920577559</v>
      </c>
      <c r="J12" s="5">
        <v>937.3792031836191</v>
      </c>
      <c r="K12" s="31"/>
      <c r="L12" s="23">
        <v>34748.946640552407</v>
      </c>
      <c r="M12" s="33">
        <v>1.93337341699953</v>
      </c>
      <c r="N12" s="5">
        <v>2</v>
      </c>
      <c r="O12" s="5">
        <v>80</v>
      </c>
      <c r="P12" s="33">
        <v>0</v>
      </c>
      <c r="Q12" s="5">
        <v>12.454569804656089</v>
      </c>
      <c r="R12" s="5">
        <v>893.69307148842972</v>
      </c>
      <c r="S12" s="35"/>
      <c r="T12" s="23">
        <v>31029.291128469638</v>
      </c>
      <c r="U12" s="33">
        <v>1.604919707999215</v>
      </c>
      <c r="V12" s="5">
        <v>2</v>
      </c>
      <c r="W12" s="5">
        <v>90</v>
      </c>
      <c r="X12" s="33">
        <v>0</v>
      </c>
      <c r="Y12" s="5">
        <v>27.02298353055301</v>
      </c>
      <c r="Z12" s="5">
        <v>1299.3254678229885</v>
      </c>
      <c r="AA12" s="35"/>
    </row>
    <row r="13" spans="2:27" x14ac:dyDescent="0.2">
      <c r="B13" s="4">
        <v>10</v>
      </c>
      <c r="C13" s="4">
        <v>370</v>
      </c>
      <c r="D13" s="23">
        <v>30564.676141414129</v>
      </c>
      <c r="E13" s="33">
        <v>1.637361166998744</v>
      </c>
      <c r="F13" s="5">
        <v>2</v>
      </c>
      <c r="G13" s="23">
        <v>90</v>
      </c>
      <c r="H13" s="33">
        <v>0</v>
      </c>
      <c r="I13" s="23">
        <v>13.421763920577559</v>
      </c>
      <c r="J13" s="5">
        <v>937.3792031836191</v>
      </c>
      <c r="K13" s="31"/>
      <c r="L13" s="23">
        <v>34105.711040324881</v>
      </c>
      <c r="M13" s="33">
        <v>1.889890667000145</v>
      </c>
      <c r="N13" s="5">
        <v>2</v>
      </c>
      <c r="O13" s="5">
        <v>80</v>
      </c>
      <c r="P13" s="33">
        <v>0</v>
      </c>
      <c r="Q13" s="5">
        <v>11.455149826403154</v>
      </c>
      <c r="R13" s="5">
        <v>792.5995947644343</v>
      </c>
      <c r="S13" s="35"/>
      <c r="T13" s="23">
        <v>31029.291128469638</v>
      </c>
      <c r="U13" s="33">
        <v>1.587855875000969</v>
      </c>
      <c r="V13" s="5">
        <v>2</v>
      </c>
      <c r="W13" s="5">
        <v>90</v>
      </c>
      <c r="X13" s="33">
        <v>0</v>
      </c>
      <c r="Y13" s="5">
        <v>27.02298353055301</v>
      </c>
      <c r="Z13" s="5">
        <v>1299.3254678229885</v>
      </c>
      <c r="AA13" s="35"/>
    </row>
    <row r="14" spans="2:27" x14ac:dyDescent="0.2">
      <c r="B14" s="46" t="s">
        <v>3</v>
      </c>
      <c r="C14" s="47"/>
      <c r="D14" s="9">
        <f>MIN(D4:D13)</f>
        <v>30056.899586381682</v>
      </c>
      <c r="E14" s="22">
        <f>INDEX(E4:E13, MATCH($D$14, D4:D13, 0))</f>
        <v>1.524334082998394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12.546034533692564</v>
      </c>
      <c r="J14" s="22">
        <f>INDEX(J4:J13, MATCH($D$14, D4:D13, 0))</f>
        <v>859.75232822943303</v>
      </c>
      <c r="K14" s="32"/>
      <c r="L14" s="16">
        <f>MIN(L4:L13)</f>
        <v>34105.711040324881</v>
      </c>
      <c r="M14" s="21">
        <f>INDEX(M4:M13, MATCH($L$14, L4:L13, 0))</f>
        <v>1.825245209000059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11.455149826403154</v>
      </c>
      <c r="R14" s="21">
        <f>INDEX(R4:R13, MATCH($L$14, L4:L13, 0))</f>
        <v>792.5995947644343</v>
      </c>
      <c r="S14" s="36" t="e">
        <f>(L14-$D$15)/$D$15</f>
        <v>#DIV/0!</v>
      </c>
      <c r="T14" s="38">
        <f>MIN(T4:T13)</f>
        <v>29772.841048313629</v>
      </c>
      <c r="U14" s="39">
        <f>INDEX(U4:U13, MATCH($T$14, T4:T13, 0))</f>
        <v>1.4575061670002469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25.129835585075259</v>
      </c>
      <c r="Z14" s="39">
        <f>INDEX(Z4:Z13, MATCH($T$14, T4:T13, 0))</f>
        <v>1113.468159581834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1" priority="3"/>
    <cfRule type="duplicateValues" dxfId="60" priority="4"/>
  </conditionalFormatting>
  <conditionalFormatting sqref="C15:C1048576 C1 C3:C13">
    <cfRule type="duplicateValues" dxfId="59" priority="7"/>
    <cfRule type="duplicateValues" dxfId="58" priority="8"/>
  </conditionalFormatting>
  <conditionalFormatting sqref="C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D172-169E-7346-BA03-86AFC299ABF7}">
  <dimension ref="B1:AA17"/>
  <sheetViews>
    <sheetView zoomScale="118" zoomScaleNormal="12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80</v>
      </c>
      <c r="D4" s="23">
        <v>25533.657956810031</v>
      </c>
      <c r="E4" s="33">
        <v>1.2287886670019359</v>
      </c>
      <c r="F4" s="5">
        <v>2</v>
      </c>
      <c r="G4" s="23">
        <v>100</v>
      </c>
      <c r="H4" s="33">
        <v>0</v>
      </c>
      <c r="I4" s="23">
        <v>8.7253580995928655</v>
      </c>
      <c r="J4" s="5">
        <v>748.13040388033573</v>
      </c>
      <c r="K4" s="31"/>
      <c r="L4" s="23">
        <v>25533.657956810031</v>
      </c>
      <c r="M4" s="33">
        <v>1.2998379590007969</v>
      </c>
      <c r="N4" s="5">
        <v>2</v>
      </c>
      <c r="O4" s="5">
        <v>100</v>
      </c>
      <c r="P4" s="33">
        <v>0</v>
      </c>
      <c r="Q4" s="5">
        <v>8.7253580995928655</v>
      </c>
      <c r="R4" s="5">
        <v>748.13040388033573</v>
      </c>
      <c r="S4" s="35"/>
      <c r="T4" s="23">
        <v>26402.35384801315</v>
      </c>
      <c r="U4" s="33">
        <v>1.1540941659986861</v>
      </c>
      <c r="V4" s="5">
        <v>2</v>
      </c>
      <c r="W4" s="5">
        <v>100</v>
      </c>
      <c r="X4" s="33">
        <v>0</v>
      </c>
      <c r="Y4" s="5">
        <v>21.143451670718818</v>
      </c>
      <c r="Z4" s="5">
        <v>1090.361081302834</v>
      </c>
      <c r="AA4" s="35"/>
    </row>
    <row r="5" spans="2:27" x14ac:dyDescent="0.2">
      <c r="B5" s="4">
        <v>2</v>
      </c>
      <c r="C5" s="4">
        <v>116</v>
      </c>
      <c r="D5" s="23">
        <v>26477.925050231399</v>
      </c>
      <c r="E5" s="33">
        <v>1.361753582998062</v>
      </c>
      <c r="F5" s="5">
        <v>2</v>
      </c>
      <c r="G5" s="23">
        <v>100</v>
      </c>
      <c r="H5" s="33">
        <v>0</v>
      </c>
      <c r="I5" s="23">
        <v>6.0276338590846583</v>
      </c>
      <c r="J5" s="5">
        <v>788.33460043527532</v>
      </c>
      <c r="K5" s="31"/>
      <c r="L5" s="23">
        <v>26477.925050231399</v>
      </c>
      <c r="M5" s="33">
        <v>1.326587916999415</v>
      </c>
      <c r="N5" s="5">
        <v>2</v>
      </c>
      <c r="O5" s="5">
        <v>100</v>
      </c>
      <c r="P5" s="33">
        <v>0</v>
      </c>
      <c r="Q5" s="5">
        <v>6.0276338590846583</v>
      </c>
      <c r="R5" s="5">
        <v>788.33460043527532</v>
      </c>
      <c r="S5" s="35"/>
      <c r="T5" s="23">
        <v>27997.38443164845</v>
      </c>
      <c r="U5" s="33">
        <v>1.1774863749997171</v>
      </c>
      <c r="V5" s="5">
        <v>2</v>
      </c>
      <c r="W5" s="5">
        <v>100</v>
      </c>
      <c r="X5" s="33">
        <v>0</v>
      </c>
      <c r="Y5" s="5">
        <v>14.849431269911415</v>
      </c>
      <c r="Z5" s="5">
        <v>1123.7610650916242</v>
      </c>
      <c r="AA5" s="35"/>
    </row>
    <row r="6" spans="2:27" x14ac:dyDescent="0.2">
      <c r="B6" s="4">
        <v>3</v>
      </c>
      <c r="C6" s="4">
        <v>125</v>
      </c>
      <c r="D6" s="23">
        <v>25533.657956810031</v>
      </c>
      <c r="E6" s="33">
        <v>1.101337208005134</v>
      </c>
      <c r="F6" s="5">
        <v>2</v>
      </c>
      <c r="G6" s="23">
        <v>100</v>
      </c>
      <c r="H6" s="33">
        <v>0</v>
      </c>
      <c r="I6" s="23">
        <v>8.7253580995928655</v>
      </c>
      <c r="J6" s="5">
        <v>748.13040388033573</v>
      </c>
      <c r="K6" s="31"/>
      <c r="L6" s="23">
        <v>25533.657956810031</v>
      </c>
      <c r="M6" s="33">
        <v>1.187749208000241</v>
      </c>
      <c r="N6" s="5">
        <v>2</v>
      </c>
      <c r="O6" s="5">
        <v>100</v>
      </c>
      <c r="P6" s="33">
        <v>0</v>
      </c>
      <c r="Q6" s="5">
        <v>8.7253580995928655</v>
      </c>
      <c r="R6" s="5">
        <v>748.13040388033573</v>
      </c>
      <c r="S6" s="35"/>
      <c r="T6" s="23">
        <v>26402.35384801315</v>
      </c>
      <c r="U6" s="33">
        <v>1.056172042000981</v>
      </c>
      <c r="V6" s="5">
        <v>2</v>
      </c>
      <c r="W6" s="5">
        <v>100</v>
      </c>
      <c r="X6" s="33">
        <v>0</v>
      </c>
      <c r="Y6" s="5">
        <v>21.143451670718818</v>
      </c>
      <c r="Z6" s="5">
        <v>1090.361081302834</v>
      </c>
      <c r="AA6" s="35"/>
    </row>
    <row r="7" spans="2:27" x14ac:dyDescent="0.2">
      <c r="B7" s="4">
        <v>4</v>
      </c>
      <c r="C7" s="4">
        <v>411</v>
      </c>
      <c r="D7" s="23">
        <v>25533.657956810031</v>
      </c>
      <c r="E7" s="33">
        <v>1.1976659590000049</v>
      </c>
      <c r="F7" s="5">
        <v>2</v>
      </c>
      <c r="G7" s="23">
        <v>100</v>
      </c>
      <c r="H7" s="33">
        <v>0</v>
      </c>
      <c r="I7" s="23">
        <v>8.7253580995928655</v>
      </c>
      <c r="J7" s="5">
        <v>748.13040388033573</v>
      </c>
      <c r="K7" s="31"/>
      <c r="L7" s="23">
        <v>25533.657956810031</v>
      </c>
      <c r="M7" s="33">
        <v>1.174727084000551</v>
      </c>
      <c r="N7" s="5">
        <v>2</v>
      </c>
      <c r="O7" s="5">
        <v>100</v>
      </c>
      <c r="P7" s="33">
        <v>0</v>
      </c>
      <c r="Q7" s="5">
        <v>8.7253580995928655</v>
      </c>
      <c r="R7" s="5">
        <v>748.13040388033573</v>
      </c>
      <c r="S7" s="35"/>
      <c r="T7" s="23">
        <v>26402.35384801315</v>
      </c>
      <c r="U7" s="33">
        <v>1.076889374999155</v>
      </c>
      <c r="V7" s="5">
        <v>2</v>
      </c>
      <c r="W7" s="5">
        <v>100</v>
      </c>
      <c r="X7" s="33">
        <v>0</v>
      </c>
      <c r="Y7" s="5">
        <v>21.143451670718818</v>
      </c>
      <c r="Z7" s="5">
        <v>1090.361081302834</v>
      </c>
      <c r="AA7" s="35"/>
    </row>
    <row r="8" spans="2:27" x14ac:dyDescent="0.2">
      <c r="B8" s="4">
        <v>5</v>
      </c>
      <c r="C8" s="4">
        <v>572</v>
      </c>
      <c r="D8" s="23">
        <v>26978.827231839321</v>
      </c>
      <c r="E8" s="33">
        <v>1.2828664580010809</v>
      </c>
      <c r="F8" s="5">
        <v>2</v>
      </c>
      <c r="G8" s="23">
        <v>100</v>
      </c>
      <c r="H8" s="33">
        <v>0</v>
      </c>
      <c r="I8" s="23">
        <v>7.6814693060826373</v>
      </c>
      <c r="J8" s="5">
        <v>882.88697241736554</v>
      </c>
      <c r="K8" s="31"/>
      <c r="L8" s="23">
        <v>26978.827231839321</v>
      </c>
      <c r="M8" s="33">
        <v>1.250177624999196</v>
      </c>
      <c r="N8" s="5">
        <v>2</v>
      </c>
      <c r="O8" s="5">
        <v>100</v>
      </c>
      <c r="P8" s="33">
        <v>0</v>
      </c>
      <c r="Q8" s="5">
        <v>7.6814693060826373</v>
      </c>
      <c r="R8" s="5">
        <v>882.88697241736554</v>
      </c>
      <c r="S8" s="35"/>
      <c r="T8" s="23">
        <v>29977.292758838419</v>
      </c>
      <c r="U8" s="33">
        <v>1.2087638329994661</v>
      </c>
      <c r="V8" s="5">
        <v>2</v>
      </c>
      <c r="W8" s="5">
        <v>100</v>
      </c>
      <c r="X8" s="33">
        <v>0</v>
      </c>
      <c r="Y8" s="5">
        <v>18.421585263525525</v>
      </c>
      <c r="Z8" s="5">
        <v>1420.6679618899302</v>
      </c>
      <c r="AA8" s="35"/>
    </row>
    <row r="9" spans="2:27" x14ac:dyDescent="0.2">
      <c r="B9" s="4">
        <v>6</v>
      </c>
      <c r="C9" s="4">
        <v>602</v>
      </c>
      <c r="D9" s="23">
        <v>26978.827231839321</v>
      </c>
      <c r="E9" s="33">
        <v>1.27939904199593</v>
      </c>
      <c r="F9" s="5">
        <v>2</v>
      </c>
      <c r="G9" s="23">
        <v>100</v>
      </c>
      <c r="H9" s="33">
        <v>0</v>
      </c>
      <c r="I9" s="23">
        <v>7.6814693060826373</v>
      </c>
      <c r="J9" s="5">
        <v>882.88697241736554</v>
      </c>
      <c r="K9" s="31"/>
      <c r="L9" s="23">
        <v>26978.827231839321</v>
      </c>
      <c r="M9" s="33">
        <v>1.266247499999736</v>
      </c>
      <c r="N9" s="5">
        <v>2</v>
      </c>
      <c r="O9" s="5">
        <v>100</v>
      </c>
      <c r="P9" s="33">
        <v>0</v>
      </c>
      <c r="Q9" s="5">
        <v>7.6814693060826373</v>
      </c>
      <c r="R9" s="5">
        <v>882.88697241736554</v>
      </c>
      <c r="S9" s="35"/>
      <c r="T9" s="23">
        <v>29977.292758838419</v>
      </c>
      <c r="U9" s="33">
        <v>1.201384416001019</v>
      </c>
      <c r="V9" s="5">
        <v>2</v>
      </c>
      <c r="W9" s="5">
        <v>100</v>
      </c>
      <c r="X9" s="33">
        <v>0</v>
      </c>
      <c r="Y9" s="5">
        <v>18.421585263525525</v>
      </c>
      <c r="Z9" s="5">
        <v>1420.6679618899302</v>
      </c>
      <c r="AA9" s="35"/>
    </row>
    <row r="10" spans="2:27" x14ac:dyDescent="0.2">
      <c r="B10" s="4">
        <v>7</v>
      </c>
      <c r="C10" s="4">
        <v>843</v>
      </c>
      <c r="D10" s="23">
        <v>26477.925050231399</v>
      </c>
      <c r="E10" s="33">
        <v>1.149625500002003</v>
      </c>
      <c r="F10" s="5">
        <v>2</v>
      </c>
      <c r="G10" s="23">
        <v>100</v>
      </c>
      <c r="H10" s="33">
        <v>0</v>
      </c>
      <c r="I10" s="23">
        <v>6.0276338590846583</v>
      </c>
      <c r="J10" s="5">
        <v>788.33460043527532</v>
      </c>
      <c r="K10" s="31"/>
      <c r="L10" s="23">
        <v>26477.925050231399</v>
      </c>
      <c r="M10" s="33">
        <v>1.183337999998912</v>
      </c>
      <c r="N10" s="5">
        <v>2</v>
      </c>
      <c r="O10" s="5">
        <v>100</v>
      </c>
      <c r="P10" s="33">
        <v>0</v>
      </c>
      <c r="Q10" s="5">
        <v>6.0276338590846583</v>
      </c>
      <c r="R10" s="5">
        <v>788.33460043527532</v>
      </c>
      <c r="S10" s="35"/>
      <c r="T10" s="23">
        <v>27997.38443164845</v>
      </c>
      <c r="U10" s="33">
        <v>1.0625529999997529</v>
      </c>
      <c r="V10" s="5">
        <v>2</v>
      </c>
      <c r="W10" s="5">
        <v>100</v>
      </c>
      <c r="X10" s="33">
        <v>0</v>
      </c>
      <c r="Y10" s="5">
        <v>14.849431269911415</v>
      </c>
      <c r="Z10" s="5">
        <v>1123.7610650916242</v>
      </c>
      <c r="AA10" s="35"/>
    </row>
    <row r="11" spans="2:27" x14ac:dyDescent="0.2">
      <c r="B11" s="4">
        <v>8</v>
      </c>
      <c r="C11" s="4">
        <v>935</v>
      </c>
      <c r="D11" s="23">
        <v>25533.657956810031</v>
      </c>
      <c r="E11" s="33">
        <v>1.202335041998595</v>
      </c>
      <c r="F11" s="5">
        <v>2</v>
      </c>
      <c r="G11" s="23">
        <v>100</v>
      </c>
      <c r="H11" s="33">
        <v>0</v>
      </c>
      <c r="I11" s="23">
        <v>8.7253580995928655</v>
      </c>
      <c r="J11" s="5">
        <v>748.13040388033573</v>
      </c>
      <c r="K11" s="31"/>
      <c r="L11" s="23">
        <v>25533.657956810031</v>
      </c>
      <c r="M11" s="33">
        <v>1.160044459000346</v>
      </c>
      <c r="N11" s="5">
        <v>2</v>
      </c>
      <c r="O11" s="5">
        <v>100</v>
      </c>
      <c r="P11" s="33">
        <v>0</v>
      </c>
      <c r="Q11" s="5">
        <v>8.7253580995928655</v>
      </c>
      <c r="R11" s="5">
        <v>748.13040388033573</v>
      </c>
      <c r="S11" s="35"/>
      <c r="T11" s="23">
        <v>26402.35384801315</v>
      </c>
      <c r="U11" s="33">
        <v>1.075416583000333</v>
      </c>
      <c r="V11" s="5">
        <v>2</v>
      </c>
      <c r="W11" s="5">
        <v>100</v>
      </c>
      <c r="X11" s="33">
        <v>0</v>
      </c>
      <c r="Y11" s="5">
        <v>21.143451670718818</v>
      </c>
      <c r="Z11" s="5">
        <v>1090.361081302834</v>
      </c>
      <c r="AA11" s="35"/>
    </row>
    <row r="12" spans="2:27" x14ac:dyDescent="0.2">
      <c r="B12" s="4">
        <v>9</v>
      </c>
      <c r="C12" s="4">
        <v>964</v>
      </c>
      <c r="D12" s="23">
        <v>25533.657956810031</v>
      </c>
      <c r="E12" s="33">
        <v>1.1407608749941569</v>
      </c>
      <c r="F12" s="5">
        <v>2</v>
      </c>
      <c r="G12" s="23">
        <v>100</v>
      </c>
      <c r="H12" s="33">
        <v>0</v>
      </c>
      <c r="I12" s="23">
        <v>8.7253580995928655</v>
      </c>
      <c r="J12" s="5">
        <v>748.13040388033573</v>
      </c>
      <c r="K12" s="31"/>
      <c r="L12" s="23">
        <v>25533.657956810031</v>
      </c>
      <c r="M12" s="33">
        <v>1.165506999999707</v>
      </c>
      <c r="N12" s="5">
        <v>2</v>
      </c>
      <c r="O12" s="5">
        <v>100</v>
      </c>
      <c r="P12" s="33">
        <v>0</v>
      </c>
      <c r="Q12" s="5">
        <v>8.7253580995928655</v>
      </c>
      <c r="R12" s="5">
        <v>748.13040388033573</v>
      </c>
      <c r="S12" s="35"/>
      <c r="T12" s="23">
        <v>26402.35384801315</v>
      </c>
      <c r="U12" s="33">
        <v>1.0779309579993419</v>
      </c>
      <c r="V12" s="5">
        <v>2</v>
      </c>
      <c r="W12" s="5">
        <v>100</v>
      </c>
      <c r="X12" s="33">
        <v>0</v>
      </c>
      <c r="Y12" s="5">
        <v>21.143451670718818</v>
      </c>
      <c r="Z12" s="5">
        <v>1090.361081302834</v>
      </c>
      <c r="AA12" s="35"/>
    </row>
    <row r="13" spans="2:27" x14ac:dyDescent="0.2">
      <c r="B13" s="4">
        <v>10</v>
      </c>
      <c r="C13" s="4">
        <v>991</v>
      </c>
      <c r="D13" s="23">
        <v>26477.925050231399</v>
      </c>
      <c r="E13" s="33">
        <v>1.1714349169997149</v>
      </c>
      <c r="F13" s="5">
        <v>2</v>
      </c>
      <c r="G13" s="23">
        <v>100</v>
      </c>
      <c r="H13" s="33">
        <v>0</v>
      </c>
      <c r="I13" s="23">
        <v>6.0276338590846583</v>
      </c>
      <c r="J13" s="5">
        <v>788.33460043527532</v>
      </c>
      <c r="K13" s="31"/>
      <c r="L13" s="23">
        <v>26477.925050231399</v>
      </c>
      <c r="M13" s="33">
        <v>1.192439833999742</v>
      </c>
      <c r="N13" s="5">
        <v>2</v>
      </c>
      <c r="O13" s="5">
        <v>100</v>
      </c>
      <c r="P13" s="33">
        <v>0</v>
      </c>
      <c r="Q13" s="5">
        <v>6.0276338590846583</v>
      </c>
      <c r="R13" s="5">
        <v>788.33460043527532</v>
      </c>
      <c r="S13" s="35"/>
      <c r="T13" s="23">
        <v>27997.38443164845</v>
      </c>
      <c r="U13" s="33">
        <v>1.0747393750007179</v>
      </c>
      <c r="V13" s="5">
        <v>2</v>
      </c>
      <c r="W13" s="5">
        <v>100</v>
      </c>
      <c r="X13" s="33">
        <v>0</v>
      </c>
      <c r="Y13" s="5">
        <v>14.849431269911415</v>
      </c>
      <c r="Z13" s="5">
        <v>1123.7610650916242</v>
      </c>
      <c r="AA13" s="35"/>
    </row>
    <row r="14" spans="2:27" x14ac:dyDescent="0.2">
      <c r="B14" s="46" t="s">
        <v>3</v>
      </c>
      <c r="C14" s="47"/>
      <c r="D14" s="9">
        <f>MIN(D4:D13)</f>
        <v>25533.657956810031</v>
      </c>
      <c r="E14" s="22">
        <f>INDEX(E4:E13, MATCH($D$14, D4:D13, 0))</f>
        <v>1.2287886670019359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8.7253580995928655</v>
      </c>
      <c r="J14" s="22">
        <f>INDEX(J4:J13, MATCH($D$14, D4:D13, 0))</f>
        <v>748.13040388033573</v>
      </c>
      <c r="K14" s="32"/>
      <c r="L14" s="16">
        <f>MIN(L4:L13)</f>
        <v>25533.657956810031</v>
      </c>
      <c r="M14" s="21">
        <f>INDEX(M4:M13, MATCH($L$14, L4:L13, 0))</f>
        <v>1.2998379590007969</v>
      </c>
      <c r="N14" s="16">
        <f>INDEX(N4:N13, MATCH($L$14, L4:L13, 0))</f>
        <v>2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8.7253580995928655</v>
      </c>
      <c r="R14" s="21">
        <f>INDEX(R4:R13, MATCH($L$14, L4:L13, 0))</f>
        <v>748.13040388033573</v>
      </c>
      <c r="S14" s="36" t="e">
        <f>(L14-$D$15)/$D$15</f>
        <v>#DIV/0!</v>
      </c>
      <c r="T14" s="38">
        <f>MIN(T4:T13)</f>
        <v>26402.35384801315</v>
      </c>
      <c r="U14" s="39">
        <f>INDEX(U4:U13, MATCH($T$14, T4:T13, 0))</f>
        <v>1.1540941659986861</v>
      </c>
      <c r="V14" s="38">
        <f>INDEX(V4:V13, MATCH($T$14, T4:T13, 0))</f>
        <v>2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21.143451670718818</v>
      </c>
      <c r="Z14" s="39">
        <f>INDEX(Z4:Z13, MATCH($T$14, T4:T13, 0))</f>
        <v>1090.361081302834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2A02-E13B-CE44-8B50-DDF772BB08EC}">
  <dimension ref="B1:AA17"/>
  <sheetViews>
    <sheetView zoomScale="118" zoomScaleNormal="120" workbookViewId="0">
      <selection activeCell="K4" sqref="K4:K1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T2" s="1" t="s">
        <v>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148</v>
      </c>
      <c r="D4" s="23">
        <v>35936.241574734871</v>
      </c>
      <c r="E4" s="33">
        <v>1.759983915999328</v>
      </c>
      <c r="F4" s="5">
        <v>2</v>
      </c>
      <c r="G4" s="23">
        <v>90</v>
      </c>
      <c r="H4" s="33">
        <v>32.640922319288116</v>
      </c>
      <c r="I4" s="23">
        <v>30.34748227890589</v>
      </c>
      <c r="J4" s="5">
        <v>1758.8700736661667</v>
      </c>
      <c r="K4" s="31"/>
      <c r="L4" s="23">
        <v>41504.12429871186</v>
      </c>
      <c r="M4" s="33">
        <v>1.6780311250004161</v>
      </c>
      <c r="N4" s="5">
        <v>2</v>
      </c>
      <c r="O4" s="5">
        <v>70</v>
      </c>
      <c r="P4" s="33">
        <v>0</v>
      </c>
      <c r="Q4" s="5">
        <v>15.972259461842794</v>
      </c>
      <c r="R4" s="5">
        <v>1198.2288390133122</v>
      </c>
      <c r="S4" s="35"/>
      <c r="T4" s="23">
        <v>39399.237329240161</v>
      </c>
      <c r="U4" s="33">
        <v>1.907661916999132</v>
      </c>
      <c r="V4" s="5">
        <v>2</v>
      </c>
      <c r="W4" s="5">
        <v>80</v>
      </c>
      <c r="X4" s="33">
        <v>97.724723976728114</v>
      </c>
      <c r="Y4" s="5">
        <v>43.711476887992958</v>
      </c>
      <c r="Z4" s="5">
        <v>2138.9722433696334</v>
      </c>
      <c r="AA4" s="35"/>
    </row>
    <row r="5" spans="2:27" x14ac:dyDescent="0.2">
      <c r="B5" s="4">
        <v>2</v>
      </c>
      <c r="C5" s="4">
        <v>167</v>
      </c>
      <c r="D5" s="23">
        <v>35936.241574734871</v>
      </c>
      <c r="E5" s="33">
        <v>1.7625184169992281</v>
      </c>
      <c r="F5" s="5">
        <v>2</v>
      </c>
      <c r="G5" s="23">
        <v>90</v>
      </c>
      <c r="H5" s="33">
        <v>32.640922319288116</v>
      </c>
      <c r="I5" s="23">
        <v>30.34748227890589</v>
      </c>
      <c r="J5" s="5">
        <v>1758.8700736661667</v>
      </c>
      <c r="K5" s="31"/>
      <c r="L5" s="23">
        <v>41504.12429871186</v>
      </c>
      <c r="M5" s="33">
        <v>1.698534582999855</v>
      </c>
      <c r="N5" s="5">
        <v>2</v>
      </c>
      <c r="O5" s="5">
        <v>70</v>
      </c>
      <c r="P5" s="33">
        <v>0</v>
      </c>
      <c r="Q5" s="5">
        <v>15.972259461842794</v>
      </c>
      <c r="R5" s="5">
        <v>1198.2288390133122</v>
      </c>
      <c r="S5" s="35"/>
      <c r="T5" s="23">
        <v>39399.237329240161</v>
      </c>
      <c r="U5" s="33">
        <v>1.9102654589987651</v>
      </c>
      <c r="V5" s="5">
        <v>2</v>
      </c>
      <c r="W5" s="5">
        <v>80</v>
      </c>
      <c r="X5" s="33">
        <v>97.724723976728114</v>
      </c>
      <c r="Y5" s="5">
        <v>43.711476887992958</v>
      </c>
      <c r="Z5" s="5">
        <v>2138.9722433696334</v>
      </c>
      <c r="AA5" s="35"/>
    </row>
    <row r="6" spans="2:27" x14ac:dyDescent="0.2">
      <c r="B6" s="4">
        <v>3</v>
      </c>
      <c r="C6" s="4">
        <v>178</v>
      </c>
      <c r="D6" s="23">
        <v>36649.862118665507</v>
      </c>
      <c r="E6" s="33">
        <v>1.527564791998884</v>
      </c>
      <c r="F6" s="5">
        <v>2</v>
      </c>
      <c r="G6" s="23">
        <v>90</v>
      </c>
      <c r="H6" s="33">
        <v>0</v>
      </c>
      <c r="I6" s="23">
        <v>24.001168206897368</v>
      </c>
      <c r="J6" s="5">
        <v>1736.9342329944459</v>
      </c>
      <c r="K6" s="31"/>
      <c r="L6" s="23">
        <v>41504.12429871186</v>
      </c>
      <c r="M6" s="33">
        <v>1.680381333999321</v>
      </c>
      <c r="N6" s="5">
        <v>2</v>
      </c>
      <c r="O6" s="5">
        <v>70</v>
      </c>
      <c r="P6" s="33">
        <v>0</v>
      </c>
      <c r="Q6" s="5">
        <v>15.972259461842794</v>
      </c>
      <c r="R6" s="5">
        <v>1198.2288390133122</v>
      </c>
      <c r="S6" s="35"/>
      <c r="T6" s="23">
        <v>40753.98460682985</v>
      </c>
      <c r="U6" s="33">
        <v>1.758954249999078</v>
      </c>
      <c r="V6" s="5">
        <v>2</v>
      </c>
      <c r="W6" s="5">
        <v>80</v>
      </c>
      <c r="X6" s="33">
        <v>7.9002620863991524</v>
      </c>
      <c r="Y6" s="5">
        <v>39.061811335403277</v>
      </c>
      <c r="Z6" s="5">
        <v>2171.0880264190364</v>
      </c>
      <c r="AA6" s="35"/>
    </row>
    <row r="7" spans="2:27" x14ac:dyDescent="0.2">
      <c r="B7" s="4">
        <v>4</v>
      </c>
      <c r="C7" s="4">
        <v>252</v>
      </c>
      <c r="D7" s="23">
        <v>35936.241574734871</v>
      </c>
      <c r="E7" s="33">
        <v>1.706578541001363</v>
      </c>
      <c r="F7" s="5">
        <v>2</v>
      </c>
      <c r="G7" s="23">
        <v>90</v>
      </c>
      <c r="H7" s="33">
        <v>32.640922319288116</v>
      </c>
      <c r="I7" s="23">
        <v>30.34748227890589</v>
      </c>
      <c r="J7" s="5">
        <v>1758.8700736661667</v>
      </c>
      <c r="K7" s="31"/>
      <c r="L7" s="23">
        <v>44019.290405870772</v>
      </c>
      <c r="M7" s="33">
        <v>2.4410800839996232</v>
      </c>
      <c r="N7" s="5">
        <v>3</v>
      </c>
      <c r="O7" s="5">
        <v>80</v>
      </c>
      <c r="P7" s="33">
        <v>0</v>
      </c>
      <c r="Q7" s="5">
        <v>14.328244001276405</v>
      </c>
      <c r="R7" s="5">
        <v>952.46109764896607</v>
      </c>
      <c r="S7" s="35"/>
      <c r="T7" s="23">
        <v>39399.237329240161</v>
      </c>
      <c r="U7" s="33">
        <v>1.9319084999988261</v>
      </c>
      <c r="V7" s="5">
        <v>2</v>
      </c>
      <c r="W7" s="5">
        <v>80</v>
      </c>
      <c r="X7" s="33">
        <v>97.724723976728114</v>
      </c>
      <c r="Y7" s="5">
        <v>43.711476887992958</v>
      </c>
      <c r="Z7" s="5">
        <v>2138.9722433696334</v>
      </c>
      <c r="AA7" s="35"/>
    </row>
    <row r="8" spans="2:27" x14ac:dyDescent="0.2">
      <c r="B8" s="4">
        <v>5</v>
      </c>
      <c r="C8" s="4">
        <v>376</v>
      </c>
      <c r="D8" s="23">
        <v>35936.241574734871</v>
      </c>
      <c r="E8" s="33">
        <v>1.561833374998969</v>
      </c>
      <c r="F8" s="5">
        <v>2</v>
      </c>
      <c r="G8" s="23">
        <v>90</v>
      </c>
      <c r="H8" s="33">
        <v>32.640922319288116</v>
      </c>
      <c r="I8" s="23">
        <v>30.34748227890589</v>
      </c>
      <c r="J8" s="5">
        <v>1758.8700736661667</v>
      </c>
      <c r="K8" s="31"/>
      <c r="L8" s="23">
        <v>40744.905214100298</v>
      </c>
      <c r="M8" s="33">
        <v>1.6047654159992819</v>
      </c>
      <c r="N8" s="5">
        <v>2</v>
      </c>
      <c r="O8" s="5">
        <v>70</v>
      </c>
      <c r="P8" s="33">
        <v>0</v>
      </c>
      <c r="Q8" s="5">
        <v>12.606247740796352</v>
      </c>
      <c r="R8" s="5">
        <v>1050.4539460718277</v>
      </c>
      <c r="S8" s="35"/>
      <c r="T8" s="23">
        <v>40186.036771968837</v>
      </c>
      <c r="U8" s="33">
        <v>1.9934752919998571</v>
      </c>
      <c r="V8" s="5">
        <v>3</v>
      </c>
      <c r="W8" s="5">
        <v>90</v>
      </c>
      <c r="X8" s="33">
        <v>22.927621432066701</v>
      </c>
      <c r="Y8" s="5">
        <v>29.379047166423344</v>
      </c>
      <c r="Z8" s="5">
        <v>1518.145865708419</v>
      </c>
      <c r="AA8" s="35"/>
    </row>
    <row r="9" spans="2:27" x14ac:dyDescent="0.2">
      <c r="B9" s="4">
        <v>6</v>
      </c>
      <c r="C9" s="4">
        <v>390</v>
      </c>
      <c r="D9" s="23">
        <v>36649.862118665507</v>
      </c>
      <c r="E9" s="33">
        <v>1.531838625000091</v>
      </c>
      <c r="F9" s="5">
        <v>2</v>
      </c>
      <c r="G9" s="23">
        <v>90</v>
      </c>
      <c r="H9" s="33">
        <v>0</v>
      </c>
      <c r="I9" s="23">
        <v>24.001168206897368</v>
      </c>
      <c r="J9" s="5">
        <v>1736.9342329944459</v>
      </c>
      <c r="K9" s="31"/>
      <c r="L9" s="23">
        <v>45757.199728401632</v>
      </c>
      <c r="M9" s="33">
        <v>2.2506881669996801</v>
      </c>
      <c r="N9" s="5">
        <v>3</v>
      </c>
      <c r="O9" s="5">
        <v>80</v>
      </c>
      <c r="P9" s="33">
        <v>0</v>
      </c>
      <c r="Q9" s="5">
        <v>12.30608088246977</v>
      </c>
      <c r="R9" s="5">
        <v>1050.5475018874613</v>
      </c>
      <c r="S9" s="35"/>
      <c r="T9" s="23">
        <v>40753.98460682985</v>
      </c>
      <c r="U9" s="33">
        <v>1.763647916999616</v>
      </c>
      <c r="V9" s="5">
        <v>2</v>
      </c>
      <c r="W9" s="5">
        <v>80</v>
      </c>
      <c r="X9" s="33">
        <v>7.9002620863991524</v>
      </c>
      <c r="Y9" s="5">
        <v>39.061811335403277</v>
      </c>
      <c r="Z9" s="5">
        <v>2171.0880264190364</v>
      </c>
      <c r="AA9" s="35"/>
    </row>
    <row r="10" spans="2:27" x14ac:dyDescent="0.2">
      <c r="B10" s="4">
        <v>7</v>
      </c>
      <c r="C10" s="4">
        <v>645</v>
      </c>
      <c r="D10" s="23">
        <v>35936.241574734871</v>
      </c>
      <c r="E10" s="33">
        <v>1.7049988750004561</v>
      </c>
      <c r="F10" s="5">
        <v>2</v>
      </c>
      <c r="G10" s="23">
        <v>90</v>
      </c>
      <c r="H10" s="33">
        <v>32.640922319288116</v>
      </c>
      <c r="I10" s="23">
        <v>30.34748227890589</v>
      </c>
      <c r="J10" s="5">
        <v>1758.8700736661667</v>
      </c>
      <c r="K10" s="31"/>
      <c r="L10" s="23">
        <v>41504.12429871186</v>
      </c>
      <c r="M10" s="33">
        <v>1.6925121250005759</v>
      </c>
      <c r="N10" s="5">
        <v>2</v>
      </c>
      <c r="O10" s="5">
        <v>70</v>
      </c>
      <c r="P10" s="33">
        <v>0</v>
      </c>
      <c r="Q10" s="5">
        <v>15.972259461842794</v>
      </c>
      <c r="R10" s="5">
        <v>1198.2288390133122</v>
      </c>
      <c r="S10" s="35"/>
      <c r="T10" s="23">
        <v>39399.237329240161</v>
      </c>
      <c r="U10" s="33">
        <v>1.969709625000178</v>
      </c>
      <c r="V10" s="5">
        <v>2</v>
      </c>
      <c r="W10" s="5">
        <v>80</v>
      </c>
      <c r="X10" s="33">
        <v>97.724723976728114</v>
      </c>
      <c r="Y10" s="5">
        <v>43.711476887992958</v>
      </c>
      <c r="Z10" s="5">
        <v>2138.9722433696334</v>
      </c>
      <c r="AA10" s="35"/>
    </row>
    <row r="11" spans="2:27" x14ac:dyDescent="0.2">
      <c r="B11" s="4">
        <v>8</v>
      </c>
      <c r="C11" s="4">
        <v>687</v>
      </c>
      <c r="D11" s="23">
        <v>35936.241574734871</v>
      </c>
      <c r="E11" s="33">
        <v>1.7577317499999481</v>
      </c>
      <c r="F11" s="5">
        <v>2</v>
      </c>
      <c r="G11" s="23">
        <v>90</v>
      </c>
      <c r="H11" s="33">
        <v>32.640922319288116</v>
      </c>
      <c r="I11" s="23">
        <v>30.34748227890589</v>
      </c>
      <c r="J11" s="5">
        <v>1758.8700736661667</v>
      </c>
      <c r="K11" s="31"/>
      <c r="L11" s="23">
        <v>45757.199728401632</v>
      </c>
      <c r="M11" s="33">
        <v>2.215432417000557</v>
      </c>
      <c r="N11" s="5">
        <v>3</v>
      </c>
      <c r="O11" s="5">
        <v>80</v>
      </c>
      <c r="P11" s="33">
        <v>0</v>
      </c>
      <c r="Q11" s="5">
        <v>12.30608088246977</v>
      </c>
      <c r="R11" s="5">
        <v>1050.5475018874613</v>
      </c>
      <c r="S11" s="35"/>
      <c r="T11" s="23">
        <v>39399.237329240161</v>
      </c>
      <c r="U11" s="33">
        <v>1.9380684579991789</v>
      </c>
      <c r="V11" s="5">
        <v>2</v>
      </c>
      <c r="W11" s="5">
        <v>80</v>
      </c>
      <c r="X11" s="33">
        <v>97.724723976728114</v>
      </c>
      <c r="Y11" s="5">
        <v>43.711476887992958</v>
      </c>
      <c r="Z11" s="5">
        <v>2138.9722433696334</v>
      </c>
      <c r="AA11" s="35"/>
    </row>
    <row r="12" spans="2:27" x14ac:dyDescent="0.2">
      <c r="B12" s="4">
        <v>9</v>
      </c>
      <c r="C12" s="4">
        <v>813</v>
      </c>
      <c r="D12" s="23">
        <v>36649.862118665507</v>
      </c>
      <c r="E12" s="33">
        <v>1.5172986249999669</v>
      </c>
      <c r="F12" s="5">
        <v>2</v>
      </c>
      <c r="G12" s="23">
        <v>90</v>
      </c>
      <c r="H12" s="33">
        <v>0</v>
      </c>
      <c r="I12" s="23">
        <v>24.001168206897368</v>
      </c>
      <c r="J12" s="5">
        <v>1736.9342329944459</v>
      </c>
      <c r="K12" s="31"/>
      <c r="L12" s="23">
        <v>45757.199728401632</v>
      </c>
      <c r="M12" s="33">
        <v>2.2302308750004158</v>
      </c>
      <c r="N12" s="5">
        <v>3</v>
      </c>
      <c r="O12" s="5">
        <v>80</v>
      </c>
      <c r="P12" s="33">
        <v>0</v>
      </c>
      <c r="Q12" s="5">
        <v>12.30608088246977</v>
      </c>
      <c r="R12" s="5">
        <v>1050.5475018874613</v>
      </c>
      <c r="S12" s="35"/>
      <c r="T12" s="23">
        <v>40753.98460682985</v>
      </c>
      <c r="U12" s="33">
        <v>1.751576791000844</v>
      </c>
      <c r="V12" s="5">
        <v>2</v>
      </c>
      <c r="W12" s="5">
        <v>80</v>
      </c>
      <c r="X12" s="33">
        <v>7.9002620863991524</v>
      </c>
      <c r="Y12" s="5">
        <v>39.061811335403277</v>
      </c>
      <c r="Z12" s="5">
        <v>2171.0880264190364</v>
      </c>
      <c r="AA12" s="35"/>
    </row>
    <row r="13" spans="2:27" x14ac:dyDescent="0.2">
      <c r="B13" s="4">
        <v>10</v>
      </c>
      <c r="C13" s="4">
        <v>694</v>
      </c>
      <c r="D13" s="23">
        <v>35936.241574734871</v>
      </c>
      <c r="E13" s="33">
        <v>1.489259583002422</v>
      </c>
      <c r="F13" s="5">
        <v>2</v>
      </c>
      <c r="G13" s="23">
        <v>90</v>
      </c>
      <c r="H13" s="33">
        <v>32.640922319288116</v>
      </c>
      <c r="I13" s="23">
        <v>30.34748227890589</v>
      </c>
      <c r="J13" s="5">
        <v>1758.8700736661667</v>
      </c>
      <c r="K13" s="31"/>
      <c r="L13" s="23">
        <v>44019.290405870772</v>
      </c>
      <c r="M13" s="33">
        <v>2.4367045409999259</v>
      </c>
      <c r="N13" s="5">
        <v>3</v>
      </c>
      <c r="O13" s="5">
        <v>80</v>
      </c>
      <c r="P13" s="33">
        <v>0</v>
      </c>
      <c r="Q13" s="5">
        <v>14.328244001276405</v>
      </c>
      <c r="R13" s="5">
        <v>952.46109764896607</v>
      </c>
      <c r="S13" s="35"/>
      <c r="T13" s="23">
        <v>39399.237329240161</v>
      </c>
      <c r="U13" s="33">
        <v>1.926273250001032</v>
      </c>
      <c r="V13" s="5">
        <v>2</v>
      </c>
      <c r="W13" s="5">
        <v>80</v>
      </c>
      <c r="X13" s="33">
        <v>97.724723976728114</v>
      </c>
      <c r="Y13" s="5">
        <v>43.711476887992958</v>
      </c>
      <c r="Z13" s="5">
        <v>2138.9722433696334</v>
      </c>
      <c r="AA13" s="35"/>
    </row>
    <row r="14" spans="2:27" x14ac:dyDescent="0.2">
      <c r="B14" s="46" t="s">
        <v>3</v>
      </c>
      <c r="C14" s="47"/>
      <c r="D14" s="9">
        <f>MIN(D4:D13)</f>
        <v>35936.241574734871</v>
      </c>
      <c r="E14" s="22">
        <f>INDEX(E4:E13, MATCH($D$14, D4:D13, 0))</f>
        <v>1.759983915999328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32.640922319288116</v>
      </c>
      <c r="I14" s="22">
        <f>INDEX(I4:I13, MATCH($D$14, D4:D13, 0))</f>
        <v>30.34748227890589</v>
      </c>
      <c r="J14" s="22">
        <f>INDEX(J4:J13, MATCH($D$14, D4:D13, 0))</f>
        <v>1758.8700736661667</v>
      </c>
      <c r="K14" s="32"/>
      <c r="L14" s="16">
        <f>MIN(L4:L13)</f>
        <v>40744.905214100298</v>
      </c>
      <c r="M14" s="21">
        <f>INDEX(M4:M13, MATCH($L$14, L4:L13, 0))</f>
        <v>1.6047654159992819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12.606247740796352</v>
      </c>
      <c r="R14" s="21">
        <f>INDEX(R4:R13, MATCH($L$14, L4:L13, 0))</f>
        <v>1050.4539460718277</v>
      </c>
      <c r="S14" s="36" t="e">
        <f>(L14-$D$15)/$D$15</f>
        <v>#DIV/0!</v>
      </c>
      <c r="T14" s="38">
        <f>MIN(T4:T13)</f>
        <v>39399.237329240161</v>
      </c>
      <c r="U14" s="39">
        <f>INDEX(U4:U13, MATCH($T$14, T4:T13, 0))</f>
        <v>1.907661916999132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97.724723976728114</v>
      </c>
      <c r="Y14" s="39">
        <f>INDEX(Y4:Y13, MATCH($T$14, T4:T13, 0))</f>
        <v>43.711476887992958</v>
      </c>
      <c r="Z14" s="39">
        <f>INDEX(Z4:Z13, MATCH($T$14, T4:T13, 0))</f>
        <v>2138.9722433696334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5:C1048576 C3:C13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results37</vt:lpstr>
      <vt:lpstr>results40</vt:lpstr>
      <vt:lpstr>results148</vt:lpstr>
      <vt:lpstr>results216</vt:lpstr>
      <vt:lpstr>results351</vt:lpstr>
      <vt:lpstr>results530</vt:lpstr>
      <vt:lpstr>results652</vt:lpstr>
      <vt:lpstr>results707</vt:lpstr>
      <vt:lpstr>results823</vt:lpstr>
      <vt:lpstr>results919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2026-10-15T21:14:05Z</dcterms:modified>
</cp:coreProperties>
</file>