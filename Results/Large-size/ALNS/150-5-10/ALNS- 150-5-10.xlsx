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50-5-10/"/>
    </mc:Choice>
  </mc:AlternateContent>
  <xr:revisionPtr revIDLastSave="0" documentId="13_ncr:1_{ECE78101-096D-8F49-BDB1-81DEFEB87E12}" xr6:coauthVersionLast="47" xr6:coauthVersionMax="47" xr10:uidLastSave="{00000000-0000-0000-0000-000000000000}"/>
  <bookViews>
    <workbookView xWindow="0" yWindow="760" windowWidth="34560" windowHeight="20520" tabRatio="875" activeTab="10" xr2:uid="{41E620E7-D6DF-9342-B452-EA60AB3B07C5}"/>
  </bookViews>
  <sheets>
    <sheet name="Summary" sheetId="68" r:id="rId1"/>
    <sheet name="results70" sheetId="58" r:id="rId2"/>
    <sheet name="results203" sheetId="69" r:id="rId3"/>
    <sheet name="results299" sheetId="70" r:id="rId4"/>
    <sheet name="results327" sheetId="71" r:id="rId5"/>
    <sheet name="results459" sheetId="72" r:id="rId6"/>
    <sheet name="results539" sheetId="76" r:id="rId7"/>
    <sheet name="results662" sheetId="77" r:id="rId8"/>
    <sheet name="results713" sheetId="73" r:id="rId9"/>
    <sheet name="results740" sheetId="74" r:id="rId10"/>
    <sheet name="results752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75" l="1"/>
  <c r="J14" i="75"/>
  <c r="I14" i="75"/>
  <c r="H14" i="75"/>
  <c r="D14" i="75"/>
  <c r="G14" i="75" s="1"/>
  <c r="K14" i="74"/>
  <c r="J14" i="74"/>
  <c r="I14" i="74"/>
  <c r="H14" i="74"/>
  <c r="G14" i="74"/>
  <c r="F14" i="74"/>
  <c r="D14" i="74"/>
  <c r="E14" i="74" s="1"/>
  <c r="K14" i="73"/>
  <c r="J14" i="73"/>
  <c r="I14" i="73"/>
  <c r="H14" i="73"/>
  <c r="D14" i="73"/>
  <c r="G14" i="73" s="1"/>
  <c r="D14" i="77"/>
  <c r="K14" i="77" s="1"/>
  <c r="H14" i="76"/>
  <c r="D14" i="76"/>
  <c r="G14" i="76" s="1"/>
  <c r="K14" i="72"/>
  <c r="J14" i="72"/>
  <c r="D14" i="72"/>
  <c r="G14" i="72" s="1"/>
  <c r="K14" i="71"/>
  <c r="J14" i="71"/>
  <c r="I14" i="71"/>
  <c r="H14" i="71"/>
  <c r="G14" i="71"/>
  <c r="F14" i="71"/>
  <c r="E14" i="71"/>
  <c r="D14" i="71"/>
  <c r="K14" i="70"/>
  <c r="J14" i="70"/>
  <c r="I14" i="70"/>
  <c r="H14" i="70"/>
  <c r="F14" i="70"/>
  <c r="E14" i="70"/>
  <c r="D14" i="70"/>
  <c r="G14" i="70" s="1"/>
  <c r="K14" i="69"/>
  <c r="J14" i="69"/>
  <c r="I14" i="69"/>
  <c r="H14" i="69"/>
  <c r="G14" i="69"/>
  <c r="F14" i="69"/>
  <c r="D14" i="69"/>
  <c r="E14" i="69" s="1"/>
  <c r="AA14" i="58"/>
  <c r="T14" i="58"/>
  <c r="Z14" i="58" s="1"/>
  <c r="K14" i="58"/>
  <c r="J14" i="58"/>
  <c r="I14" i="58"/>
  <c r="H14" i="58"/>
  <c r="G14" i="58"/>
  <c r="D14" i="58"/>
  <c r="F14" i="58" s="1"/>
  <c r="E14" i="75" l="1"/>
  <c r="F14" i="75"/>
  <c r="E14" i="73"/>
  <c r="F14" i="73"/>
  <c r="F14" i="77"/>
  <c r="G14" i="77"/>
  <c r="H14" i="77"/>
  <c r="I14" i="77"/>
  <c r="J14" i="77"/>
  <c r="E14" i="77"/>
  <c r="I14" i="76"/>
  <c r="J14" i="76"/>
  <c r="K14" i="76"/>
  <c r="E14" i="76"/>
  <c r="F14" i="76"/>
  <c r="H14" i="72"/>
  <c r="I14" i="72"/>
  <c r="E14" i="72"/>
  <c r="F14" i="72"/>
  <c r="U14" i="58"/>
  <c r="X14" i="58"/>
  <c r="V14" i="58"/>
  <c r="E14" i="58"/>
  <c r="Y14" i="58"/>
  <c r="W14" i="58"/>
  <c r="L14" i="75" l="1"/>
  <c r="L14" i="74"/>
  <c r="S14" i="74" s="1"/>
  <c r="L14" i="73"/>
  <c r="Q14" i="73" s="1"/>
  <c r="L14" i="77"/>
  <c r="P14" i="77" s="1"/>
  <c r="L14" i="76"/>
  <c r="L14" i="72"/>
  <c r="Q14" i="72" s="1"/>
  <c r="L14" i="71"/>
  <c r="L14" i="70"/>
  <c r="N14" i="70" s="1"/>
  <c r="L14" i="69"/>
  <c r="T14" i="75"/>
  <c r="V14" i="75" s="1"/>
  <c r="T14" i="74"/>
  <c r="T14" i="73"/>
  <c r="T14" i="77"/>
  <c r="W14" i="77" s="1"/>
  <c r="T14" i="76"/>
  <c r="T14" i="72"/>
  <c r="Z14" i="72" s="1"/>
  <c r="T14" i="71"/>
  <c r="U14" i="71" s="1"/>
  <c r="T14" i="70"/>
  <c r="AA14" i="70" s="1"/>
  <c r="T14" i="69"/>
  <c r="N14" i="75"/>
  <c r="M14" i="75"/>
  <c r="S14" i="75"/>
  <c r="R14" i="75"/>
  <c r="Q14" i="75"/>
  <c r="P14" i="75"/>
  <c r="O14" i="75"/>
  <c r="AA14" i="75"/>
  <c r="Z14" i="75"/>
  <c r="U14" i="75"/>
  <c r="Y14" i="75"/>
  <c r="W14" i="75"/>
  <c r="R14" i="74"/>
  <c r="Q14" i="74"/>
  <c r="P14" i="74"/>
  <c r="O14" i="74"/>
  <c r="M14" i="74"/>
  <c r="N14" i="74"/>
  <c r="AA14" i="74"/>
  <c r="Z14" i="74"/>
  <c r="Y14" i="74"/>
  <c r="X14" i="74"/>
  <c r="W14" i="74"/>
  <c r="V14" i="74"/>
  <c r="U14" i="74"/>
  <c r="AA14" i="73"/>
  <c r="X14" i="73"/>
  <c r="Z14" i="73"/>
  <c r="Y14" i="73"/>
  <c r="W14" i="73"/>
  <c r="V14" i="73"/>
  <c r="U14" i="73"/>
  <c r="O14" i="73"/>
  <c r="M14" i="73"/>
  <c r="AA14" i="77"/>
  <c r="U14" i="77"/>
  <c r="Z14" i="77"/>
  <c r="Y14" i="77"/>
  <c r="X14" i="77"/>
  <c r="S14" i="77"/>
  <c r="AA14" i="76"/>
  <c r="Z14" i="76"/>
  <c r="Y14" i="76"/>
  <c r="U14" i="76"/>
  <c r="X14" i="76"/>
  <c r="V14" i="76"/>
  <c r="W14" i="76"/>
  <c r="S14" i="76"/>
  <c r="P14" i="76"/>
  <c r="R14" i="76"/>
  <c r="O14" i="76"/>
  <c r="N14" i="76"/>
  <c r="M14" i="76"/>
  <c r="Q14" i="76"/>
  <c r="S14" i="72"/>
  <c r="R14" i="72"/>
  <c r="M14" i="72"/>
  <c r="O14" i="72"/>
  <c r="N14" i="72"/>
  <c r="S14" i="71"/>
  <c r="R14" i="71"/>
  <c r="Q14" i="71"/>
  <c r="P14" i="71"/>
  <c r="O14" i="71"/>
  <c r="N14" i="71"/>
  <c r="M14" i="71"/>
  <c r="Y14" i="71"/>
  <c r="X14" i="71"/>
  <c r="W14" i="71"/>
  <c r="V14" i="71"/>
  <c r="S14" i="70"/>
  <c r="R14" i="70"/>
  <c r="Q14" i="70"/>
  <c r="P14" i="70"/>
  <c r="O14" i="70"/>
  <c r="M14" i="70"/>
  <c r="Z14" i="70"/>
  <c r="X14" i="70"/>
  <c r="V14" i="70"/>
  <c r="U14" i="70"/>
  <c r="W14" i="70"/>
  <c r="Y14" i="70"/>
  <c r="Y14" i="69"/>
  <c r="AA14" i="69"/>
  <c r="Z14" i="69"/>
  <c r="X14" i="69"/>
  <c r="V14" i="69"/>
  <c r="U14" i="69"/>
  <c r="W14" i="69"/>
  <c r="P14" i="69"/>
  <c r="N14" i="69"/>
  <c r="M14" i="69"/>
  <c r="S14" i="69"/>
  <c r="R14" i="69"/>
  <c r="Q14" i="69"/>
  <c r="O14" i="69"/>
  <c r="Y5" i="68" a="1"/>
  <c r="C10" i="68" a="1"/>
  <c r="I9" i="68" a="1"/>
  <c r="Y4" i="68" a="1"/>
  <c r="G10" i="68" a="1"/>
  <c r="L7" i="68" a="1"/>
  <c r="M11" i="68" a="1"/>
  <c r="K9" i="68" a="1"/>
  <c r="S7" i="68" a="1"/>
  <c r="Y9" i="68" a="1"/>
  <c r="C12" i="68" a="1"/>
  <c r="E4" i="68" a="1"/>
  <c r="C11" i="68" a="1"/>
  <c r="S9" i="68" a="1"/>
  <c r="X9" i="68" a="1"/>
  <c r="W4" i="68" a="1"/>
  <c r="C4" i="68" a="1"/>
  <c r="X6" i="68" a="1"/>
  <c r="Y7" i="68" a="1"/>
  <c r="V4" i="68" a="1"/>
  <c r="N11" i="68" a="1"/>
  <c r="H9" i="68" a="1"/>
  <c r="K12" i="68" a="1"/>
  <c r="W9" i="68" a="1"/>
  <c r="D7" i="68" a="1"/>
  <c r="K8" i="68" a="1"/>
  <c r="M6" i="68" a="1"/>
  <c r="G11" i="68" a="1"/>
  <c r="S6" i="68" a="1"/>
  <c r="C5" i="68" a="1"/>
  <c r="P11" i="68" a="1"/>
  <c r="V9" i="68" a="1"/>
  <c r="O9" i="68" a="1"/>
  <c r="T8" i="68" a="1"/>
  <c r="W8" i="68" a="1"/>
  <c r="S10" i="68" a="1"/>
  <c r="K7" i="68" a="1"/>
  <c r="E11" i="68" a="1"/>
  <c r="U4" i="68" a="1"/>
  <c r="Q8" i="68" a="1"/>
  <c r="O11" i="68" a="1"/>
  <c r="N7" i="68" a="1"/>
  <c r="N4" i="68" a="1"/>
  <c r="H7" i="68" a="1"/>
  <c r="C7" i="68" a="1"/>
  <c r="L6" i="68" a="1"/>
  <c r="K10" i="68" a="1"/>
  <c r="X8" i="68" a="1"/>
  <c r="G8" i="68" a="1"/>
  <c r="F9" i="68" a="1"/>
  <c r="S8" i="68" a="1"/>
  <c r="D6" i="68" a="1"/>
  <c r="E12" i="68" a="1"/>
  <c r="S4" i="68" a="1"/>
  <c r="P4" i="68" a="1"/>
  <c r="G9" i="68" a="1"/>
  <c r="P6" i="68" a="1"/>
  <c r="Q12" i="68" a="1"/>
  <c r="D4" i="68" a="1"/>
  <c r="W5" i="68" a="1"/>
  <c r="P7" i="68" a="1"/>
  <c r="K4" i="68" a="1"/>
  <c r="G6" i="68" a="1"/>
  <c r="N5" i="68" a="1"/>
  <c r="E10" i="68" a="1"/>
  <c r="T11" i="68" a="1"/>
  <c r="I5" i="68" a="1"/>
  <c r="S12" i="68" a="1"/>
  <c r="U8" i="68" a="1"/>
  <c r="T6" i="68" a="1"/>
  <c r="C6" i="68" a="1"/>
  <c r="D9" i="68" a="1"/>
  <c r="S5" i="68" a="1"/>
  <c r="K11" i="68" a="1"/>
  <c r="F4" i="68" a="1"/>
  <c r="S11" i="68" a="1"/>
  <c r="T9" i="68" a="1"/>
  <c r="K6" i="68" a="1"/>
  <c r="C9" i="68" a="1"/>
  <c r="I11" i="68" a="1"/>
  <c r="E9" i="68" a="1"/>
  <c r="I8" i="68" a="1"/>
  <c r="E7" i="68" a="1"/>
  <c r="K5" i="68" a="1"/>
  <c r="C8" i="68" a="1"/>
  <c r="P5" i="68" a="1"/>
  <c r="Y12" i="68" a="1"/>
  <c r="M7" i="68" a="1"/>
  <c r="X4" i="68" a="1"/>
  <c r="V11" i="68" a="1"/>
  <c r="Q6" i="68" a="1"/>
  <c r="E6" i="68" a="1"/>
  <c r="V8" i="68" a="1"/>
  <c r="M4" i="68" a="1"/>
  <c r="K12" i="68" l="1"/>
  <c r="K11" i="68"/>
  <c r="S14" i="73"/>
  <c r="R14" i="73"/>
  <c r="N14" i="73"/>
  <c r="P14" i="73"/>
  <c r="K10" i="68"/>
  <c r="N14" i="77"/>
  <c r="Q14" i="77"/>
  <c r="R14" i="77"/>
  <c r="Z2" i="77" s="1"/>
  <c r="M14" i="77"/>
  <c r="O14" i="77"/>
  <c r="K9" i="68"/>
  <c r="K8" i="68"/>
  <c r="P14" i="72"/>
  <c r="K7" i="68"/>
  <c r="K6" i="68"/>
  <c r="K5" i="68"/>
  <c r="K4" i="68"/>
  <c r="L14" i="58"/>
  <c r="O14" i="58" s="1"/>
  <c r="X14" i="75"/>
  <c r="X2" i="75" s="1"/>
  <c r="S12" i="68"/>
  <c r="S11" i="68"/>
  <c r="S10" i="68"/>
  <c r="V14" i="77"/>
  <c r="S9" i="68"/>
  <c r="S8" i="68"/>
  <c r="V14" i="72"/>
  <c r="U14" i="72"/>
  <c r="X14" i="72"/>
  <c r="AA14" i="72"/>
  <c r="W14" i="72"/>
  <c r="Y14" i="72"/>
  <c r="S7" i="68"/>
  <c r="Z14" i="71"/>
  <c r="AA14" i="71"/>
  <c r="S6" i="68"/>
  <c r="S5" i="68"/>
  <c r="S4" i="68"/>
  <c r="S14" i="58"/>
  <c r="C9" i="68"/>
  <c r="J2" i="73"/>
  <c r="H2" i="73"/>
  <c r="C10" i="68"/>
  <c r="X2" i="74"/>
  <c r="C11" i="68"/>
  <c r="J2" i="75"/>
  <c r="H2" i="75"/>
  <c r="C12" i="68"/>
  <c r="Q12" i="68"/>
  <c r="E12" i="68"/>
  <c r="Y12" i="68"/>
  <c r="O11" i="68"/>
  <c r="P11" i="68"/>
  <c r="N11" i="68"/>
  <c r="I11" i="68"/>
  <c r="T11" i="68"/>
  <c r="E11" i="68"/>
  <c r="M11" i="68"/>
  <c r="V11" i="68"/>
  <c r="G11" i="68"/>
  <c r="J2" i="74"/>
  <c r="E10" i="68"/>
  <c r="G10" i="68"/>
  <c r="G9" i="68"/>
  <c r="W9" i="68"/>
  <c r="D9" i="68"/>
  <c r="X9" i="68"/>
  <c r="V9" i="68"/>
  <c r="E9" i="68"/>
  <c r="Y9" i="68"/>
  <c r="F9" i="68"/>
  <c r="O9" i="68"/>
  <c r="H9" i="68"/>
  <c r="I9" i="68"/>
  <c r="T9" i="68"/>
  <c r="J2" i="77"/>
  <c r="Z2" i="76"/>
  <c r="P2" i="76"/>
  <c r="H2" i="76"/>
  <c r="C8" i="68"/>
  <c r="R2" i="72"/>
  <c r="X2" i="72"/>
  <c r="P2" i="72"/>
  <c r="C7" i="68"/>
  <c r="P2" i="71"/>
  <c r="J2" i="71"/>
  <c r="C6" i="68"/>
  <c r="P2" i="70"/>
  <c r="R2" i="70"/>
  <c r="H2" i="70"/>
  <c r="C5" i="68"/>
  <c r="J2" i="69"/>
  <c r="P2" i="69"/>
  <c r="C4" i="68"/>
  <c r="T8" i="68"/>
  <c r="U8" i="68"/>
  <c r="W8" i="68"/>
  <c r="V8" i="68"/>
  <c r="X8" i="68"/>
  <c r="G8" i="68"/>
  <c r="I8" i="68"/>
  <c r="Q8" i="68"/>
  <c r="J2" i="76"/>
  <c r="H7" i="68"/>
  <c r="P7" i="68"/>
  <c r="E7" i="68"/>
  <c r="N7" i="68"/>
  <c r="D7" i="68"/>
  <c r="L7" i="68"/>
  <c r="M7" i="68"/>
  <c r="Y7" i="68"/>
  <c r="J2" i="72"/>
  <c r="P2" i="74"/>
  <c r="E6" i="68"/>
  <c r="L6" i="68"/>
  <c r="M6" i="68"/>
  <c r="P6" i="68"/>
  <c r="G6" i="68"/>
  <c r="Q6" i="68"/>
  <c r="T6" i="68"/>
  <c r="D6" i="68"/>
  <c r="X6" i="68"/>
  <c r="H2" i="74"/>
  <c r="N5" i="68"/>
  <c r="P5" i="68"/>
  <c r="W5" i="68"/>
  <c r="I5" i="68"/>
  <c r="Y5" i="68"/>
  <c r="J2" i="70"/>
  <c r="R2" i="76"/>
  <c r="H2" i="72"/>
  <c r="H2" i="77"/>
  <c r="Y4" i="68"/>
  <c r="M4" i="68"/>
  <c r="U4" i="68"/>
  <c r="V4" i="68"/>
  <c r="F4" i="68"/>
  <c r="P4" i="68"/>
  <c r="N4" i="68"/>
  <c r="X4" i="68"/>
  <c r="D4" i="68"/>
  <c r="W4" i="68"/>
  <c r="E4" i="68"/>
  <c r="Z2" i="75"/>
  <c r="P2" i="77"/>
  <c r="R2" i="77"/>
  <c r="X2" i="77"/>
  <c r="R2" i="75"/>
  <c r="H2" i="69"/>
  <c r="H2" i="71"/>
  <c r="R2" i="71"/>
  <c r="Y8" i="68" a="1"/>
  <c r="F5" i="68" a="1"/>
  <c r="N8" i="68" a="1"/>
  <c r="V7" i="68" a="1"/>
  <c r="F7" i="68" a="1"/>
  <c r="P8" i="68" a="1"/>
  <c r="X10" i="68" a="1"/>
  <c r="H6" i="68" a="1"/>
  <c r="O4" i="68" a="1"/>
  <c r="L4" i="68" a="1"/>
  <c r="D12" i="68" a="1"/>
  <c r="K3" i="68" a="1"/>
  <c r="I4" i="68" a="1"/>
  <c r="G7" i="68" a="1"/>
  <c r="P12" i="68" a="1"/>
  <c r="W6" i="68" a="1"/>
  <c r="G12" i="68" a="1"/>
  <c r="F11" i="68" a="1"/>
  <c r="W7" i="68" a="1"/>
  <c r="N6" i="68" a="1"/>
  <c r="W10" i="68" a="1"/>
  <c r="T4" i="68" a="1"/>
  <c r="W12" i="68" a="1"/>
  <c r="F12" i="68" a="1"/>
  <c r="V5" i="68" a="1"/>
  <c r="X5" i="68" a="1"/>
  <c r="F6" i="68" a="1"/>
  <c r="O10" i="68" a="1"/>
  <c r="H11" i="68" a="1"/>
  <c r="Y10" i="68" a="1"/>
  <c r="I7" i="68" a="1"/>
  <c r="P9" i="68" a="1"/>
  <c r="H4" i="68" a="1"/>
  <c r="M8" i="68" a="1"/>
  <c r="M9" i="68" a="1"/>
  <c r="L9" i="68" a="1"/>
  <c r="T7" i="68" a="1"/>
  <c r="M12" i="68" a="1"/>
  <c r="L8" i="68" a="1"/>
  <c r="T5" i="68" a="1"/>
  <c r="I6" i="68" a="1"/>
  <c r="H10" i="68" a="1"/>
  <c r="O8" i="68" a="1"/>
  <c r="X11" i="68" a="1"/>
  <c r="N10" i="68" a="1"/>
  <c r="L12" i="68" a="1"/>
  <c r="H12" i="68" a="1"/>
  <c r="C3" i="68" a="1"/>
  <c r="I12" i="68" a="1"/>
  <c r="Q10" i="68" a="1"/>
  <c r="M5" i="68" a="1"/>
  <c r="N9" i="68" a="1"/>
  <c r="Q4" i="68" a="1"/>
  <c r="Q9" i="68" a="1"/>
  <c r="D10" i="68" a="1"/>
  <c r="L5" i="68" a="1"/>
  <c r="D8" i="68" a="1"/>
  <c r="F8" i="68" a="1"/>
  <c r="G5" i="68" a="1"/>
  <c r="O6" i="68" a="1"/>
  <c r="F10" i="68" a="1"/>
  <c r="G4" i="68" a="1"/>
  <c r="W11" i="68" a="1"/>
  <c r="U9" i="68" a="1"/>
  <c r="S3" i="68" a="1"/>
  <c r="H8" i="68" a="1"/>
  <c r="D5" i="68" a="1"/>
  <c r="O5" i="68" a="1"/>
  <c r="U6" i="68" a="1"/>
  <c r="L11" i="68" a="1"/>
  <c r="P10" i="68" a="1"/>
  <c r="T10" i="68" a="1"/>
  <c r="U5" i="68" a="1"/>
  <c r="I10" i="68" a="1"/>
  <c r="Y6" i="68" a="1"/>
  <c r="U7" i="68" a="1"/>
  <c r="X7" i="68" a="1"/>
  <c r="N12" i="68" a="1"/>
  <c r="Q7" i="68" a="1"/>
  <c r="V12" i="68" a="1"/>
  <c r="X12" i="68" a="1"/>
  <c r="M10" i="68" a="1"/>
  <c r="Y11" i="68" a="1"/>
  <c r="O7" i="68" a="1"/>
  <c r="T12" i="68" a="1"/>
  <c r="U10" i="68" a="1"/>
  <c r="L10" i="68" a="1"/>
  <c r="V10" i="68" a="1"/>
  <c r="U11" i="68" a="1"/>
  <c r="V6" i="68" a="1"/>
  <c r="E8" i="68" a="1"/>
  <c r="E5" i="68" a="1"/>
  <c r="H5" i="68" a="1"/>
  <c r="Q11" i="68" a="1"/>
  <c r="Q5" i="68" a="1"/>
  <c r="U12" i="68" a="1"/>
  <c r="O12" i="68" a="1"/>
  <c r="D11" i="68" a="1"/>
  <c r="Q9" i="68" l="1"/>
  <c r="N9" i="68"/>
  <c r="L9" i="68"/>
  <c r="P9" i="68"/>
  <c r="M9" i="68"/>
  <c r="O7" i="68"/>
  <c r="N14" i="58"/>
  <c r="Q14" i="58"/>
  <c r="P14" i="58"/>
  <c r="R14" i="58"/>
  <c r="M14" i="58"/>
  <c r="K3" i="68"/>
  <c r="K16" i="68" s="1"/>
  <c r="W12" i="68"/>
  <c r="U9" i="68"/>
  <c r="T7" i="68"/>
  <c r="Y6" i="68"/>
  <c r="Z2" i="71"/>
  <c r="S3" i="68"/>
  <c r="S16" i="68" s="1"/>
  <c r="R2" i="73"/>
  <c r="Z2" i="74"/>
  <c r="R2" i="74"/>
  <c r="I10" i="68"/>
  <c r="H10" i="68"/>
  <c r="D10" i="68"/>
  <c r="Y10" i="68"/>
  <c r="O10" i="68"/>
  <c r="F10" i="68"/>
  <c r="X10" i="68"/>
  <c r="W10" i="68"/>
  <c r="P10" i="68"/>
  <c r="M10" i="68"/>
  <c r="N10" i="68"/>
  <c r="V10" i="68"/>
  <c r="U10" i="68"/>
  <c r="T10" i="68"/>
  <c r="L10" i="68"/>
  <c r="Q10" i="68"/>
  <c r="X2" i="73"/>
  <c r="P2" i="73"/>
  <c r="Z2" i="73"/>
  <c r="L11" i="68"/>
  <c r="Q11" i="68"/>
  <c r="H11" i="68"/>
  <c r="F11" i="68"/>
  <c r="D11" i="68"/>
  <c r="X11" i="68"/>
  <c r="Y11" i="68"/>
  <c r="W11" i="68"/>
  <c r="U11" i="68"/>
  <c r="P2" i="75"/>
  <c r="P12" i="68"/>
  <c r="O12" i="68"/>
  <c r="M12" i="68"/>
  <c r="I12" i="68"/>
  <c r="F12" i="68"/>
  <c r="V12" i="68"/>
  <c r="U12" i="68"/>
  <c r="T12" i="68"/>
  <c r="X12" i="68"/>
  <c r="G12" i="68"/>
  <c r="L12" i="68"/>
  <c r="N12" i="68"/>
  <c r="H12" i="68"/>
  <c r="D12" i="68"/>
  <c r="X2" i="76"/>
  <c r="Z2" i="72"/>
  <c r="P8" i="68"/>
  <c r="O8" i="68"/>
  <c r="L8" i="68"/>
  <c r="N8" i="68"/>
  <c r="M8" i="68"/>
  <c r="H8" i="68"/>
  <c r="F8" i="68"/>
  <c r="D8" i="68"/>
  <c r="Y8" i="68"/>
  <c r="E8" i="68"/>
  <c r="Q7" i="68"/>
  <c r="G7" i="68"/>
  <c r="I7" i="68"/>
  <c r="V7" i="68"/>
  <c r="X7" i="68"/>
  <c r="W7" i="68"/>
  <c r="U7" i="68"/>
  <c r="F7" i="68"/>
  <c r="X2" i="71"/>
  <c r="W6" i="68"/>
  <c r="V6" i="68"/>
  <c r="U6" i="68"/>
  <c r="O6" i="68"/>
  <c r="N6" i="68"/>
  <c r="F6" i="68"/>
  <c r="I6" i="68"/>
  <c r="H6" i="68"/>
  <c r="X2" i="70"/>
  <c r="Z2" i="70"/>
  <c r="E5" i="68"/>
  <c r="V5" i="68"/>
  <c r="F5" i="68"/>
  <c r="Q5" i="68"/>
  <c r="U5" i="68"/>
  <c r="O5" i="68"/>
  <c r="M5" i="68"/>
  <c r="H5" i="68"/>
  <c r="G5" i="68"/>
  <c r="X5" i="68"/>
  <c r="D5" i="68"/>
  <c r="T5" i="68"/>
  <c r="L5" i="68"/>
  <c r="X2" i="69"/>
  <c r="R2" i="69"/>
  <c r="Z2" i="69"/>
  <c r="L4" i="68"/>
  <c r="Q4" i="68"/>
  <c r="O4" i="68"/>
  <c r="G4" i="68"/>
  <c r="I4" i="68"/>
  <c r="H4" i="68"/>
  <c r="T4" i="68"/>
  <c r="C3" i="68"/>
  <c r="F3" i="68" a="1"/>
  <c r="D3" i="68" a="1"/>
  <c r="W3" i="68" a="1"/>
  <c r="Y3" i="68" a="1"/>
  <c r="Q3" i="68" a="1"/>
  <c r="G3" i="68" a="1"/>
  <c r="U3" i="68" a="1"/>
  <c r="H3" i="68" a="1"/>
  <c r="P3" i="68" a="1"/>
  <c r="M3" i="68" a="1"/>
  <c r="O3" i="68" a="1"/>
  <c r="T3" i="68" a="1"/>
  <c r="V3" i="68" a="1"/>
  <c r="E3" i="68" a="1"/>
  <c r="I3" i="68" a="1"/>
  <c r="X3" i="68" a="1"/>
  <c r="N3" i="68" a="1"/>
  <c r="L3" i="68" a="1"/>
  <c r="S13" i="68" l="1"/>
  <c r="Z13" i="68" s="1"/>
  <c r="K13" i="68"/>
  <c r="R13" i="68" s="1"/>
  <c r="C13" i="68"/>
  <c r="C16" i="68"/>
  <c r="M3" i="68"/>
  <c r="M13" i="68" s="1"/>
  <c r="Y3" i="68"/>
  <c r="Y13" i="68" s="1"/>
  <c r="X3" i="68"/>
  <c r="X13" i="68" s="1"/>
  <c r="W3" i="68"/>
  <c r="W13" i="68" s="1"/>
  <c r="F3" i="68"/>
  <c r="F13" i="68" s="1"/>
  <c r="P3" i="68"/>
  <c r="P13" i="68" s="1"/>
  <c r="V3" i="68"/>
  <c r="V13" i="68" s="1"/>
  <c r="O3" i="68"/>
  <c r="O13" i="68" s="1"/>
  <c r="E3" i="68"/>
  <c r="E13" i="68" s="1"/>
  <c r="L3" i="68"/>
  <c r="L13" i="68" s="1"/>
  <c r="L16" i="68" s="1"/>
  <c r="N3" i="68"/>
  <c r="N13" i="68" s="1"/>
  <c r="G3" i="68"/>
  <c r="G13" i="68" s="1"/>
  <c r="Q3" i="68"/>
  <c r="Q13" i="68" s="1"/>
  <c r="H3" i="68"/>
  <c r="H13" i="68" s="1"/>
  <c r="T3" i="68"/>
  <c r="T13" i="68" s="1"/>
  <c r="T16" i="68" s="1"/>
  <c r="I3" i="68"/>
  <c r="I13" i="68" s="1"/>
  <c r="U3" i="68"/>
  <c r="U13" i="68" s="1"/>
  <c r="D3" i="68"/>
  <c r="D13" i="68" s="1"/>
  <c r="D16" i="68" s="1"/>
  <c r="J2" i="58"/>
  <c r="R2" i="58"/>
  <c r="H2" i="58"/>
  <c r="Z2" i="58"/>
  <c r="P2" i="58"/>
  <c r="X2" i="58"/>
  <c r="S14" i="68" l="1"/>
  <c r="K14" i="68"/>
  <c r="J13" i="68"/>
  <c r="U14" i="68"/>
  <c r="N14" i="68"/>
  <c r="V14" i="68"/>
  <c r="O14" i="68"/>
  <c r="Y14" i="68"/>
  <c r="T14" i="68"/>
  <c r="Q14" i="68"/>
  <c r="L14" i="68"/>
  <c r="P14" i="68"/>
  <c r="W14" i="68"/>
  <c r="X14" i="68"/>
  <c r="M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G8" i="23" a="1"/>
  <c r="F5" i="23" a="1"/>
  <c r="G11" i="23" a="1"/>
  <c r="D8" i="23" a="1"/>
  <c r="F8" i="23" a="1"/>
  <c r="E6" i="23" a="1"/>
  <c r="D5" i="23" a="1"/>
  <c r="F7" i="23" a="1"/>
  <c r="G5" i="23" a="1"/>
  <c r="D10" i="23" a="1"/>
  <c r="D12" i="23" a="1"/>
  <c r="F12" i="23" a="1"/>
  <c r="F11" i="23" a="1"/>
  <c r="D13" i="23" a="1"/>
  <c r="E5" i="23" a="1"/>
  <c r="G6" i="23" a="1"/>
  <c r="D11" i="23" a="1"/>
  <c r="E13" i="23" a="1"/>
  <c r="E4" i="23" a="1"/>
  <c r="E8" i="23" a="1"/>
  <c r="E10" i="23" a="1"/>
  <c r="E12" i="23" a="1"/>
  <c r="F13" i="23" a="1"/>
  <c r="F6" i="23" a="1"/>
  <c r="D4" i="23" a="1"/>
  <c r="G9" i="23" a="1"/>
  <c r="E9" i="23" a="1"/>
  <c r="G10" i="23" a="1"/>
  <c r="G4" i="23" a="1"/>
  <c r="E7" i="23" a="1"/>
  <c r="G7" i="23" a="1"/>
  <c r="F9" i="23" a="1"/>
  <c r="F4" i="23" a="1"/>
  <c r="E11" i="23" a="1"/>
  <c r="G13" i="23" a="1"/>
  <c r="F10" i="23" a="1"/>
  <c r="D9" i="23" a="1"/>
  <c r="G12" i="23" a="1"/>
  <c r="D7" i="23" a="1"/>
  <c r="D6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<sst xmlns="http://schemas.openxmlformats.org/spreadsheetml/2006/main" count="677" uniqueCount="22">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</sst>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zoomScale="85" zoomScaleNormal="85" workbookViewId="0">
      <selection activeCell="A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70</v>
      </c>
      <c r="C3" s="5" cm="1">
        <f t="array" aca="1" ref="C3" ca="1">INDIRECT("'results" &amp; $B3 &amp; "'!D$14")</f>
        <v>1896166.279016362</v>
      </c>
      <c r="D3" s="33" cm="1">
        <f t="array" aca="1" ref="D3" ca="1">INDIRECT("'results" &amp; $B3 &amp; "'!E$14")</f>
        <v>140.37162162162161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72</v>
      </c>
      <c r="G3" s="5" cm="1">
        <f t="array" aca="1" ref="G3" ca="1">INDIRECT("'results" &amp; $B3 &amp; "'!H$14")</f>
        <v>1630.1857814874445</v>
      </c>
      <c r="H3" s="33" cm="1">
        <f t="array" aca="1" ref="H3" ca="1">INDIRECT("'results" &amp; $B3 &amp; "'!I$14")</f>
        <v>37.128113858376686</v>
      </c>
      <c r="I3" s="5" cm="1">
        <f t="array" aca="1" ref="I3" ca="1">INDIRECT("'results" &amp; $B3 &amp; "'!J$14")</f>
        <v>6964.9681784546756</v>
      </c>
      <c r="J3" s="5"/>
      <c r="K3" s="5" cm="1">
        <f t="array" aca="1" ref="K3" ca="1">INDIRECT("'results" &amp; $B3 &amp; "'!L$14")</f>
        <v>2239563.5857925839</v>
      </c>
      <c r="L3" s="5" cm="1">
        <f t="array" aca="1" ref="L3" ca="1">INDIRECT("'results" &amp; $B3 &amp; "'!M$14")</f>
        <v>148.67837837837459</v>
      </c>
      <c r="M3" s="5" cm="1">
        <f t="array" aca="1" ref="M3" ca="1">INDIRECT("'results" &amp; $B3 &amp; "'!N$14")</f>
        <v>10</v>
      </c>
      <c r="N3" s="5" cm="1">
        <f t="array" aca="1" ref="N3" ca="1">INDIRECT("'results" &amp; $B3 &amp; "'!O$14")</f>
        <v>48</v>
      </c>
      <c r="O3" s="5" cm="1">
        <f t="array" aca="1" ref="O3" ca="1">INDIRECT("'results" &amp; $B3 &amp; "'!P$14")</f>
        <v>1200.7184673589791</v>
      </c>
      <c r="P3" s="5" cm="1">
        <f t="array" aca="1" ref="P3" ca="1">INDIRECT("'results" &amp; $B3 &amp; "'!Q$14")</f>
        <v>23.558120821856868</v>
      </c>
      <c r="Q3" s="5" cm="1">
        <f t="array" aca="1" ref="Q3" ca="1">INDIRECT("'results" &amp; $B3 &amp; "'!R$14")</f>
        <v>6321.4101218628684</v>
      </c>
      <c r="R3" s="5"/>
      <c r="S3" s="5" cm="1">
        <f t="array" aca="1" ref="S3" ca="1">INDIRECT("'results" &amp; $B3 &amp; "'!T$14")</f>
        <v>2217650.3405192299</v>
      </c>
      <c r="T3" s="5" cm="1">
        <f t="array" aca="1" ref="T3" ca="1">INDIRECT("'results" &amp; $B3 &amp; "'!U$14")</f>
        <v>153.53054054054695</v>
      </c>
      <c r="U3" s="5" cm="1">
        <f t="array" aca="1" ref="U3" ca="1">INDIRECT("'results" &amp; $B3 &amp; "'!V$14")</f>
        <v>8</v>
      </c>
      <c r="V3" s="5" cm="1">
        <f t="array" aca="1" ref="V3" ca="1">INDIRECT("'results" &amp; $B3 &amp; "'!W$14")</f>
        <v>48.666666666666657</v>
      </c>
      <c r="W3" s="5" cm="1">
        <f t="array" aca="1" ref="W3" ca="1">INDIRECT("'results" &amp; $B3 &amp; "'!X$14")</f>
        <v>1391.5053312517457</v>
      </c>
      <c r="X3" s="5" cm="1">
        <f t="array" aca="1" ref="X3" ca="1">INDIRECT("'results" &amp; $B3 &amp; "'!Y$14")</f>
        <v>46.944558645697377</v>
      </c>
      <c r="Y3" s="5" cm="1">
        <f t="array" aca="1" ref="Y3" ca="1">INDIRECT("'results" &amp; $B3 &amp; "'!Z$14")</f>
        <v>6894.788506350008</v>
      </c>
      <c r="Z3" s="5"/>
    </row>
    <row r="4" spans="2:26" x14ac:dyDescent="0.2">
      <c r="B4" s="4">
        <v>203</v>
      </c>
      <c r="C4" s="5" cm="1">
        <f t="array" aca="1" ref="C4" ca="1">INDIRECT("'results" &amp; $B4 &amp; "'!D$14")</f>
        <v>1590369.7626271599</v>
      </c>
      <c r="D4" s="33" cm="1">
        <f t="array" aca="1" ref="D4" ca="1">INDIRECT("'results" &amp; $B4 &amp; "'!E$14")</f>
        <v>256.43162162162713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84</v>
      </c>
      <c r="G4" s="5" cm="1">
        <f t="array" aca="1" ref="G4" ca="1">INDIRECT("'results" &amp; $B4 &amp; "'!H$14")</f>
        <v>1430.9365038223002</v>
      </c>
      <c r="H4" s="33" cm="1">
        <f t="array" aca="1" ref="H4" ca="1">INDIRECT("'results" &amp; $B4 &amp; "'!I$14")</f>
        <v>45.975906700217934</v>
      </c>
      <c r="I4" s="5" cm="1">
        <f t="array" aca="1" ref="I4" ca="1">INDIRECT("'results" &amp; $B4 &amp; "'!J$14")</f>
        <v>6469.0160471290474</v>
      </c>
      <c r="J4" s="5"/>
      <c r="K4" s="5" cm="1">
        <f t="array" aca="1" ref="K4" ca="1">INDIRECT("'results" &amp; $B4 &amp; "'!L$14")</f>
        <v>2141649.001422409</v>
      </c>
      <c r="L4" s="5" cm="1">
        <f t="array" aca="1" ref="L4" ca="1">INDIRECT("'results" &amp; $B4 &amp; "'!M$14")</f>
        <v>309.33297297297486</v>
      </c>
      <c r="M4" s="5" cm="1">
        <f t="array" aca="1" ref="M4" ca="1">INDIRECT("'results" &amp; $B4 &amp; "'!N$14")</f>
        <v>14</v>
      </c>
      <c r="N4" s="5" cm="1">
        <f t="array" aca="1" ref="N4" ca="1">INDIRECT("'results" &amp; $B4 &amp; "'!O$14")</f>
        <v>54.666666666666657</v>
      </c>
      <c r="O4" s="5" cm="1">
        <f t="array" aca="1" ref="O4" ca="1">INDIRECT("'results" &amp; $B4 &amp; "'!P$14")</f>
        <v>1364.2500371192987</v>
      </c>
      <c r="P4" s="5" cm="1">
        <f t="array" aca="1" ref="P4" ca="1">INDIRECT("'results" &amp; $B4 &amp; "'!Q$14")</f>
        <v>22.80478047609957</v>
      </c>
      <c r="Q4" s="5" cm="1">
        <f t="array" aca="1" ref="Q4" ca="1">INDIRECT("'results" &amp; $B4 &amp; "'!R$14")</f>
        <v>5908.2301522435173</v>
      </c>
      <c r="R4" s="5"/>
      <c r="S4" s="5" cm="1">
        <f t="array" aca="1" ref="S4" ca="1">INDIRECT("'results" &amp; $B4 &amp; "'!T$14")</f>
        <v>2019860.4292595449</v>
      </c>
      <c r="T4" s="5" cm="1">
        <f t="array" aca="1" ref="T4" ca="1">INDIRECT("'results" &amp; $B4 &amp; "'!U$14")</f>
        <v>146.72297297297297</v>
      </c>
      <c r="U4" s="5" cm="1">
        <f t="array" aca="1" ref="U4" ca="1">INDIRECT("'results" &amp; $B4 &amp; "'!V$14")</f>
        <v>10</v>
      </c>
      <c r="V4" s="5" cm="1">
        <f t="array" aca="1" ref="V4" ca="1">INDIRECT("'results" &amp; $B4 &amp; "'!W$14")</f>
        <v>59.333333333333343</v>
      </c>
      <c r="W4" s="5" cm="1">
        <f t="array" aca="1" ref="W4" ca="1">INDIRECT("'results" &amp; $B4 &amp; "'!X$14")</f>
        <v>1486.1663975475346</v>
      </c>
      <c r="X4" s="5" cm="1">
        <f t="array" aca="1" ref="X4" ca="1">INDIRECT("'results" &amp; $B4 &amp; "'!Y$14")</f>
        <v>53.784919739325389</v>
      </c>
      <c r="Y4" s="5" cm="1">
        <f t="array" aca="1" ref="Y4" ca="1">INDIRECT("'results" &amp; $B4 &amp; "'!Z$14")</f>
        <v>6636.7779605557471</v>
      </c>
      <c r="Z4" s="5"/>
    </row>
    <row r="5" spans="2:26" x14ac:dyDescent="0.2">
      <c r="B5" s="4">
        <v>299</v>
      </c>
      <c r="C5" s="5" cm="1">
        <f t="array" aca="1" ref="C5" ca="1">INDIRECT("'results" &amp; $B5 &amp; "'!D$14")</f>
        <v>1743048.2992075109</v>
      </c>
      <c r="D5" s="33" cm="1">
        <f t="array" aca="1" ref="D5" ca="1">INDIRECT("'results" &amp; $B5 &amp; "'!E$14")</f>
        <v>181.96378378378466</v>
      </c>
      <c r="E5" s="5" cm="1">
        <f t="array" aca="1" ref="E5" ca="1">INDIRECT("'results" &amp; $B5 &amp; "'!F$14")</f>
        <v>10</v>
      </c>
      <c r="F5" s="5" cm="1">
        <f t="array" aca="1" ref="F5" ca="1">INDIRECT("'results" &amp; $B5 &amp; "'!G$14")</f>
        <v>76.666666666666671</v>
      </c>
      <c r="G5" s="5" cm="1">
        <f t="array" aca="1" ref="G5" ca="1">INDIRECT("'results" &amp; $B5 &amp; "'!H$14")</f>
        <v>1664.3824125868218</v>
      </c>
      <c r="H5" s="33" cm="1">
        <f t="array" aca="1" ref="H5" ca="1">INDIRECT("'results" &amp; $B5 &amp; "'!I$14")</f>
        <v>45.518393507107824</v>
      </c>
      <c r="I5" s="5" cm="1">
        <f t="array" aca="1" ref="I5" ca="1">INDIRECT("'results" &amp; $B5 &amp; "'!J$14")</f>
        <v>6777.8529040955382</v>
      </c>
      <c r="J5" s="5"/>
      <c r="K5" s="5" cm="1">
        <f t="array" aca="1" ref="K5" ca="1">INDIRECT("'results" &amp; $B5 &amp; "'!L$14")</f>
        <v>2115097.2998028188</v>
      </c>
      <c r="L5" s="5" cm="1">
        <f t="array" aca="1" ref="L5" ca="1">INDIRECT("'results" &amp; $B5 &amp; "'!M$14")</f>
        <v>253.16297297298314</v>
      </c>
      <c r="M5" s="5" cm="1">
        <f t="array" aca="1" ref="M5" ca="1">INDIRECT("'results" &amp; $B5 &amp; "'!N$14")</f>
        <v>12</v>
      </c>
      <c r="N5" s="5" cm="1">
        <f t="array" aca="1" ref="N5" ca="1">INDIRECT("'results" &amp; $B5 &amp; "'!O$14")</f>
        <v>51.333333333333343</v>
      </c>
      <c r="O5" s="5" cm="1">
        <f t="array" aca="1" ref="O5" ca="1">INDIRECT("'results" &amp; $B5 &amp; "'!P$14")</f>
        <v>774.99694826704604</v>
      </c>
      <c r="P5" s="5" cm="1">
        <f t="array" aca="1" ref="P5" ca="1">INDIRECT("'results" &amp; $B5 &amp; "'!Q$14")</f>
        <v>22.410392028632785</v>
      </c>
      <c r="Q5" s="5" cm="1">
        <f t="array" aca="1" ref="Q5" ca="1">INDIRECT("'results" &amp; $B5 &amp; "'!R$14")</f>
        <v>5405.3572848672538</v>
      </c>
      <c r="R5" s="5"/>
      <c r="S5" s="5" cm="1">
        <f t="array" aca="1" ref="S5" ca="1">INDIRECT("'results" &amp; $B5 &amp; "'!T$14")</f>
        <v>2154531.0435742489</v>
      </c>
      <c r="T5" s="5" cm="1">
        <f t="array" aca="1" ref="T5" ca="1">INDIRECT("'results" &amp; $B5 &amp; "'!U$14")</f>
        <v>227.74081081081169</v>
      </c>
      <c r="U5" s="5" cm="1">
        <f t="array" aca="1" ref="U5" ca="1">INDIRECT("'results" &amp; $B5 &amp; "'!V$14")</f>
        <v>7</v>
      </c>
      <c r="V5" s="5" cm="1">
        <f t="array" aca="1" ref="V5" ca="1">INDIRECT("'results" &amp; $B5 &amp; "'!W$14")</f>
        <v>48.666666666666657</v>
      </c>
      <c r="W5" s="5" cm="1">
        <f t="array" aca="1" ref="W5" ca="1">INDIRECT("'results" &amp; $B5 &amp; "'!X$14")</f>
        <v>1183.4193949526832</v>
      </c>
      <c r="X5" s="5" cm="1">
        <f t="array" aca="1" ref="X5" ca="1">INDIRECT("'results" &amp; $B5 &amp; "'!Y$14")</f>
        <v>67.646794685519822</v>
      </c>
      <c r="Y5" s="5" cm="1">
        <f t="array" aca="1" ref="Y5" ca="1">INDIRECT("'results" &amp; $B5 &amp; "'!Z$14")</f>
        <v>6618.2840573828025</v>
      </c>
      <c r="Z5" s="5"/>
    </row>
    <row r="6" spans="2:26" x14ac:dyDescent="0.2">
      <c r="B6" s="4">
        <v>327</v>
      </c>
      <c r="C6" s="5" cm="1">
        <f t="array" aca="1" ref="C6" ca="1">INDIRECT("'results" &amp; $B6 &amp; "'!D$14")</f>
        <v>1806310.5046484349</v>
      </c>
      <c r="D6" s="33" cm="1">
        <f t="array" aca="1" ref="D6" ca="1">INDIRECT("'results" &amp; $B6 &amp; "'!E$14")</f>
        <v>130.28729729729582</v>
      </c>
      <c r="E6" s="5" cm="1">
        <f t="array" aca="1" ref="E6" ca="1">INDIRECT("'results" &amp; $B6 &amp; "'!F$14")</f>
        <v>10</v>
      </c>
      <c r="F6" s="5" cm="1">
        <f t="array" aca="1" ref="F6" ca="1">INDIRECT("'results" &amp; $B6 &amp; "'!G$14")</f>
        <v>74</v>
      </c>
      <c r="G6" s="5" cm="1">
        <f t="array" aca="1" ref="G6" ca="1">INDIRECT("'results" &amp; $B6 &amp; "'!H$14")</f>
        <v>1364.8477879416164</v>
      </c>
      <c r="H6" s="33" cm="1">
        <f t="array" aca="1" ref="H6" ca="1">INDIRECT("'results" &amp; $B6 &amp; "'!I$14")</f>
        <v>37.136042184687298</v>
      </c>
      <c r="I6" s="5" cm="1">
        <f t="array" aca="1" ref="I6" ca="1">INDIRECT("'results" &amp; $B6 &amp; "'!J$14")</f>
        <v>6928.7212313095124</v>
      </c>
      <c r="J6" s="5"/>
      <c r="K6" s="5" cm="1">
        <f t="array" aca="1" ref="K6" ca="1">INDIRECT("'results" &amp; $B6 &amp; "'!L$14")</f>
        <v>2197294.1761359018</v>
      </c>
      <c r="L6" s="5" cm="1">
        <f t="array" aca="1" ref="L6" ca="1">INDIRECT("'results" &amp; $B6 &amp; "'!M$14")</f>
        <v>159.31999999999911</v>
      </c>
      <c r="M6" s="5" cm="1">
        <f t="array" aca="1" ref="M6" ca="1">INDIRECT("'results" &amp; $B6 &amp; "'!N$14")</f>
        <v>10</v>
      </c>
      <c r="N6" s="5" cm="1">
        <f t="array" aca="1" ref="N6" ca="1">INDIRECT("'results" &amp; $B6 &amp; "'!O$14")</f>
        <v>46</v>
      </c>
      <c r="O6" s="5" cm="1">
        <f t="array" aca="1" ref="O6" ca="1">INDIRECT("'results" &amp; $B6 &amp; "'!P$14")</f>
        <v>666.00891368034911</v>
      </c>
      <c r="P6" s="5" cm="1">
        <f t="array" aca="1" ref="P6" ca="1">INDIRECT("'results" &amp; $B6 &amp; "'!Q$14")</f>
        <v>22.754941156429553</v>
      </c>
      <c r="Q6" s="5" cm="1">
        <f t="array" aca="1" ref="Q6" ca="1">INDIRECT("'results" &amp; $B6 &amp; "'!R$14")</f>
        <v>5447.5880722572911</v>
      </c>
      <c r="R6" s="5"/>
      <c r="S6" s="5" cm="1">
        <f t="array" aca="1" ref="S6" ca="1">INDIRECT("'results" &amp; $B6 &amp; "'!T$14")</f>
        <v>2229286.6169950939</v>
      </c>
      <c r="T6" s="5" cm="1">
        <f t="array" aca="1" ref="T6" ca="1">INDIRECT("'results" &amp; $B6 &amp; "'!U$14")</f>
        <v>193.27702702702703</v>
      </c>
      <c r="U6" s="5" cm="1">
        <f t="array" aca="1" ref="U6" ca="1">INDIRECT("'results" &amp; $B6 &amp; "'!V$14")</f>
        <v>5</v>
      </c>
      <c r="V6" s="5" cm="1">
        <f t="array" aca="1" ref="V6" ca="1">INDIRECT("'results" &amp; $B6 &amp; "'!W$14")</f>
        <v>40.666666666666657</v>
      </c>
      <c r="W6" s="5" cm="1">
        <f t="array" aca="1" ref="W6" ca="1">INDIRECT("'results" &amp; $B6 &amp; "'!X$14")</f>
        <v>536.58630194018906</v>
      </c>
      <c r="X6" s="5" cm="1">
        <f t="array" aca="1" ref="X6" ca="1">INDIRECT("'results" &amp; $B6 &amp; "'!Y$14")</f>
        <v>68.041236593070806</v>
      </c>
      <c r="Y6" s="5" cm="1">
        <f t="array" aca="1" ref="Y6" ca="1">INDIRECT("'results" &amp; $B6 &amp; "'!Z$14")</f>
        <v>6455.2027376713304</v>
      </c>
      <c r="Z6" s="5"/>
    </row>
    <row r="7" spans="2:26" x14ac:dyDescent="0.2">
      <c r="B7" s="4">
        <v>459</v>
      </c>
      <c r="C7" s="5" cm="1">
        <f t="array" aca="1" ref="C7" ca="1">INDIRECT("'results" &amp; $B7 &amp; "'!D$14")</f>
        <v>1784952.8535467419</v>
      </c>
      <c r="D7" s="33" cm="1">
        <f t="array" aca="1" ref="D7" ca="1">INDIRECT("'results" &amp; $B7 &amp; "'!E$14")</f>
        <v>141.80324324324877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78</v>
      </c>
      <c r="G7" s="5" cm="1">
        <f t="array" aca="1" ref="G7" ca="1">INDIRECT("'results" &amp; $B7 &amp; "'!H$14")</f>
        <v>1734.7504811333786</v>
      </c>
      <c r="H7" s="33" cm="1">
        <f t="array" aca="1" ref="H7" ca="1">INDIRECT("'results" &amp; $B7 &amp; "'!I$14")</f>
        <v>37.764436963830107</v>
      </c>
      <c r="I7" s="5" cm="1">
        <f t="array" aca="1" ref="I7" ca="1">INDIRECT("'results" &amp; $B7 &amp; "'!J$14")</f>
        <v>7047.3928250000536</v>
      </c>
      <c r="J7" s="5"/>
      <c r="K7" s="5" cm="1">
        <f t="array" aca="1" ref="K7" ca="1">INDIRECT("'results" &amp; $B7 &amp; "'!L$14")</f>
        <v>2115168.7364849648</v>
      </c>
      <c r="L7" s="5" cm="1">
        <f t="array" aca="1" ref="L7" ca="1">INDIRECT("'results" &amp; $B7 &amp; "'!M$14")</f>
        <v>197.52540540540073</v>
      </c>
      <c r="M7" s="5" cm="1">
        <f t="array" aca="1" ref="M7" ca="1">INDIRECT("'results" &amp; $B7 &amp; "'!N$14")</f>
        <v>12</v>
      </c>
      <c r="N7" s="5" cm="1">
        <f t="array" aca="1" ref="N7" ca="1">INDIRECT("'results" &amp; $B7 &amp; "'!O$14")</f>
        <v>54</v>
      </c>
      <c r="O7" s="5" cm="1">
        <f t="array" aca="1" ref="O7" ca="1">INDIRECT("'results" &amp; $B7 &amp; "'!P$14")</f>
        <v>1017.7471528022784</v>
      </c>
      <c r="P7" s="5" cm="1">
        <f t="array" aca="1" ref="P7" ca="1">INDIRECT("'results" &amp; $B7 &amp; "'!Q$14")</f>
        <v>18.805642319226671</v>
      </c>
      <c r="Q7" s="5" cm="1">
        <f t="array" aca="1" ref="Q7" ca="1">INDIRECT("'results" &amp; $B7 &amp; "'!R$14")</f>
        <v>5714.0091011725353</v>
      </c>
      <c r="R7" s="5"/>
      <c r="S7" s="5" cm="1">
        <f t="array" aca="1" ref="S7" ca="1">INDIRECT("'results" &amp; $B7 &amp; "'!T$14")</f>
        <v>2225582.2845740891</v>
      </c>
      <c r="T7" s="5" cm="1">
        <f t="array" aca="1" ref="T7" ca="1">INDIRECT("'results" &amp; $B7 &amp; "'!U$14")</f>
        <v>80.07189189189279</v>
      </c>
      <c r="U7" s="5" cm="1">
        <f t="array" aca="1" ref="U7" ca="1">INDIRECT("'results" &amp; $B7 &amp; "'!V$14")</f>
        <v>8</v>
      </c>
      <c r="V7" s="5" cm="1">
        <f t="array" aca="1" ref="V7" ca="1">INDIRECT("'results" &amp; $B7 &amp; "'!W$14")</f>
        <v>50.666666666666657</v>
      </c>
      <c r="W7" s="5" cm="1">
        <f t="array" aca="1" ref="W7" ca="1">INDIRECT("'results" &amp; $B7 &amp; "'!X$14")</f>
        <v>1749.6191815317702</v>
      </c>
      <c r="X7" s="5" cm="1">
        <f t="array" aca="1" ref="X7" ca="1">INDIRECT("'results" &amp; $B7 &amp; "'!Y$14")</f>
        <v>47.595292492882443</v>
      </c>
      <c r="Y7" s="5" cm="1">
        <f t="array" aca="1" ref="Y7" ca="1">INDIRECT("'results" &amp; $B7 &amp; "'!Z$14")</f>
        <v>7217.2038523924193</v>
      </c>
      <c r="Z7" s="5"/>
    </row>
    <row r="8" spans="2:26" x14ac:dyDescent="0.2">
      <c r="B8" s="4">
        <v>539</v>
      </c>
      <c r="C8" s="5" cm="1">
        <f t="array" aca="1" ref="C8" ca="1">INDIRECT("'results" &amp; $B8 &amp; "'!D$14")</f>
        <v>1933307.105102726</v>
      </c>
      <c r="D8" s="33" cm="1">
        <f t="array" aca="1" ref="D8" ca="1">INDIRECT("'results" &amp; $B8 &amp; "'!E$14")</f>
        <v>117.75756756756989</v>
      </c>
      <c r="E8" s="5" cm="1">
        <f t="array" aca="1" ref="E8" ca="1">INDIRECT("'results" &amp; $B8 &amp; "'!F$14")</f>
        <v>8</v>
      </c>
      <c r="F8" s="5" cm="1">
        <f t="array" aca="1" ref="F8" ca="1">INDIRECT("'results" &amp; $B8 &amp; "'!G$14")</f>
        <v>62</v>
      </c>
      <c r="G8" s="5" cm="1">
        <f t="array" aca="1" ref="G8" ca="1">INDIRECT("'results" &amp; $B8 &amp; "'!H$14")</f>
        <v>1249.7814739356106</v>
      </c>
      <c r="H8" s="33" cm="1">
        <f t="array" aca="1" ref="H8" ca="1">INDIRECT("'results" &amp; $B8 &amp; "'!I$14")</f>
        <v>45.82556357401949</v>
      </c>
      <c r="I8" s="5" cm="1">
        <f t="array" aca="1" ref="I8" ca="1">INDIRECT("'results" &amp; $B8 &amp; "'!J$14")</f>
        <v>6375.2863919283227</v>
      </c>
      <c r="J8" s="5"/>
      <c r="K8" s="5" cm="1">
        <f t="array" aca="1" ref="K8" ca="1">INDIRECT("'results" &amp; $B8 &amp; "'!L$14")</f>
        <v>2258932.8793099709</v>
      </c>
      <c r="L8" s="5" cm="1">
        <f t="array" aca="1" ref="L8" ca="1">INDIRECT("'results" &amp; $B8 &amp; "'!M$14")</f>
        <v>144.24405405406424</v>
      </c>
      <c r="M8" s="5" cm="1">
        <f t="array" aca="1" ref="M8" ca="1">INDIRECT("'results" &amp; $B8 &amp; "'!N$14")</f>
        <v>9</v>
      </c>
      <c r="N8" s="5" cm="1">
        <f t="array" aca="1" ref="N8" ca="1">INDIRECT("'results" &amp; $B8 &amp; "'!O$14")</f>
        <v>41.333333333333343</v>
      </c>
      <c r="O8" s="5" cm="1">
        <f t="array" aca="1" ref="O8" ca="1">INDIRECT("'results" &amp; $B8 &amp; "'!P$14")</f>
        <v>650.0513133379601</v>
      </c>
      <c r="P8" s="5" cm="1">
        <f t="array" aca="1" ref="P8" ca="1">INDIRECT("'results" &amp; $B8 &amp; "'!Q$14")</f>
        <v>24.562509315115399</v>
      </c>
      <c r="Q8" s="5" cm="1">
        <f t="array" aca="1" ref="Q8" ca="1">INDIRECT("'results" &amp; $B8 &amp; "'!R$14")</f>
        <v>5128.8172321576312</v>
      </c>
      <c r="R8" s="5"/>
      <c r="S8" s="5" cm="1">
        <f t="array" aca="1" ref="S8" ca="1">INDIRECT("'results" &amp; $B8 &amp; "'!T$14")</f>
        <v>2257468.5105812759</v>
      </c>
      <c r="T8" s="5" cm="1">
        <f t="array" aca="1" ref="T8" ca="1">INDIRECT("'results" &amp; $B8 &amp; "'!U$14")</f>
        <v>132.45783783783318</v>
      </c>
      <c r="U8" s="5" cm="1">
        <f t="array" aca="1" ref="U8" ca="1">INDIRECT("'results" &amp; $B8 &amp; "'!V$14")</f>
        <v>5</v>
      </c>
      <c r="V8" s="5" cm="1">
        <f t="array" aca="1" ref="V8" ca="1">INDIRECT("'results" &amp; $B8 &amp; "'!W$14")</f>
        <v>41.333333333333343</v>
      </c>
      <c r="W8" s="5" cm="1">
        <f t="array" aca="1" ref="W8" ca="1">INDIRECT("'results" &amp; $B8 &amp; "'!X$14")</f>
        <v>992.72736940058326</v>
      </c>
      <c r="X8" s="5" cm="1">
        <f t="array" aca="1" ref="X8" ca="1">INDIRECT("'results" &amp; $B8 &amp; "'!Y$14")</f>
        <v>80.896434286958652</v>
      </c>
      <c r="Y8" s="5" cm="1">
        <f t="array" aca="1" ref="Y8" ca="1">INDIRECT("'results" &amp; $B8 &amp; "'!Z$14")</f>
        <v>6662.9808548423007</v>
      </c>
      <c r="Z8" s="5"/>
    </row>
    <row r="9" spans="2:26" x14ac:dyDescent="0.2">
      <c r="B9" s="4">
        <v>662</v>
      </c>
      <c r="C9" s="5" cm="1">
        <f t="array" aca="1" ref="C9" ca="1">INDIRECT("'results" &amp; $B9 &amp; "'!D$14")</f>
        <v>1882694.821922272</v>
      </c>
      <c r="D9" s="33" cm="1">
        <f t="array" aca="1" ref="D9" ca="1">INDIRECT("'results" &amp; $B9 &amp; "'!E$14")</f>
        <v>122.9137837837727</v>
      </c>
      <c r="E9" s="5" cm="1">
        <f t="array" aca="1" ref="E9" ca="1">INDIRECT("'results" &amp; $B9 &amp; "'!F$14")</f>
        <v>9</v>
      </c>
      <c r="F9" s="5" cm="1">
        <f t="array" aca="1" ref="F9" ca="1">INDIRECT("'results" &amp; $B9 &amp; "'!G$14")</f>
        <v>67.333333333333329</v>
      </c>
      <c r="G9" s="5" cm="1">
        <f t="array" aca="1" ref="G9" ca="1">INDIRECT("'results" &amp; $B9 &amp; "'!H$14")</f>
        <v>1359.6493948843615</v>
      </c>
      <c r="H9" s="33" cm="1">
        <f t="array" aca="1" ref="H9" ca="1">INDIRECT("'results" &amp; $B9 &amp; "'!I$14")</f>
        <v>33.927897912724568</v>
      </c>
      <c r="I9" s="5" cm="1">
        <f t="array" aca="1" ref="I9" ca="1">INDIRECT("'results" &amp; $B9 &amp; "'!J$14")</f>
        <v>6484.2957978987224</v>
      </c>
      <c r="J9" s="5"/>
      <c r="K9" s="5" cm="1">
        <f t="array" aca="1" ref="K9" ca="1">INDIRECT("'results" &amp; $B9 &amp; "'!L$14")</f>
        <v>2161329.340503742</v>
      </c>
      <c r="L9" s="5" cm="1">
        <f t="array" aca="1" ref="L9" ca="1">INDIRECT("'results" &amp; $B9 &amp; "'!M$14")</f>
        <v>134.47216216216771</v>
      </c>
      <c r="M9" s="5" cm="1">
        <f t="array" aca="1" ref="M9" ca="1">INDIRECT("'results" &amp; $B9 &amp; "'!N$14")</f>
        <v>8</v>
      </c>
      <c r="N9" s="5" cm="1">
        <f t="array" aca="1" ref="N9" ca="1">INDIRECT("'results" &amp; $B9 &amp; "'!O$14")</f>
        <v>48</v>
      </c>
      <c r="O9" s="5" cm="1">
        <f t="array" aca="1" ref="O9" ca="1">INDIRECT("'results" &amp; $B9 &amp; "'!P$14")</f>
        <v>908.74444353471051</v>
      </c>
      <c r="P9" s="5" cm="1">
        <f t="array" aca="1" ref="P9" ca="1">INDIRECT("'results" &amp; $B9 &amp; "'!Q$14")</f>
        <v>22.967669492273863</v>
      </c>
      <c r="Q9" s="5" cm="1">
        <f t="array" aca="1" ref="Q9" ca="1">INDIRECT("'results" &amp; $B9 &amp; "'!R$14")</f>
        <v>5679.7016658641332</v>
      </c>
      <c r="R9" s="5"/>
      <c r="S9" s="5" cm="1">
        <f t="array" aca="1" ref="S9" ca="1">INDIRECT("'results" &amp; $B9 &amp; "'!T$14")</f>
        <v>2232922.1947507421</v>
      </c>
      <c r="T9" s="5" cm="1">
        <f t="array" aca="1" ref="T9" ca="1">INDIRECT("'results" &amp; $B9 &amp; "'!U$14")</f>
        <v>198.72486486486662</v>
      </c>
      <c r="U9" s="5" cm="1">
        <f t="array" aca="1" ref="U9" ca="1">INDIRECT("'results" &amp; $B9 &amp; "'!V$14")</f>
        <v>5</v>
      </c>
      <c r="V9" s="5" cm="1">
        <f t="array" aca="1" ref="V9" ca="1">INDIRECT("'results" &amp; $B9 &amp; "'!W$14")</f>
        <v>41.333333333333343</v>
      </c>
      <c r="W9" s="5" cm="1">
        <f t="array" aca="1" ref="W9" ca="1">INDIRECT("'results" &amp; $B9 &amp; "'!X$14")</f>
        <v>769.00091957108464</v>
      </c>
      <c r="X9" s="5" cm="1">
        <f t="array" aca="1" ref="X9" ca="1">INDIRECT("'results" &amp; $B9 &amp; "'!Y$14")</f>
        <v>51.833207238227452</v>
      </c>
      <c r="Y9" s="5" cm="1">
        <f t="array" aca="1" ref="Y9" ca="1">INDIRECT("'results" &amp; $B9 &amp; "'!Z$14")</f>
        <v>5966.8913617529497</v>
      </c>
      <c r="Z9" s="5"/>
    </row>
    <row r="10" spans="2:26" x14ac:dyDescent="0.2">
      <c r="B10" s="4">
        <v>713</v>
      </c>
      <c r="C10" s="5" cm="1">
        <f t="array" aca="1" ref="C10" ca="1">INDIRECT("'results" &amp; $B10 &amp; "'!D$14")</f>
        <v>1735475.502886822</v>
      </c>
      <c r="D10" s="33" cm="1">
        <f t="array" aca="1" ref="D10" ca="1">INDIRECT("'results" &amp; $B10 &amp; "'!E$14")</f>
        <v>162.18756756756289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82.666666666666671</v>
      </c>
      <c r="G10" s="5" cm="1">
        <f t="array" aca="1" ref="G10" ca="1">INDIRECT("'results" &amp; $B10 &amp; "'!H$14")</f>
        <v>1868.357425228711</v>
      </c>
      <c r="H10" s="33" cm="1">
        <f t="array" aca="1" ref="H10" ca="1">INDIRECT("'results" &amp; $B10 &amp; "'!I$14")</f>
        <v>41.397619150502543</v>
      </c>
      <c r="I10" s="5" cm="1">
        <f t="array" aca="1" ref="I10" ca="1">INDIRECT("'results" &amp; $B10 &amp; "'!J$14")</f>
        <v>7307.5982004103107</v>
      </c>
      <c r="J10" s="5"/>
      <c r="K10" s="5" cm="1">
        <f t="array" aca="1" ref="K10" ca="1">INDIRECT("'results" &amp; $B10 &amp; "'!L$14")</f>
        <v>2204908.396423873</v>
      </c>
      <c r="L10" s="5" cm="1">
        <f t="array" aca="1" ref="L10" ca="1">INDIRECT("'results" &amp; $B10 &amp; "'!M$14")</f>
        <v>234.62000000001106</v>
      </c>
      <c r="M10" s="5" cm="1">
        <f t="array" aca="1" ref="M10" ca="1">INDIRECT("'results" &amp; $B10 &amp; "'!N$14")</f>
        <v>10</v>
      </c>
      <c r="N10" s="5" cm="1">
        <f t="array" aca="1" ref="N10" ca="1">INDIRECT("'results" &amp; $B10 &amp; "'!O$14")</f>
        <v>47.333333333333343</v>
      </c>
      <c r="O10" s="5" cm="1">
        <f t="array" aca="1" ref="O10" ca="1">INDIRECT("'results" &amp; $B10 &amp; "'!P$14")</f>
        <v>841.72875779346998</v>
      </c>
      <c r="P10" s="5" cm="1">
        <f t="array" aca="1" ref="P10" ca="1">INDIRECT("'results" &amp; $B10 &amp; "'!Q$14")</f>
        <v>21.795246330356839</v>
      </c>
      <c r="Q10" s="5" cm="1">
        <f t="array" aca="1" ref="Q10" ca="1">INDIRECT("'results" &amp; $B10 &amp; "'!R$14")</f>
        <v>5698.9838549660044</v>
      </c>
      <c r="R10" s="5"/>
      <c r="S10" s="5" cm="1">
        <f t="array" aca="1" ref="S10" ca="1">INDIRECT("'results" &amp; $B10 &amp; "'!T$14")</f>
        <v>2203433.4535964802</v>
      </c>
      <c r="T10" s="5" cm="1">
        <f t="array" aca="1" ref="T10" ca="1">INDIRECT("'results" &amp; $B10 &amp; "'!U$14")</f>
        <v>265.36297297297119</v>
      </c>
      <c r="U10" s="5" cm="1">
        <f t="array" aca="1" ref="U10" ca="1">INDIRECT("'results" &amp; $B10 &amp; "'!V$14")</f>
        <v>6</v>
      </c>
      <c r="V10" s="5" cm="1">
        <f t="array" aca="1" ref="V10" ca="1">INDIRECT("'results" &amp; $B10 &amp; "'!W$14")</f>
        <v>46.666666666666657</v>
      </c>
      <c r="W10" s="5" cm="1">
        <f t="array" aca="1" ref="W10" ca="1">INDIRECT("'results" &amp; $B10 &amp; "'!X$14")</f>
        <v>1357.5765546372795</v>
      </c>
      <c r="X10" s="5" cm="1">
        <f t="array" aca="1" ref="X10" ca="1">INDIRECT("'results" &amp; $B10 &amp; "'!Y$14")</f>
        <v>61.714873199468066</v>
      </c>
      <c r="Y10" s="5" cm="1">
        <f t="array" aca="1" ref="Y10" ca="1">INDIRECT("'results" &amp; $B10 &amp; "'!Z$14")</f>
        <v>6817.7681490838513</v>
      </c>
      <c r="Z10" s="5"/>
    </row>
    <row r="11" spans="2:26" x14ac:dyDescent="0.2">
      <c r="B11" s="4">
        <v>740</v>
      </c>
      <c r="C11" s="5" cm="1">
        <f t="array" aca="1" ref="C11" ca="1">INDIRECT("'results" &amp; $B11 &amp; "'!D$14")</f>
        <v>2014753.1127033229</v>
      </c>
      <c r="D11" s="33" cm="1">
        <f t="array" aca="1" ref="D11" ca="1">INDIRECT("'results" &amp; $B11 &amp; "'!E$14")</f>
        <v>149.96189189189101</v>
      </c>
      <c r="E11" s="5" cm="1">
        <f t="array" aca="1" ref="E11" ca="1">INDIRECT("'results" &amp; $B11 &amp; "'!F$14")</f>
        <v>9</v>
      </c>
      <c r="F11" s="5" cm="1">
        <f t="array" aca="1" ref="F11" ca="1">INDIRECT("'results" &amp; $B11 &amp; "'!G$14")</f>
        <v>64</v>
      </c>
      <c r="G11" s="5" cm="1">
        <f t="array" aca="1" ref="G11" ca="1">INDIRECT("'results" &amp; $B11 &amp; "'!H$14")</f>
        <v>1706.5328629995929</v>
      </c>
      <c r="H11" s="33" cm="1">
        <f t="array" aca="1" ref="H11" ca="1">INDIRECT("'results" &amp; $B11 &amp; "'!I$14")</f>
        <v>32.22019828887678</v>
      </c>
      <c r="I11" s="5" cm="1">
        <f t="array" aca="1" ref="I11" ca="1">INDIRECT("'results" &amp; $B11 &amp; "'!J$14")</f>
        <v>7065.3579718478568</v>
      </c>
      <c r="J11" s="5"/>
      <c r="K11" s="5" cm="1">
        <f t="array" aca="1" ref="K11" ca="1">INDIRECT("'results" &amp; $B11 &amp; "'!L$14")</f>
        <v>2290315.1479447018</v>
      </c>
      <c r="L11" s="5" cm="1">
        <f t="array" aca="1" ref="L11" ca="1">INDIRECT("'results" &amp; $B11 &amp; "'!M$14")</f>
        <v>322.15378378379484</v>
      </c>
      <c r="M11" s="5" cm="1">
        <f t="array" aca="1" ref="M11" ca="1">INDIRECT("'results" &amp; $B11 &amp; "'!N$14")</f>
        <v>10</v>
      </c>
      <c r="N11" s="5" cm="1">
        <f t="array" aca="1" ref="N11" ca="1">INDIRECT("'results" &amp; $B11 &amp; "'!O$14")</f>
        <v>45.333333333333343</v>
      </c>
      <c r="O11" s="5" cm="1">
        <f t="array" aca="1" ref="O11" ca="1">INDIRECT("'results" &amp; $B11 &amp; "'!P$14")</f>
        <v>1150.0651612193592</v>
      </c>
      <c r="P11" s="5" cm="1">
        <f t="array" aca="1" ref="P11" ca="1">INDIRECT("'results" &amp; $B11 &amp; "'!Q$14")</f>
        <v>20.355105277537767</v>
      </c>
      <c r="Q11" s="5" cm="1">
        <f t="array" aca="1" ref="Q11" ca="1">INDIRECT("'results" &amp; $B11 &amp; "'!R$14")</f>
        <v>6205.7500620333903</v>
      </c>
      <c r="R11" s="5"/>
      <c r="S11" s="5" cm="1">
        <f t="array" aca="1" ref="S11" ca="1">INDIRECT("'results" &amp; $B11 &amp; "'!T$14")</f>
        <v>2335243.6952151279</v>
      </c>
      <c r="T11" s="5" cm="1">
        <f t="array" aca="1" ref="T11" ca="1">INDIRECT("'results" &amp; $B11 &amp; "'!U$14")</f>
        <v>240.4770270270308</v>
      </c>
      <c r="U11" s="5" cm="1">
        <f t="array" aca="1" ref="U11" ca="1">INDIRECT("'results" &amp; $B11 &amp; "'!V$14")</f>
        <v>5</v>
      </c>
      <c r="V11" s="5" cm="1">
        <f t="array" aca="1" ref="V11" ca="1">INDIRECT("'results" &amp; $B11 &amp; "'!W$14")</f>
        <v>37.333333333333343</v>
      </c>
      <c r="W11" s="5" cm="1">
        <f t="array" aca="1" ref="W11" ca="1">INDIRECT("'results" &amp; $B11 &amp; "'!X$14")</f>
        <v>879.37723254306286</v>
      </c>
      <c r="X11" s="5" cm="1">
        <f t="array" aca="1" ref="X11" ca="1">INDIRECT("'results" &amp; $B11 &amp; "'!Y$14")</f>
        <v>54.99875453142441</v>
      </c>
      <c r="Y11" s="5" cm="1">
        <f t="array" aca="1" ref="Y11" ca="1">INDIRECT("'results" &amp; $B11 &amp; "'!Z$14")</f>
        <v>6634.0737442650961</v>
      </c>
      <c r="Z11" s="5"/>
    </row>
    <row r="12" spans="2:26" x14ac:dyDescent="0.2">
      <c r="B12" s="4">
        <v>752</v>
      </c>
      <c r="C12" s="5" cm="1">
        <f t="array" aca="1" ref="C12" ca="1">INDIRECT("'results" &amp; $B12 &amp; "'!D$14")</f>
        <v>1755403.928120984</v>
      </c>
      <c r="D12" s="33" cm="1">
        <f t="array" aca="1" ref="D12" ca="1">INDIRECT("'results" &amp; $B12 &amp; "'!E$14")</f>
        <v>235.96270270271199</v>
      </c>
      <c r="E12" s="5" cm="1">
        <f t="array" aca="1" ref="E12" ca="1">INDIRECT("'results" &amp; $B12 &amp; "'!F$14")</f>
        <v>9</v>
      </c>
      <c r="F12" s="5" cm="1">
        <f t="array" aca="1" ref="F12" ca="1">INDIRECT("'results" &amp; $B12 &amp; "'!G$14")</f>
        <v>73.333333333333329</v>
      </c>
      <c r="G12" s="5" cm="1">
        <f t="array" aca="1" ref="G12" ca="1">INDIRECT("'results" &amp; $B12 &amp; "'!H$14")</f>
        <v>1363.7212645573775</v>
      </c>
      <c r="H12" s="33" cm="1">
        <f t="array" aca="1" ref="H12" ca="1">INDIRECT("'results" &amp; $B12 &amp; "'!I$14")</f>
        <v>43.083242148476792</v>
      </c>
      <c r="I12" s="5" cm="1">
        <f t="array" aca="1" ref="I12" ca="1">INDIRECT("'results" &amp; $B12 &amp; "'!J$14")</f>
        <v>6392.7961769058784</v>
      </c>
      <c r="J12" s="5"/>
      <c r="K12" s="5" cm="1">
        <f t="array" aca="1" ref="K12" ca="1">INDIRECT("'results" &amp; $B12 &amp; "'!L$14")</f>
        <v>2089389.7644832269</v>
      </c>
      <c r="L12" s="5" cm="1">
        <f t="array" aca="1" ref="L12" ca="1">INDIRECT("'results" &amp; $B12 &amp; "'!M$14")</f>
        <v>189.81000000000552</v>
      </c>
      <c r="M12" s="5" cm="1">
        <f t="array" aca="1" ref="M12" ca="1">INDIRECT("'results" &amp; $B12 &amp; "'!N$14")</f>
        <v>12</v>
      </c>
      <c r="N12" s="5" cm="1">
        <f t="array" aca="1" ref="N12" ca="1">INDIRECT("'results" &amp; $B12 &amp; "'!O$14")</f>
        <v>54.666666666666657</v>
      </c>
      <c r="O12" s="5" cm="1">
        <f t="array" aca="1" ref="O12" ca="1">INDIRECT("'results" &amp; $B12 &amp; "'!P$14")</f>
        <v>785.06585378136674</v>
      </c>
      <c r="P12" s="5" cm="1">
        <f t="array" aca="1" ref="P12" ca="1">INDIRECT("'results" &amp; $B12 &amp; "'!Q$14")</f>
        <v>23.204202095723556</v>
      </c>
      <c r="Q12" s="5" cm="1">
        <f t="array" aca="1" ref="Q12" ca="1">INDIRECT("'results" &amp; $B12 &amp; "'!R$14")</f>
        <v>5605.265759494584</v>
      </c>
      <c r="R12" s="5"/>
      <c r="S12" s="5" cm="1">
        <f t="array" aca="1" ref="S12" ca="1">INDIRECT("'results" &amp; $B12 &amp; "'!T$14")</f>
        <v>2162978.28373439</v>
      </c>
      <c r="T12" s="5" cm="1">
        <f t="array" aca="1" ref="T12" ca="1">INDIRECT("'results" &amp; $B12 &amp; "'!U$14")</f>
        <v>270.7389189189181</v>
      </c>
      <c r="U12" s="5" cm="1">
        <f t="array" aca="1" ref="U12" ca="1">INDIRECT("'results" &amp; $B12 &amp; "'!V$14")</f>
        <v>7</v>
      </c>
      <c r="V12" s="5" cm="1">
        <f t="array" aca="1" ref="V12" ca="1">INDIRECT("'results" &amp; $B12 &amp; "'!W$14")</f>
        <v>49.333333333333343</v>
      </c>
      <c r="W12" s="5" cm="1">
        <f t="array" aca="1" ref="W12" ca="1">INDIRECT("'results" &amp; $B12 &amp; "'!X$14")</f>
        <v>1066.4992239156447</v>
      </c>
      <c r="X12" s="5" cm="1">
        <f t="array" aca="1" ref="X12" ca="1">INDIRECT("'results" &amp; $B12 &amp; "'!Y$14")</f>
        <v>50.586759507929223</v>
      </c>
      <c r="Y12" s="5" cm="1">
        <f t="array" aca="1" ref="Y12" ca="1">INDIRECT("'results" &amp; $B12 &amp; "'!Z$14")</f>
        <v>6476.8976973972358</v>
      </c>
      <c r="Z12" s="5"/>
    </row>
    <row r="13" spans="2:26" x14ac:dyDescent="0.2">
      <c r="B13" s="8" t="s">
        <v>3</v>
      </c>
      <c r="C13" s="9">
        <f ca="1">AVERAGE(C3:C12)</f>
        <v>1814248.2169782338</v>
      </c>
      <c r="D13" s="10">
        <f t="shared" ref="D13:I13" ca="1" si="0">AVERAGE(D3:D12)</f>
        <v>163.96410810810863</v>
      </c>
      <c r="E13" s="9">
        <f t="shared" ca="1" si="0"/>
        <v>9.6999999999999993</v>
      </c>
      <c r="F13" s="9">
        <f t="shared" ca="1" si="0"/>
        <v>73.400000000000006</v>
      </c>
      <c r="G13" s="9">
        <f t="shared" ca="1" si="0"/>
        <v>1537.3145388577216</v>
      </c>
      <c r="H13" s="10">
        <f t="shared" ca="1" si="0"/>
        <v>39.997741428882001</v>
      </c>
      <c r="I13" s="9">
        <f t="shared" ca="1" si="0"/>
        <v>6781.3285724979924</v>
      </c>
      <c r="J13" s="32" t="e">
        <f ca="1">(C13-$D$15)/$D$15</f>
        <v>#DIV/0!</v>
      </c>
      <c r="K13" s="16">
        <f ca="1">AVERAGE(K3:K12)</f>
        <v>2181364.8328304193</v>
      </c>
      <c r="L13" s="41">
        <f t="shared" ref="L13:Q13" ca="1" si="1">AVERAGE(L3:L12)</f>
        <v>209.33197297297755</v>
      </c>
      <c r="M13" s="16">
        <f t="shared" ca="1" si="1"/>
        <v>10.7</v>
      </c>
      <c r="N13" s="16">
        <f ca="1">AVERAGE(N3:N12)</f>
        <v>49.066666666666677</v>
      </c>
      <c r="O13" s="16">
        <f t="shared" ca="1" si="1"/>
        <v>935.93770488948178</v>
      </c>
      <c r="P13" s="41">
        <f t="shared" ca="1" si="1"/>
        <v>22.321860931325286</v>
      </c>
      <c r="Q13" s="16">
        <f t="shared" ca="1" si="1"/>
        <v>5711.5113306919211</v>
      </c>
      <c r="R13" s="42" t="e">
        <f ca="1">(K13-$D$15)/$D$15</f>
        <v>#DIV/0!</v>
      </c>
      <c r="S13" s="38">
        <f ca="1">AVERAGE(S3:S12)</f>
        <v>2203895.6852800222</v>
      </c>
      <c r="T13" s="43">
        <f t="shared" ref="T13:Y13" ca="1" si="2">AVERAGE(T3:T12)</f>
        <v>190.91048648648712</v>
      </c>
      <c r="U13" s="38">
        <f t="shared" ca="1" si="2"/>
        <v>6.6</v>
      </c>
      <c r="V13" s="38">
        <f t="shared" ca="1" si="2"/>
        <v>46.4</v>
      </c>
      <c r="W13" s="38">
        <f t="shared" ca="1" si="2"/>
        <v>1141.2477907291579</v>
      </c>
      <c r="X13" s="43">
        <f t="shared" ca="1" si="2"/>
        <v>58.404283092050356</v>
      </c>
      <c r="Y13" s="38">
        <f t="shared" ca="1" si="2"/>
        <v>6638.0868921693736</v>
      </c>
      <c r="Z13" s="44" t="e">
        <f ca="1">(S13-$D$15)/$D$15</f>
        <v>#DIV/0!</v>
      </c>
    </row>
    <row r="14" spans="2:26" x14ac:dyDescent="0.2">
      <c r="K14" s="45">
        <f ca="1">(K13-C13)/C13</f>
        <v>0.20235192319143944</v>
      </c>
      <c r="L14" s="45">
        <f t="shared" ref="L14:Q14" ca="1" si="3">(L13-D13)/D13</f>
        <v>0.27669387763177977</v>
      </c>
      <c r="M14" s="45">
        <f t="shared" ca="1" si="3"/>
        <v>0.10309278350515465</v>
      </c>
      <c r="N14" s="45">
        <f t="shared" ca="1" si="3"/>
        <v>-0.33151680290644858</v>
      </c>
      <c r="O14" s="45">
        <f t="shared" ca="1" si="3"/>
        <v>-0.3911865911416435</v>
      </c>
      <c r="P14" s="45">
        <f t="shared" ca="1" si="3"/>
        <v>-0.44192196524359562</v>
      </c>
      <c r="Q14" s="45">
        <f t="shared" ca="1" si="3"/>
        <v>-0.15775924000272853</v>
      </c>
      <c r="S14" s="45">
        <f ca="1">(S13-C13)/C13</f>
        <v>0.21477075995189648</v>
      </c>
      <c r="T14" s="45">
        <f t="shared" ref="T14:Y14" ca="1" si="4">(T13-D13)/D13</f>
        <v>0.16434315222580034</v>
      </c>
      <c r="U14" s="45">
        <f t="shared" ca="1" si="4"/>
        <v>-0.31958762886597936</v>
      </c>
      <c r="V14" s="45">
        <f ca="1">(V13-F13)/F13</f>
        <v>-0.36784741144414174</v>
      </c>
      <c r="W14" s="45">
        <f t="shared" ca="1" si="4"/>
        <v>-0.25763546633914947</v>
      </c>
      <c r="X14" s="45">
        <f t="shared" ca="1" si="4"/>
        <v>0.46018952584850603</v>
      </c>
      <c r="Y14" s="45">
        <f t="shared" ca="1" si="4"/>
        <v>-2.1122952353251592E-2</v>
      </c>
    </row>
    <row r="16" spans="2:26" x14ac:dyDescent="0.2">
      <c r="B16" s="1" t="s">
        <v>21</v>
      </c>
      <c r="C16">
        <f ca="1">_xlfn.STDEV.S(C3:C12)</f>
        <v>120900.66891316525</v>
      </c>
      <c r="D16">
        <f ca="1">D13/3.7</f>
        <v>44.314623813002328</v>
      </c>
      <c r="J16" s="1" t="s">
        <v>21</v>
      </c>
      <c r="K16">
        <f ca="1">_xlfn.STDEV.S(K3:K12)</f>
        <v>67736.090600820186</v>
      </c>
      <c r="L16">
        <f ca="1">L13/3.7</f>
        <v>56.576208911615552</v>
      </c>
      <c r="R16" s="1" t="s">
        <v>21</v>
      </c>
      <c r="S16">
        <f ca="1">_xlfn.STDEV.S(S3:S12)</f>
        <v>81819.16023660767</v>
      </c>
      <c r="T16">
        <f ca="1">T13/3.7</f>
        <v>51.597428780131651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-0.98554881223392743</v>
      </c>
      <c r="J2" s="28" t="e">
        <f>(S14-J14)/J14</f>
        <v>#DIV/0!</v>
      </c>
      <c r="K2" s="28"/>
      <c r="L2" s="1" t="s">
        <v>19</v>
      </c>
      <c r="P2" s="1">
        <f>(P14-H14)/H14</f>
        <v>-0.26344685311670601</v>
      </c>
      <c r="R2" s="1">
        <f>(R14-J14)/J14</f>
        <v>-9.2399281676918452E-2</v>
      </c>
      <c r="T2" s="1" t="s">
        <v>20</v>
      </c>
      <c r="X2" s="1">
        <f>(X14-P14)/P14</f>
        <v>0.15889391983152287</v>
      </c>
      <c r="Z2" s="1">
        <f>(Z14-R14)/R14</f>
        <v>9.0704189956618345E-2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130</v>
      </c>
      <c r="D4" s="23">
        <v>1900376.1754969091</v>
      </c>
      <c r="E4" s="33">
        <v>249.50162162162627</v>
      </c>
      <c r="F4" s="5">
        <v>10</v>
      </c>
      <c r="G4" s="23">
        <v>71.333333333333329</v>
      </c>
      <c r="H4" s="33">
        <v>1592.4587579212423</v>
      </c>
      <c r="I4" s="23">
        <v>36.824161081189956</v>
      </c>
      <c r="J4" s="5">
        <v>7152.6232012630935</v>
      </c>
      <c r="K4" s="31"/>
      <c r="L4" s="23">
        <v>2658717.136585338</v>
      </c>
      <c r="M4" s="33">
        <v>98.901891891901215</v>
      </c>
      <c r="N4" s="5">
        <v>31</v>
      </c>
      <c r="O4" s="5">
        <v>73.333333333333329</v>
      </c>
      <c r="P4" s="33">
        <v>3681.9527997379646</v>
      </c>
      <c r="Q4" s="5">
        <v>13.605713199295153</v>
      </c>
      <c r="R4" s="5">
        <v>8952.0168972044958</v>
      </c>
      <c r="S4" s="31"/>
      <c r="T4" s="23">
        <v>2229416.6197943338</v>
      </c>
      <c r="U4" s="33">
        <v>104.12999999998893</v>
      </c>
      <c r="V4" s="5">
        <v>8</v>
      </c>
      <c r="W4" s="5">
        <v>47.333333333333343</v>
      </c>
      <c r="X4" s="33">
        <v>1288.0755733965489</v>
      </c>
      <c r="Y4" s="5">
        <v>46.353195736023608</v>
      </c>
      <c r="Z4" s="5">
        <v>6845.2861686480801</v>
      </c>
      <c r="AA4" s="35"/>
    </row>
    <row r="5" spans="2:27" x14ac:dyDescent="0.2">
      <c r="B5" s="4">
        <v>2</v>
      </c>
      <c r="C5" s="4">
        <v>356</v>
      </c>
      <c r="D5" s="23">
        <v>1968472.815880433</v>
      </c>
      <c r="E5" s="33">
        <v>105.45189189188956</v>
      </c>
      <c r="F5" s="5">
        <v>9</v>
      </c>
      <c r="G5" s="23">
        <v>64.666666666666671</v>
      </c>
      <c r="H5" s="33">
        <v>1531.9948414704797</v>
      </c>
      <c r="I5" s="23">
        <v>40.20661768659469</v>
      </c>
      <c r="J5" s="5">
        <v>6825.546706031666</v>
      </c>
      <c r="K5" s="31"/>
      <c r="L5" s="23">
        <v>2269769.2037909059</v>
      </c>
      <c r="M5" s="33">
        <v>218.08702702703255</v>
      </c>
      <c r="N5" s="5">
        <v>12</v>
      </c>
      <c r="O5" s="5">
        <v>49.333333333333343</v>
      </c>
      <c r="P5" s="33">
        <v>1589.03705422147</v>
      </c>
      <c r="Q5" s="5">
        <v>21.909322195478268</v>
      </c>
      <c r="R5" s="5">
        <v>6430.0129712878988</v>
      </c>
      <c r="S5" s="31"/>
      <c r="T5" s="23">
        <v>2415059.435687975</v>
      </c>
      <c r="U5" s="33">
        <v>88.433243243237698</v>
      </c>
      <c r="V5" s="5">
        <v>5</v>
      </c>
      <c r="W5" s="5">
        <v>32.666666666666657</v>
      </c>
      <c r="X5" s="33">
        <v>753.31773598753318</v>
      </c>
      <c r="Y5" s="5">
        <v>57.90595532946454</v>
      </c>
      <c r="Z5" s="5">
        <v>6544.3932096961116</v>
      </c>
      <c r="AA5" s="35"/>
    </row>
    <row r="6" spans="2:27" x14ac:dyDescent="0.2">
      <c r="B6" s="4">
        <v>3</v>
      </c>
      <c r="C6" s="4">
        <v>436</v>
      </c>
      <c r="D6" s="23">
        <v>2160714.5453084828</v>
      </c>
      <c r="E6" s="33">
        <v>117.03972972973526</v>
      </c>
      <c r="F6" s="5">
        <v>10</v>
      </c>
      <c r="G6" s="23">
        <v>55.333333333333343</v>
      </c>
      <c r="H6" s="33">
        <v>1415.3526323088442</v>
      </c>
      <c r="I6" s="23">
        <v>25.631611877106366</v>
      </c>
      <c r="J6" s="5">
        <v>6864.1222398185073</v>
      </c>
      <c r="K6" s="31"/>
      <c r="L6" s="23">
        <v>2284633.81854328</v>
      </c>
      <c r="M6" s="33">
        <v>206.95945945945945</v>
      </c>
      <c r="N6" s="5">
        <v>11</v>
      </c>
      <c r="O6" s="5">
        <v>44</v>
      </c>
      <c r="P6" s="33">
        <v>940.86362025089988</v>
      </c>
      <c r="Q6" s="5">
        <v>21.264037001517661</v>
      </c>
      <c r="R6" s="5">
        <v>5798.133216055312</v>
      </c>
      <c r="S6" s="31"/>
      <c r="T6" s="23">
        <v>2403014.2386114839</v>
      </c>
      <c r="U6" s="33">
        <v>131.59621621620514</v>
      </c>
      <c r="V6" s="5">
        <v>11</v>
      </c>
      <c r="W6" s="5">
        <v>43.333333333333343</v>
      </c>
      <c r="X6" s="33">
        <v>1795.8379673386878</v>
      </c>
      <c r="Y6" s="5">
        <v>33.482515081382928</v>
      </c>
      <c r="Z6" s="5">
        <v>7245.7624039337043</v>
      </c>
      <c r="AA6" s="35"/>
    </row>
    <row r="7" spans="2:27" x14ac:dyDescent="0.2">
      <c r="B7" s="4">
        <v>4</v>
      </c>
      <c r="C7" s="4">
        <v>441</v>
      </c>
      <c r="D7" s="23">
        <v>2041370.278251671</v>
      </c>
      <c r="E7" s="33">
        <v>171.69756756756436</v>
      </c>
      <c r="F7" s="5">
        <v>10</v>
      </c>
      <c r="G7" s="23">
        <v>83.333333333333329</v>
      </c>
      <c r="H7" s="33">
        <v>3118.3766861112608</v>
      </c>
      <c r="I7" s="23">
        <v>46.824746432702156</v>
      </c>
      <c r="J7" s="5">
        <v>8617.7007409127691</v>
      </c>
      <c r="K7" s="31"/>
      <c r="L7" s="23">
        <v>2612897.3349417332</v>
      </c>
      <c r="M7" s="33">
        <v>140.46027027026472</v>
      </c>
      <c r="N7" s="5">
        <v>27</v>
      </c>
      <c r="O7" s="5">
        <v>73.333333333333329</v>
      </c>
      <c r="P7" s="33">
        <v>3627.8430789169902</v>
      </c>
      <c r="Q7" s="5">
        <v>14.952369071827079</v>
      </c>
      <c r="R7" s="5">
        <v>9015.3317238690997</v>
      </c>
      <c r="S7" s="31"/>
      <c r="T7" s="23">
        <v>2306297.6998230121</v>
      </c>
      <c r="U7" s="33">
        <v>149.71297297297937</v>
      </c>
      <c r="V7" s="5">
        <v>6</v>
      </c>
      <c r="W7" s="5">
        <v>42</v>
      </c>
      <c r="X7" s="33">
        <v>1356.0427758794215</v>
      </c>
      <c r="Y7" s="5">
        <v>58.5779267106549</v>
      </c>
      <c r="Z7" s="5">
        <v>7023.4585477092451</v>
      </c>
      <c r="AA7" s="35"/>
    </row>
    <row r="8" spans="2:27" x14ac:dyDescent="0.2">
      <c r="B8" s="4">
        <v>5</v>
      </c>
      <c r="C8" s="4">
        <v>449</v>
      </c>
      <c r="D8" s="23">
        <v>1997845.3564803549</v>
      </c>
      <c r="E8" s="33">
        <v>114.95351351351583</v>
      </c>
      <c r="F8" s="5">
        <v>9</v>
      </c>
      <c r="G8" s="23">
        <v>64</v>
      </c>
      <c r="H8" s="33">
        <v>1577.2187438671369</v>
      </c>
      <c r="I8" s="23">
        <v>37.988580500410556</v>
      </c>
      <c r="J8" s="5">
        <v>6970.267598743183</v>
      </c>
      <c r="K8" s="31"/>
      <c r="L8" s="23">
        <v>2508818.3396493839</v>
      </c>
      <c r="M8" s="33">
        <v>105.05486486487506</v>
      </c>
      <c r="N8" s="5">
        <v>14</v>
      </c>
      <c r="O8" s="5">
        <v>39.333333333333343</v>
      </c>
      <c r="P8" s="33">
        <v>1431.8037902044391</v>
      </c>
      <c r="Q8" s="5">
        <v>17.11164508310754</v>
      </c>
      <c r="R8" s="5">
        <v>6344.1419113825759</v>
      </c>
      <c r="S8" s="31"/>
      <c r="T8" s="23">
        <v>2306991.319796578</v>
      </c>
      <c r="U8" s="33">
        <v>278.24324324324323</v>
      </c>
      <c r="V8" s="5">
        <v>6</v>
      </c>
      <c r="W8" s="5">
        <v>41.333333333333343</v>
      </c>
      <c r="X8" s="33">
        <v>1199.2001686850488</v>
      </c>
      <c r="Y8" s="5">
        <v>57.620055777277535</v>
      </c>
      <c r="Z8" s="5">
        <v>6901.7522532256171</v>
      </c>
      <c r="AA8" s="35"/>
    </row>
    <row r="9" spans="2:27" x14ac:dyDescent="0.2">
      <c r="B9" s="4">
        <v>6</v>
      </c>
      <c r="C9" s="4">
        <v>525</v>
      </c>
      <c r="D9" s="23">
        <v>2030913.4895397639</v>
      </c>
      <c r="E9" s="33">
        <v>168.20513513514211</v>
      </c>
      <c r="F9" s="5">
        <v>9</v>
      </c>
      <c r="G9" s="23">
        <v>62</v>
      </c>
      <c r="H9" s="33">
        <v>1613.0511685604172</v>
      </c>
      <c r="I9" s="23">
        <v>36.497751686504586</v>
      </c>
      <c r="J9" s="5">
        <v>6910.1401197010755</v>
      </c>
      <c r="K9" s="31"/>
      <c r="L9" s="23">
        <v>2273179.603054882</v>
      </c>
      <c r="M9" s="33">
        <v>116.50756756756202</v>
      </c>
      <c r="N9" s="5">
        <v>11</v>
      </c>
      <c r="O9" s="5">
        <v>46</v>
      </c>
      <c r="P9" s="33">
        <v>1173.6488007268454</v>
      </c>
      <c r="Q9" s="5">
        <v>21.10381826746001</v>
      </c>
      <c r="R9" s="5">
        <v>5940.99187184535</v>
      </c>
      <c r="S9" s="31"/>
      <c r="T9" s="23">
        <v>2365248.4028497539</v>
      </c>
      <c r="U9" s="33">
        <v>233.16702702702526</v>
      </c>
      <c r="V9" s="5">
        <v>5</v>
      </c>
      <c r="W9" s="5">
        <v>37.333333333333343</v>
      </c>
      <c r="X9" s="33">
        <v>956.47966967292268</v>
      </c>
      <c r="Y9" s="5">
        <v>60.198207347866841</v>
      </c>
      <c r="Z9" s="5">
        <v>6907.174628259907</v>
      </c>
      <c r="AA9" s="35"/>
    </row>
    <row r="10" spans="2:27" x14ac:dyDescent="0.2">
      <c r="B10" s="4">
        <v>7</v>
      </c>
      <c r="C10" s="4">
        <v>548</v>
      </c>
      <c r="D10" s="23">
        <v>1993404.1052600581</v>
      </c>
      <c r="E10" s="33">
        <v>207.95621621621476</v>
      </c>
      <c r="F10" s="5">
        <v>8</v>
      </c>
      <c r="G10" s="23">
        <v>61.333333333333343</v>
      </c>
      <c r="H10" s="33">
        <v>1335.8715992752013</v>
      </c>
      <c r="I10" s="23">
        <v>43.790019477008912</v>
      </c>
      <c r="J10" s="5">
        <v>6829.2687392984717</v>
      </c>
      <c r="K10" s="31"/>
      <c r="L10" s="23">
        <v>2239563.5857925839</v>
      </c>
      <c r="M10" s="33">
        <v>148.67837837837459</v>
      </c>
      <c r="N10" s="5">
        <v>10</v>
      </c>
      <c r="O10" s="5">
        <v>48</v>
      </c>
      <c r="P10" s="33">
        <v>1200.7184673589791</v>
      </c>
      <c r="Q10" s="5">
        <v>23.558120821856868</v>
      </c>
      <c r="R10" s="5">
        <v>6321.4101218628684</v>
      </c>
      <c r="S10" s="31"/>
      <c r="T10" s="23">
        <v>2217650.3405192299</v>
      </c>
      <c r="U10" s="33">
        <v>153.53054054054695</v>
      </c>
      <c r="V10" s="5">
        <v>8</v>
      </c>
      <c r="W10" s="5">
        <v>48.666666666666657</v>
      </c>
      <c r="X10" s="33">
        <v>1391.5053312517457</v>
      </c>
      <c r="Y10" s="5">
        <v>46.944558645697377</v>
      </c>
      <c r="Z10" s="5">
        <v>6894.788506350008</v>
      </c>
      <c r="AA10" s="35"/>
    </row>
    <row r="11" spans="2:27" x14ac:dyDescent="0.2">
      <c r="B11" s="4">
        <v>8</v>
      </c>
      <c r="C11" s="4">
        <v>608</v>
      </c>
      <c r="D11" s="23">
        <v>2046393.044128729</v>
      </c>
      <c r="E11" s="33">
        <v>140.76027027026882</v>
      </c>
      <c r="F11" s="5">
        <v>6</v>
      </c>
      <c r="G11" s="23">
        <v>55.333333333333343</v>
      </c>
      <c r="H11" s="33">
        <v>1010.6392217991939</v>
      </c>
      <c r="I11" s="23">
        <v>50.299237753282398</v>
      </c>
      <c r="J11" s="5">
        <v>6737.1005000209443</v>
      </c>
      <c r="K11" s="31"/>
      <c r="L11" s="23">
        <v>2258460.679062305</v>
      </c>
      <c r="M11" s="33">
        <v>388.90648648649375</v>
      </c>
      <c r="N11" s="5">
        <v>10</v>
      </c>
      <c r="O11" s="5">
        <v>45.333333333333343</v>
      </c>
      <c r="P11" s="33">
        <v>1080.0197357345978</v>
      </c>
      <c r="Q11" s="5">
        <v>21.312727558630968</v>
      </c>
      <c r="R11" s="5">
        <v>5903.5251832286349</v>
      </c>
      <c r="S11" s="31"/>
      <c r="T11" s="23">
        <v>2263762.8639864768</v>
      </c>
      <c r="U11" s="33">
        <v>295.47702702701514</v>
      </c>
      <c r="V11" s="5">
        <v>6</v>
      </c>
      <c r="W11" s="5">
        <v>42</v>
      </c>
      <c r="X11" s="33">
        <v>959.60108525483781</v>
      </c>
      <c r="Y11" s="5">
        <v>51.517352695238706</v>
      </c>
      <c r="Z11" s="5">
        <v>6625.6926276375634</v>
      </c>
      <c r="AA11" s="35"/>
    </row>
    <row r="12" spans="2:27" x14ac:dyDescent="0.2">
      <c r="B12" s="4">
        <v>9</v>
      </c>
      <c r="C12" s="4">
        <v>722</v>
      </c>
      <c r="D12" s="23">
        <v>1944763.7435243209</v>
      </c>
      <c r="E12" s="33">
        <v>109.48054054055073</v>
      </c>
      <c r="F12" s="5">
        <v>9</v>
      </c>
      <c r="G12" s="23">
        <v>70</v>
      </c>
      <c r="H12" s="33">
        <v>1851.9845369062732</v>
      </c>
      <c r="I12" s="23">
        <v>41.691769100804734</v>
      </c>
      <c r="J12" s="5">
        <v>7416.098794137557</v>
      </c>
      <c r="K12" s="31"/>
      <c r="L12" s="23">
        <v>2360816.2749955519</v>
      </c>
      <c r="M12" s="33">
        <v>137.0691891891781</v>
      </c>
      <c r="N12" s="5">
        <v>8</v>
      </c>
      <c r="O12" s="5">
        <v>36.666666666666657</v>
      </c>
      <c r="P12" s="33">
        <v>745.27458923591223</v>
      </c>
      <c r="Q12" s="5">
        <v>24.541044400519652</v>
      </c>
      <c r="R12" s="5">
        <v>5539.8942670564265</v>
      </c>
      <c r="S12" s="31"/>
      <c r="T12" s="23">
        <v>2292417.7638624241</v>
      </c>
      <c r="U12" s="33">
        <v>93.391081081086611</v>
      </c>
      <c r="V12" s="5">
        <v>9</v>
      </c>
      <c r="W12" s="5">
        <v>50</v>
      </c>
      <c r="X12" s="33">
        <v>2065.2275308034773</v>
      </c>
      <c r="Y12" s="5">
        <v>48.056442634673971</v>
      </c>
      <c r="Z12" s="5">
        <v>7590.7795416633835</v>
      </c>
      <c r="AA12" s="35"/>
    </row>
    <row r="13" spans="2:27" x14ac:dyDescent="0.2">
      <c r="B13" s="4">
        <v>10</v>
      </c>
      <c r="C13" s="4">
        <v>974</v>
      </c>
      <c r="D13" s="23">
        <v>1896166.279016362</v>
      </c>
      <c r="E13" s="33">
        <v>140.37162162162161</v>
      </c>
      <c r="F13" s="5">
        <v>11</v>
      </c>
      <c r="G13" s="23">
        <v>72</v>
      </c>
      <c r="H13" s="33">
        <v>1630.1857814874445</v>
      </c>
      <c r="I13" s="23">
        <v>37.128113858376686</v>
      </c>
      <c r="J13" s="5">
        <v>6964.9681784546756</v>
      </c>
      <c r="K13" s="31"/>
      <c r="L13" s="23">
        <v>2467957.5950475628</v>
      </c>
      <c r="M13" s="33">
        <v>111.21189189189099</v>
      </c>
      <c r="N13" s="5">
        <v>9</v>
      </c>
      <c r="O13" s="5">
        <v>34.666666666666657</v>
      </c>
      <c r="P13" s="33">
        <v>923.4766879096619</v>
      </c>
      <c r="Q13" s="5">
        <v>19.699586021844606</v>
      </c>
      <c r="R13" s="5">
        <v>6040.5712104200711</v>
      </c>
      <c r="S13" s="31"/>
      <c r="T13" s="23">
        <v>2342642.73920738</v>
      </c>
      <c r="U13" s="33">
        <v>200.03378378378378</v>
      </c>
      <c r="V13" s="5">
        <v>7</v>
      </c>
      <c r="W13" s="5">
        <v>40.666666666666657</v>
      </c>
      <c r="X13" s="33">
        <v>1329.3120151016694</v>
      </c>
      <c r="Y13" s="5">
        <v>49.588715833011101</v>
      </c>
      <c r="Z13" s="5">
        <v>6900.9817715192221</v>
      </c>
      <c r="AA13" s="35"/>
    </row>
    <row r="14" spans="2:27" x14ac:dyDescent="0.2">
      <c r="B14" s="46" t="s">
        <v>3</v>
      </c>
      <c r="C14" s="47"/>
      <c r="D14" s="9">
        <f>MIN(D4:D13)</f>
        <v>1896166.279016362</v>
      </c>
      <c r="E14" s="22">
        <f>INDEX(E4:E13, MATCH($D$14, D4:D13, 0))</f>
        <v>140.37162162162161</v>
      </c>
      <c r="F14" s="9">
        <f>INDEX(F4:F13, MATCH($D$14, D4:D13, 0))</f>
        <v>11</v>
      </c>
      <c r="G14" s="9">
        <f>INDEX(G4:G13, MATCH($D$14, D4:D13, 0))</f>
        <v>72</v>
      </c>
      <c r="H14" s="22">
        <f>INDEX(H4:H13, MATCH($D$14, D4:D13, 0))</f>
        <v>1630.1857814874445</v>
      </c>
      <c r="I14" s="22">
        <f>INDEX(I4:I13, MATCH($D$14, D4:D13, 0))</f>
        <v>37.128113858376686</v>
      </c>
      <c r="J14" s="22">
        <f>INDEX(J4:J13, MATCH($D$14, D4:D13, 0))</f>
        <v>6964.9681784546756</v>
      </c>
      <c r="K14" s="32" t="e">
        <f>(D14-$D$15)/$D$15</f>
        <v>#DIV/0!</v>
      </c>
      <c r="L14" s="16">
        <f>MIN(L4:L13)</f>
        <v>2239563.5857925839</v>
      </c>
      <c r="M14" s="21">
        <f>INDEX(M4:M13, MATCH($L$14, L4:L13, 0))</f>
        <v>148.67837837837459</v>
      </c>
      <c r="N14" s="16">
        <f>INDEX(N4:N13, MATCH($L$14, L4:L13, 0))</f>
        <v>10</v>
      </c>
      <c r="O14" s="16">
        <f>INDEX(O4:O13, MATCH($L$14, L4:L13, 0))</f>
        <v>48</v>
      </c>
      <c r="P14" s="21">
        <f>INDEX(P4:P13, MATCH($L$14, L4:L13, 0))</f>
        <v>1200.7184673589791</v>
      </c>
      <c r="Q14" s="21">
        <f>INDEX(Q4:Q13, MATCH($L$14, L4:L13, 0))</f>
        <v>23.558120821856868</v>
      </c>
      <c r="R14" s="21">
        <f>INDEX(R4:R13, MATCH($L$14, L4:L13, 0))</f>
        <v>6321.4101218628684</v>
      </c>
      <c r="S14" s="36" t="e">
        <f>(L14-$D$15)/$D$15</f>
        <v>#DIV/0!</v>
      </c>
      <c r="T14" s="38">
        <f>MIN(T4:T13)</f>
        <v>2217650.3405192299</v>
      </c>
      <c r="U14" s="39">
        <f>INDEX(U4:U13, MATCH($T$14, T4:T13, 0))</f>
        <v>153.53054054054695</v>
      </c>
      <c r="V14" s="38">
        <f>INDEX(V4:V13, MATCH($T$14, T4:T13, 0))</f>
        <v>8</v>
      </c>
      <c r="W14" s="38">
        <f>INDEX(W4:W13, MATCH($T$14, T4:T13, 0))</f>
        <v>48.666666666666657</v>
      </c>
      <c r="X14" s="39">
        <f>INDEX(X4:X13, MATCH($T$14, T4:T13, 0))</f>
        <v>1391.5053312517457</v>
      </c>
      <c r="Y14" s="39">
        <f>INDEX(Y4:Y13, MATCH($T$14, T4:T13, 0))</f>
        <v>46.944558645697377</v>
      </c>
      <c r="Z14" s="39">
        <f>INDEX(Z4:Z13, MATCH($T$14, T4:T13, 0))</f>
        <v>6894.788506350008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9" priority="5"/>
    <cfRule type="duplicateValues" dxfId="88" priority="6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6A3C-4CE1-409C-A5EE-7C0CAB51184C}">
  <dimension ref="B1:AA17"/>
  <sheetViews>
    <sheetView zoomScale="85" zoomScaleNormal="85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-0.98406303814656793</v>
      </c>
      <c r="J2" s="28" t="e">
        <f>(S14-J14)/J14</f>
        <v>#DIV/0!</v>
      </c>
      <c r="K2" s="28"/>
      <c r="L2" s="1" t="s">
        <v>19</v>
      </c>
      <c r="P2" s="1">
        <f>(P14-H14)/H14</f>
        <v>-4.6603372354307449E-2</v>
      </c>
      <c r="R2" s="1">
        <f>(R14-J14)/J14</f>
        <v>-8.6687973997901444E-2</v>
      </c>
      <c r="T2" s="1" t="s">
        <v>20</v>
      </c>
      <c r="X2" s="1">
        <f>(X14-P14)/P14</f>
        <v>8.9365114246703764E-2</v>
      </c>
      <c r="Z2" s="1">
        <f>(Z14-R14)/R14</f>
        <v>0.12331066826088015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</v>
      </c>
      <c r="D4" s="23">
        <v>1622784.6692812149</v>
      </c>
      <c r="E4" s="33">
        <v>169.64108108107874</v>
      </c>
      <c r="F4" s="5">
        <v>11</v>
      </c>
      <c r="G4" s="23">
        <v>83.333333333333329</v>
      </c>
      <c r="H4" s="33">
        <v>1555.1179371580097</v>
      </c>
      <c r="I4" s="23">
        <v>46.114509894002843</v>
      </c>
      <c r="J4" s="5">
        <v>6583.5314287816627</v>
      </c>
      <c r="K4" s="31"/>
      <c r="L4" s="23">
        <v>2185259.1475170809</v>
      </c>
      <c r="M4" s="33">
        <v>327.26351351351349</v>
      </c>
      <c r="N4" s="5">
        <v>9</v>
      </c>
      <c r="O4" s="5">
        <v>46.666666666666657</v>
      </c>
      <c r="P4" s="33">
        <v>699.49971028528194</v>
      </c>
      <c r="Q4" s="5">
        <v>24.135126186652101</v>
      </c>
      <c r="R4" s="5">
        <v>5548.4548366766139</v>
      </c>
      <c r="S4" s="31"/>
      <c r="T4" s="23">
        <v>2116718.6273716032</v>
      </c>
      <c r="U4" s="33">
        <v>96.21621621621621</v>
      </c>
      <c r="V4" s="5">
        <v>8</v>
      </c>
      <c r="W4" s="5">
        <v>50</v>
      </c>
      <c r="X4" s="33">
        <v>1086.6129175690569</v>
      </c>
      <c r="Y4" s="5">
        <v>57.940645089714877</v>
      </c>
      <c r="Z4" s="5">
        <v>6150.8753324264962</v>
      </c>
      <c r="AA4" s="35"/>
    </row>
    <row r="5" spans="2:27" x14ac:dyDescent="0.2">
      <c r="B5" s="4">
        <v>2</v>
      </c>
      <c r="C5" s="4">
        <v>117</v>
      </c>
      <c r="D5" s="23">
        <v>1590369.7626271599</v>
      </c>
      <c r="E5" s="33">
        <v>256.43162162162713</v>
      </c>
      <c r="F5" s="5">
        <v>11</v>
      </c>
      <c r="G5" s="23">
        <v>84</v>
      </c>
      <c r="H5" s="33">
        <v>1430.9365038223002</v>
      </c>
      <c r="I5" s="23">
        <v>45.975906700217934</v>
      </c>
      <c r="J5" s="5">
        <v>6469.0160471290474</v>
      </c>
      <c r="K5" s="31"/>
      <c r="L5" s="23">
        <v>2200764.9417269542</v>
      </c>
      <c r="M5" s="33">
        <v>321.54567567567108</v>
      </c>
      <c r="N5" s="5">
        <v>9</v>
      </c>
      <c r="O5" s="5">
        <v>42</v>
      </c>
      <c r="P5" s="33">
        <v>333.47664047876714</v>
      </c>
      <c r="Q5" s="5">
        <v>25.183915609703284</v>
      </c>
      <c r="R5" s="5">
        <v>4764.2219305698327</v>
      </c>
      <c r="S5" s="31"/>
      <c r="T5" s="23">
        <v>2151638.8853665479</v>
      </c>
      <c r="U5" s="33">
        <v>105.95864864863844</v>
      </c>
      <c r="V5" s="5">
        <v>6</v>
      </c>
      <c r="W5" s="5">
        <v>46.666666666666657</v>
      </c>
      <c r="X5" s="33">
        <v>1010.8409998043667</v>
      </c>
      <c r="Y5" s="5">
        <v>71.558921328193051</v>
      </c>
      <c r="Z5" s="5">
        <v>6291.3943878956761</v>
      </c>
      <c r="AA5" s="35"/>
    </row>
    <row r="6" spans="2:27" x14ac:dyDescent="0.2">
      <c r="B6" s="4">
        <v>3</v>
      </c>
      <c r="C6" s="4">
        <v>271</v>
      </c>
      <c r="D6" s="23">
        <v>1624525.847923286</v>
      </c>
      <c r="E6" s="33">
        <v>148.75</v>
      </c>
      <c r="F6" s="5">
        <v>11</v>
      </c>
      <c r="G6" s="23">
        <v>88</v>
      </c>
      <c r="H6" s="33">
        <v>1941.9482851745843</v>
      </c>
      <c r="I6" s="23">
        <v>49.472855268155087</v>
      </c>
      <c r="J6" s="5">
        <v>7053.8001244200441</v>
      </c>
      <c r="K6" s="31"/>
      <c r="L6" s="23">
        <v>2233908.5292095961</v>
      </c>
      <c r="M6" s="33">
        <v>319.18918918918916</v>
      </c>
      <c r="N6" s="5">
        <v>12</v>
      </c>
      <c r="O6" s="5">
        <v>47.333333333333343</v>
      </c>
      <c r="P6" s="33">
        <v>1005.0932198950281</v>
      </c>
      <c r="Q6" s="5">
        <v>20.225752185017214</v>
      </c>
      <c r="R6" s="5">
        <v>5553.0318390132325</v>
      </c>
      <c r="S6" s="31"/>
      <c r="T6" s="23">
        <v>2184525.165179973</v>
      </c>
      <c r="U6" s="33">
        <v>61.73999999999068</v>
      </c>
      <c r="V6" s="5">
        <v>6</v>
      </c>
      <c r="W6" s="5">
        <v>42.666666666666657</v>
      </c>
      <c r="X6" s="33">
        <v>655.57445880307262</v>
      </c>
      <c r="Y6" s="5">
        <v>78.433204357382905</v>
      </c>
      <c r="Z6" s="5">
        <v>5891.0037920588411</v>
      </c>
      <c r="AA6" s="35"/>
    </row>
    <row r="7" spans="2:27" x14ac:dyDescent="0.2">
      <c r="B7" s="4">
        <v>4</v>
      </c>
      <c r="C7" s="4">
        <v>344</v>
      </c>
      <c r="D7" s="23">
        <v>1650950.2292633839</v>
      </c>
      <c r="E7" s="33">
        <v>481.57513513513754</v>
      </c>
      <c r="F7" s="5">
        <v>10</v>
      </c>
      <c r="G7" s="23">
        <v>79.333333333333329</v>
      </c>
      <c r="H7" s="33">
        <v>1375.1345707956193</v>
      </c>
      <c r="I7" s="23">
        <v>47.015951625148205</v>
      </c>
      <c r="J7" s="5">
        <v>6419.1268296258486</v>
      </c>
      <c r="K7" s="31"/>
      <c r="L7" s="23">
        <v>2222535.4879077072</v>
      </c>
      <c r="M7" s="33">
        <v>160.62486486485844</v>
      </c>
      <c r="N7" s="5">
        <v>13</v>
      </c>
      <c r="O7" s="5">
        <v>47.333333333333343</v>
      </c>
      <c r="P7" s="33">
        <v>708.722006384162</v>
      </c>
      <c r="Q7" s="5">
        <v>19.027152901445501</v>
      </c>
      <c r="R7" s="5">
        <v>5315.6317895476286</v>
      </c>
      <c r="S7" s="31"/>
      <c r="T7" s="23">
        <v>2178319.7992740511</v>
      </c>
      <c r="U7" s="33">
        <v>209.7254054054045</v>
      </c>
      <c r="V7" s="5">
        <v>7</v>
      </c>
      <c r="W7" s="5">
        <v>48.666666666666657</v>
      </c>
      <c r="X7" s="33">
        <v>1540.0309641024235</v>
      </c>
      <c r="Y7" s="5">
        <v>65.265166654119611</v>
      </c>
      <c r="Z7" s="5">
        <v>6777.7450303900214</v>
      </c>
      <c r="AA7" s="35"/>
    </row>
    <row r="8" spans="2:27" x14ac:dyDescent="0.2">
      <c r="B8" s="4">
        <v>5</v>
      </c>
      <c r="C8" s="4">
        <v>511</v>
      </c>
      <c r="D8" s="23">
        <v>1849654.201855713</v>
      </c>
      <c r="E8" s="33">
        <v>112.80405405405405</v>
      </c>
      <c r="F8" s="5">
        <v>13</v>
      </c>
      <c r="G8" s="23">
        <v>78</v>
      </c>
      <c r="H8" s="33">
        <v>1834.3913252557493</v>
      </c>
      <c r="I8" s="23">
        <v>34.77813785644166</v>
      </c>
      <c r="J8" s="5">
        <v>7014.9879937652022</v>
      </c>
      <c r="K8" s="31"/>
      <c r="L8" s="23">
        <v>2250452.408529127</v>
      </c>
      <c r="M8" s="33">
        <v>355.33351351351268</v>
      </c>
      <c r="N8" s="5">
        <v>9</v>
      </c>
      <c r="O8" s="5">
        <v>44.666666666666657</v>
      </c>
      <c r="P8" s="33">
        <v>1062.6786406583071</v>
      </c>
      <c r="Q8" s="5">
        <v>24.541774521192206</v>
      </c>
      <c r="R8" s="5">
        <v>5909.0320602322308</v>
      </c>
      <c r="S8" s="31"/>
      <c r="T8" s="23">
        <v>2121847.0499615758</v>
      </c>
      <c r="U8" s="33">
        <v>156.93000000000086</v>
      </c>
      <c r="V8" s="5">
        <v>6</v>
      </c>
      <c r="W8" s="5">
        <v>46</v>
      </c>
      <c r="X8" s="33">
        <v>716.78627380129331</v>
      </c>
      <c r="Y8" s="5">
        <v>78.022479643152209</v>
      </c>
      <c r="Z8" s="5">
        <v>5930.4197239233708</v>
      </c>
      <c r="AA8" s="35"/>
    </row>
    <row r="9" spans="2:27" x14ac:dyDescent="0.2">
      <c r="B9" s="4">
        <v>6</v>
      </c>
      <c r="C9" s="4">
        <v>737</v>
      </c>
      <c r="D9" s="23">
        <v>1636369.2780793919</v>
      </c>
      <c r="E9" s="33">
        <v>167.49162162162483</v>
      </c>
      <c r="F9" s="5">
        <v>10</v>
      </c>
      <c r="G9" s="23">
        <v>80.666666666666671</v>
      </c>
      <c r="H9" s="33">
        <v>1516.5642107449369</v>
      </c>
      <c r="I9" s="23">
        <v>50.712702090084022</v>
      </c>
      <c r="J9" s="5">
        <v>6469.5597726158203</v>
      </c>
      <c r="K9" s="31"/>
      <c r="L9" s="23">
        <v>2246367.8216019939</v>
      </c>
      <c r="M9" s="33">
        <v>324.50162162162621</v>
      </c>
      <c r="N9" s="5">
        <v>9</v>
      </c>
      <c r="O9" s="5">
        <v>41.333333333333343</v>
      </c>
      <c r="P9" s="33">
        <v>656.18837990178656</v>
      </c>
      <c r="Q9" s="5">
        <v>24.357870719552366</v>
      </c>
      <c r="R9" s="5">
        <v>4997.8684339339707</v>
      </c>
      <c r="S9" s="31"/>
      <c r="T9" s="23">
        <v>2092586.780750294</v>
      </c>
      <c r="U9" s="33">
        <v>97.580270270275804</v>
      </c>
      <c r="V9" s="5">
        <v>8</v>
      </c>
      <c r="W9" s="5">
        <v>53.333333333333343</v>
      </c>
      <c r="X9" s="33">
        <v>1381.3720321354629</v>
      </c>
      <c r="Y9" s="5">
        <v>67.891567583316615</v>
      </c>
      <c r="Z9" s="5">
        <v>6496.8198609713536</v>
      </c>
      <c r="AA9" s="35"/>
    </row>
    <row r="10" spans="2:27" x14ac:dyDescent="0.2">
      <c r="B10" s="4">
        <v>7</v>
      </c>
      <c r="C10" s="4">
        <v>844</v>
      </c>
      <c r="D10" s="23">
        <v>1686625.670354791</v>
      </c>
      <c r="E10" s="33">
        <v>275.37594594594674</v>
      </c>
      <c r="F10" s="5">
        <v>11</v>
      </c>
      <c r="G10" s="23">
        <v>79.333333333333329</v>
      </c>
      <c r="H10" s="33">
        <v>1524.8059195296955</v>
      </c>
      <c r="I10" s="23">
        <v>42.195222049262902</v>
      </c>
      <c r="J10" s="5">
        <v>6539.3270719724214</v>
      </c>
      <c r="K10" s="31"/>
      <c r="L10" s="23">
        <v>2258444.038335755</v>
      </c>
      <c r="M10" s="33">
        <v>151.98459459459283</v>
      </c>
      <c r="N10" s="5">
        <v>9</v>
      </c>
      <c r="O10" s="5">
        <v>41.333333333333343</v>
      </c>
      <c r="P10" s="33">
        <v>636.93135737462978</v>
      </c>
      <c r="Q10" s="5">
        <v>22.845218275622312</v>
      </c>
      <c r="R10" s="5">
        <v>5161.4082660589902</v>
      </c>
      <c r="S10" s="31"/>
      <c r="T10" s="23">
        <v>2232261.7408833951</v>
      </c>
      <c r="U10" s="33">
        <v>134.72108108107932</v>
      </c>
      <c r="V10" s="5">
        <v>6</v>
      </c>
      <c r="W10" s="5">
        <v>42.666666666666657</v>
      </c>
      <c r="X10" s="33">
        <v>1260.0410591483139</v>
      </c>
      <c r="Y10" s="5">
        <v>82.12618786933281</v>
      </c>
      <c r="Z10" s="5">
        <v>6500.6175888015623</v>
      </c>
      <c r="AA10" s="35"/>
    </row>
    <row r="11" spans="2:27" x14ac:dyDescent="0.2">
      <c r="B11" s="4">
        <v>8</v>
      </c>
      <c r="C11" s="4">
        <v>899</v>
      </c>
      <c r="D11" s="23">
        <v>1868429.7203319671</v>
      </c>
      <c r="E11" s="33">
        <v>56.837027027032562</v>
      </c>
      <c r="F11" s="5">
        <v>11</v>
      </c>
      <c r="G11" s="23">
        <v>78.666666666666671</v>
      </c>
      <c r="H11" s="33">
        <v>2160.6838554456963</v>
      </c>
      <c r="I11" s="23">
        <v>39.794145667465735</v>
      </c>
      <c r="J11" s="5">
        <v>7378.8551772856754</v>
      </c>
      <c r="K11" s="31"/>
      <c r="L11" s="23">
        <v>2400959.9796281909</v>
      </c>
      <c r="M11" s="33">
        <v>136.90459459460013</v>
      </c>
      <c r="N11" s="5">
        <v>32</v>
      </c>
      <c r="O11" s="5">
        <v>86.666666666666671</v>
      </c>
      <c r="P11" s="33">
        <v>3340.7447042691356</v>
      </c>
      <c r="Q11" s="5">
        <v>15.961018759900325</v>
      </c>
      <c r="R11" s="5">
        <v>8540.595099293796</v>
      </c>
      <c r="S11" s="31"/>
      <c r="T11" s="23">
        <v>2100990.9500485049</v>
      </c>
      <c r="U11" s="33">
        <v>137.38621621622352</v>
      </c>
      <c r="V11" s="5">
        <v>7</v>
      </c>
      <c r="W11" s="5">
        <v>50.666666666666657</v>
      </c>
      <c r="X11" s="33">
        <v>1184.2040873658786</v>
      </c>
      <c r="Y11" s="5">
        <v>74.75112215180954</v>
      </c>
      <c r="Z11" s="5">
        <v>6382.3794182082656</v>
      </c>
      <c r="AA11" s="35"/>
    </row>
    <row r="12" spans="2:27" x14ac:dyDescent="0.2">
      <c r="B12" s="4">
        <v>9</v>
      </c>
      <c r="C12" s="4">
        <v>952</v>
      </c>
      <c r="D12" s="23">
        <v>1728431.892196656</v>
      </c>
      <c r="E12" s="33">
        <v>65.261891891887245</v>
      </c>
      <c r="F12" s="5">
        <v>11</v>
      </c>
      <c r="G12" s="23">
        <v>79.333333333333329</v>
      </c>
      <c r="H12" s="33">
        <v>1637.536600677445</v>
      </c>
      <c r="I12" s="23">
        <v>41.865966966070964</v>
      </c>
      <c r="J12" s="5">
        <v>6706.5789631199459</v>
      </c>
      <c r="K12" s="31"/>
      <c r="L12" s="23">
        <v>2141649.001422409</v>
      </c>
      <c r="M12" s="33">
        <v>309.33297297297486</v>
      </c>
      <c r="N12" s="5">
        <v>14</v>
      </c>
      <c r="O12" s="5">
        <v>54.666666666666657</v>
      </c>
      <c r="P12" s="33">
        <v>1364.2500371192987</v>
      </c>
      <c r="Q12" s="5">
        <v>22.80478047609957</v>
      </c>
      <c r="R12" s="5">
        <v>5908.2301522435173</v>
      </c>
      <c r="S12" s="31"/>
      <c r="T12" s="23">
        <v>2019860.4292595449</v>
      </c>
      <c r="U12" s="33">
        <v>146.72297297297297</v>
      </c>
      <c r="V12" s="5">
        <v>10</v>
      </c>
      <c r="W12" s="5">
        <v>59.333333333333343</v>
      </c>
      <c r="X12" s="33">
        <v>1486.1663975475346</v>
      </c>
      <c r="Y12" s="5">
        <v>53.784919739325389</v>
      </c>
      <c r="Z12" s="5">
        <v>6636.7779605557471</v>
      </c>
      <c r="AA12" s="35"/>
    </row>
    <row r="13" spans="2:27" x14ac:dyDescent="0.2">
      <c r="B13" s="4">
        <v>10</v>
      </c>
      <c r="C13" s="4">
        <v>988</v>
      </c>
      <c r="D13" s="23">
        <v>1807559.681385925</v>
      </c>
      <c r="E13" s="33">
        <v>63.834324324317919</v>
      </c>
      <c r="F13" s="5">
        <v>11</v>
      </c>
      <c r="G13" s="23">
        <v>86</v>
      </c>
      <c r="H13" s="33">
        <v>2441.0755728306972</v>
      </c>
      <c r="I13" s="23">
        <v>43.903960029052463</v>
      </c>
      <c r="J13" s="5">
        <v>7562.1062639911543</v>
      </c>
      <c r="K13" s="31"/>
      <c r="L13" s="23">
        <v>2214636.0058271298</v>
      </c>
      <c r="M13" s="33">
        <v>262.7324324324444</v>
      </c>
      <c r="N13" s="5">
        <v>17</v>
      </c>
      <c r="O13" s="5">
        <v>58.666666666666657</v>
      </c>
      <c r="P13" s="33">
        <v>1488.2429384675395</v>
      </c>
      <c r="Q13" s="5">
        <v>18.437458369976625</v>
      </c>
      <c r="R13" s="5">
        <v>6430.8618376724708</v>
      </c>
      <c r="S13" s="31"/>
      <c r="T13" s="23">
        <v>2216670.2188069099</v>
      </c>
      <c r="U13" s="33">
        <v>148.7162162162162</v>
      </c>
      <c r="V13" s="5">
        <v>6</v>
      </c>
      <c r="W13" s="5">
        <v>45.333333333333343</v>
      </c>
      <c r="X13" s="33">
        <v>1298.5529212640647</v>
      </c>
      <c r="Y13" s="5">
        <v>77.87765553012882</v>
      </c>
      <c r="Z13" s="5">
        <v>6649.2013990151772</v>
      </c>
      <c r="AA13" s="35"/>
    </row>
    <row r="14" spans="2:27" x14ac:dyDescent="0.2">
      <c r="B14" s="46" t="s">
        <v>3</v>
      </c>
      <c r="C14" s="47"/>
      <c r="D14" s="9">
        <f>MIN(D4:D13)</f>
        <v>1590369.7626271599</v>
      </c>
      <c r="E14" s="22">
        <f>INDEX(E4:E13, MATCH($D$14, D4:D13, 0))</f>
        <v>256.43162162162713</v>
      </c>
      <c r="F14" s="9">
        <f>INDEX(F4:F13, MATCH($D$14, D4:D13, 0))</f>
        <v>11</v>
      </c>
      <c r="G14" s="9">
        <f>INDEX(G4:G13, MATCH($D$14, D4:D13, 0))</f>
        <v>84</v>
      </c>
      <c r="H14" s="22">
        <f>INDEX(H4:H13, MATCH($D$14, D4:D13, 0))</f>
        <v>1430.9365038223002</v>
      </c>
      <c r="I14" s="22">
        <f>INDEX(I4:I13, MATCH($D$14, D4:D13, 0))</f>
        <v>45.975906700217934</v>
      </c>
      <c r="J14" s="22">
        <f>INDEX(J4:J13, MATCH($D$14, D4:D13, 0))</f>
        <v>6469.0160471290474</v>
      </c>
      <c r="K14" s="32" t="e">
        <f>(D14-$D$15)/$D$15</f>
        <v>#DIV/0!</v>
      </c>
      <c r="L14" s="16">
        <f>MIN(L4:L13)</f>
        <v>2141649.001422409</v>
      </c>
      <c r="M14" s="21">
        <f>INDEX(M4:M13, MATCH($L$14, L4:L13, 0))</f>
        <v>309.33297297297486</v>
      </c>
      <c r="N14" s="16">
        <f>INDEX(N4:N13, MATCH($L$14, L4:L13, 0))</f>
        <v>14</v>
      </c>
      <c r="O14" s="16">
        <f>INDEX(O4:O13, MATCH($L$14, L4:L13, 0))</f>
        <v>54.666666666666657</v>
      </c>
      <c r="P14" s="21">
        <f>INDEX(P4:P13, MATCH($L$14, L4:L13, 0))</f>
        <v>1364.2500371192987</v>
      </c>
      <c r="Q14" s="21">
        <f>INDEX(Q4:Q13, MATCH($L$14, L4:L13, 0))</f>
        <v>22.80478047609957</v>
      </c>
      <c r="R14" s="21">
        <f>INDEX(R4:R13, MATCH($L$14, L4:L13, 0))</f>
        <v>5908.2301522435173</v>
      </c>
      <c r="S14" s="36" t="e">
        <f>(L14-$D$15)/$D$15</f>
        <v>#DIV/0!</v>
      </c>
      <c r="T14" s="38">
        <f>MIN(T4:T13)</f>
        <v>2019860.4292595449</v>
      </c>
      <c r="U14" s="39">
        <f>INDEX(U4:U13, MATCH($T$14, T4:T13, 0))</f>
        <v>146.72297297297297</v>
      </c>
      <c r="V14" s="38">
        <f>INDEX(V4:V13, MATCH($T$14, T4:T13, 0))</f>
        <v>10</v>
      </c>
      <c r="W14" s="38">
        <f>INDEX(W4:W13, MATCH($T$14, T4:T13, 0))</f>
        <v>59.333333333333343</v>
      </c>
      <c r="X14" s="39">
        <f>INDEX(X4:X13, MATCH($T$14, T4:T13, 0))</f>
        <v>1486.1663975475346</v>
      </c>
      <c r="Y14" s="39">
        <f>INDEX(Y4:Y13, MATCH($T$14, T4:T13, 0))</f>
        <v>53.784919739325389</v>
      </c>
      <c r="Z14" s="39">
        <f>INDEX(Z4:Z13, MATCH($T$14, T4:T13, 0))</f>
        <v>6636.7779605557471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20:C29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B3E9-0EB0-4FDB-BDD0-48ED55129FDB}">
  <dimension ref="B1:AA17"/>
  <sheetViews>
    <sheetView zoomScale="85" zoomScaleNormal="85" workbookViewId="0">
      <selection activeCell="U29" sqref="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-0.98653531071996736</v>
      </c>
      <c r="J2" s="28" t="e">
        <f>(S14-J14)/J14</f>
        <v>#DIV/0!</v>
      </c>
      <c r="K2" s="28"/>
      <c r="L2" s="1" t="s">
        <v>19</v>
      </c>
      <c r="P2" s="1">
        <f>(P14-H14)/H14</f>
        <v>-0.53436365200319091</v>
      </c>
      <c r="R2" s="1">
        <f>(R14-J14)/J14</f>
        <v>-0.20249710913598459</v>
      </c>
      <c r="T2" s="1" t="s">
        <v>20</v>
      </c>
      <c r="X2" s="1">
        <f>(X14-P14)/P14</f>
        <v>0.52699878057442906</v>
      </c>
      <c r="Z2" s="1">
        <f>(Z14-R14)/R14</f>
        <v>0.22439345053309201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89</v>
      </c>
      <c r="D4" s="23">
        <v>1900948.284359667</v>
      </c>
      <c r="E4" s="33">
        <v>176.24594594594217</v>
      </c>
      <c r="F4" s="5">
        <v>13</v>
      </c>
      <c r="G4" s="23">
        <v>86</v>
      </c>
      <c r="H4" s="33">
        <v>2714.0469611131184</v>
      </c>
      <c r="I4" s="23">
        <v>42.27043669997807</v>
      </c>
      <c r="J4" s="5">
        <v>7972.7650374043324</v>
      </c>
      <c r="K4" s="31"/>
      <c r="L4" s="23">
        <v>2483413.0014568958</v>
      </c>
      <c r="M4" s="33">
        <v>152.01837837837661</v>
      </c>
      <c r="N4" s="5">
        <v>31</v>
      </c>
      <c r="O4" s="5">
        <v>82.666666666666671</v>
      </c>
      <c r="P4" s="33">
        <v>3580.8357561161856</v>
      </c>
      <c r="Q4" s="5">
        <v>15.658141896173818</v>
      </c>
      <c r="R4" s="5">
        <v>8584.1188590759375</v>
      </c>
      <c r="S4" s="31"/>
      <c r="T4" s="23">
        <v>2628272.8665559338</v>
      </c>
      <c r="U4" s="33">
        <v>112.33540540540629</v>
      </c>
      <c r="V4" s="5">
        <v>21</v>
      </c>
      <c r="W4" s="5">
        <v>49.333333333333343</v>
      </c>
      <c r="X4" s="33">
        <v>3107.46346011277</v>
      </c>
      <c r="Y4" s="5">
        <v>28.664409527072365</v>
      </c>
      <c r="Z4" s="5">
        <v>8395.744736760962</v>
      </c>
      <c r="AA4" s="35"/>
    </row>
    <row r="5" spans="2:27" x14ac:dyDescent="0.2">
      <c r="B5" s="4">
        <v>2</v>
      </c>
      <c r="C5" s="4">
        <v>141</v>
      </c>
      <c r="D5" s="23">
        <v>1787774.025619976</v>
      </c>
      <c r="E5" s="33">
        <v>143.36999999999534</v>
      </c>
      <c r="F5" s="5">
        <v>10</v>
      </c>
      <c r="G5" s="23">
        <v>70.666666666666671</v>
      </c>
      <c r="H5" s="33">
        <v>1308.2622875134682</v>
      </c>
      <c r="I5" s="23">
        <v>39.548828405905184</v>
      </c>
      <c r="J5" s="5">
        <v>6362.9380722225342</v>
      </c>
      <c r="K5" s="31"/>
      <c r="L5" s="23">
        <v>2179504.5943673528</v>
      </c>
      <c r="M5" s="33">
        <v>287.75351351351998</v>
      </c>
      <c r="N5" s="5">
        <v>10</v>
      </c>
      <c r="O5" s="5">
        <v>46.666666666666657</v>
      </c>
      <c r="P5" s="33">
        <v>911.19946976772144</v>
      </c>
      <c r="Q5" s="5">
        <v>27.113449392611706</v>
      </c>
      <c r="R5" s="5">
        <v>5346.3254992534085</v>
      </c>
      <c r="S5" s="31"/>
      <c r="T5" s="23">
        <v>2186471.818099238</v>
      </c>
      <c r="U5" s="33">
        <v>119.29486486486576</v>
      </c>
      <c r="V5" s="5">
        <v>8</v>
      </c>
      <c r="W5" s="5">
        <v>48</v>
      </c>
      <c r="X5" s="33">
        <v>1361.0458498068999</v>
      </c>
      <c r="Y5" s="5">
        <v>59.7751870831489</v>
      </c>
      <c r="Z5" s="5">
        <v>6512.1960443877524</v>
      </c>
      <c r="AA5" s="35"/>
    </row>
    <row r="6" spans="2:27" x14ac:dyDescent="0.2">
      <c r="B6" s="4">
        <v>3</v>
      </c>
      <c r="C6" s="4">
        <v>455</v>
      </c>
      <c r="D6" s="23">
        <v>1786944.5159673339</v>
      </c>
      <c r="E6" s="33">
        <v>181.04729729729729</v>
      </c>
      <c r="F6" s="5">
        <v>11</v>
      </c>
      <c r="G6" s="23">
        <v>80.666666666666671</v>
      </c>
      <c r="H6" s="33">
        <v>1947.906616380285</v>
      </c>
      <c r="I6" s="23">
        <v>43.643637050533634</v>
      </c>
      <c r="J6" s="5">
        <v>7337.8778007347983</v>
      </c>
      <c r="K6" s="31"/>
      <c r="L6" s="23">
        <v>2126975.016984133</v>
      </c>
      <c r="M6" s="33">
        <v>338.13324324324134</v>
      </c>
      <c r="N6" s="5">
        <v>10</v>
      </c>
      <c r="O6" s="5">
        <v>48</v>
      </c>
      <c r="P6" s="33">
        <v>656.90729504188801</v>
      </c>
      <c r="Q6" s="5">
        <v>26.144966833489274</v>
      </c>
      <c r="R6" s="5">
        <v>5172.5339934225085</v>
      </c>
      <c r="S6" s="31"/>
      <c r="T6" s="23">
        <v>2173147.5293842368</v>
      </c>
      <c r="U6" s="33">
        <v>123.36567567568586</v>
      </c>
      <c r="V6" s="5">
        <v>7</v>
      </c>
      <c r="W6" s="5">
        <v>48</v>
      </c>
      <c r="X6" s="33">
        <v>1269.7754903382836</v>
      </c>
      <c r="Y6" s="5">
        <v>66.643520291675188</v>
      </c>
      <c r="Z6" s="5">
        <v>6669.6168067110057</v>
      </c>
      <c r="AA6" s="35"/>
    </row>
    <row r="7" spans="2:27" x14ac:dyDescent="0.2">
      <c r="B7" s="4">
        <v>4</v>
      </c>
      <c r="C7" s="4">
        <v>717</v>
      </c>
      <c r="D7" s="23">
        <v>1888452.8513619651</v>
      </c>
      <c r="E7" s="33">
        <v>117.25081081081314</v>
      </c>
      <c r="F7" s="5">
        <v>9</v>
      </c>
      <c r="G7" s="23">
        <v>67.333333333333329</v>
      </c>
      <c r="H7" s="33">
        <v>1559.3649313153371</v>
      </c>
      <c r="I7" s="23">
        <v>45.067630761388401</v>
      </c>
      <c r="J7" s="5">
        <v>6741.5581989222574</v>
      </c>
      <c r="K7" s="31"/>
      <c r="L7" s="23">
        <v>2279932.4104908099</v>
      </c>
      <c r="M7" s="33">
        <v>156.1275675675731</v>
      </c>
      <c r="N7" s="5">
        <v>11</v>
      </c>
      <c r="O7" s="5">
        <v>42</v>
      </c>
      <c r="P7" s="33">
        <v>563.16729923684215</v>
      </c>
      <c r="Q7" s="5">
        <v>20.377474692419806</v>
      </c>
      <c r="R7" s="5">
        <v>5285.5696846362271</v>
      </c>
      <c r="S7" s="31"/>
      <c r="T7" s="23">
        <v>2154618.8303220039</v>
      </c>
      <c r="U7" s="33">
        <v>169.36216216216593</v>
      </c>
      <c r="V7" s="5">
        <v>7</v>
      </c>
      <c r="W7" s="5">
        <v>49.333333333333343</v>
      </c>
      <c r="X7" s="33">
        <v>1379.9292996331226</v>
      </c>
      <c r="Y7" s="5">
        <v>65.34883719658724</v>
      </c>
      <c r="Z7" s="5">
        <v>6658.7734152033472</v>
      </c>
      <c r="AA7" s="35"/>
    </row>
    <row r="8" spans="2:27" x14ac:dyDescent="0.2">
      <c r="B8" s="4">
        <v>5</v>
      </c>
      <c r="C8" s="4">
        <v>756</v>
      </c>
      <c r="D8" s="23">
        <v>1743048.2992075109</v>
      </c>
      <c r="E8" s="33">
        <v>181.96378378378466</v>
      </c>
      <c r="F8" s="5">
        <v>10</v>
      </c>
      <c r="G8" s="23">
        <v>76.666666666666671</v>
      </c>
      <c r="H8" s="33">
        <v>1664.3824125868218</v>
      </c>
      <c r="I8" s="23">
        <v>45.518393507107824</v>
      </c>
      <c r="J8" s="5">
        <v>6777.8529040955382</v>
      </c>
      <c r="K8" s="31"/>
      <c r="L8" s="23">
        <v>2115097.2998028188</v>
      </c>
      <c r="M8" s="33">
        <v>253.16297297298314</v>
      </c>
      <c r="N8" s="5">
        <v>12</v>
      </c>
      <c r="O8" s="5">
        <v>51.333333333333343</v>
      </c>
      <c r="P8" s="33">
        <v>774.99694826704604</v>
      </c>
      <c r="Q8" s="5">
        <v>22.410392028632785</v>
      </c>
      <c r="R8" s="5">
        <v>5405.3572848672538</v>
      </c>
      <c r="S8" s="31"/>
      <c r="T8" s="23">
        <v>2339154.078600633</v>
      </c>
      <c r="U8" s="33">
        <v>66.448648648644863</v>
      </c>
      <c r="V8" s="5">
        <v>6</v>
      </c>
      <c r="W8" s="5">
        <v>42</v>
      </c>
      <c r="X8" s="33">
        <v>1622.6619172955184</v>
      </c>
      <c r="Y8" s="5">
        <v>67.081279367211025</v>
      </c>
      <c r="Z8" s="5">
        <v>7384.0668253110807</v>
      </c>
      <c r="AA8" s="35"/>
    </row>
    <row r="9" spans="2:27" x14ac:dyDescent="0.2">
      <c r="B9" s="4">
        <v>6</v>
      </c>
      <c r="C9" s="4">
        <v>751</v>
      </c>
      <c r="D9" s="23">
        <v>1790577.765798809</v>
      </c>
      <c r="E9" s="33">
        <v>197.87594594594682</v>
      </c>
      <c r="F9" s="5">
        <v>10</v>
      </c>
      <c r="G9" s="23">
        <v>77.333333333333329</v>
      </c>
      <c r="H9" s="33">
        <v>1832.3530717959229</v>
      </c>
      <c r="I9" s="23">
        <v>45.795951473394084</v>
      </c>
      <c r="J9" s="5">
        <v>7040.2289473454157</v>
      </c>
      <c r="K9" s="31"/>
      <c r="L9" s="23">
        <v>2432564.6530036652</v>
      </c>
      <c r="M9" s="33">
        <v>281.66783783783052</v>
      </c>
      <c r="N9" s="5">
        <v>20</v>
      </c>
      <c r="O9" s="5">
        <v>56.666666666666657</v>
      </c>
      <c r="P9" s="33">
        <v>2152.9787228367959</v>
      </c>
      <c r="Q9" s="5">
        <v>15.992429237199991</v>
      </c>
      <c r="R9" s="5">
        <v>7313.980985862886</v>
      </c>
      <c r="S9" s="31"/>
      <c r="T9" s="23">
        <v>2441255.7744756499</v>
      </c>
      <c r="U9" s="33">
        <v>80.527837837848026</v>
      </c>
      <c r="V9" s="5">
        <v>9</v>
      </c>
      <c r="W9" s="5">
        <v>42.666666666666657</v>
      </c>
      <c r="X9" s="33">
        <v>2451.8453438518495</v>
      </c>
      <c r="Y9" s="5">
        <v>51.650900141648044</v>
      </c>
      <c r="Z9" s="5">
        <v>8025.2970861387148</v>
      </c>
      <c r="AA9" s="35"/>
    </row>
    <row r="10" spans="2:27" x14ac:dyDescent="0.2">
      <c r="B10" s="4">
        <v>7</v>
      </c>
      <c r="C10" s="4">
        <v>834</v>
      </c>
      <c r="D10" s="23">
        <v>1815322.8566114239</v>
      </c>
      <c r="E10" s="33">
        <v>126.76945945945712</v>
      </c>
      <c r="F10" s="5">
        <v>10</v>
      </c>
      <c r="G10" s="23">
        <v>76.666666666666671</v>
      </c>
      <c r="H10" s="33">
        <v>1858.1224474964476</v>
      </c>
      <c r="I10" s="23">
        <v>45.895057725906454</v>
      </c>
      <c r="J10" s="5">
        <v>7125.1139542005039</v>
      </c>
      <c r="K10" s="31"/>
      <c r="L10" s="23">
        <v>2341604.7713598642</v>
      </c>
      <c r="M10" s="33">
        <v>172.68567567568499</v>
      </c>
      <c r="N10" s="5">
        <v>11</v>
      </c>
      <c r="O10" s="5">
        <v>40.666666666666657</v>
      </c>
      <c r="P10" s="33">
        <v>803.48207983139559</v>
      </c>
      <c r="Q10" s="5">
        <v>21.854980621535798</v>
      </c>
      <c r="R10" s="5">
        <v>5590.6532549711383</v>
      </c>
      <c r="S10" s="31"/>
      <c r="T10" s="23">
        <v>2168636.1856113751</v>
      </c>
      <c r="U10" s="33">
        <v>311.98918918918542</v>
      </c>
      <c r="V10" s="5">
        <v>7</v>
      </c>
      <c r="W10" s="5">
        <v>47.333333333333343</v>
      </c>
      <c r="X10" s="33">
        <v>1155.74633854576</v>
      </c>
      <c r="Y10" s="5">
        <v>66.997339587257144</v>
      </c>
      <c r="Z10" s="5">
        <v>6554.7363794840185</v>
      </c>
      <c r="AA10" s="35"/>
    </row>
    <row r="11" spans="2:27" x14ac:dyDescent="0.2">
      <c r="B11" s="4">
        <v>8</v>
      </c>
      <c r="C11" s="4">
        <v>239</v>
      </c>
      <c r="D11" s="23">
        <v>1792850.3667287601</v>
      </c>
      <c r="E11" s="33">
        <v>101.47810810811131</v>
      </c>
      <c r="F11" s="5">
        <v>13</v>
      </c>
      <c r="G11" s="23">
        <v>74.666666666666671</v>
      </c>
      <c r="H11" s="33">
        <v>1437.1100194939966</v>
      </c>
      <c r="I11" s="23">
        <v>32.300010876669127</v>
      </c>
      <c r="J11" s="5">
        <v>6511.5733839868817</v>
      </c>
      <c r="K11" s="31"/>
      <c r="L11" s="23">
        <v>2251809.894037731</v>
      </c>
      <c r="M11" s="33">
        <v>334.06243243243699</v>
      </c>
      <c r="N11" s="5">
        <v>14</v>
      </c>
      <c r="O11" s="5">
        <v>50.666666666666657</v>
      </c>
      <c r="P11" s="33">
        <v>1228.2919127079242</v>
      </c>
      <c r="Q11" s="5">
        <v>19.914167588301371</v>
      </c>
      <c r="R11" s="5">
        <v>5991.185138839407</v>
      </c>
      <c r="S11" s="31"/>
      <c r="T11" s="23">
        <v>2154531.0435742489</v>
      </c>
      <c r="U11" s="33">
        <v>227.74081081081169</v>
      </c>
      <c r="V11" s="5">
        <v>7</v>
      </c>
      <c r="W11" s="5">
        <v>48.666666666666657</v>
      </c>
      <c r="X11" s="33">
        <v>1183.4193949526832</v>
      </c>
      <c r="Y11" s="5">
        <v>67.646794685519822</v>
      </c>
      <c r="Z11" s="5">
        <v>6618.2840573828025</v>
      </c>
      <c r="AA11" s="35"/>
    </row>
    <row r="12" spans="2:27" x14ac:dyDescent="0.2">
      <c r="B12" s="4">
        <v>9</v>
      </c>
      <c r="C12" s="4">
        <v>991</v>
      </c>
      <c r="D12" s="23">
        <v>1923513.21106925</v>
      </c>
      <c r="E12" s="33">
        <v>274.13432432432973</v>
      </c>
      <c r="F12" s="5">
        <v>10</v>
      </c>
      <c r="G12" s="23">
        <v>83.333333333333329</v>
      </c>
      <c r="H12" s="33">
        <v>2689.964023881656</v>
      </c>
      <c r="I12" s="23">
        <v>49.599082890380735</v>
      </c>
      <c r="J12" s="5">
        <v>8151.6676104320959</v>
      </c>
      <c r="K12" s="31"/>
      <c r="L12" s="23">
        <v>2320585.3313814141</v>
      </c>
      <c r="M12" s="33">
        <v>183.13783783784979</v>
      </c>
      <c r="N12" s="5">
        <v>8</v>
      </c>
      <c r="O12" s="5">
        <v>38</v>
      </c>
      <c r="P12" s="33">
        <v>700.95260410234641</v>
      </c>
      <c r="Q12" s="5">
        <v>25.042697994490613</v>
      </c>
      <c r="R12" s="5">
        <v>5227.4204181778014</v>
      </c>
      <c r="S12" s="31"/>
      <c r="T12" s="23">
        <v>2169712.4445957062</v>
      </c>
      <c r="U12" s="33">
        <v>244.603243243245</v>
      </c>
      <c r="V12" s="5">
        <v>8</v>
      </c>
      <c r="W12" s="5">
        <v>49.333333333333343</v>
      </c>
      <c r="X12" s="33">
        <v>1398.8281288042022</v>
      </c>
      <c r="Y12" s="5">
        <v>59.789540411124811</v>
      </c>
      <c r="Z12" s="5">
        <v>6689.545587227788</v>
      </c>
      <c r="AA12" s="35"/>
    </row>
    <row r="13" spans="2:27" x14ac:dyDescent="0.2">
      <c r="B13" s="4">
        <v>10</v>
      </c>
      <c r="C13" s="4">
        <v>135</v>
      </c>
      <c r="D13" s="23">
        <v>2009227.339852968</v>
      </c>
      <c r="E13" s="33">
        <v>99.151081081080179</v>
      </c>
      <c r="F13" s="5">
        <v>11</v>
      </c>
      <c r="G13" s="23">
        <v>80</v>
      </c>
      <c r="H13" s="33">
        <v>2779.3795657462138</v>
      </c>
      <c r="I13" s="23">
        <v>46.474079594600205</v>
      </c>
      <c r="J13" s="5">
        <v>8439.2777992837091</v>
      </c>
      <c r="K13" s="31"/>
      <c r="L13" s="23">
        <v>2279468.9050640492</v>
      </c>
      <c r="M13" s="33">
        <v>288.96945945945299</v>
      </c>
      <c r="N13" s="5">
        <v>9</v>
      </c>
      <c r="O13" s="5">
        <v>43.333333333333343</v>
      </c>
      <c r="P13" s="33">
        <v>1002.6448030282767</v>
      </c>
      <c r="Q13" s="5">
        <v>26.532971567974773</v>
      </c>
      <c r="R13" s="5">
        <v>5942.0090308899544</v>
      </c>
      <c r="S13" s="31"/>
      <c r="T13" s="23">
        <v>2253731.653166608</v>
      </c>
      <c r="U13" s="33">
        <v>97.592702702700933</v>
      </c>
      <c r="V13" s="5">
        <v>7</v>
      </c>
      <c r="W13" s="5">
        <v>45.333333333333343</v>
      </c>
      <c r="X13" s="33">
        <v>1535.9136895554841</v>
      </c>
      <c r="Y13" s="5">
        <v>64.556810589777044</v>
      </c>
      <c r="Z13" s="5">
        <v>6924.5427001529233</v>
      </c>
      <c r="AA13" s="35"/>
    </row>
    <row r="14" spans="2:27" x14ac:dyDescent="0.2">
      <c r="B14" s="46" t="s">
        <v>3</v>
      </c>
      <c r="C14" s="47"/>
      <c r="D14" s="9">
        <f>MIN(D4:D13)</f>
        <v>1743048.2992075109</v>
      </c>
      <c r="E14" s="22">
        <f>INDEX(E4:E13, MATCH($D$14, D4:D13, 0))</f>
        <v>181.96378378378466</v>
      </c>
      <c r="F14" s="9">
        <f>INDEX(F4:F13, MATCH($D$14, D4:D13, 0))</f>
        <v>10</v>
      </c>
      <c r="G14" s="9">
        <f>INDEX(G4:G13, MATCH($D$14, D4:D13, 0))</f>
        <v>76.666666666666671</v>
      </c>
      <c r="H14" s="22">
        <f>INDEX(H4:H13, MATCH($D$14, D4:D13, 0))</f>
        <v>1664.3824125868218</v>
      </c>
      <c r="I14" s="22">
        <f>INDEX(I4:I13, MATCH($D$14, D4:D13, 0))</f>
        <v>45.518393507107824</v>
      </c>
      <c r="J14" s="22">
        <f>INDEX(J4:J13, MATCH($D$14, D4:D13, 0))</f>
        <v>6777.8529040955382</v>
      </c>
      <c r="K14" s="32" t="e">
        <f>(D14-$D$15)/$D$15</f>
        <v>#DIV/0!</v>
      </c>
      <c r="L14" s="16">
        <f>MIN(L4:L13)</f>
        <v>2115097.2998028188</v>
      </c>
      <c r="M14" s="21">
        <f>INDEX(M4:M13, MATCH($L$14, L4:L13, 0))</f>
        <v>253.16297297298314</v>
      </c>
      <c r="N14" s="16">
        <f>INDEX(N4:N13, MATCH($L$14, L4:L13, 0))</f>
        <v>12</v>
      </c>
      <c r="O14" s="16">
        <f>INDEX(O4:O13, MATCH($L$14, L4:L13, 0))</f>
        <v>51.333333333333343</v>
      </c>
      <c r="P14" s="21">
        <f>INDEX(P4:P13, MATCH($L$14, L4:L13, 0))</f>
        <v>774.99694826704604</v>
      </c>
      <c r="Q14" s="21">
        <f>INDEX(Q4:Q13, MATCH($L$14, L4:L13, 0))</f>
        <v>22.410392028632785</v>
      </c>
      <c r="R14" s="21">
        <f>INDEX(R4:R13, MATCH($L$14, L4:L13, 0))</f>
        <v>5405.3572848672538</v>
      </c>
      <c r="S14" s="36" t="e">
        <f>(L14-$D$15)/$D$15</f>
        <v>#DIV/0!</v>
      </c>
      <c r="T14" s="38">
        <f>MIN(T4:T13)</f>
        <v>2154531.0435742489</v>
      </c>
      <c r="U14" s="39">
        <f>INDEX(U4:U13, MATCH($T$14, T4:T13, 0))</f>
        <v>227.74081081081169</v>
      </c>
      <c r="V14" s="38">
        <f>INDEX(V4:V13, MATCH($T$14, T4:T13, 0))</f>
        <v>7</v>
      </c>
      <c r="W14" s="38">
        <f>INDEX(W4:W13, MATCH($T$14, T4:T13, 0))</f>
        <v>48.666666666666657</v>
      </c>
      <c r="X14" s="39">
        <f>INDEX(X4:X13, MATCH($T$14, T4:T13, 0))</f>
        <v>1183.4193949526832</v>
      </c>
      <c r="Y14" s="39">
        <f>INDEX(Y4:Y13, MATCH($T$14, T4:T13, 0))</f>
        <v>67.646794685519822</v>
      </c>
      <c r="Z14" s="39">
        <f>INDEX(Z4:Z13, MATCH($T$14, T4:T13, 0))</f>
        <v>6618.2840573828025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81" priority="7"/>
    <cfRule type="duplicateValues" dxfId="80" priority="8"/>
  </conditionalFormatting>
  <conditionalFormatting sqref="C14">
    <cfRule type="duplicateValues" dxfId="79" priority="3"/>
    <cfRule type="duplicateValues" dxfId="78" priority="4"/>
  </conditionalFormatting>
  <conditionalFormatting sqref="C20:C29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8F5F-416D-4AFF-9917-5154177CF618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-0.98332785431645298</v>
      </c>
      <c r="J2" s="28" t="e">
        <f>(S14-J14)/J14</f>
        <v>#DIV/0!</v>
      </c>
      <c r="K2" s="28"/>
      <c r="L2" s="1" t="s">
        <v>19</v>
      </c>
      <c r="P2" s="1">
        <f>(P14-H14)/H14</f>
        <v>-0.51202696772159129</v>
      </c>
      <c r="R2" s="1">
        <f>(R14-J14)/J14</f>
        <v>-0.21376717428885367</v>
      </c>
      <c r="T2" s="1" t="s">
        <v>20</v>
      </c>
      <c r="X2" s="1">
        <f>(X14-P14)/P14</f>
        <v>-0.1943256450202353</v>
      </c>
      <c r="Z2" s="1">
        <f>(Z14-R14)/R14</f>
        <v>0.18496528225867101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209</v>
      </c>
      <c r="D4" s="23">
        <v>2174073.5571221439</v>
      </c>
      <c r="E4" s="33">
        <v>154.64108108107874</v>
      </c>
      <c r="F4" s="5">
        <v>10</v>
      </c>
      <c r="G4" s="23">
        <v>56.666666666666657</v>
      </c>
      <c r="H4" s="33">
        <v>1743.4494086575585</v>
      </c>
      <c r="I4" s="23">
        <v>27.751932670079487</v>
      </c>
      <c r="J4" s="5">
        <v>7289.9009212836636</v>
      </c>
      <c r="K4" s="31"/>
      <c r="L4" s="23">
        <v>2333041.3487777929</v>
      </c>
      <c r="M4" s="33">
        <v>133.16297297296742</v>
      </c>
      <c r="N4" s="5">
        <v>11</v>
      </c>
      <c r="O4" s="5">
        <v>46</v>
      </c>
      <c r="P4" s="33">
        <v>1448.5900865077381</v>
      </c>
      <c r="Q4" s="5">
        <v>18.670119171352152</v>
      </c>
      <c r="R4" s="5">
        <v>6632.5298334171548</v>
      </c>
      <c r="S4" s="31"/>
      <c r="T4" s="23">
        <v>2491620.5593428798</v>
      </c>
      <c r="U4" s="33">
        <v>94.383513513524591</v>
      </c>
      <c r="V4" s="5">
        <v>15</v>
      </c>
      <c r="W4" s="5">
        <v>42</v>
      </c>
      <c r="X4" s="33">
        <v>1657.149482507373</v>
      </c>
      <c r="Y4" s="5">
        <v>20.115482212393275</v>
      </c>
      <c r="Z4" s="5">
        <v>7013.0723493921541</v>
      </c>
      <c r="AA4" s="35"/>
    </row>
    <row r="5" spans="2:27" x14ac:dyDescent="0.2">
      <c r="B5" s="4">
        <v>2</v>
      </c>
      <c r="C5" s="4">
        <v>785</v>
      </c>
      <c r="D5" s="23">
        <v>1806310.5046484349</v>
      </c>
      <c r="E5" s="33">
        <v>130.28729729729582</v>
      </c>
      <c r="F5" s="5">
        <v>10</v>
      </c>
      <c r="G5" s="23">
        <v>74</v>
      </c>
      <c r="H5" s="33">
        <v>1364.8477879416164</v>
      </c>
      <c r="I5" s="23">
        <v>37.136042184687298</v>
      </c>
      <c r="J5" s="5">
        <v>6928.7212313095124</v>
      </c>
      <c r="K5" s="31"/>
      <c r="L5" s="23">
        <v>2314906.509143251</v>
      </c>
      <c r="M5" s="33">
        <v>111.99324324324324</v>
      </c>
      <c r="N5" s="5">
        <v>13</v>
      </c>
      <c r="O5" s="5">
        <v>45.333333333333343</v>
      </c>
      <c r="P5" s="33">
        <v>1153.3704564592103</v>
      </c>
      <c r="Q5" s="5">
        <v>17.277937079580415</v>
      </c>
      <c r="R5" s="5">
        <v>5681.0899701740618</v>
      </c>
      <c r="S5" s="31"/>
      <c r="T5" s="23">
        <v>2256744.917724513</v>
      </c>
      <c r="U5" s="33">
        <v>105.65027027025918</v>
      </c>
      <c r="V5" s="5">
        <v>5</v>
      </c>
      <c r="W5" s="5">
        <v>41.333333333333343</v>
      </c>
      <c r="X5" s="33">
        <v>890.87219488309245</v>
      </c>
      <c r="Y5" s="5">
        <v>72.896015632371842</v>
      </c>
      <c r="Z5" s="5">
        <v>6899.7856157487477</v>
      </c>
      <c r="AA5" s="35"/>
    </row>
    <row r="6" spans="2:27" x14ac:dyDescent="0.2">
      <c r="B6" s="4">
        <v>3</v>
      </c>
      <c r="C6" s="4">
        <v>749</v>
      </c>
      <c r="D6" s="23">
        <v>2040010.272600193</v>
      </c>
      <c r="E6" s="33">
        <v>127.58432432432578</v>
      </c>
      <c r="F6" s="5">
        <v>7</v>
      </c>
      <c r="G6" s="23">
        <v>55.333333333333343</v>
      </c>
      <c r="H6" s="33">
        <v>1087.9346688479932</v>
      </c>
      <c r="I6" s="23">
        <v>44.410540142384711</v>
      </c>
      <c r="J6" s="5">
        <v>6573.6657166434197</v>
      </c>
      <c r="K6" s="31"/>
      <c r="L6" s="23">
        <v>2420647.1396283158</v>
      </c>
      <c r="M6" s="33">
        <v>187.44945945946586</v>
      </c>
      <c r="N6" s="5">
        <v>5</v>
      </c>
      <c r="O6" s="5">
        <v>26.666666666666671</v>
      </c>
      <c r="P6" s="33">
        <v>13.297373387688776</v>
      </c>
      <c r="Q6" s="5">
        <v>27.462299713062428</v>
      </c>
      <c r="R6" s="5">
        <v>3782.1340005405646</v>
      </c>
      <c r="S6" s="31"/>
      <c r="T6" s="23">
        <v>2235469.0771373189</v>
      </c>
      <c r="U6" s="33">
        <v>106.22891891892445</v>
      </c>
      <c r="V6" s="5">
        <v>5</v>
      </c>
      <c r="W6" s="5">
        <v>40.666666666666657</v>
      </c>
      <c r="X6" s="33">
        <v>568.04056368039335</v>
      </c>
      <c r="Y6" s="5">
        <v>69.234691303619229</v>
      </c>
      <c r="Z6" s="5">
        <v>6559.8951250590508</v>
      </c>
      <c r="AA6" s="35"/>
    </row>
    <row r="7" spans="2:27" x14ac:dyDescent="0.2">
      <c r="B7" s="4">
        <v>4</v>
      </c>
      <c r="C7" s="4">
        <v>744</v>
      </c>
      <c r="D7" s="23">
        <v>2156920.3883555899</v>
      </c>
      <c r="E7" s="33">
        <v>127.51675675675821</v>
      </c>
      <c r="F7" s="5">
        <v>12</v>
      </c>
      <c r="G7" s="23">
        <v>82.666666666666671</v>
      </c>
      <c r="H7" s="33">
        <v>3396.7073711548578</v>
      </c>
      <c r="I7" s="23">
        <v>36.948653579162574</v>
      </c>
      <c r="J7" s="5">
        <v>9121.4171764800158</v>
      </c>
      <c r="K7" s="31"/>
      <c r="L7" s="23">
        <v>2376837.2252204688</v>
      </c>
      <c r="M7" s="33">
        <v>358.85540540539347</v>
      </c>
      <c r="N7" s="5">
        <v>16</v>
      </c>
      <c r="O7" s="5">
        <v>44</v>
      </c>
      <c r="P7" s="33">
        <v>820.50155771211325</v>
      </c>
      <c r="Q7" s="5">
        <v>14.248614800896119</v>
      </c>
      <c r="R7" s="5">
        <v>5690.1367430996224</v>
      </c>
      <c r="S7" s="31"/>
      <c r="T7" s="23">
        <v>2275405.0648124828</v>
      </c>
      <c r="U7" s="33">
        <v>124.82243243243066</v>
      </c>
      <c r="V7" s="5">
        <v>5</v>
      </c>
      <c r="W7" s="5">
        <v>40</v>
      </c>
      <c r="X7" s="33">
        <v>830.7942581151791</v>
      </c>
      <c r="Y7" s="5">
        <v>73.079639387319929</v>
      </c>
      <c r="Z7" s="5">
        <v>6807.9562340654602</v>
      </c>
      <c r="AA7" s="35"/>
    </row>
    <row r="8" spans="2:27" x14ac:dyDescent="0.2">
      <c r="B8" s="4">
        <v>5</v>
      </c>
      <c r="C8" s="4">
        <v>727</v>
      </c>
      <c r="D8" s="23">
        <v>1870006.193990197</v>
      </c>
      <c r="E8" s="33">
        <v>155.5870270270247</v>
      </c>
      <c r="F8" s="5">
        <v>10</v>
      </c>
      <c r="G8" s="23">
        <v>74.666666666666671</v>
      </c>
      <c r="H8" s="33">
        <v>1805.8378898805092</v>
      </c>
      <c r="I8" s="23">
        <v>37.535944519960033</v>
      </c>
      <c r="J8" s="5">
        <v>7361.573649695405</v>
      </c>
      <c r="K8" s="31"/>
      <c r="L8" s="23">
        <v>2197294.1761359018</v>
      </c>
      <c r="M8" s="33">
        <v>159.31999999999911</v>
      </c>
      <c r="N8" s="5">
        <v>10</v>
      </c>
      <c r="O8" s="5">
        <v>46</v>
      </c>
      <c r="P8" s="33">
        <v>666.00891368034911</v>
      </c>
      <c r="Q8" s="5">
        <v>22.754941156429553</v>
      </c>
      <c r="R8" s="5">
        <v>5447.5880722572911</v>
      </c>
      <c r="S8" s="31"/>
      <c r="T8" s="23">
        <v>2288890.4307740922</v>
      </c>
      <c r="U8" s="33">
        <v>179.63243243243619</v>
      </c>
      <c r="V8" s="5">
        <v>5</v>
      </c>
      <c r="W8" s="5">
        <v>38</v>
      </c>
      <c r="X8" s="33">
        <v>628.43100980338806</v>
      </c>
      <c r="Y8" s="5">
        <v>68.190575908722707</v>
      </c>
      <c r="Z8" s="5">
        <v>6465.13013251141</v>
      </c>
      <c r="AA8" s="35"/>
    </row>
    <row r="9" spans="2:27" x14ac:dyDescent="0.2">
      <c r="B9" s="4">
        <v>6</v>
      </c>
      <c r="C9" s="4">
        <v>92</v>
      </c>
      <c r="D9" s="23">
        <v>2338742.4502536841</v>
      </c>
      <c r="E9" s="33">
        <v>130.90783783783692</v>
      </c>
      <c r="F9" s="5">
        <v>15</v>
      </c>
      <c r="G9" s="23">
        <v>88.666666666666671</v>
      </c>
      <c r="H9" s="33">
        <v>4304.6495007299009</v>
      </c>
      <c r="I9" s="23">
        <v>32.231727145132353</v>
      </c>
      <c r="J9" s="5">
        <v>10135.464307474131</v>
      </c>
      <c r="K9" s="31"/>
      <c r="L9" s="23">
        <v>2433125.226089274</v>
      </c>
      <c r="M9" s="33">
        <v>148.35297297297762</v>
      </c>
      <c r="N9" s="5">
        <v>22</v>
      </c>
      <c r="O9" s="5">
        <v>54.666666666666657</v>
      </c>
      <c r="P9" s="33">
        <v>1956.8022378353817</v>
      </c>
      <c r="Q9" s="5">
        <v>11.930579141366895</v>
      </c>
      <c r="R9" s="5">
        <v>6937.3971124639047</v>
      </c>
      <c r="S9" s="31"/>
      <c r="T9" s="23">
        <v>2475875.1816887981</v>
      </c>
      <c r="U9" s="33">
        <v>114.40864864865797</v>
      </c>
      <c r="V9" s="5">
        <v>15</v>
      </c>
      <c r="W9" s="5">
        <v>50</v>
      </c>
      <c r="X9" s="33">
        <v>2615.1521543844597</v>
      </c>
      <c r="Y9" s="5">
        <v>25.268023753330979</v>
      </c>
      <c r="Z9" s="5">
        <v>8286.1480295132969</v>
      </c>
      <c r="AA9" s="35"/>
    </row>
    <row r="10" spans="2:27" x14ac:dyDescent="0.2">
      <c r="B10" s="4">
        <v>7</v>
      </c>
      <c r="C10" s="4">
        <v>448</v>
      </c>
      <c r="D10" s="23">
        <v>1822137.761732884</v>
      </c>
      <c r="E10" s="33">
        <v>297.70270270270271</v>
      </c>
      <c r="F10" s="5">
        <v>9</v>
      </c>
      <c r="G10" s="23">
        <v>70</v>
      </c>
      <c r="H10" s="33">
        <v>1211.7143945790526</v>
      </c>
      <c r="I10" s="23">
        <v>42.24519769023474</v>
      </c>
      <c r="J10" s="5">
        <v>6725.6935371676873</v>
      </c>
      <c r="K10" s="31"/>
      <c r="L10" s="23">
        <v>2399736.682413836</v>
      </c>
      <c r="M10" s="33">
        <v>153.25594594595148</v>
      </c>
      <c r="N10" s="5">
        <v>11</v>
      </c>
      <c r="O10" s="5">
        <v>39.333333333333343</v>
      </c>
      <c r="P10" s="33">
        <v>1263.8546071168887</v>
      </c>
      <c r="Q10" s="5">
        <v>19.156705393414867</v>
      </c>
      <c r="R10" s="5">
        <v>5802.4125965082058</v>
      </c>
      <c r="S10" s="31"/>
      <c r="T10" s="23">
        <v>2229286.6169950939</v>
      </c>
      <c r="U10" s="33">
        <v>193.27702702702703</v>
      </c>
      <c r="V10" s="5">
        <v>5</v>
      </c>
      <c r="W10" s="5">
        <v>40.666666666666657</v>
      </c>
      <c r="X10" s="33">
        <v>536.58630194018906</v>
      </c>
      <c r="Y10" s="5">
        <v>68.041236593070806</v>
      </c>
      <c r="Z10" s="5">
        <v>6455.2027376713304</v>
      </c>
      <c r="AA10" s="35"/>
    </row>
    <row r="11" spans="2:27" x14ac:dyDescent="0.2">
      <c r="B11" s="4">
        <v>8</v>
      </c>
      <c r="C11" s="4">
        <v>292</v>
      </c>
      <c r="D11" s="23">
        <v>2248357.2970205341</v>
      </c>
      <c r="E11" s="33">
        <v>88.526216216213882</v>
      </c>
      <c r="F11" s="5">
        <v>9</v>
      </c>
      <c r="G11" s="23">
        <v>58</v>
      </c>
      <c r="H11" s="33">
        <v>2386.0578168384632</v>
      </c>
      <c r="I11" s="23">
        <v>34.623508334906568</v>
      </c>
      <c r="J11" s="5">
        <v>8273.5627970363839</v>
      </c>
      <c r="K11" s="31"/>
      <c r="L11" s="23">
        <v>2366633.70190083</v>
      </c>
      <c r="M11" s="33">
        <v>150.48135135135601</v>
      </c>
      <c r="N11" s="5">
        <v>6</v>
      </c>
      <c r="O11" s="5">
        <v>32.666666666666657</v>
      </c>
      <c r="P11" s="33">
        <v>125.11991414704279</v>
      </c>
      <c r="Q11" s="5">
        <v>24.935333404584124</v>
      </c>
      <c r="R11" s="5">
        <v>5108.4255989059666</v>
      </c>
      <c r="S11" s="31"/>
      <c r="T11" s="23">
        <v>2239047.017130862</v>
      </c>
      <c r="U11" s="33">
        <v>219.54405405404472</v>
      </c>
      <c r="V11" s="5">
        <v>5</v>
      </c>
      <c r="W11" s="5">
        <v>40.666666666666657</v>
      </c>
      <c r="X11" s="33">
        <v>598.98040291834354</v>
      </c>
      <c r="Y11" s="5">
        <v>69.176111423061343</v>
      </c>
      <c r="Z11" s="5">
        <v>6553.080630731054</v>
      </c>
      <c r="AA11" s="35"/>
    </row>
    <row r="12" spans="2:27" x14ac:dyDescent="0.2">
      <c r="B12" s="4">
        <v>9</v>
      </c>
      <c r="C12" s="4">
        <v>43</v>
      </c>
      <c r="D12" s="23">
        <v>1927005.9979877761</v>
      </c>
      <c r="E12" s="33">
        <v>196.20351351350797</v>
      </c>
      <c r="F12" s="5">
        <v>11</v>
      </c>
      <c r="G12" s="23">
        <v>74.666666666666671</v>
      </c>
      <c r="H12" s="33">
        <v>2009.8670971299641</v>
      </c>
      <c r="I12" s="23">
        <v>35.776923577263304</v>
      </c>
      <c r="J12" s="5">
        <v>7466.3080775552835</v>
      </c>
      <c r="K12" s="31"/>
      <c r="L12" s="23">
        <v>2202229.7450861642</v>
      </c>
      <c r="M12" s="33">
        <v>125.35486486487126</v>
      </c>
      <c r="N12" s="5">
        <v>14</v>
      </c>
      <c r="O12" s="5">
        <v>52</v>
      </c>
      <c r="P12" s="33">
        <v>1046.8119333239965</v>
      </c>
      <c r="Q12" s="5">
        <v>17.443760491960283</v>
      </c>
      <c r="R12" s="5">
        <v>5990.9994772845766</v>
      </c>
      <c r="S12" s="31"/>
      <c r="T12" s="23">
        <v>2235857.9033625252</v>
      </c>
      <c r="U12" s="33">
        <v>321.70189189189728</v>
      </c>
      <c r="V12" s="5">
        <v>5</v>
      </c>
      <c r="W12" s="5">
        <v>40.666666666666657</v>
      </c>
      <c r="X12" s="33">
        <v>547.37247911185852</v>
      </c>
      <c r="Y12" s="5">
        <v>68.732901581973096</v>
      </c>
      <c r="Z12" s="5">
        <v>6533.2770768397249</v>
      </c>
      <c r="AA12" s="35"/>
    </row>
    <row r="13" spans="2:27" x14ac:dyDescent="0.2">
      <c r="B13" s="4">
        <v>10</v>
      </c>
      <c r="C13" s="4">
        <v>731</v>
      </c>
      <c r="D13" s="23">
        <v>1833567.4956253101</v>
      </c>
      <c r="E13" s="33">
        <v>135.65054054054229</v>
      </c>
      <c r="F13" s="5">
        <v>10</v>
      </c>
      <c r="G13" s="23">
        <v>75.333333333333329</v>
      </c>
      <c r="H13" s="33">
        <v>1662.0741888204557</v>
      </c>
      <c r="I13" s="23">
        <v>37.981025262107963</v>
      </c>
      <c r="J13" s="5">
        <v>7240.2540406377184</v>
      </c>
      <c r="K13" s="31"/>
      <c r="L13" s="23">
        <v>2392429.051823731</v>
      </c>
      <c r="M13" s="33">
        <v>141.13594594595614</v>
      </c>
      <c r="N13" s="5">
        <v>7</v>
      </c>
      <c r="O13" s="5">
        <v>36.666666666666657</v>
      </c>
      <c r="P13" s="33">
        <v>1073.2315767085322</v>
      </c>
      <c r="Q13" s="5">
        <v>24.600990973796563</v>
      </c>
      <c r="R13" s="5">
        <v>6092.1332756122147</v>
      </c>
      <c r="S13" s="31"/>
      <c r="T13" s="23">
        <v>2257358.678256351</v>
      </c>
      <c r="U13" s="33">
        <v>55.958648648638459</v>
      </c>
      <c r="V13" s="5">
        <v>5</v>
      </c>
      <c r="W13" s="5">
        <v>41.333333333333343</v>
      </c>
      <c r="X13" s="33">
        <v>937.80171375590874</v>
      </c>
      <c r="Y13" s="5">
        <v>73.981690385525695</v>
      </c>
      <c r="Z13" s="5">
        <v>6956.6379511132382</v>
      </c>
      <c r="AA13" s="35"/>
    </row>
    <row r="14" spans="2:27" x14ac:dyDescent="0.2">
      <c r="B14" s="46" t="s">
        <v>3</v>
      </c>
      <c r="C14" s="47"/>
      <c r="D14" s="9">
        <f>MIN(D4:D13)</f>
        <v>1806310.5046484349</v>
      </c>
      <c r="E14" s="22">
        <f>INDEX(E4:E13, MATCH($D$14, D4:D13, 0))</f>
        <v>130.28729729729582</v>
      </c>
      <c r="F14" s="9">
        <f>INDEX(F4:F13, MATCH($D$14, D4:D13, 0))</f>
        <v>10</v>
      </c>
      <c r="G14" s="9">
        <f>INDEX(G4:G13, MATCH($D$14, D4:D13, 0))</f>
        <v>74</v>
      </c>
      <c r="H14" s="22">
        <f>INDEX(H4:H13, MATCH($D$14, D4:D13, 0))</f>
        <v>1364.8477879416164</v>
      </c>
      <c r="I14" s="22">
        <f>INDEX(I4:I13, MATCH($D$14, D4:D13, 0))</f>
        <v>37.136042184687298</v>
      </c>
      <c r="J14" s="22">
        <f>INDEX(J4:J13, MATCH($D$14, D4:D13, 0))</f>
        <v>6928.7212313095124</v>
      </c>
      <c r="K14" s="32" t="e">
        <f>(D14-$D$15)/$D$15</f>
        <v>#DIV/0!</v>
      </c>
      <c r="L14" s="16">
        <f>MIN(L4:L13)</f>
        <v>2197294.1761359018</v>
      </c>
      <c r="M14" s="21">
        <f>INDEX(M4:M13, MATCH($L$14, L4:L13, 0))</f>
        <v>159.31999999999911</v>
      </c>
      <c r="N14" s="16">
        <f>INDEX(N4:N13, MATCH($L$14, L4:L13, 0))</f>
        <v>10</v>
      </c>
      <c r="O14" s="16">
        <f>INDEX(O4:O13, MATCH($L$14, L4:L13, 0))</f>
        <v>46</v>
      </c>
      <c r="P14" s="21">
        <f>INDEX(P4:P13, MATCH($L$14, L4:L13, 0))</f>
        <v>666.00891368034911</v>
      </c>
      <c r="Q14" s="21">
        <f>INDEX(Q4:Q13, MATCH($L$14, L4:L13, 0))</f>
        <v>22.754941156429553</v>
      </c>
      <c r="R14" s="21">
        <f>INDEX(R4:R13, MATCH($L$14, L4:L13, 0))</f>
        <v>5447.5880722572911</v>
      </c>
      <c r="S14" s="36" t="e">
        <f>(L14-$D$15)/$D$15</f>
        <v>#DIV/0!</v>
      </c>
      <c r="T14" s="38">
        <f>MIN(T4:T13)</f>
        <v>2229286.6169950939</v>
      </c>
      <c r="U14" s="39">
        <f>INDEX(U4:U13, MATCH($T$14, T4:T13, 0))</f>
        <v>193.27702702702703</v>
      </c>
      <c r="V14" s="38">
        <f>INDEX(V4:V13, MATCH($T$14, T4:T13, 0))</f>
        <v>5</v>
      </c>
      <c r="W14" s="38">
        <f>INDEX(W4:W13, MATCH($T$14, T4:T13, 0))</f>
        <v>40.666666666666657</v>
      </c>
      <c r="X14" s="39">
        <f>INDEX(X4:X13, MATCH($T$14, T4:T13, 0))</f>
        <v>536.58630194018906</v>
      </c>
      <c r="Y14" s="39">
        <f>INDEX(Y4:Y13, MATCH($T$14, T4:T13, 0))</f>
        <v>68.041236593070806</v>
      </c>
      <c r="Z14" s="39">
        <f>INDEX(Z4:Z13, MATCH($T$14, T4:T13, 0))</f>
        <v>6455.2027376713304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77" priority="7"/>
    <cfRule type="duplicateValues" dxfId="76" priority="8"/>
  </conditionalFormatting>
  <conditionalFormatting sqref="C14">
    <cfRule type="duplicateValues" dxfId="75" priority="3"/>
    <cfRule type="duplicateValues" dxfId="74" priority="4"/>
  </conditionalFormatting>
  <conditionalFormatting sqref="C20:C29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BE33-B7F8-4134-A147-DA73E969EA4D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-0.98915945404036421</v>
      </c>
      <c r="J2" s="28" t="e">
        <f>(S14-J14)/J14</f>
        <v>#DIV/0!</v>
      </c>
      <c r="K2" s="28"/>
      <c r="L2" s="1" t="s">
        <v>19</v>
      </c>
      <c r="P2" s="1">
        <f>(P14-H14)/H14</f>
        <v>-0.41331784376428282</v>
      </c>
      <c r="R2" s="1">
        <f>(R14-J14)/J14</f>
        <v>-0.18920241242938066</v>
      </c>
      <c r="T2" s="1" t="s">
        <v>20</v>
      </c>
      <c r="X2" s="1">
        <f>(X14-P14)/P14</f>
        <v>0.71910987588061115</v>
      </c>
      <c r="Z2" s="1">
        <f>(Z14-R14)/R14</f>
        <v>0.26307181605843488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301</v>
      </c>
      <c r="D4" s="23">
        <v>1827905.252284592</v>
      </c>
      <c r="E4" s="33">
        <v>166.07675675675586</v>
      </c>
      <c r="F4" s="5">
        <v>11</v>
      </c>
      <c r="G4" s="23">
        <v>74</v>
      </c>
      <c r="H4" s="33">
        <v>1577.2266791499928</v>
      </c>
      <c r="I4" s="23">
        <v>32.843976633112099</v>
      </c>
      <c r="J4" s="5">
        <v>6752.4570091003325</v>
      </c>
      <c r="K4" s="31"/>
      <c r="L4" s="23">
        <v>2225522.7757340199</v>
      </c>
      <c r="M4" s="33">
        <v>106.53702702702061</v>
      </c>
      <c r="N4" s="5">
        <v>8</v>
      </c>
      <c r="O4" s="5">
        <v>42.666666666666657</v>
      </c>
      <c r="P4" s="33">
        <v>662.18891297035429</v>
      </c>
      <c r="Q4" s="5">
        <v>22.64849103505281</v>
      </c>
      <c r="R4" s="5">
        <v>5268.103671449996</v>
      </c>
      <c r="S4" s="31"/>
      <c r="T4" s="23">
        <v>2225582.2845740891</v>
      </c>
      <c r="U4" s="33">
        <v>80.07189189189279</v>
      </c>
      <c r="V4" s="5">
        <v>8</v>
      </c>
      <c r="W4" s="5">
        <v>50.666666666666657</v>
      </c>
      <c r="X4" s="33">
        <v>1749.6191815317702</v>
      </c>
      <c r="Y4" s="5">
        <v>47.595292492882443</v>
      </c>
      <c r="Z4" s="5">
        <v>7217.2038523924193</v>
      </c>
      <c r="AA4" s="35"/>
    </row>
    <row r="5" spans="2:27" x14ac:dyDescent="0.2">
      <c r="B5" s="4">
        <v>2</v>
      </c>
      <c r="C5" s="4">
        <v>236</v>
      </c>
      <c r="D5" s="23">
        <v>1832363.253619039</v>
      </c>
      <c r="E5" s="33">
        <v>181.94243243243386</v>
      </c>
      <c r="F5" s="5">
        <v>9</v>
      </c>
      <c r="G5" s="23">
        <v>70.666666666666671</v>
      </c>
      <c r="H5" s="33">
        <v>1470.025238928725</v>
      </c>
      <c r="I5" s="23">
        <v>38.352484526691597</v>
      </c>
      <c r="J5" s="5">
        <v>6597.9695414281141</v>
      </c>
      <c r="K5" s="31"/>
      <c r="L5" s="23">
        <v>2208031.767326294</v>
      </c>
      <c r="M5" s="33">
        <v>143.46270270269628</v>
      </c>
      <c r="N5" s="5">
        <v>9</v>
      </c>
      <c r="O5" s="5">
        <v>47.333333333333343</v>
      </c>
      <c r="P5" s="33">
        <v>1028.9292595607169</v>
      </c>
      <c r="Q5" s="5">
        <v>21.12856987691282</v>
      </c>
      <c r="R5" s="5">
        <v>5770.6324070861019</v>
      </c>
      <c r="S5" s="31"/>
      <c r="T5" s="23">
        <v>2356455.475974469</v>
      </c>
      <c r="U5" s="33">
        <v>131.20351351350797</v>
      </c>
      <c r="V5" s="5">
        <v>5</v>
      </c>
      <c r="W5" s="5">
        <v>37.333333333333343</v>
      </c>
      <c r="X5" s="33">
        <v>1026.3206067991291</v>
      </c>
      <c r="Y5" s="5">
        <v>59.310357213571464</v>
      </c>
      <c r="Z5" s="5">
        <v>6670.2332542713766</v>
      </c>
      <c r="AA5" s="35"/>
    </row>
    <row r="6" spans="2:27" x14ac:dyDescent="0.2">
      <c r="B6" s="4">
        <v>3</v>
      </c>
      <c r="C6" s="4">
        <v>454</v>
      </c>
      <c r="D6" s="23">
        <v>1818022.5309137099</v>
      </c>
      <c r="E6" s="33">
        <v>145.20270270270271</v>
      </c>
      <c r="F6" s="5">
        <v>9</v>
      </c>
      <c r="G6" s="23">
        <v>74.666666666666671</v>
      </c>
      <c r="H6" s="33">
        <v>1653.517832175296</v>
      </c>
      <c r="I6" s="23">
        <v>40.833428226495286</v>
      </c>
      <c r="J6" s="5">
        <v>7009.5973897782242</v>
      </c>
      <c r="K6" s="31"/>
      <c r="L6" s="23">
        <v>2115168.7364849648</v>
      </c>
      <c r="M6" s="33">
        <v>197.52540540540073</v>
      </c>
      <c r="N6" s="5">
        <v>12</v>
      </c>
      <c r="O6" s="5">
        <v>54</v>
      </c>
      <c r="P6" s="33">
        <v>1017.7471528022784</v>
      </c>
      <c r="Q6" s="5">
        <v>18.805642319226671</v>
      </c>
      <c r="R6" s="5">
        <v>5714.0091011725353</v>
      </c>
      <c r="S6" s="31"/>
      <c r="T6" s="23">
        <v>2243897.8133864221</v>
      </c>
      <c r="U6" s="33">
        <v>187.25513513513047</v>
      </c>
      <c r="V6" s="5">
        <v>6</v>
      </c>
      <c r="W6" s="5">
        <v>42.666666666666657</v>
      </c>
      <c r="X6" s="33">
        <v>905.24002929893345</v>
      </c>
      <c r="Y6" s="5">
        <v>51.404455147022531</v>
      </c>
      <c r="Z6" s="5">
        <v>6429.9490866215938</v>
      </c>
      <c r="AA6" s="35"/>
    </row>
    <row r="7" spans="2:27" x14ac:dyDescent="0.2">
      <c r="B7" s="4">
        <v>4</v>
      </c>
      <c r="C7" s="4">
        <v>40</v>
      </c>
      <c r="D7" s="23">
        <v>1795798.042168241</v>
      </c>
      <c r="E7" s="33">
        <v>157.10729729730284</v>
      </c>
      <c r="F7" s="5">
        <v>11</v>
      </c>
      <c r="G7" s="23">
        <v>77.333333333333329</v>
      </c>
      <c r="H7" s="33">
        <v>1635.5570585130858</v>
      </c>
      <c r="I7" s="23">
        <v>34.87874025232513</v>
      </c>
      <c r="J7" s="5">
        <v>6948.2873171528272</v>
      </c>
      <c r="K7" s="31"/>
      <c r="L7" s="23">
        <v>2125182.108652906</v>
      </c>
      <c r="M7" s="33">
        <v>282.17486486487024</v>
      </c>
      <c r="N7" s="5">
        <v>11</v>
      </c>
      <c r="O7" s="5">
        <v>53.333333333333343</v>
      </c>
      <c r="P7" s="33">
        <v>993.32851531219296</v>
      </c>
      <c r="Q7" s="5">
        <v>20.426587533665021</v>
      </c>
      <c r="R7" s="5">
        <v>5877.3235821931448</v>
      </c>
      <c r="S7" s="31"/>
      <c r="T7" s="23">
        <v>2234691.8859057599</v>
      </c>
      <c r="U7" s="33">
        <v>78.758648648650407</v>
      </c>
      <c r="V7" s="5">
        <v>8</v>
      </c>
      <c r="W7" s="5">
        <v>50.666666666666657</v>
      </c>
      <c r="X7" s="33">
        <v>1904.2174714270127</v>
      </c>
      <c r="Y7" s="5">
        <v>43.884871724276017</v>
      </c>
      <c r="Z7" s="5">
        <v>7185.0312525541694</v>
      </c>
      <c r="AA7" s="35"/>
    </row>
    <row r="8" spans="2:27" x14ac:dyDescent="0.2">
      <c r="B8" s="4">
        <v>5</v>
      </c>
      <c r="C8" s="4">
        <v>672</v>
      </c>
      <c r="D8" s="23">
        <v>1804531.0971874411</v>
      </c>
      <c r="E8" s="33">
        <v>282.11162162162026</v>
      </c>
      <c r="F8" s="5">
        <v>10</v>
      </c>
      <c r="G8" s="23">
        <v>76</v>
      </c>
      <c r="H8" s="33">
        <v>1730.3638473483775</v>
      </c>
      <c r="I8" s="23">
        <v>36.279767646737959</v>
      </c>
      <c r="J8" s="5">
        <v>6878.9268866579241</v>
      </c>
      <c r="K8" s="31"/>
      <c r="L8" s="23">
        <v>2301732.6310143308</v>
      </c>
      <c r="M8" s="33">
        <v>296.82432432432432</v>
      </c>
      <c r="N8" s="5">
        <v>8</v>
      </c>
      <c r="O8" s="5">
        <v>40.666666666666657</v>
      </c>
      <c r="P8" s="33">
        <v>891.82736455279257</v>
      </c>
      <c r="Q8" s="5">
        <v>21.163283937810181</v>
      </c>
      <c r="R8" s="5">
        <v>5672.3671148646172</v>
      </c>
      <c r="S8" s="31"/>
      <c r="T8" s="23">
        <v>2273048.980178311</v>
      </c>
      <c r="U8" s="33">
        <v>215.4983783783737</v>
      </c>
      <c r="V8" s="5">
        <v>5</v>
      </c>
      <c r="W8" s="5">
        <v>40</v>
      </c>
      <c r="X8" s="33">
        <v>850.92366912175441</v>
      </c>
      <c r="Y8" s="5">
        <v>57.994586842716977</v>
      </c>
      <c r="Z8" s="5">
        <v>6408.3574941928282</v>
      </c>
      <c r="AA8" s="35"/>
    </row>
    <row r="9" spans="2:27" x14ac:dyDescent="0.2">
      <c r="B9" s="4">
        <v>6</v>
      </c>
      <c r="C9" s="4">
        <v>563</v>
      </c>
      <c r="D9" s="23">
        <v>1972590.8610348699</v>
      </c>
      <c r="E9" s="33">
        <v>117.77459459459548</v>
      </c>
      <c r="F9" s="5">
        <v>8</v>
      </c>
      <c r="G9" s="23">
        <v>63.333333333333343</v>
      </c>
      <c r="H9" s="33">
        <v>1524.6650721434301</v>
      </c>
      <c r="I9" s="23">
        <v>38.628377206069004</v>
      </c>
      <c r="J9" s="5">
        <v>6767.6654876866705</v>
      </c>
      <c r="K9" s="31"/>
      <c r="L9" s="23">
        <v>2412482.8250231529</v>
      </c>
      <c r="M9" s="33">
        <v>134.35405405405027</v>
      </c>
      <c r="N9" s="5">
        <v>8</v>
      </c>
      <c r="O9" s="5">
        <v>31.333333333333329</v>
      </c>
      <c r="P9" s="33">
        <v>122.85106810353095</v>
      </c>
      <c r="Q9" s="5">
        <v>16.505527646683497</v>
      </c>
      <c r="R9" s="5">
        <v>4353.2493322533046</v>
      </c>
      <c r="S9" s="31"/>
      <c r="T9" s="23">
        <v>2253947.2332624039</v>
      </c>
      <c r="U9" s="33">
        <v>139.19351351351438</v>
      </c>
      <c r="V9" s="5">
        <v>9</v>
      </c>
      <c r="W9" s="5">
        <v>48.666666666666657</v>
      </c>
      <c r="X9" s="33">
        <v>1523.8325131107458</v>
      </c>
      <c r="Y9" s="5">
        <v>35.183991499228981</v>
      </c>
      <c r="Z9" s="5">
        <v>6927.5607332049867</v>
      </c>
      <c r="AA9" s="35"/>
    </row>
    <row r="10" spans="2:27" x14ac:dyDescent="0.2">
      <c r="B10" s="4">
        <v>7</v>
      </c>
      <c r="C10" s="4">
        <v>342</v>
      </c>
      <c r="D10" s="23">
        <v>2077242.551899564</v>
      </c>
      <c r="E10" s="33">
        <v>141.12351351351526</v>
      </c>
      <c r="F10" s="5">
        <v>12</v>
      </c>
      <c r="G10" s="23">
        <v>88.666666666666671</v>
      </c>
      <c r="H10" s="33">
        <v>3512.2985412479507</v>
      </c>
      <c r="I10" s="23">
        <v>36.124008541819869</v>
      </c>
      <c r="J10" s="5">
        <v>8902.4591944069925</v>
      </c>
      <c r="K10" s="31"/>
      <c r="L10" s="23">
        <v>2344133.6873895288</v>
      </c>
      <c r="M10" s="33">
        <v>233.80918918918451</v>
      </c>
      <c r="N10" s="5">
        <v>18</v>
      </c>
      <c r="O10" s="5">
        <v>53.333333333333343</v>
      </c>
      <c r="P10" s="33">
        <v>1541.9508827065781</v>
      </c>
      <c r="Q10" s="5">
        <v>12.368378411814346</v>
      </c>
      <c r="R10" s="5">
        <v>6453.4832468302202</v>
      </c>
      <c r="S10" s="31"/>
      <c r="T10" s="23">
        <v>2439774.4547662358</v>
      </c>
      <c r="U10" s="33">
        <v>329.31594594594134</v>
      </c>
      <c r="V10" s="5">
        <v>6</v>
      </c>
      <c r="W10" s="5">
        <v>38</v>
      </c>
      <c r="X10" s="33">
        <v>1800.6732672091939</v>
      </c>
      <c r="Y10" s="5">
        <v>46.604841171823431</v>
      </c>
      <c r="Z10" s="5">
        <v>7408.7798286831548</v>
      </c>
      <c r="AA10" s="35"/>
    </row>
    <row r="11" spans="2:27" x14ac:dyDescent="0.2">
      <c r="B11" s="4">
        <v>8</v>
      </c>
      <c r="C11" s="4">
        <v>621</v>
      </c>
      <c r="D11" s="23">
        <v>1787295.295653376</v>
      </c>
      <c r="E11" s="33">
        <v>191.769459459465</v>
      </c>
      <c r="F11" s="5">
        <v>10</v>
      </c>
      <c r="G11" s="23">
        <v>88.666666666666671</v>
      </c>
      <c r="H11" s="33">
        <v>2429.6005083191685</v>
      </c>
      <c r="I11" s="23">
        <v>43.215044061386642</v>
      </c>
      <c r="J11" s="5">
        <v>7795.409686180602</v>
      </c>
      <c r="K11" s="31"/>
      <c r="L11" s="23">
        <v>2124711.9532489888</v>
      </c>
      <c r="M11" s="33">
        <v>340.15216216216862</v>
      </c>
      <c r="N11" s="5">
        <v>9</v>
      </c>
      <c r="O11" s="5">
        <v>48.666666666666657</v>
      </c>
      <c r="P11" s="33">
        <v>621.82411345395997</v>
      </c>
      <c r="Q11" s="5">
        <v>21.412254956834897</v>
      </c>
      <c r="R11" s="5">
        <v>5304.1158510967416</v>
      </c>
      <c r="S11" s="31"/>
      <c r="T11" s="23">
        <v>2727785.095854511</v>
      </c>
      <c r="U11" s="33">
        <v>191.58783783783784</v>
      </c>
      <c r="V11" s="5">
        <v>20</v>
      </c>
      <c r="W11" s="5">
        <v>62</v>
      </c>
      <c r="X11" s="33">
        <v>4782.4218188776467</v>
      </c>
      <c r="Y11" s="5">
        <v>29.562580776020166</v>
      </c>
      <c r="Z11" s="5">
        <v>9919.7905456930512</v>
      </c>
      <c r="AA11" s="35"/>
    </row>
    <row r="12" spans="2:27" x14ac:dyDescent="0.2">
      <c r="B12" s="4">
        <v>9</v>
      </c>
      <c r="C12" s="4">
        <v>418</v>
      </c>
      <c r="D12" s="23">
        <v>1784952.8535467419</v>
      </c>
      <c r="E12" s="33">
        <v>141.80324324324877</v>
      </c>
      <c r="F12" s="5">
        <v>10</v>
      </c>
      <c r="G12" s="23">
        <v>78</v>
      </c>
      <c r="H12" s="33">
        <v>1734.7504811333786</v>
      </c>
      <c r="I12" s="23">
        <v>37.764436963830107</v>
      </c>
      <c r="J12" s="5">
        <v>7047.3928250000536</v>
      </c>
      <c r="K12" s="31"/>
      <c r="L12" s="23">
        <v>2279824.5293880869</v>
      </c>
      <c r="M12" s="33">
        <v>144.13000000000466</v>
      </c>
      <c r="N12" s="5">
        <v>10</v>
      </c>
      <c r="O12" s="5">
        <v>41.333333333333343</v>
      </c>
      <c r="P12" s="33">
        <v>547.07809692667956</v>
      </c>
      <c r="Q12" s="5">
        <v>18.267428926988536</v>
      </c>
      <c r="R12" s="5">
        <v>5099.218225430026</v>
      </c>
      <c r="S12" s="31"/>
      <c r="T12" s="23">
        <v>2228453.3155698278</v>
      </c>
      <c r="U12" s="33">
        <v>243.89783783784335</v>
      </c>
      <c r="V12" s="5">
        <v>6</v>
      </c>
      <c r="W12" s="5">
        <v>44.666666666666657</v>
      </c>
      <c r="X12" s="33">
        <v>1138.2545333617777</v>
      </c>
      <c r="Y12" s="5">
        <v>56.392046919349205</v>
      </c>
      <c r="Z12" s="5">
        <v>6640.4719712652586</v>
      </c>
      <c r="AA12" s="35"/>
    </row>
    <row r="13" spans="2:27" x14ac:dyDescent="0.2">
      <c r="B13" s="4">
        <v>10</v>
      </c>
      <c r="C13" s="4">
        <v>141</v>
      </c>
      <c r="D13" s="23">
        <v>1915467.529942665</v>
      </c>
      <c r="E13" s="33">
        <v>153.90621621621068</v>
      </c>
      <c r="F13" s="5">
        <v>9</v>
      </c>
      <c r="G13" s="23">
        <v>70</v>
      </c>
      <c r="H13" s="33">
        <v>1813.8722634481942</v>
      </c>
      <c r="I13" s="23">
        <v>36.599999618557</v>
      </c>
      <c r="J13" s="5">
        <v>7011.9435304863155</v>
      </c>
      <c r="K13" s="31"/>
      <c r="L13" s="23">
        <v>2203118.5169097688</v>
      </c>
      <c r="M13" s="33">
        <v>217.39864864864865</v>
      </c>
      <c r="N13" s="5">
        <v>12</v>
      </c>
      <c r="O13" s="5">
        <v>48.666666666666657</v>
      </c>
      <c r="P13" s="33">
        <v>807.98463832438517</v>
      </c>
      <c r="Q13" s="5">
        <v>19.208898478138547</v>
      </c>
      <c r="R13" s="5">
        <v>5479.0259995117167</v>
      </c>
      <c r="S13" s="31"/>
      <c r="T13" s="23">
        <v>2256554.539823215</v>
      </c>
      <c r="U13" s="33">
        <v>182.68135135134403</v>
      </c>
      <c r="V13" s="5">
        <v>6</v>
      </c>
      <c r="W13" s="5">
        <v>44</v>
      </c>
      <c r="X13" s="33">
        <v>1273.5629789917148</v>
      </c>
      <c r="Y13" s="5">
        <v>54.324689509856398</v>
      </c>
      <c r="Z13" s="5">
        <v>6842.8902022811926</v>
      </c>
      <c r="AA13" s="35"/>
    </row>
    <row r="14" spans="2:27" x14ac:dyDescent="0.2">
      <c r="B14" s="46" t="s">
        <v>3</v>
      </c>
      <c r="C14" s="47"/>
      <c r="D14" s="9">
        <f>MIN(D4:D13)</f>
        <v>1784952.8535467419</v>
      </c>
      <c r="E14" s="22">
        <f>INDEX(E4:E13, MATCH($D$14, D4:D13, 0))</f>
        <v>141.80324324324877</v>
      </c>
      <c r="F14" s="9">
        <f>INDEX(F4:F13, MATCH($D$14, D4:D13, 0))</f>
        <v>10</v>
      </c>
      <c r="G14" s="9">
        <f>INDEX(G4:G13, MATCH($D$14, D4:D13, 0))</f>
        <v>78</v>
      </c>
      <c r="H14" s="22">
        <f>INDEX(H4:H13, MATCH($D$14, D4:D13, 0))</f>
        <v>1734.7504811333786</v>
      </c>
      <c r="I14" s="22">
        <f>INDEX(I4:I13, MATCH($D$14, D4:D13, 0))</f>
        <v>37.764436963830107</v>
      </c>
      <c r="J14" s="22">
        <f>INDEX(J4:J13, MATCH($D$14, D4:D13, 0))</f>
        <v>7047.3928250000536</v>
      </c>
      <c r="K14" s="32" t="e">
        <f>(D14-$D$15)/$D$15</f>
        <v>#DIV/0!</v>
      </c>
      <c r="L14" s="16">
        <f>MIN(L4:L13)</f>
        <v>2115168.7364849648</v>
      </c>
      <c r="M14" s="21">
        <f>INDEX(M4:M13, MATCH($L$14, L4:L13, 0))</f>
        <v>197.52540540540073</v>
      </c>
      <c r="N14" s="16">
        <f>INDEX(N4:N13, MATCH($L$14, L4:L13, 0))</f>
        <v>12</v>
      </c>
      <c r="O14" s="16">
        <f>INDEX(O4:O13, MATCH($L$14, L4:L13, 0))</f>
        <v>54</v>
      </c>
      <c r="P14" s="21">
        <f>INDEX(P4:P13, MATCH($L$14, L4:L13, 0))</f>
        <v>1017.7471528022784</v>
      </c>
      <c r="Q14" s="21">
        <f>INDEX(Q4:Q13, MATCH($L$14, L4:L13, 0))</f>
        <v>18.805642319226671</v>
      </c>
      <c r="R14" s="21">
        <f>INDEX(R4:R13, MATCH($L$14, L4:L13, 0))</f>
        <v>5714.0091011725353</v>
      </c>
      <c r="S14" s="36" t="e">
        <f>(L14-$D$15)/$D$15</f>
        <v>#DIV/0!</v>
      </c>
      <c r="T14" s="38">
        <f>MIN(T4:T13)</f>
        <v>2225582.2845740891</v>
      </c>
      <c r="U14" s="39">
        <f>INDEX(U4:U13, MATCH($T$14, T4:T13, 0))</f>
        <v>80.07189189189279</v>
      </c>
      <c r="V14" s="38">
        <f>INDEX(V4:V13, MATCH($T$14, T4:T13, 0))</f>
        <v>8</v>
      </c>
      <c r="W14" s="38">
        <f>INDEX(W4:W13, MATCH($T$14, T4:T13, 0))</f>
        <v>50.666666666666657</v>
      </c>
      <c r="X14" s="39">
        <f>INDEX(X4:X13, MATCH($T$14, T4:T13, 0))</f>
        <v>1749.6191815317702</v>
      </c>
      <c r="Y14" s="39">
        <f>INDEX(Y4:Y13, MATCH($T$14, T4:T13, 0))</f>
        <v>47.595292492882443</v>
      </c>
      <c r="Z14" s="39">
        <f>INDEX(Z4:Z13, MATCH($T$14, T4:T13, 0))</f>
        <v>7217.2038523924193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20:C29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AF54-2999-4AB1-A09F-A6FE1DF9E3DB}">
  <dimension ref="B1:AA17"/>
  <sheetViews>
    <sheetView zoomScale="85" zoomScaleNormal="85" workbookViewId="0">
      <selection activeCell="U29" sqref="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-0.98034655671621762</v>
      </c>
      <c r="J2" s="28" t="e">
        <f>(S14-J14)/J14</f>
        <v>#DIV/0!</v>
      </c>
      <c r="K2" s="28"/>
      <c r="L2" s="1" t="s">
        <v>19</v>
      </c>
      <c r="P2" s="1">
        <f>(P14-H14)/H14</f>
        <v>-0.47986801941388751</v>
      </c>
      <c r="R2" s="1">
        <f>(R14-J14)/J14</f>
        <v>-0.19551579068649086</v>
      </c>
      <c r="T2" s="1" t="s">
        <v>20</v>
      </c>
      <c r="X2" s="1">
        <f>(X14-P14)/P14</f>
        <v>0.52715231710402943</v>
      </c>
      <c r="Z2" s="1">
        <f>(Z14-R14)/R14</f>
        <v>0.29912620263897871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670</v>
      </c>
      <c r="D4" s="23">
        <v>2115551.6186936242</v>
      </c>
      <c r="E4" s="33">
        <v>171.23729729729175</v>
      </c>
      <c r="F4" s="5">
        <v>6</v>
      </c>
      <c r="G4" s="23">
        <v>50</v>
      </c>
      <c r="H4" s="33">
        <v>906.91020171422861</v>
      </c>
      <c r="I4" s="23">
        <v>52.499637387843599</v>
      </c>
      <c r="J4" s="5">
        <v>6511.519365683097</v>
      </c>
      <c r="K4" s="31"/>
      <c r="L4" s="23">
        <v>2271921.7385165761</v>
      </c>
      <c r="M4" s="33">
        <v>302.63945945946028</v>
      </c>
      <c r="N4" s="5">
        <v>11</v>
      </c>
      <c r="O4" s="5">
        <v>44.666666666666657</v>
      </c>
      <c r="P4" s="33">
        <v>875.95279665520798</v>
      </c>
      <c r="Q4" s="5">
        <v>23.798448989218329</v>
      </c>
      <c r="R4" s="5">
        <v>5542.9938193162807</v>
      </c>
      <c r="S4" s="31"/>
      <c r="T4" s="23">
        <v>2368751.4697365719</v>
      </c>
      <c r="U4" s="33">
        <v>62.884324324314136</v>
      </c>
      <c r="V4" s="5">
        <v>5</v>
      </c>
      <c r="W4" s="5">
        <v>37.333333333333343</v>
      </c>
      <c r="X4" s="33">
        <v>1272.0429604274577</v>
      </c>
      <c r="Y4" s="5">
        <v>76.087040770316705</v>
      </c>
      <c r="Z4" s="5">
        <v>6935.5362156951142</v>
      </c>
      <c r="AA4" s="35"/>
    </row>
    <row r="5" spans="2:27" x14ac:dyDescent="0.2">
      <c r="B5" s="4">
        <v>2</v>
      </c>
      <c r="C5" s="4">
        <v>759</v>
      </c>
      <c r="D5" s="23">
        <v>2307930.9591893051</v>
      </c>
      <c r="E5" s="33">
        <v>191.31324324324234</v>
      </c>
      <c r="F5" s="5">
        <v>12</v>
      </c>
      <c r="G5" s="23">
        <v>58</v>
      </c>
      <c r="H5" s="33">
        <v>2476.7210937541809</v>
      </c>
      <c r="I5" s="23">
        <v>29.826854884605822</v>
      </c>
      <c r="J5" s="5">
        <v>7862.0388288736112</v>
      </c>
      <c r="K5" s="31"/>
      <c r="L5" s="23">
        <v>2425660.5715201991</v>
      </c>
      <c r="M5" s="33">
        <v>175.91648648648737</v>
      </c>
      <c r="N5" s="5">
        <v>16</v>
      </c>
      <c r="O5" s="5">
        <v>49.333333333333343</v>
      </c>
      <c r="P5" s="33">
        <v>1876.9269915782234</v>
      </c>
      <c r="Q5" s="5">
        <v>18.153085418732271</v>
      </c>
      <c r="R5" s="5">
        <v>7010.7271971778464</v>
      </c>
      <c r="S5" s="31"/>
      <c r="T5" s="23">
        <v>2769801.73420568</v>
      </c>
      <c r="U5" s="33">
        <v>89.624054054053147</v>
      </c>
      <c r="V5" s="5">
        <v>23</v>
      </c>
      <c r="W5" s="5">
        <v>58.666666666666657</v>
      </c>
      <c r="X5" s="33">
        <v>4338.4882998225166</v>
      </c>
      <c r="Y5" s="5">
        <v>29.287121174074834</v>
      </c>
      <c r="Z5" s="5">
        <v>9865.3556353668628</v>
      </c>
      <c r="AA5" s="35"/>
    </row>
    <row r="6" spans="2:27" x14ac:dyDescent="0.2">
      <c r="B6" s="4">
        <v>3</v>
      </c>
      <c r="C6" s="4">
        <v>113</v>
      </c>
      <c r="D6" s="23">
        <v>2014660.642001478</v>
      </c>
      <c r="E6" s="33">
        <v>145.18999999999446</v>
      </c>
      <c r="F6" s="5">
        <v>9</v>
      </c>
      <c r="G6" s="23">
        <v>63.333333333333343</v>
      </c>
      <c r="H6" s="33">
        <v>1678.7427441483137</v>
      </c>
      <c r="I6" s="23">
        <v>42.558529732030685</v>
      </c>
      <c r="J6" s="5">
        <v>6989.1112925166726</v>
      </c>
      <c r="K6" s="31"/>
      <c r="L6" s="23">
        <v>2258932.8793099709</v>
      </c>
      <c r="M6" s="33">
        <v>144.24405405406424</v>
      </c>
      <c r="N6" s="5">
        <v>9</v>
      </c>
      <c r="O6" s="5">
        <v>41.333333333333343</v>
      </c>
      <c r="P6" s="33">
        <v>650.0513133379601</v>
      </c>
      <c r="Q6" s="5">
        <v>24.562509315115399</v>
      </c>
      <c r="R6" s="5">
        <v>5128.8172321576312</v>
      </c>
      <c r="S6" s="31"/>
      <c r="T6" s="23">
        <v>2276360.0080130878</v>
      </c>
      <c r="U6" s="33">
        <v>86.832702702707337</v>
      </c>
      <c r="V6" s="5">
        <v>5</v>
      </c>
      <c r="W6" s="5">
        <v>38</v>
      </c>
      <c r="X6" s="33">
        <v>558.69751582544723</v>
      </c>
      <c r="Y6" s="5">
        <v>69.190844041588818</v>
      </c>
      <c r="Z6" s="5">
        <v>6099.270284826026</v>
      </c>
      <c r="AA6" s="35"/>
    </row>
    <row r="7" spans="2:27" x14ac:dyDescent="0.2">
      <c r="B7" s="4">
        <v>4</v>
      </c>
      <c r="C7" s="4">
        <v>438</v>
      </c>
      <c r="D7" s="23">
        <v>2280101.5590550299</v>
      </c>
      <c r="E7" s="33">
        <v>160.82756756756902</v>
      </c>
      <c r="F7" s="5">
        <v>12</v>
      </c>
      <c r="G7" s="23">
        <v>81.333333333333329</v>
      </c>
      <c r="H7" s="33">
        <v>3935.6241948907182</v>
      </c>
      <c r="I7" s="23">
        <v>39.370555577379648</v>
      </c>
      <c r="J7" s="5">
        <v>9352.771634805913</v>
      </c>
      <c r="K7" s="31"/>
      <c r="L7" s="23">
        <v>2677431.234239928</v>
      </c>
      <c r="M7" s="33">
        <v>80.118378378384776</v>
      </c>
      <c r="N7" s="5">
        <v>22</v>
      </c>
      <c r="O7" s="5">
        <v>73.333333333333329</v>
      </c>
      <c r="P7" s="33">
        <v>4438.8909725669128</v>
      </c>
      <c r="Q7" s="5">
        <v>20.561763713112889</v>
      </c>
      <c r="R7" s="5">
        <v>9935.6262163259089</v>
      </c>
      <c r="S7" s="31"/>
      <c r="T7" s="23">
        <v>3192141.9304982801</v>
      </c>
      <c r="U7" s="33">
        <v>123.76675675675035</v>
      </c>
      <c r="V7" s="5">
        <v>18</v>
      </c>
      <c r="W7" s="5">
        <v>62</v>
      </c>
      <c r="X7" s="33">
        <v>7678.1391915316799</v>
      </c>
      <c r="Y7" s="5">
        <v>40.698044963035983</v>
      </c>
      <c r="Z7" s="5">
        <v>13051.769913883742</v>
      </c>
      <c r="AA7" s="35"/>
    </row>
    <row r="8" spans="2:27" x14ac:dyDescent="0.2">
      <c r="B8" s="4">
        <v>5</v>
      </c>
      <c r="C8" s="4">
        <v>424</v>
      </c>
      <c r="D8" s="23">
        <v>1953123.043914102</v>
      </c>
      <c r="E8" s="33">
        <v>281.0937837837813</v>
      </c>
      <c r="F8" s="5">
        <v>11</v>
      </c>
      <c r="G8" s="23">
        <v>71.333333333333329</v>
      </c>
      <c r="H8" s="33">
        <v>1877.2552879045866</v>
      </c>
      <c r="I8" s="23">
        <v>38.557185870202133</v>
      </c>
      <c r="J8" s="5">
        <v>7260.641182054027</v>
      </c>
      <c r="K8" s="31"/>
      <c r="L8" s="23">
        <v>2387984.1109199212</v>
      </c>
      <c r="M8" s="33">
        <v>98.619189189190081</v>
      </c>
      <c r="N8" s="5">
        <v>16</v>
      </c>
      <c r="O8" s="5">
        <v>52</v>
      </c>
      <c r="P8" s="33">
        <v>1920.8101503319112</v>
      </c>
      <c r="Q8" s="5">
        <v>17.993150174768676</v>
      </c>
      <c r="R8" s="5">
        <v>7046.3280558341439</v>
      </c>
      <c r="S8" s="31"/>
      <c r="T8" s="23">
        <v>2275168.775278728</v>
      </c>
      <c r="U8" s="33">
        <v>136.79486486486576</v>
      </c>
      <c r="V8" s="5">
        <v>5</v>
      </c>
      <c r="W8" s="5">
        <v>38.666666666666657</v>
      </c>
      <c r="X8" s="33">
        <v>677.63240354206346</v>
      </c>
      <c r="Y8" s="5">
        <v>72.981266593744607</v>
      </c>
      <c r="Z8" s="5">
        <v>6250.2838411588373</v>
      </c>
      <c r="AA8" s="35"/>
    </row>
    <row r="9" spans="2:27" x14ac:dyDescent="0.2">
      <c r="B9" s="4">
        <v>6</v>
      </c>
      <c r="C9" s="4">
        <v>909</v>
      </c>
      <c r="D9" s="23">
        <v>1933307.105102726</v>
      </c>
      <c r="E9" s="33">
        <v>117.75756756756989</v>
      </c>
      <c r="F9" s="5">
        <v>8</v>
      </c>
      <c r="G9" s="23">
        <v>62</v>
      </c>
      <c r="H9" s="33">
        <v>1249.7814739356106</v>
      </c>
      <c r="I9" s="23">
        <v>45.82556357401949</v>
      </c>
      <c r="J9" s="5">
        <v>6375.2863919283227</v>
      </c>
      <c r="K9" s="31"/>
      <c r="L9" s="23">
        <v>2691187.384902888</v>
      </c>
      <c r="M9" s="33">
        <v>106.8581081081081</v>
      </c>
      <c r="N9" s="5">
        <v>13</v>
      </c>
      <c r="O9" s="5">
        <v>33.333333333333343</v>
      </c>
      <c r="P9" s="33">
        <v>2291.7000265475504</v>
      </c>
      <c r="Q9" s="5">
        <v>14.105194838013009</v>
      </c>
      <c r="R9" s="5">
        <v>7156.9556002831459</v>
      </c>
      <c r="S9" s="31"/>
      <c r="T9" s="23">
        <v>2295682.9397667851</v>
      </c>
      <c r="U9" s="33">
        <v>83.327567567576892</v>
      </c>
      <c r="V9" s="5">
        <v>5</v>
      </c>
      <c r="W9" s="5">
        <v>37.333333333333343</v>
      </c>
      <c r="X9" s="33">
        <v>658.32020504540321</v>
      </c>
      <c r="Y9" s="5">
        <v>69.889991517994574</v>
      </c>
      <c r="Z9" s="5">
        <v>6173.6969811632271</v>
      </c>
      <c r="AA9" s="35"/>
    </row>
    <row r="10" spans="2:27" x14ac:dyDescent="0.2">
      <c r="B10" s="4">
        <v>7</v>
      </c>
      <c r="C10" s="4">
        <v>737</v>
      </c>
      <c r="D10" s="23">
        <v>2113010.217506662</v>
      </c>
      <c r="E10" s="33">
        <v>138.05756756756611</v>
      </c>
      <c r="F10" s="5">
        <v>6</v>
      </c>
      <c r="G10" s="23">
        <v>49.333333333333343</v>
      </c>
      <c r="H10" s="33">
        <v>1014.5980309692297</v>
      </c>
      <c r="I10" s="23">
        <v>46.137718372020174</v>
      </c>
      <c r="J10" s="5">
        <v>6052.2861889261003</v>
      </c>
      <c r="K10" s="31"/>
      <c r="L10" s="23">
        <v>2304227.6241223309</v>
      </c>
      <c r="M10" s="33">
        <v>143.48837837838013</v>
      </c>
      <c r="N10" s="5">
        <v>11</v>
      </c>
      <c r="O10" s="5">
        <v>44.666666666666657</v>
      </c>
      <c r="P10" s="33">
        <v>1341.814460368545</v>
      </c>
      <c r="Q10" s="5">
        <v>23.365848847074776</v>
      </c>
      <c r="R10" s="5">
        <v>5955.5570948185596</v>
      </c>
      <c r="S10" s="31"/>
      <c r="T10" s="23">
        <v>2262883.1639990448</v>
      </c>
      <c r="U10" s="33">
        <v>132.99405405404852</v>
      </c>
      <c r="V10" s="5">
        <v>5</v>
      </c>
      <c r="W10" s="5">
        <v>38.666666666666657</v>
      </c>
      <c r="X10" s="33">
        <v>550.59345790533121</v>
      </c>
      <c r="Y10" s="5">
        <v>69.898100969753401</v>
      </c>
      <c r="Z10" s="5">
        <v>6104.8514711959997</v>
      </c>
      <c r="AA10" s="35"/>
    </row>
    <row r="11" spans="2:27" x14ac:dyDescent="0.2">
      <c r="B11" s="4">
        <v>8</v>
      </c>
      <c r="C11" s="4">
        <v>754</v>
      </c>
      <c r="D11" s="23">
        <v>1992760.364888215</v>
      </c>
      <c r="E11" s="33">
        <v>190.39270270269716</v>
      </c>
      <c r="F11" s="5">
        <v>8</v>
      </c>
      <c r="G11" s="23">
        <v>60.666666666666657</v>
      </c>
      <c r="H11" s="33">
        <v>1376.7957480168511</v>
      </c>
      <c r="I11" s="23">
        <v>46.081771027773563</v>
      </c>
      <c r="J11" s="5">
        <v>6624.6720663615797</v>
      </c>
      <c r="K11" s="31"/>
      <c r="L11" s="23">
        <v>2479793.1593241831</v>
      </c>
      <c r="M11" s="33">
        <v>184.47648648649289</v>
      </c>
      <c r="N11" s="5">
        <v>14</v>
      </c>
      <c r="O11" s="5">
        <v>43.333333333333343</v>
      </c>
      <c r="P11" s="33">
        <v>1943.0037294036938</v>
      </c>
      <c r="Q11" s="5">
        <v>17.065638896830748</v>
      </c>
      <c r="R11" s="5">
        <v>6718.5570073505223</v>
      </c>
      <c r="S11" s="31"/>
      <c r="T11" s="23">
        <v>2257468.5105812759</v>
      </c>
      <c r="U11" s="33">
        <v>132.45783783783318</v>
      </c>
      <c r="V11" s="5">
        <v>5</v>
      </c>
      <c r="W11" s="5">
        <v>41.333333333333343</v>
      </c>
      <c r="X11" s="33">
        <v>992.72736940058326</v>
      </c>
      <c r="Y11" s="5">
        <v>80.896434286958652</v>
      </c>
      <c r="Z11" s="5">
        <v>6662.9808548423007</v>
      </c>
      <c r="AA11" s="35"/>
    </row>
    <row r="12" spans="2:27" x14ac:dyDescent="0.2">
      <c r="B12" s="4">
        <v>9</v>
      </c>
      <c r="C12" s="4">
        <v>363</v>
      </c>
      <c r="D12" s="23">
        <v>1935617.9990073179</v>
      </c>
      <c r="E12" s="33">
        <v>141.60054054053035</v>
      </c>
      <c r="F12" s="5">
        <v>9</v>
      </c>
      <c r="G12" s="23">
        <v>67.333333333333329</v>
      </c>
      <c r="H12" s="33">
        <v>1565.3099207091357</v>
      </c>
      <c r="I12" s="23">
        <v>47.513026961548803</v>
      </c>
      <c r="J12" s="5">
        <v>6995.7756323115655</v>
      </c>
      <c r="K12" s="31"/>
      <c r="L12" s="23">
        <v>2270170.9281900171</v>
      </c>
      <c r="M12" s="33">
        <v>156.55405405405403</v>
      </c>
      <c r="N12" s="5">
        <v>18</v>
      </c>
      <c r="O12" s="5">
        <v>59.333333333333343</v>
      </c>
      <c r="P12" s="33">
        <v>1936.3913152271746</v>
      </c>
      <c r="Q12" s="5">
        <v>18.087788562072387</v>
      </c>
      <c r="R12" s="5">
        <v>6802.7745593717009</v>
      </c>
      <c r="S12" s="31"/>
      <c r="T12" s="23">
        <v>2278086.1880045002</v>
      </c>
      <c r="U12" s="33">
        <v>86.938378378383916</v>
      </c>
      <c r="V12" s="5">
        <v>5</v>
      </c>
      <c r="W12" s="5">
        <v>38.666666666666657</v>
      </c>
      <c r="X12" s="33">
        <v>774.58540347468795</v>
      </c>
      <c r="Y12" s="5">
        <v>73.59971321457985</v>
      </c>
      <c r="Z12" s="5">
        <v>6294.2264907110393</v>
      </c>
      <c r="AA12" s="35"/>
    </row>
    <row r="13" spans="2:27" x14ac:dyDescent="0.2">
      <c r="B13" s="4">
        <v>10</v>
      </c>
      <c r="C13" s="4">
        <v>299</v>
      </c>
      <c r="D13" s="23">
        <v>2167721.7283107112</v>
      </c>
      <c r="E13" s="33">
        <v>156.61756756757953</v>
      </c>
      <c r="F13" s="5">
        <v>6</v>
      </c>
      <c r="G13" s="23">
        <v>50.666666666666657</v>
      </c>
      <c r="H13" s="33">
        <v>1330.2616446997949</v>
      </c>
      <c r="I13" s="23">
        <v>54.027565907250612</v>
      </c>
      <c r="J13" s="5">
        <v>7068.7665728547481</v>
      </c>
      <c r="K13" s="31"/>
      <c r="L13" s="23">
        <v>2344810.8554824558</v>
      </c>
      <c r="M13" s="33">
        <v>188.11648648649114</v>
      </c>
      <c r="N13" s="5">
        <v>9</v>
      </c>
      <c r="O13" s="5">
        <v>38</v>
      </c>
      <c r="P13" s="33">
        <v>761.35928152272891</v>
      </c>
      <c r="Q13" s="5">
        <v>26.181297425913385</v>
      </c>
      <c r="R13" s="5">
        <v>5341.7567048076053</v>
      </c>
      <c r="S13" s="31"/>
      <c r="T13" s="23">
        <v>2380594.564341777</v>
      </c>
      <c r="U13" s="33">
        <v>179.89864864864865</v>
      </c>
      <c r="V13" s="5">
        <v>8</v>
      </c>
      <c r="W13" s="5">
        <v>40.666666666666657</v>
      </c>
      <c r="X13" s="33">
        <v>1527.5722188281852</v>
      </c>
      <c r="Y13" s="5">
        <v>41.953284903847099</v>
      </c>
      <c r="Z13" s="5">
        <v>7019.801929917704</v>
      </c>
      <c r="AA13" s="35"/>
    </row>
    <row r="14" spans="2:27" x14ac:dyDescent="0.2">
      <c r="B14" s="46" t="s">
        <v>3</v>
      </c>
      <c r="C14" s="47"/>
      <c r="D14" s="9">
        <f>MIN(D4:D13)</f>
        <v>1933307.105102726</v>
      </c>
      <c r="E14" s="22">
        <f>INDEX(E4:E13, MATCH($D$14, D4:D13, 0))</f>
        <v>117.75756756756989</v>
      </c>
      <c r="F14" s="9">
        <f>INDEX(F4:F13, MATCH($D$14, D4:D13, 0))</f>
        <v>8</v>
      </c>
      <c r="G14" s="9">
        <f>INDEX(G4:G13, MATCH($D$14, D4:D13, 0))</f>
        <v>62</v>
      </c>
      <c r="H14" s="22">
        <f>INDEX(H4:H13, MATCH($D$14, D4:D13, 0))</f>
        <v>1249.7814739356106</v>
      </c>
      <c r="I14" s="22">
        <f>INDEX(I4:I13, MATCH($D$14, D4:D13, 0))</f>
        <v>45.82556357401949</v>
      </c>
      <c r="J14" s="22">
        <f>INDEX(J4:J13, MATCH($D$14, D4:D13, 0))</f>
        <v>6375.2863919283227</v>
      </c>
      <c r="K14" s="32" t="e">
        <f>(D14-$D$15)/$D$15</f>
        <v>#DIV/0!</v>
      </c>
      <c r="L14" s="16">
        <f>MIN(L4:L13)</f>
        <v>2258932.8793099709</v>
      </c>
      <c r="M14" s="21">
        <f>INDEX(M4:M13, MATCH($L$14, L4:L13, 0))</f>
        <v>144.24405405406424</v>
      </c>
      <c r="N14" s="16">
        <f>INDEX(N4:N13, MATCH($L$14, L4:L13, 0))</f>
        <v>9</v>
      </c>
      <c r="O14" s="16">
        <f>INDEX(O4:O13, MATCH($L$14, L4:L13, 0))</f>
        <v>41.333333333333343</v>
      </c>
      <c r="P14" s="21">
        <f>INDEX(P4:P13, MATCH($L$14, L4:L13, 0))</f>
        <v>650.0513133379601</v>
      </c>
      <c r="Q14" s="21">
        <f>INDEX(Q4:Q13, MATCH($L$14, L4:L13, 0))</f>
        <v>24.562509315115399</v>
      </c>
      <c r="R14" s="21">
        <f>INDEX(R4:R13, MATCH($L$14, L4:L13, 0))</f>
        <v>5128.8172321576312</v>
      </c>
      <c r="S14" s="36" t="e">
        <f>(L14-$D$15)/$D$15</f>
        <v>#DIV/0!</v>
      </c>
      <c r="T14" s="38">
        <f>MIN(T4:T13)</f>
        <v>2257468.5105812759</v>
      </c>
      <c r="U14" s="39">
        <f>INDEX(U4:U13, MATCH($T$14, T4:T13, 0))</f>
        <v>132.45783783783318</v>
      </c>
      <c r="V14" s="38">
        <f>INDEX(V4:V13, MATCH($T$14, T4:T13, 0))</f>
        <v>5</v>
      </c>
      <c r="W14" s="38">
        <f>INDEX(W4:W13, MATCH($T$14, T4:T13, 0))</f>
        <v>41.333333333333343</v>
      </c>
      <c r="X14" s="39">
        <f>INDEX(X4:X13, MATCH($T$14, T4:T13, 0))</f>
        <v>992.72736940058326</v>
      </c>
      <c r="Y14" s="39">
        <f>INDEX(Y4:Y13, MATCH($T$14, T4:T13, 0))</f>
        <v>80.896434286958652</v>
      </c>
      <c r="Z14" s="39">
        <f>INDEX(Z4:Z13, MATCH($T$14, T4:T13, 0))</f>
        <v>6662.9808548423007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69" priority="7"/>
    <cfRule type="duplicateValues" dxfId="68" priority="8"/>
  </conditionalFormatting>
  <conditionalFormatting sqref="C14">
    <cfRule type="duplicateValues" dxfId="67" priority="3"/>
    <cfRule type="duplicateValues" dxfId="66" priority="4"/>
  </conditionalFormatting>
  <conditionalFormatting sqref="C20:C29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5027-70C2-4388-8739-7EC02A7B1E33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-0.98310765291501689</v>
      </c>
      <c r="J2" s="28" t="e">
        <f>(S14-J14)/J14</f>
        <v>#DIV/0!</v>
      </c>
      <c r="K2" s="28"/>
      <c r="L2" s="1" t="s">
        <v>19</v>
      </c>
      <c r="P2" s="1">
        <f>(P14-H14)/H14</f>
        <v>-0.33163325269453053</v>
      </c>
      <c r="R2" s="1">
        <f>(R14-J14)/J14</f>
        <v>-0.1240835022201367</v>
      </c>
      <c r="T2" s="1" t="s">
        <v>20</v>
      </c>
      <c r="X2" s="1">
        <f>(X14-P14)/P14</f>
        <v>-0.15377648243995917</v>
      </c>
      <c r="Z2" s="1">
        <f>(Z14-R14)/R14</f>
        <v>5.0564221993361025E-2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482</v>
      </c>
      <c r="D4" s="23">
        <v>1898803.1075824499</v>
      </c>
      <c r="E4" s="33">
        <v>247.01864864864399</v>
      </c>
      <c r="F4" s="5">
        <v>9</v>
      </c>
      <c r="G4" s="23">
        <v>66.666666666666671</v>
      </c>
      <c r="H4" s="33">
        <v>1429.9083029413998</v>
      </c>
      <c r="I4" s="23">
        <v>35.738611933022817</v>
      </c>
      <c r="J4" s="5">
        <v>6566.2353173452102</v>
      </c>
      <c r="K4" s="31"/>
      <c r="L4" s="23">
        <v>2218723.7540359139</v>
      </c>
      <c r="M4" s="33">
        <v>209.78459459458904</v>
      </c>
      <c r="N4" s="5">
        <v>9</v>
      </c>
      <c r="O4" s="5">
        <v>43.333333333333343</v>
      </c>
      <c r="P4" s="33">
        <v>448.12249339760984</v>
      </c>
      <c r="Q4" s="5">
        <v>18.995038149179628</v>
      </c>
      <c r="R4" s="5">
        <v>5101.1105494617968</v>
      </c>
      <c r="S4" s="31"/>
      <c r="T4" s="23">
        <v>2389899.1472765142</v>
      </c>
      <c r="U4" s="33">
        <v>89.607297297302836</v>
      </c>
      <c r="V4" s="5">
        <v>6</v>
      </c>
      <c r="W4" s="5">
        <v>38</v>
      </c>
      <c r="X4" s="33">
        <v>1448.5752350944394</v>
      </c>
      <c r="Y4" s="5">
        <v>41.611607074547756</v>
      </c>
      <c r="Z4" s="5">
        <v>6927.6053201862478</v>
      </c>
      <c r="AA4" s="35"/>
    </row>
    <row r="5" spans="2:27" x14ac:dyDescent="0.2">
      <c r="B5" s="4">
        <v>2</v>
      </c>
      <c r="C5" s="4">
        <v>999</v>
      </c>
      <c r="D5" s="23">
        <v>2000159.508403322</v>
      </c>
      <c r="E5" s="33">
        <v>72.550810810817211</v>
      </c>
      <c r="F5" s="5">
        <v>12</v>
      </c>
      <c r="G5" s="23">
        <v>68</v>
      </c>
      <c r="H5" s="33">
        <v>1673.7265168689974</v>
      </c>
      <c r="I5" s="23">
        <v>26.167437883486798</v>
      </c>
      <c r="J5" s="5">
        <v>7027.5433878144777</v>
      </c>
      <c r="K5" s="31"/>
      <c r="L5" s="23">
        <v>2419621.6267396938</v>
      </c>
      <c r="M5" s="33">
        <v>161.6256756756637</v>
      </c>
      <c r="N5" s="5">
        <v>8</v>
      </c>
      <c r="O5" s="5">
        <v>36.666666666666657</v>
      </c>
      <c r="P5" s="33">
        <v>942.58335260937588</v>
      </c>
      <c r="Q5" s="5">
        <v>18.467676224145563</v>
      </c>
      <c r="R5" s="5">
        <v>6149.1494816697468</v>
      </c>
      <c r="S5" s="31"/>
      <c r="T5" s="23">
        <v>2235856.5633297209</v>
      </c>
      <c r="U5" s="33">
        <v>91.672162162171489</v>
      </c>
      <c r="V5" s="5">
        <v>5</v>
      </c>
      <c r="W5" s="5">
        <v>41.333333333333343</v>
      </c>
      <c r="X5" s="33">
        <v>844.85459648683513</v>
      </c>
      <c r="Y5" s="5">
        <v>55.296108155176945</v>
      </c>
      <c r="Z5" s="5">
        <v>6094.0208912582339</v>
      </c>
      <c r="AA5" s="35"/>
    </row>
    <row r="6" spans="2:27" x14ac:dyDescent="0.2">
      <c r="B6" s="4">
        <v>3</v>
      </c>
      <c r="C6" s="4">
        <v>803</v>
      </c>
      <c r="D6" s="23">
        <v>2154145.8407074828</v>
      </c>
      <c r="E6" s="33">
        <v>88.564324324330727</v>
      </c>
      <c r="F6" s="5">
        <v>6</v>
      </c>
      <c r="G6" s="23">
        <v>51.333333333333343</v>
      </c>
      <c r="H6" s="33">
        <v>1372.0417116524129</v>
      </c>
      <c r="I6" s="23">
        <v>38.50702344820391</v>
      </c>
      <c r="J6" s="5">
        <v>6878.8169748897153</v>
      </c>
      <c r="K6" s="31"/>
      <c r="L6" s="23">
        <v>2431169.7464029798</v>
      </c>
      <c r="M6" s="33">
        <v>154.33702702703255</v>
      </c>
      <c r="N6" s="5">
        <v>9</v>
      </c>
      <c r="O6" s="5">
        <v>42</v>
      </c>
      <c r="P6" s="33">
        <v>1762.8795108071577</v>
      </c>
      <c r="Q6" s="5">
        <v>19.447806389092413</v>
      </c>
      <c r="R6" s="5">
        <v>7244.253184626833</v>
      </c>
      <c r="S6" s="31"/>
      <c r="T6" s="23">
        <v>2438490.9125784659</v>
      </c>
      <c r="U6" s="33">
        <v>95.950270270271162</v>
      </c>
      <c r="V6" s="5">
        <v>7</v>
      </c>
      <c r="W6" s="5">
        <v>39.333333333333343</v>
      </c>
      <c r="X6" s="33">
        <v>1923.6721317235204</v>
      </c>
      <c r="Y6" s="5">
        <v>33.861332395429237</v>
      </c>
      <c r="Z6" s="5">
        <v>7423.1104904121612</v>
      </c>
      <c r="AA6" s="35"/>
    </row>
    <row r="7" spans="2:27" x14ac:dyDescent="0.2">
      <c r="B7" s="4">
        <v>4</v>
      </c>
      <c r="C7" s="4">
        <v>524</v>
      </c>
      <c r="D7" s="23">
        <v>1905026.932394813</v>
      </c>
      <c r="E7" s="33">
        <v>168.29378378377734</v>
      </c>
      <c r="F7" s="5">
        <v>9</v>
      </c>
      <c r="G7" s="23">
        <v>68.666666666666671</v>
      </c>
      <c r="H7" s="33">
        <v>1561.7779133688609</v>
      </c>
      <c r="I7" s="23">
        <v>33.185475203017546</v>
      </c>
      <c r="J7" s="5">
        <v>6747.2457759675799</v>
      </c>
      <c r="K7" s="31"/>
      <c r="L7" s="23">
        <v>2413309.3050736352</v>
      </c>
      <c r="M7" s="33">
        <v>126.73135135135598</v>
      </c>
      <c r="N7" s="5">
        <v>7</v>
      </c>
      <c r="O7" s="5">
        <v>32</v>
      </c>
      <c r="P7" s="33">
        <v>509.39006748014373</v>
      </c>
      <c r="Q7" s="5">
        <v>21.600722542188674</v>
      </c>
      <c r="R7" s="5">
        <v>4910.1224879310539</v>
      </c>
      <c r="S7" s="31"/>
      <c r="T7" s="23">
        <v>2239141.1133484622</v>
      </c>
      <c r="U7" s="33">
        <v>121.6175675675795</v>
      </c>
      <c r="V7" s="5">
        <v>5</v>
      </c>
      <c r="W7" s="5">
        <v>41.333333333333343</v>
      </c>
      <c r="X7" s="33">
        <v>887.36470791195825</v>
      </c>
      <c r="Y7" s="5">
        <v>55.164615571926696</v>
      </c>
      <c r="Z7" s="5">
        <v>6140.0955188123917</v>
      </c>
      <c r="AA7" s="35"/>
    </row>
    <row r="8" spans="2:27" x14ac:dyDescent="0.2">
      <c r="B8" s="4">
        <v>5</v>
      </c>
      <c r="C8" s="4">
        <v>519</v>
      </c>
      <c r="D8" s="23">
        <v>1921424.5301020809</v>
      </c>
      <c r="E8" s="33">
        <v>226.62162162162161</v>
      </c>
      <c r="F8" s="5">
        <v>10</v>
      </c>
      <c r="G8" s="23">
        <v>72</v>
      </c>
      <c r="H8" s="33">
        <v>1936.0685258737644</v>
      </c>
      <c r="I8" s="23">
        <v>32.463569919096933</v>
      </c>
      <c r="J8" s="5">
        <v>7213.311152546773</v>
      </c>
      <c r="K8" s="31"/>
      <c r="L8" s="23">
        <v>2419691.8876430872</v>
      </c>
      <c r="M8" s="33">
        <v>233.70378378379107</v>
      </c>
      <c r="N8" s="5">
        <v>14</v>
      </c>
      <c r="O8" s="5">
        <v>41.333333333333343</v>
      </c>
      <c r="P8" s="33">
        <v>841.0697498314039</v>
      </c>
      <c r="Q8" s="5">
        <v>14.232121439664626</v>
      </c>
      <c r="R8" s="5">
        <v>5888.2803902763153</v>
      </c>
      <c r="S8" s="31"/>
      <c r="T8" s="23">
        <v>2301856.4938551411</v>
      </c>
      <c r="U8" s="33">
        <v>158.66567567566636</v>
      </c>
      <c r="V8" s="5">
        <v>5</v>
      </c>
      <c r="W8" s="5">
        <v>38</v>
      </c>
      <c r="X8" s="33">
        <v>677.45243214699838</v>
      </c>
      <c r="Y8" s="5">
        <v>53.260873543826293</v>
      </c>
      <c r="Z8" s="5">
        <v>6080.4447451839733</v>
      </c>
      <c r="AA8" s="35"/>
    </row>
    <row r="9" spans="2:27" x14ac:dyDescent="0.2">
      <c r="B9" s="4">
        <v>6</v>
      </c>
      <c r="C9" s="4">
        <v>31</v>
      </c>
      <c r="D9" s="23">
        <v>1882694.821922272</v>
      </c>
      <c r="E9" s="33">
        <v>122.9137837837727</v>
      </c>
      <c r="F9" s="5">
        <v>9</v>
      </c>
      <c r="G9" s="23">
        <v>67.333333333333329</v>
      </c>
      <c r="H9" s="33">
        <v>1359.6493948843615</v>
      </c>
      <c r="I9" s="23">
        <v>33.927897912724568</v>
      </c>
      <c r="J9" s="5">
        <v>6484.2957978987224</v>
      </c>
      <c r="K9" s="31"/>
      <c r="L9" s="23">
        <v>2400685.9523848989</v>
      </c>
      <c r="M9" s="33">
        <v>156.69756756757221</v>
      </c>
      <c r="N9" s="5">
        <v>5</v>
      </c>
      <c r="O9" s="5">
        <v>32</v>
      </c>
      <c r="P9" s="33">
        <v>299.33102666186034</v>
      </c>
      <c r="Q9" s="5">
        <v>26.523707605132707</v>
      </c>
      <c r="R9" s="5">
        <v>5490.6962699035166</v>
      </c>
      <c r="S9" s="31"/>
      <c r="T9" s="23">
        <v>2535335.896140832</v>
      </c>
      <c r="U9" s="33">
        <v>79.092162162163049</v>
      </c>
      <c r="V9" s="5">
        <v>9</v>
      </c>
      <c r="W9" s="5">
        <v>31.333333333333329</v>
      </c>
      <c r="X9" s="33">
        <v>1143.2772626224844</v>
      </c>
      <c r="Y9" s="5">
        <v>22.303999125535004</v>
      </c>
      <c r="Z9" s="5">
        <v>6199.5570254066579</v>
      </c>
      <c r="AA9" s="35"/>
    </row>
    <row r="10" spans="2:27" x14ac:dyDescent="0.2">
      <c r="B10" s="4">
        <v>7</v>
      </c>
      <c r="C10" s="4">
        <v>832</v>
      </c>
      <c r="D10" s="23">
        <v>1938912.61864138</v>
      </c>
      <c r="E10" s="33">
        <v>143.4418918918881</v>
      </c>
      <c r="F10" s="5">
        <v>10</v>
      </c>
      <c r="G10" s="23">
        <v>72</v>
      </c>
      <c r="H10" s="33">
        <v>1979.0642601233556</v>
      </c>
      <c r="I10" s="23">
        <v>34.141069386330919</v>
      </c>
      <c r="J10" s="5">
        <v>7216.9345758741529</v>
      </c>
      <c r="K10" s="31"/>
      <c r="L10" s="23">
        <v>2475387.443131926</v>
      </c>
      <c r="M10" s="33">
        <v>193.04891891892356</v>
      </c>
      <c r="N10" s="5">
        <v>8</v>
      </c>
      <c r="O10" s="5">
        <v>33.333333333333343</v>
      </c>
      <c r="P10" s="33">
        <v>1014.5290696462175</v>
      </c>
      <c r="Q10" s="5">
        <v>18.402073561162858</v>
      </c>
      <c r="R10" s="5">
        <v>5883.0471946814587</v>
      </c>
      <c r="S10" s="31"/>
      <c r="T10" s="23">
        <v>2264126.6740231859</v>
      </c>
      <c r="U10" s="33">
        <v>100.38000000000464</v>
      </c>
      <c r="V10" s="5">
        <v>5</v>
      </c>
      <c r="W10" s="5">
        <v>39.333333333333343</v>
      </c>
      <c r="X10" s="33">
        <v>708.18991899434775</v>
      </c>
      <c r="Y10" s="5">
        <v>56.311962045659357</v>
      </c>
      <c r="Z10" s="5">
        <v>6059.0168824251168</v>
      </c>
      <c r="AA10" s="35"/>
    </row>
    <row r="11" spans="2:27" x14ac:dyDescent="0.2">
      <c r="B11" s="4">
        <v>8</v>
      </c>
      <c r="C11" s="4">
        <v>336</v>
      </c>
      <c r="D11" s="23">
        <v>2067610.5463889721</v>
      </c>
      <c r="E11" s="33">
        <v>217.53810810810899</v>
      </c>
      <c r="F11" s="5">
        <v>8</v>
      </c>
      <c r="G11" s="23">
        <v>60</v>
      </c>
      <c r="H11" s="33">
        <v>1703.8984970541565</v>
      </c>
      <c r="I11" s="23">
        <v>32.95545347345189</v>
      </c>
      <c r="J11" s="5">
        <v>7102.0744396749897</v>
      </c>
      <c r="K11" s="31"/>
      <c r="L11" s="23">
        <v>2459047.1392813548</v>
      </c>
      <c r="M11" s="33">
        <v>199.34567567568297</v>
      </c>
      <c r="N11" s="5">
        <v>7</v>
      </c>
      <c r="O11" s="5">
        <v>36.666666666666657</v>
      </c>
      <c r="P11" s="33">
        <v>1150.5436463080698</v>
      </c>
      <c r="Q11" s="5">
        <v>21.037176216480038</v>
      </c>
      <c r="R11" s="5">
        <v>6736.509607018741</v>
      </c>
      <c r="S11" s="31"/>
      <c r="T11" s="23">
        <v>2321410.1548818941</v>
      </c>
      <c r="U11" s="33">
        <v>140.44351351351438</v>
      </c>
      <c r="V11" s="5">
        <v>6</v>
      </c>
      <c r="W11" s="5">
        <v>41.333333333333343</v>
      </c>
      <c r="X11" s="33">
        <v>1254.3812304976009</v>
      </c>
      <c r="Y11" s="5">
        <v>44.3420041025743</v>
      </c>
      <c r="Z11" s="5">
        <v>6755.6199320758833</v>
      </c>
      <c r="AA11" s="35"/>
    </row>
    <row r="12" spans="2:27" x14ac:dyDescent="0.2">
      <c r="B12" s="4">
        <v>9</v>
      </c>
      <c r="C12" s="4">
        <v>757</v>
      </c>
      <c r="D12" s="23">
        <v>1940007.518813235</v>
      </c>
      <c r="E12" s="33">
        <v>112.68999999999446</v>
      </c>
      <c r="F12" s="5">
        <v>9</v>
      </c>
      <c r="G12" s="23">
        <v>67.333333333333329</v>
      </c>
      <c r="H12" s="33">
        <v>1599.2049772762884</v>
      </c>
      <c r="I12" s="23">
        <v>33.764544271710363</v>
      </c>
      <c r="J12" s="5">
        <v>6871.4716446712919</v>
      </c>
      <c r="K12" s="31"/>
      <c r="L12" s="23">
        <v>2307663.106745482</v>
      </c>
      <c r="M12" s="33">
        <v>135.03783783782589</v>
      </c>
      <c r="N12" s="5">
        <v>6</v>
      </c>
      <c r="O12" s="5">
        <v>35.333333333333343</v>
      </c>
      <c r="P12" s="33">
        <v>380.60125652670536</v>
      </c>
      <c r="Q12" s="5">
        <v>22.402192696272234</v>
      </c>
      <c r="R12" s="5">
        <v>4803.8954639069834</v>
      </c>
      <c r="S12" s="31"/>
      <c r="T12" s="23">
        <v>2232922.1947507421</v>
      </c>
      <c r="U12" s="33">
        <v>198.72486486486662</v>
      </c>
      <c r="V12" s="5">
        <v>5</v>
      </c>
      <c r="W12" s="5">
        <v>41.333333333333343</v>
      </c>
      <c r="X12" s="33">
        <v>769.00091957108464</v>
      </c>
      <c r="Y12" s="5">
        <v>51.833207238227452</v>
      </c>
      <c r="Z12" s="5">
        <v>5966.8913617529497</v>
      </c>
      <c r="AA12" s="35"/>
    </row>
    <row r="13" spans="2:27" x14ac:dyDescent="0.2">
      <c r="B13" s="4">
        <v>10</v>
      </c>
      <c r="C13" s="4">
        <v>551</v>
      </c>
      <c r="D13" s="23">
        <v>1988666.832457575</v>
      </c>
      <c r="E13" s="33">
        <v>165.63783783783404</v>
      </c>
      <c r="F13" s="5">
        <v>8</v>
      </c>
      <c r="G13" s="23">
        <v>63.333333333333343</v>
      </c>
      <c r="H13" s="33">
        <v>1591.6171970069799</v>
      </c>
      <c r="I13" s="23">
        <v>33.464791762163699</v>
      </c>
      <c r="J13" s="5">
        <v>6881.6567951461811</v>
      </c>
      <c r="K13" s="31"/>
      <c r="L13" s="23">
        <v>2161329.340503742</v>
      </c>
      <c r="M13" s="33">
        <v>134.47216216216771</v>
      </c>
      <c r="N13" s="5">
        <v>8</v>
      </c>
      <c r="O13" s="5">
        <v>48</v>
      </c>
      <c r="P13" s="33">
        <v>908.74444353471051</v>
      </c>
      <c r="Q13" s="5">
        <v>22.967669492273863</v>
      </c>
      <c r="R13" s="5">
        <v>5679.7016658641332</v>
      </c>
      <c r="S13" s="31"/>
      <c r="T13" s="23">
        <v>2233871.0377402208</v>
      </c>
      <c r="U13" s="33">
        <v>168.8386486486431</v>
      </c>
      <c r="V13" s="5">
        <v>5</v>
      </c>
      <c r="W13" s="5">
        <v>41.333333333333343</v>
      </c>
      <c r="X13" s="33">
        <v>826.90580441868849</v>
      </c>
      <c r="Y13" s="5">
        <v>55.091970505387124</v>
      </c>
      <c r="Z13" s="5">
        <v>6072.3785508029951</v>
      </c>
      <c r="AA13" s="35"/>
    </row>
    <row r="14" spans="2:27" x14ac:dyDescent="0.2">
      <c r="B14" s="46" t="s">
        <v>3</v>
      </c>
      <c r="C14" s="47"/>
      <c r="D14" s="9">
        <f>MIN(D4:D13)</f>
        <v>1882694.821922272</v>
      </c>
      <c r="E14" s="22">
        <f>INDEX(E4:E13, MATCH($D$14, D4:D13, 0))</f>
        <v>122.9137837837727</v>
      </c>
      <c r="F14" s="9">
        <f>INDEX(F4:F13, MATCH($D$14, D4:D13, 0))</f>
        <v>9</v>
      </c>
      <c r="G14" s="9">
        <f>INDEX(G4:G13, MATCH($D$14, D4:D13, 0))</f>
        <v>67.333333333333329</v>
      </c>
      <c r="H14" s="22">
        <f>INDEX(H4:H13, MATCH($D$14, D4:D13, 0))</f>
        <v>1359.6493948843615</v>
      </c>
      <c r="I14" s="22">
        <f>INDEX(I4:I13, MATCH($D$14, D4:D13, 0))</f>
        <v>33.927897912724568</v>
      </c>
      <c r="J14" s="22">
        <f>INDEX(J4:J13, MATCH($D$14, D4:D13, 0))</f>
        <v>6484.2957978987224</v>
      </c>
      <c r="K14" s="32" t="e">
        <f>(D14-$D$15)/$D$15</f>
        <v>#DIV/0!</v>
      </c>
      <c r="L14" s="16">
        <f>MIN(L4:L13)</f>
        <v>2161329.340503742</v>
      </c>
      <c r="M14" s="21">
        <f>INDEX(M4:M13, MATCH($L$14, L4:L13, 0))</f>
        <v>134.47216216216771</v>
      </c>
      <c r="N14" s="16">
        <f>INDEX(N4:N13, MATCH($L$14, L4:L13, 0))</f>
        <v>8</v>
      </c>
      <c r="O14" s="16">
        <f>INDEX(O4:O13, MATCH($L$14, L4:L13, 0))</f>
        <v>48</v>
      </c>
      <c r="P14" s="21">
        <f>INDEX(P4:P13, MATCH($L$14, L4:L13, 0))</f>
        <v>908.74444353471051</v>
      </c>
      <c r="Q14" s="21">
        <f>INDEX(Q4:Q13, MATCH($L$14, L4:L13, 0))</f>
        <v>22.967669492273863</v>
      </c>
      <c r="R14" s="21">
        <f>INDEX(R4:R13, MATCH($L$14, L4:L13, 0))</f>
        <v>5679.7016658641332</v>
      </c>
      <c r="S14" s="36" t="e">
        <f>(L14-$D$15)/$D$15</f>
        <v>#DIV/0!</v>
      </c>
      <c r="T14" s="38">
        <f>MIN(T4:T13)</f>
        <v>2232922.1947507421</v>
      </c>
      <c r="U14" s="39">
        <f>INDEX(U4:U13, MATCH($T$14, T4:T13, 0))</f>
        <v>198.72486486486662</v>
      </c>
      <c r="V14" s="38">
        <f>INDEX(V4:V13, MATCH($T$14, T4:T13, 0))</f>
        <v>5</v>
      </c>
      <c r="W14" s="38">
        <f>INDEX(W4:W13, MATCH($T$14, T4:T13, 0))</f>
        <v>41.333333333333343</v>
      </c>
      <c r="X14" s="39">
        <f>INDEX(X4:X13, MATCH($T$14, T4:T13, 0))</f>
        <v>769.00091957108464</v>
      </c>
      <c r="Y14" s="39">
        <f>INDEX(Y4:Y13, MATCH($T$14, T4:T13, 0))</f>
        <v>51.833207238227452</v>
      </c>
      <c r="Z14" s="39">
        <f>INDEX(Z4:Z13, MATCH($T$14, T4:T13, 0))</f>
        <v>5966.8913617529497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65" priority="7"/>
    <cfRule type="duplicateValues" dxfId="64" priority="8"/>
  </conditionalFormatting>
  <conditionalFormatting sqref="C14">
    <cfRule type="duplicateValues" dxfId="63" priority="3"/>
    <cfRule type="duplicateValues" dxfId="62" priority="4"/>
  </conditionalFormatting>
  <conditionalFormatting sqref="C20:C29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E2F-CEA8-4637-84C4-E89DAFB8C974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-0.98833454132702214</v>
      </c>
      <c r="J2" s="28" t="e">
        <f>(S14-J14)/J14</f>
        <v>#DIV/0!</v>
      </c>
      <c r="K2" s="28"/>
      <c r="L2" s="1" t="s">
        <v>19</v>
      </c>
      <c r="P2" s="1">
        <f>(P14-H14)/H14</f>
        <v>-0.54948194257293592</v>
      </c>
      <c r="R2" s="1">
        <f>(R14-J14)/J14</f>
        <v>-0.22012900837295421</v>
      </c>
      <c r="T2" s="1" t="s">
        <v>20</v>
      </c>
      <c r="X2" s="1">
        <f>(X14-P14)/P14</f>
        <v>0.61284326104773534</v>
      </c>
      <c r="Z2" s="1">
        <f>(Z14-R14)/R14</f>
        <v>0.19631294325267407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1735475.502886822</v>
      </c>
      <c r="E4" s="33">
        <v>162.18756756756289</v>
      </c>
      <c r="F4" s="5">
        <v>10</v>
      </c>
      <c r="G4" s="23">
        <v>82.666666666666671</v>
      </c>
      <c r="H4" s="33">
        <v>1868.357425228711</v>
      </c>
      <c r="I4" s="23">
        <v>41.397619150502543</v>
      </c>
      <c r="J4" s="5">
        <v>7307.5982004103107</v>
      </c>
      <c r="K4" s="31"/>
      <c r="L4" s="23">
        <v>2328770.593800989</v>
      </c>
      <c r="M4" s="33">
        <v>224.78459459458904</v>
      </c>
      <c r="N4" s="5">
        <v>11</v>
      </c>
      <c r="O4" s="5">
        <v>41.333333333333343</v>
      </c>
      <c r="P4" s="33">
        <v>844.16680053488415</v>
      </c>
      <c r="Q4" s="5">
        <v>19.518621836671517</v>
      </c>
      <c r="R4" s="5">
        <v>5220.8746715197949</v>
      </c>
      <c r="S4" s="31"/>
      <c r="T4" s="23">
        <v>2249508.0713861492</v>
      </c>
      <c r="U4" s="33">
        <v>151.99324324324323</v>
      </c>
      <c r="V4" s="5">
        <v>5</v>
      </c>
      <c r="W4" s="5">
        <v>42</v>
      </c>
      <c r="X4" s="33">
        <v>871.62911734984834</v>
      </c>
      <c r="Y4" s="5">
        <v>63.78337916881852</v>
      </c>
      <c r="Z4" s="5">
        <v>6613.9772273627295</v>
      </c>
      <c r="AA4" s="35"/>
    </row>
    <row r="5" spans="2:27" x14ac:dyDescent="0.2">
      <c r="B5" s="4">
        <v>2</v>
      </c>
      <c r="C5" s="4">
        <v>38</v>
      </c>
      <c r="D5" s="23">
        <v>1967858.0486002341</v>
      </c>
      <c r="E5" s="33">
        <v>118.63189189189829</v>
      </c>
      <c r="F5" s="5">
        <v>13</v>
      </c>
      <c r="G5" s="23">
        <v>74.666666666666671</v>
      </c>
      <c r="H5" s="33">
        <v>2087.359451736545</v>
      </c>
      <c r="I5" s="23">
        <v>28.46391444214041</v>
      </c>
      <c r="J5" s="5">
        <v>7385.4029154417785</v>
      </c>
      <c r="K5" s="31"/>
      <c r="L5" s="23">
        <v>2320047.2955436031</v>
      </c>
      <c r="M5" s="33">
        <v>234.00756756756201</v>
      </c>
      <c r="N5" s="5">
        <v>11</v>
      </c>
      <c r="O5" s="5">
        <v>45.333333333333343</v>
      </c>
      <c r="P5" s="33">
        <v>1180.3944536247313</v>
      </c>
      <c r="Q5" s="5">
        <v>20.029739659572797</v>
      </c>
      <c r="R5" s="5">
        <v>6172.1601091911361</v>
      </c>
      <c r="S5" s="31"/>
      <c r="T5" s="23">
        <v>2247058.789057672</v>
      </c>
      <c r="U5" s="33">
        <v>263.49243243243797</v>
      </c>
      <c r="V5" s="5">
        <v>5</v>
      </c>
      <c r="W5" s="5">
        <v>40.666666666666657</v>
      </c>
      <c r="X5" s="33">
        <v>781.60556608020863</v>
      </c>
      <c r="Y5" s="5">
        <v>62.978704693924385</v>
      </c>
      <c r="Z5" s="5">
        <v>6290.5507811909893</v>
      </c>
      <c r="AA5" s="35"/>
    </row>
    <row r="6" spans="2:27" x14ac:dyDescent="0.2">
      <c r="B6" s="4">
        <v>3</v>
      </c>
      <c r="C6" s="4">
        <v>365</v>
      </c>
      <c r="D6" s="23">
        <v>1738553.9480719459</v>
      </c>
      <c r="E6" s="33">
        <v>98.475405405404501</v>
      </c>
      <c r="F6" s="5">
        <v>10</v>
      </c>
      <c r="G6" s="23">
        <v>78</v>
      </c>
      <c r="H6" s="33">
        <v>1508.2474850210629</v>
      </c>
      <c r="I6" s="23">
        <v>38.327217781958396</v>
      </c>
      <c r="J6" s="5">
        <v>6783.9022864258677</v>
      </c>
      <c r="K6" s="31"/>
      <c r="L6" s="23">
        <v>2356717.0694498988</v>
      </c>
      <c r="M6" s="33">
        <v>450.13945945946028</v>
      </c>
      <c r="N6" s="5">
        <v>8</v>
      </c>
      <c r="O6" s="5">
        <v>37.333333333333343</v>
      </c>
      <c r="P6" s="33">
        <v>799.65189219064632</v>
      </c>
      <c r="Q6" s="5">
        <v>21.587859000954357</v>
      </c>
      <c r="R6" s="5">
        <v>5584.3810077323751</v>
      </c>
      <c r="S6" s="31"/>
      <c r="T6" s="23">
        <v>2328000.1446849899</v>
      </c>
      <c r="U6" s="33">
        <v>132.8335135135126</v>
      </c>
      <c r="V6" s="5">
        <v>5</v>
      </c>
      <c r="W6" s="5">
        <v>37.333333333333343</v>
      </c>
      <c r="X6" s="33">
        <v>796.18466915501938</v>
      </c>
      <c r="Y6" s="5">
        <v>61.213030206068268</v>
      </c>
      <c r="Z6" s="5">
        <v>6508.3371074942797</v>
      </c>
      <c r="AA6" s="35"/>
    </row>
    <row r="7" spans="2:27" x14ac:dyDescent="0.2">
      <c r="B7" s="4">
        <v>4</v>
      </c>
      <c r="C7" s="4">
        <v>397</v>
      </c>
      <c r="D7" s="23">
        <v>1811317.1309628149</v>
      </c>
      <c r="E7" s="33">
        <v>215</v>
      </c>
      <c r="F7" s="5">
        <v>10</v>
      </c>
      <c r="G7" s="23">
        <v>80</v>
      </c>
      <c r="H7" s="33">
        <v>2047.0501508712152</v>
      </c>
      <c r="I7" s="23">
        <v>42.32899196699254</v>
      </c>
      <c r="J7" s="5">
        <v>7251.9962966301837</v>
      </c>
      <c r="K7" s="31"/>
      <c r="L7" s="23">
        <v>2271550.636971375</v>
      </c>
      <c r="M7" s="33">
        <v>310.88675675676132</v>
      </c>
      <c r="N7" s="5">
        <v>9</v>
      </c>
      <c r="O7" s="5">
        <v>38.666666666666657</v>
      </c>
      <c r="P7" s="33">
        <v>267.68854200655778</v>
      </c>
      <c r="Q7" s="5">
        <v>20.432969328557032</v>
      </c>
      <c r="R7" s="5">
        <v>4593.9029146242501</v>
      </c>
      <c r="S7" s="31"/>
      <c r="T7" s="23">
        <v>2240502.59931954</v>
      </c>
      <c r="U7" s="33">
        <v>263.52621621622177</v>
      </c>
      <c r="V7" s="5">
        <v>6</v>
      </c>
      <c r="W7" s="5">
        <v>44</v>
      </c>
      <c r="X7" s="33">
        <v>1185.5745585982309</v>
      </c>
      <c r="Y7" s="5">
        <v>61.851563475548197</v>
      </c>
      <c r="Z7" s="5">
        <v>6724.8771019003279</v>
      </c>
      <c r="AA7" s="35"/>
    </row>
    <row r="8" spans="2:27" x14ac:dyDescent="0.2">
      <c r="B8" s="4">
        <v>5</v>
      </c>
      <c r="C8" s="4">
        <v>403</v>
      </c>
      <c r="D8" s="23">
        <v>1774198.825550867</v>
      </c>
      <c r="E8" s="33">
        <v>121.19945945945013</v>
      </c>
      <c r="F8" s="5">
        <v>9</v>
      </c>
      <c r="G8" s="23">
        <v>74.666666666666671</v>
      </c>
      <c r="H8" s="33">
        <v>1559.0314695019447</v>
      </c>
      <c r="I8" s="23">
        <v>42.914911306757837</v>
      </c>
      <c r="J8" s="5">
        <v>6740.9676515494602</v>
      </c>
      <c r="K8" s="31"/>
      <c r="L8" s="23">
        <v>2320275.0427129739</v>
      </c>
      <c r="M8" s="33">
        <v>316.33459459460107</v>
      </c>
      <c r="N8" s="5">
        <v>8</v>
      </c>
      <c r="O8" s="5">
        <v>36.666666666666657</v>
      </c>
      <c r="P8" s="33">
        <v>596.45763845892975</v>
      </c>
      <c r="Q8" s="5">
        <v>24.274422617797729</v>
      </c>
      <c r="R8" s="5">
        <v>4968.7886822355777</v>
      </c>
      <c r="S8" s="31"/>
      <c r="T8" s="23">
        <v>2238407.5762828961</v>
      </c>
      <c r="U8" s="33">
        <v>137.8675675675795</v>
      </c>
      <c r="V8" s="5">
        <v>6</v>
      </c>
      <c r="W8" s="5">
        <v>44</v>
      </c>
      <c r="X8" s="33">
        <v>1291.1370589049413</v>
      </c>
      <c r="Y8" s="5">
        <v>60.745877009045195</v>
      </c>
      <c r="Z8" s="5">
        <v>6662.877902236587</v>
      </c>
      <c r="AA8" s="35"/>
    </row>
    <row r="9" spans="2:27" x14ac:dyDescent="0.2">
      <c r="B9" s="4">
        <v>6</v>
      </c>
      <c r="C9" s="4">
        <v>498</v>
      </c>
      <c r="D9" s="23">
        <v>1874366.6718311601</v>
      </c>
      <c r="E9" s="33">
        <v>207.19162162162073</v>
      </c>
      <c r="F9" s="5">
        <v>11</v>
      </c>
      <c r="G9" s="23">
        <v>73.333333333333329</v>
      </c>
      <c r="H9" s="33">
        <v>1744.1577729026787</v>
      </c>
      <c r="I9" s="23">
        <v>34.101482071939863</v>
      </c>
      <c r="J9" s="5">
        <v>7006.6674322011659</v>
      </c>
      <c r="K9" s="31"/>
      <c r="L9" s="23">
        <v>2598760.8105817088</v>
      </c>
      <c r="M9" s="33">
        <v>183.23054054055072</v>
      </c>
      <c r="N9" s="5">
        <v>10</v>
      </c>
      <c r="O9" s="5">
        <v>28</v>
      </c>
      <c r="P9" s="33">
        <v>686.78055247065572</v>
      </c>
      <c r="Q9" s="5">
        <v>14.77353633709428</v>
      </c>
      <c r="R9" s="5">
        <v>5519.207834566434</v>
      </c>
      <c r="S9" s="31"/>
      <c r="T9" s="23">
        <v>2417467.955413735</v>
      </c>
      <c r="U9" s="33">
        <v>110.06756756756756</v>
      </c>
      <c r="V9" s="5">
        <v>11</v>
      </c>
      <c r="W9" s="5">
        <v>48</v>
      </c>
      <c r="X9" s="33">
        <v>2245.5139668124293</v>
      </c>
      <c r="Y9" s="5">
        <v>33.301133119348897</v>
      </c>
      <c r="Z9" s="5">
        <v>7645.0872546736518</v>
      </c>
      <c r="AA9" s="35"/>
    </row>
    <row r="10" spans="2:27" x14ac:dyDescent="0.2">
      <c r="B10" s="4">
        <v>7</v>
      </c>
      <c r="C10" s="4">
        <v>564</v>
      </c>
      <c r="D10" s="23">
        <v>1857154.855664613</v>
      </c>
      <c r="E10" s="33">
        <v>267.46216216217408</v>
      </c>
      <c r="F10" s="5">
        <v>10</v>
      </c>
      <c r="G10" s="23">
        <v>72</v>
      </c>
      <c r="H10" s="33">
        <v>1429.9414250333075</v>
      </c>
      <c r="I10" s="23">
        <v>35.451273464934779</v>
      </c>
      <c r="J10" s="5">
        <v>6799.2194700071077</v>
      </c>
      <c r="K10" s="31"/>
      <c r="L10" s="23">
        <v>2297001.4063707981</v>
      </c>
      <c r="M10" s="33">
        <v>112.89702702702238</v>
      </c>
      <c r="N10" s="5">
        <v>11</v>
      </c>
      <c r="O10" s="5">
        <v>47.333333333333343</v>
      </c>
      <c r="P10" s="33">
        <v>1545.0193403886351</v>
      </c>
      <c r="Q10" s="5">
        <v>21.29507867231392</v>
      </c>
      <c r="R10" s="5">
        <v>6306.6765813767743</v>
      </c>
      <c r="S10" s="31"/>
      <c r="T10" s="23">
        <v>2203433.4535964802</v>
      </c>
      <c r="U10" s="33">
        <v>265.36297297297119</v>
      </c>
      <c r="V10" s="5">
        <v>6</v>
      </c>
      <c r="W10" s="5">
        <v>46.666666666666657</v>
      </c>
      <c r="X10" s="33">
        <v>1357.5765546372795</v>
      </c>
      <c r="Y10" s="5">
        <v>61.714873199468066</v>
      </c>
      <c r="Z10" s="5">
        <v>6817.7681490838513</v>
      </c>
      <c r="AA10" s="35"/>
    </row>
    <row r="11" spans="2:27" x14ac:dyDescent="0.2">
      <c r="B11" s="4">
        <v>8</v>
      </c>
      <c r="C11" s="4">
        <v>703</v>
      </c>
      <c r="D11" s="23">
        <v>1744284.2717816271</v>
      </c>
      <c r="E11" s="33">
        <v>298.49648648647997</v>
      </c>
      <c r="F11" s="5">
        <v>10</v>
      </c>
      <c r="G11" s="23">
        <v>80</v>
      </c>
      <c r="H11" s="33">
        <v>1705.6759799407455</v>
      </c>
      <c r="I11" s="23">
        <v>41.922815517192774</v>
      </c>
      <c r="J11" s="5">
        <v>7027.3121456108674</v>
      </c>
      <c r="K11" s="31"/>
      <c r="L11" s="23">
        <v>2204908.396423873</v>
      </c>
      <c r="M11" s="33">
        <v>234.62000000001106</v>
      </c>
      <c r="N11" s="5">
        <v>10</v>
      </c>
      <c r="O11" s="5">
        <v>47.333333333333343</v>
      </c>
      <c r="P11" s="33">
        <v>841.72875779346998</v>
      </c>
      <c r="Q11" s="5">
        <v>21.795246330356839</v>
      </c>
      <c r="R11" s="5">
        <v>5698.9838549660044</v>
      </c>
      <c r="S11" s="31"/>
      <c r="T11" s="23">
        <v>2218111.2009617919</v>
      </c>
      <c r="U11" s="33">
        <v>250.34216216216302</v>
      </c>
      <c r="V11" s="5">
        <v>6</v>
      </c>
      <c r="W11" s="5">
        <v>46</v>
      </c>
      <c r="X11" s="33">
        <v>1082.2594055117729</v>
      </c>
      <c r="Y11" s="5">
        <v>54.90415935548392</v>
      </c>
      <c r="Z11" s="5">
        <v>6738.8591362527441</v>
      </c>
      <c r="AA11" s="35"/>
    </row>
    <row r="12" spans="2:27" x14ac:dyDescent="0.2">
      <c r="B12" s="4">
        <v>9</v>
      </c>
      <c r="C12" s="4">
        <v>942</v>
      </c>
      <c r="D12" s="23">
        <v>1910130.2778987261</v>
      </c>
      <c r="E12" s="33">
        <v>285.5151351351397</v>
      </c>
      <c r="F12" s="5">
        <v>11</v>
      </c>
      <c r="G12" s="23">
        <v>75.333333333333329</v>
      </c>
      <c r="H12" s="33">
        <v>2069.1119904585767</v>
      </c>
      <c r="I12" s="23">
        <v>36.791329408122856</v>
      </c>
      <c r="J12" s="5">
        <v>7310.0804184884919</v>
      </c>
      <c r="K12" s="31"/>
      <c r="L12" s="23">
        <v>2358076.5991777419</v>
      </c>
      <c r="M12" s="33">
        <v>222.72378378377823</v>
      </c>
      <c r="N12" s="5">
        <v>10</v>
      </c>
      <c r="O12" s="5">
        <v>43.333333333333343</v>
      </c>
      <c r="P12" s="33">
        <v>1335.818918231676</v>
      </c>
      <c r="Q12" s="5">
        <v>19.603550647154968</v>
      </c>
      <c r="R12" s="5">
        <v>6456.7518433719633</v>
      </c>
      <c r="S12" s="31"/>
      <c r="T12" s="23">
        <v>2321923.4346789662</v>
      </c>
      <c r="U12" s="33">
        <v>169.27351351352283</v>
      </c>
      <c r="V12" s="5">
        <v>5</v>
      </c>
      <c r="W12" s="5">
        <v>36</v>
      </c>
      <c r="X12" s="33">
        <v>571.19785276596212</v>
      </c>
      <c r="Y12" s="5">
        <v>54.146866040033593</v>
      </c>
      <c r="Z12" s="5">
        <v>5914.3804064497072</v>
      </c>
      <c r="AA12" s="35"/>
    </row>
    <row r="13" spans="2:27" x14ac:dyDescent="0.2">
      <c r="B13" s="4">
        <v>10</v>
      </c>
      <c r="C13" s="4">
        <v>993</v>
      </c>
      <c r="D13" s="23">
        <v>1834527.8898941239</v>
      </c>
      <c r="E13" s="33">
        <v>188.72459459459924</v>
      </c>
      <c r="F13" s="5">
        <v>10</v>
      </c>
      <c r="G13" s="23">
        <v>74.666666666666671</v>
      </c>
      <c r="H13" s="33">
        <v>1616.8725956443525</v>
      </c>
      <c r="I13" s="23">
        <v>38.217105111454245</v>
      </c>
      <c r="J13" s="5">
        <v>7091.1472771462277</v>
      </c>
      <c r="K13" s="31"/>
      <c r="L13" s="23">
        <v>2307008.6794174821</v>
      </c>
      <c r="M13" s="33">
        <v>155.56162162161607</v>
      </c>
      <c r="N13" s="5">
        <v>14</v>
      </c>
      <c r="O13" s="5">
        <v>50</v>
      </c>
      <c r="P13" s="33">
        <v>1352.6691607830683</v>
      </c>
      <c r="Q13" s="5">
        <v>17.311077020037185</v>
      </c>
      <c r="R13" s="5">
        <v>6293.756372087033</v>
      </c>
      <c r="S13" s="31"/>
      <c r="T13" s="23">
        <v>2265739.3007063451</v>
      </c>
      <c r="U13" s="33">
        <v>173.38270270270357</v>
      </c>
      <c r="V13" s="5">
        <v>5</v>
      </c>
      <c r="W13" s="5">
        <v>38.666666666666657</v>
      </c>
      <c r="X13" s="33">
        <v>677.46676651405778</v>
      </c>
      <c r="Y13" s="5">
        <v>63.545785240896066</v>
      </c>
      <c r="Z13" s="5">
        <v>6018.2342689882153</v>
      </c>
      <c r="AA13" s="35"/>
    </row>
    <row r="14" spans="2:27" x14ac:dyDescent="0.2">
      <c r="B14" s="46" t="s">
        <v>3</v>
      </c>
      <c r="C14" s="47"/>
      <c r="D14" s="9">
        <f>MIN(D4:D13)</f>
        <v>1735475.502886822</v>
      </c>
      <c r="E14" s="22">
        <f>INDEX(E4:E13, MATCH($D$14, D4:D13, 0))</f>
        <v>162.18756756756289</v>
      </c>
      <c r="F14" s="9">
        <f>INDEX(F4:F13, MATCH($D$14, D4:D13, 0))</f>
        <v>10</v>
      </c>
      <c r="G14" s="9">
        <f>INDEX(G4:G13, MATCH($D$14, D4:D13, 0))</f>
        <v>82.666666666666671</v>
      </c>
      <c r="H14" s="22">
        <f>INDEX(H4:H13, MATCH($D$14, D4:D13, 0))</f>
        <v>1868.357425228711</v>
      </c>
      <c r="I14" s="22">
        <f>INDEX(I4:I13, MATCH($D$14, D4:D13, 0))</f>
        <v>41.397619150502543</v>
      </c>
      <c r="J14" s="22">
        <f>INDEX(J4:J13, MATCH($D$14, D4:D13, 0))</f>
        <v>7307.5982004103107</v>
      </c>
      <c r="K14" s="32" t="e">
        <f>(D14-$D$15)/$D$15</f>
        <v>#DIV/0!</v>
      </c>
      <c r="L14" s="16">
        <f>MIN(L4:L13)</f>
        <v>2204908.396423873</v>
      </c>
      <c r="M14" s="21">
        <f>INDEX(M4:M13, MATCH($L$14, L4:L13, 0))</f>
        <v>234.62000000001106</v>
      </c>
      <c r="N14" s="16">
        <f>INDEX(N4:N13, MATCH($L$14, L4:L13, 0))</f>
        <v>10</v>
      </c>
      <c r="O14" s="16">
        <f>INDEX(O4:O13, MATCH($L$14, L4:L13, 0))</f>
        <v>47.333333333333343</v>
      </c>
      <c r="P14" s="21">
        <f>INDEX(P4:P13, MATCH($L$14, L4:L13, 0))</f>
        <v>841.72875779346998</v>
      </c>
      <c r="Q14" s="21">
        <f>INDEX(Q4:Q13, MATCH($L$14, L4:L13, 0))</f>
        <v>21.795246330356839</v>
      </c>
      <c r="R14" s="21">
        <f>INDEX(R4:R13, MATCH($L$14, L4:L13, 0))</f>
        <v>5698.9838549660044</v>
      </c>
      <c r="S14" s="36" t="e">
        <f>(L14-$D$15)/$D$15</f>
        <v>#DIV/0!</v>
      </c>
      <c r="T14" s="38">
        <f>MIN(T4:T13)</f>
        <v>2203433.4535964802</v>
      </c>
      <c r="U14" s="39">
        <f>INDEX(U4:U13, MATCH($T$14, T4:T13, 0))</f>
        <v>265.36297297297119</v>
      </c>
      <c r="V14" s="38">
        <f>INDEX(V4:V13, MATCH($T$14, T4:T13, 0))</f>
        <v>6</v>
      </c>
      <c r="W14" s="38">
        <f>INDEX(W4:W13, MATCH($T$14, T4:T13, 0))</f>
        <v>46.666666666666657</v>
      </c>
      <c r="X14" s="39">
        <f>INDEX(X4:X13, MATCH($T$14, T4:T13, 0))</f>
        <v>1357.5765546372795</v>
      </c>
      <c r="Y14" s="39">
        <f>INDEX(Y4:Y13, MATCH($T$14, T4:T13, 0))</f>
        <v>61.714873199468066</v>
      </c>
      <c r="Z14" s="39">
        <f>INDEX(Z4:Z13, MATCH($T$14, T4:T13, 0))</f>
        <v>6817.7681490838513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20:C2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964A-41BA-4749-A2B9-6A325E44593A}">
  <dimension ref="B1:AA17"/>
  <sheetViews>
    <sheetView zoomScale="85" zoomScaleNormal="85" workbookViewId="0">
      <selection activeCell="U20" sqref="U20:U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-0.98807224535848703</v>
      </c>
      <c r="J2" s="28" t="e">
        <f>(S14-J14)/J14</f>
        <v>#DIV/0!</v>
      </c>
      <c r="K2" s="28"/>
      <c r="L2" s="1" t="s">
        <v>19</v>
      </c>
      <c r="P2" s="1">
        <f>(P14-H14)/H14</f>
        <v>-0.32608085894233757</v>
      </c>
      <c r="R2" s="1">
        <f>(R14-J14)/J14</f>
        <v>-0.12166516024235452</v>
      </c>
      <c r="T2" s="1" t="s">
        <v>20</v>
      </c>
      <c r="X2" s="1">
        <f>(X14-P14)/P14</f>
        <v>-0.23536747116945864</v>
      </c>
      <c r="Z2" s="1">
        <f>(Z14-R14)/R14</f>
        <v>6.9020453281252558E-2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50</v>
      </c>
      <c r="D4" s="23">
        <v>2021326.8071737019</v>
      </c>
      <c r="E4" s="33">
        <v>141.15297297297386</v>
      </c>
      <c r="F4" s="5">
        <v>8</v>
      </c>
      <c r="G4" s="23">
        <v>60</v>
      </c>
      <c r="H4" s="33">
        <v>1566.536675870293</v>
      </c>
      <c r="I4" s="23">
        <v>35.365222296476134</v>
      </c>
      <c r="J4" s="5">
        <v>6776.7884649838052</v>
      </c>
      <c r="K4" s="31"/>
      <c r="L4" s="23">
        <v>2335036.238592532</v>
      </c>
      <c r="M4" s="33">
        <v>150.29567567567102</v>
      </c>
      <c r="N4" s="5">
        <v>13</v>
      </c>
      <c r="O4" s="5">
        <v>45.333333333333343</v>
      </c>
      <c r="P4" s="33">
        <v>1074.2432653540839</v>
      </c>
      <c r="Q4" s="5">
        <v>15.224108524665285</v>
      </c>
      <c r="R4" s="5">
        <v>5967.3533563963629</v>
      </c>
      <c r="S4" s="31"/>
      <c r="T4" s="23">
        <v>2341810.7569632591</v>
      </c>
      <c r="U4" s="33">
        <v>114.75513513513049</v>
      </c>
      <c r="V4" s="5">
        <v>6</v>
      </c>
      <c r="W4" s="5">
        <v>38.666666666666657</v>
      </c>
      <c r="X4" s="33">
        <v>1021.6080268159768</v>
      </c>
      <c r="Y4" s="5">
        <v>49.642402139111255</v>
      </c>
      <c r="Z4" s="5">
        <v>6743.6327038557993</v>
      </c>
      <c r="AA4" s="35"/>
    </row>
    <row r="5" spans="2:27" x14ac:dyDescent="0.2">
      <c r="B5" s="4">
        <v>2</v>
      </c>
      <c r="C5" s="4">
        <v>317</v>
      </c>
      <c r="D5" s="23">
        <v>2093337.419963375</v>
      </c>
      <c r="E5" s="33">
        <v>56.169729729739913</v>
      </c>
      <c r="F5" s="5">
        <v>7</v>
      </c>
      <c r="G5" s="23">
        <v>53.333333333333343</v>
      </c>
      <c r="H5" s="33">
        <v>1102.7498605797689</v>
      </c>
      <c r="I5" s="23">
        <v>35.273937159357253</v>
      </c>
      <c r="J5" s="5">
        <v>6545.9376786081548</v>
      </c>
      <c r="K5" s="31"/>
      <c r="L5" s="23">
        <v>2365576.1932030409</v>
      </c>
      <c r="M5" s="33">
        <v>214.68756756756289</v>
      </c>
      <c r="N5" s="5">
        <v>8</v>
      </c>
      <c r="O5" s="5">
        <v>40</v>
      </c>
      <c r="P5" s="33">
        <v>1213.464812186239</v>
      </c>
      <c r="Q5" s="5">
        <v>22.438527648378518</v>
      </c>
      <c r="R5" s="5">
        <v>6290.9247300490906</v>
      </c>
      <c r="S5" s="31"/>
      <c r="T5" s="23">
        <v>2338032.5561551871</v>
      </c>
      <c r="U5" s="33">
        <v>148.59810810811453</v>
      </c>
      <c r="V5" s="5">
        <v>5</v>
      </c>
      <c r="W5" s="5">
        <v>38</v>
      </c>
      <c r="X5" s="33">
        <v>990.89792268233577</v>
      </c>
      <c r="Y5" s="5">
        <v>55.217361285469813</v>
      </c>
      <c r="Z5" s="5">
        <v>6778.163048333904</v>
      </c>
      <c r="AA5" s="35"/>
    </row>
    <row r="6" spans="2:27" x14ac:dyDescent="0.2">
      <c r="B6" s="4">
        <v>3</v>
      </c>
      <c r="C6" s="4">
        <v>82</v>
      </c>
      <c r="D6" s="23">
        <v>2021357.2560555809</v>
      </c>
      <c r="E6" s="33">
        <v>126.03027027026386</v>
      </c>
      <c r="F6" s="5">
        <v>7</v>
      </c>
      <c r="G6" s="23">
        <v>59.333333333333343</v>
      </c>
      <c r="H6" s="33">
        <v>1364.8352274826591</v>
      </c>
      <c r="I6" s="23">
        <v>41.272095567197489</v>
      </c>
      <c r="J6" s="5">
        <v>6900.8096671950352</v>
      </c>
      <c r="K6" s="31"/>
      <c r="L6" s="23">
        <v>2374431.6487390618</v>
      </c>
      <c r="M6" s="33">
        <v>275.22378378379403</v>
      </c>
      <c r="N6" s="5">
        <v>7</v>
      </c>
      <c r="O6" s="5">
        <v>34</v>
      </c>
      <c r="P6" s="33">
        <v>570.83813867605409</v>
      </c>
      <c r="Q6" s="5">
        <v>21.362924323402904</v>
      </c>
      <c r="R6" s="5">
        <v>4942.29300287159</v>
      </c>
      <c r="S6" s="31"/>
      <c r="T6" s="23">
        <v>2351653.004509917</v>
      </c>
      <c r="U6" s="33">
        <v>160.8191891891781</v>
      </c>
      <c r="V6" s="5">
        <v>6</v>
      </c>
      <c r="W6" s="5">
        <v>39.333333333333343</v>
      </c>
      <c r="X6" s="33">
        <v>1295.5293398262172</v>
      </c>
      <c r="Y6" s="5">
        <v>50.130038498039674</v>
      </c>
      <c r="Z6" s="5">
        <v>7065.7987819597338</v>
      </c>
      <c r="AA6" s="35"/>
    </row>
    <row r="7" spans="2:27" x14ac:dyDescent="0.2">
      <c r="B7" s="4">
        <v>4</v>
      </c>
      <c r="C7" s="4">
        <v>40</v>
      </c>
      <c r="D7" s="23">
        <v>2044429.8267905349</v>
      </c>
      <c r="E7" s="33">
        <v>98.078378378382169</v>
      </c>
      <c r="F7" s="5">
        <v>7</v>
      </c>
      <c r="G7" s="23">
        <v>60</v>
      </c>
      <c r="H7" s="33">
        <v>1688.2775093426417</v>
      </c>
      <c r="I7" s="23">
        <v>41.35378540447585</v>
      </c>
      <c r="J7" s="5">
        <v>7123.3775501416694</v>
      </c>
      <c r="K7" s="31"/>
      <c r="L7" s="23">
        <v>2378809.713625106</v>
      </c>
      <c r="M7" s="33">
        <v>172.71540540539522</v>
      </c>
      <c r="N7" s="5">
        <v>10</v>
      </c>
      <c r="O7" s="5">
        <v>39.333333333333343</v>
      </c>
      <c r="P7" s="33">
        <v>832.5829935745013</v>
      </c>
      <c r="Q7" s="5">
        <v>18.623837973320612</v>
      </c>
      <c r="R7" s="5">
        <v>5839.2614378638091</v>
      </c>
      <c r="S7" s="31"/>
      <c r="T7" s="23">
        <v>2402155.0924086012</v>
      </c>
      <c r="U7" s="33">
        <v>120.79405405406045</v>
      </c>
      <c r="V7" s="5">
        <v>5</v>
      </c>
      <c r="W7" s="5">
        <v>34</v>
      </c>
      <c r="X7" s="33">
        <v>947.53192818405262</v>
      </c>
      <c r="Y7" s="5">
        <v>56.123283027396972</v>
      </c>
      <c r="Z7" s="5">
        <v>6559.8916377852656</v>
      </c>
      <c r="AA7" s="35"/>
    </row>
    <row r="8" spans="2:27" x14ac:dyDescent="0.2">
      <c r="B8" s="4">
        <v>5</v>
      </c>
      <c r="C8" s="4">
        <v>105</v>
      </c>
      <c r="D8" s="23">
        <v>2060877.12085594</v>
      </c>
      <c r="E8" s="33">
        <v>141.75243243243153</v>
      </c>
      <c r="F8" s="5">
        <v>7</v>
      </c>
      <c r="G8" s="23">
        <v>55.333333333333343</v>
      </c>
      <c r="H8" s="33">
        <v>1193.2140566941659</v>
      </c>
      <c r="I8" s="23">
        <v>37.342231043570656</v>
      </c>
      <c r="J8" s="5">
        <v>6652.5318646950809</v>
      </c>
      <c r="K8" s="31"/>
      <c r="L8" s="23">
        <v>2290315.1479447018</v>
      </c>
      <c r="M8" s="33">
        <v>322.15378378379484</v>
      </c>
      <c r="N8" s="5">
        <v>10</v>
      </c>
      <c r="O8" s="5">
        <v>45.333333333333343</v>
      </c>
      <c r="P8" s="33">
        <v>1150.0651612193592</v>
      </c>
      <c r="Q8" s="5">
        <v>20.355105277537767</v>
      </c>
      <c r="R8" s="5">
        <v>6205.7500620333903</v>
      </c>
      <c r="S8" s="31"/>
      <c r="T8" s="23">
        <v>2335243.6952151279</v>
      </c>
      <c r="U8" s="33">
        <v>240.4770270270308</v>
      </c>
      <c r="V8" s="5">
        <v>5</v>
      </c>
      <c r="W8" s="5">
        <v>37.333333333333343</v>
      </c>
      <c r="X8" s="33">
        <v>879.37723254306286</v>
      </c>
      <c r="Y8" s="5">
        <v>54.99875453142441</v>
      </c>
      <c r="Z8" s="5">
        <v>6634.0737442650961</v>
      </c>
      <c r="AA8" s="35"/>
    </row>
    <row r="9" spans="2:27" x14ac:dyDescent="0.2">
      <c r="B9" s="4">
        <v>6</v>
      </c>
      <c r="C9" s="4">
        <v>394</v>
      </c>
      <c r="D9" s="23">
        <v>2014753.1127033229</v>
      </c>
      <c r="E9" s="33">
        <v>149.96189189189101</v>
      </c>
      <c r="F9" s="5">
        <v>9</v>
      </c>
      <c r="G9" s="23">
        <v>64</v>
      </c>
      <c r="H9" s="33">
        <v>1706.5328629995929</v>
      </c>
      <c r="I9" s="23">
        <v>32.22019828887678</v>
      </c>
      <c r="J9" s="5">
        <v>7065.3579718478568</v>
      </c>
      <c r="K9" s="31"/>
      <c r="L9" s="23">
        <v>2322107.8661835329</v>
      </c>
      <c r="M9" s="33">
        <v>259.1681081080979</v>
      </c>
      <c r="N9" s="5">
        <v>12</v>
      </c>
      <c r="O9" s="5">
        <v>49.333333333333343</v>
      </c>
      <c r="P9" s="33">
        <v>1532.7627178651783</v>
      </c>
      <c r="Q9" s="5">
        <v>18.465095227344889</v>
      </c>
      <c r="R9" s="5">
        <v>6779.072557670017</v>
      </c>
      <c r="S9" s="31"/>
      <c r="T9" s="23">
        <v>2371189.2782099382</v>
      </c>
      <c r="U9" s="33">
        <v>154.48486486487593</v>
      </c>
      <c r="V9" s="5">
        <v>5</v>
      </c>
      <c r="W9" s="5">
        <v>36.666666666666657</v>
      </c>
      <c r="X9" s="33">
        <v>1180.2056268045519</v>
      </c>
      <c r="Y9" s="5">
        <v>52.879937533471377</v>
      </c>
      <c r="Z9" s="5">
        <v>6907.5879120048676</v>
      </c>
      <c r="AA9" s="35"/>
    </row>
    <row r="10" spans="2:27" x14ac:dyDescent="0.2">
      <c r="B10" s="4">
        <v>7</v>
      </c>
      <c r="C10" s="4">
        <v>699</v>
      </c>
      <c r="D10" s="23">
        <v>2107509.774979528</v>
      </c>
      <c r="E10" s="33">
        <v>255.92459459458729</v>
      </c>
      <c r="F10" s="5">
        <v>7</v>
      </c>
      <c r="G10" s="23">
        <v>54.666666666666657</v>
      </c>
      <c r="H10" s="33">
        <v>1405.2061118104491</v>
      </c>
      <c r="I10" s="23">
        <v>38.565928136101725</v>
      </c>
      <c r="J10" s="5">
        <v>6875.4422838293294</v>
      </c>
      <c r="K10" s="31"/>
      <c r="L10" s="23">
        <v>2442834.067095974</v>
      </c>
      <c r="M10" s="33">
        <v>169.97459459458352</v>
      </c>
      <c r="N10" s="5">
        <v>8</v>
      </c>
      <c r="O10" s="5">
        <v>32.666666666666657</v>
      </c>
      <c r="P10" s="33">
        <v>571.22590316474736</v>
      </c>
      <c r="Q10" s="5">
        <v>18.729112503405059</v>
      </c>
      <c r="R10" s="5">
        <v>5351.0000164225285</v>
      </c>
      <c r="S10" s="31"/>
      <c r="T10" s="23">
        <v>2337132.8278514179</v>
      </c>
      <c r="U10" s="33">
        <v>359.83108108108104</v>
      </c>
      <c r="V10" s="5">
        <v>5</v>
      </c>
      <c r="W10" s="5">
        <v>38</v>
      </c>
      <c r="X10" s="33">
        <v>1045.4841910775781</v>
      </c>
      <c r="Y10" s="5">
        <v>54.952385839912516</v>
      </c>
      <c r="Z10" s="5">
        <v>6821.9925034566995</v>
      </c>
      <c r="AA10" s="35"/>
    </row>
    <row r="11" spans="2:27" x14ac:dyDescent="0.2">
      <c r="B11" s="4">
        <v>8</v>
      </c>
      <c r="C11" s="4">
        <v>502</v>
      </c>
      <c r="D11" s="23">
        <v>2024253.5827746401</v>
      </c>
      <c r="E11" s="33">
        <v>221.33459459460101</v>
      </c>
      <c r="F11" s="5">
        <v>7</v>
      </c>
      <c r="G11" s="23">
        <v>58</v>
      </c>
      <c r="H11" s="33">
        <v>1366.0934631567836</v>
      </c>
      <c r="I11" s="23">
        <v>39.762231481283507</v>
      </c>
      <c r="J11" s="5">
        <v>6770.4830881771823</v>
      </c>
      <c r="K11" s="31"/>
      <c r="L11" s="23">
        <v>2312014.039191748</v>
      </c>
      <c r="M11" s="33">
        <v>139.39189189189187</v>
      </c>
      <c r="N11" s="5">
        <v>17</v>
      </c>
      <c r="O11" s="5">
        <v>59.333333333333343</v>
      </c>
      <c r="P11" s="33">
        <v>2186.260559244211</v>
      </c>
      <c r="Q11" s="5">
        <v>17.064214721940925</v>
      </c>
      <c r="R11" s="5">
        <v>7304.0772278435425</v>
      </c>
      <c r="S11" s="31"/>
      <c r="T11" s="23">
        <v>2338478.1229139599</v>
      </c>
      <c r="U11" s="33">
        <v>227.96864864864776</v>
      </c>
      <c r="V11" s="5">
        <v>5</v>
      </c>
      <c r="W11" s="5">
        <v>38.666666666666657</v>
      </c>
      <c r="X11" s="33">
        <v>1172.7835302645544</v>
      </c>
      <c r="Y11" s="5">
        <v>56.403396077184638</v>
      </c>
      <c r="Z11" s="5">
        <v>6941.8566408007846</v>
      </c>
      <c r="AA11" s="35"/>
    </row>
    <row r="12" spans="2:27" x14ac:dyDescent="0.2">
      <c r="B12" s="4">
        <v>9</v>
      </c>
      <c r="C12" s="4">
        <v>837</v>
      </c>
      <c r="D12" s="23">
        <v>2071914.0730758479</v>
      </c>
      <c r="E12" s="33">
        <v>184.22729729729818</v>
      </c>
      <c r="F12" s="5">
        <v>7</v>
      </c>
      <c r="G12" s="23">
        <v>56</v>
      </c>
      <c r="H12" s="33">
        <v>1466.2288882055993</v>
      </c>
      <c r="I12" s="23">
        <v>39.140728050204807</v>
      </c>
      <c r="J12" s="5">
        <v>6800.9743279297854</v>
      </c>
      <c r="K12" s="31"/>
      <c r="L12" s="23">
        <v>2442816.1501403819</v>
      </c>
      <c r="M12" s="33">
        <v>96.287837837841622</v>
      </c>
      <c r="N12" s="5">
        <v>10</v>
      </c>
      <c r="O12" s="5">
        <v>35.333333333333343</v>
      </c>
      <c r="P12" s="33">
        <v>738.36282989512802</v>
      </c>
      <c r="Q12" s="5">
        <v>17.635373758474429</v>
      </c>
      <c r="R12" s="5">
        <v>5491.4536758170525</v>
      </c>
      <c r="S12" s="31"/>
      <c r="T12" s="23">
        <v>2354238.68920387</v>
      </c>
      <c r="U12" s="33">
        <v>166.7270270270308</v>
      </c>
      <c r="V12" s="5">
        <v>5</v>
      </c>
      <c r="W12" s="5">
        <v>36.666666666666657</v>
      </c>
      <c r="X12" s="33">
        <v>927.90659919742245</v>
      </c>
      <c r="Y12" s="5">
        <v>55.698789297157667</v>
      </c>
      <c r="Z12" s="5">
        <v>6718.375810806514</v>
      </c>
      <c r="AA12" s="35"/>
    </row>
    <row r="13" spans="2:27" x14ac:dyDescent="0.2">
      <c r="B13" s="4">
        <v>10</v>
      </c>
      <c r="C13" s="4">
        <v>577</v>
      </c>
      <c r="D13" s="23">
        <v>2071487.413881131</v>
      </c>
      <c r="E13" s="33">
        <v>88.272702702701807</v>
      </c>
      <c r="F13" s="5">
        <v>10</v>
      </c>
      <c r="G13" s="23">
        <v>64</v>
      </c>
      <c r="H13" s="33">
        <v>2095.0753784872963</v>
      </c>
      <c r="I13" s="23">
        <v>30.725735491862434</v>
      </c>
      <c r="J13" s="5">
        <v>7347.9287789861628</v>
      </c>
      <c r="K13" s="31"/>
      <c r="L13" s="23">
        <v>2301587.7856674721</v>
      </c>
      <c r="M13" s="33">
        <v>121.01783783783873</v>
      </c>
      <c r="N13" s="5">
        <v>15</v>
      </c>
      <c r="O13" s="5">
        <v>49.333333333333343</v>
      </c>
      <c r="P13" s="33">
        <v>1343.5744353186667</v>
      </c>
      <c r="Q13" s="5">
        <v>14.76597619948795</v>
      </c>
      <c r="R13" s="5">
        <v>6046.7463215848993</v>
      </c>
      <c r="S13" s="31"/>
      <c r="T13" s="23">
        <v>2374254.1057531829</v>
      </c>
      <c r="U13" s="33">
        <v>85.857297297302836</v>
      </c>
      <c r="V13" s="5">
        <v>5</v>
      </c>
      <c r="W13" s="5">
        <v>36</v>
      </c>
      <c r="X13" s="33">
        <v>961.06596099943999</v>
      </c>
      <c r="Y13" s="5">
        <v>54.947868979681104</v>
      </c>
      <c r="Z13" s="5">
        <v>6775.079996692225</v>
      </c>
      <c r="AA13" s="35"/>
    </row>
    <row r="14" spans="2:27" x14ac:dyDescent="0.2">
      <c r="B14" s="46" t="s">
        <v>3</v>
      </c>
      <c r="C14" s="47"/>
      <c r="D14" s="9">
        <f>MIN(D4:D13)</f>
        <v>2014753.1127033229</v>
      </c>
      <c r="E14" s="22">
        <f>INDEX(E4:E13, MATCH($D$14, D4:D13, 0))</f>
        <v>149.96189189189101</v>
      </c>
      <c r="F14" s="9">
        <f>INDEX(F4:F13, MATCH($D$14, D4:D13, 0))</f>
        <v>9</v>
      </c>
      <c r="G14" s="9">
        <f>INDEX(G4:G13, MATCH($D$14, D4:D13, 0))</f>
        <v>64</v>
      </c>
      <c r="H14" s="22">
        <f>INDEX(H4:H13, MATCH($D$14, D4:D13, 0))</f>
        <v>1706.5328629995929</v>
      </c>
      <c r="I14" s="22">
        <f>INDEX(I4:I13, MATCH($D$14, D4:D13, 0))</f>
        <v>32.22019828887678</v>
      </c>
      <c r="J14" s="22">
        <f>INDEX(J4:J13, MATCH($D$14, D4:D13, 0))</f>
        <v>7065.3579718478568</v>
      </c>
      <c r="K14" s="32" t="e">
        <f>(D14-$D$15)/$D$15</f>
        <v>#DIV/0!</v>
      </c>
      <c r="L14" s="16">
        <f>MIN(L4:L13)</f>
        <v>2290315.1479447018</v>
      </c>
      <c r="M14" s="21">
        <f>INDEX(M4:M13, MATCH($L$14, L4:L13, 0))</f>
        <v>322.15378378379484</v>
      </c>
      <c r="N14" s="16">
        <f>INDEX(N4:N13, MATCH($L$14, L4:L13, 0))</f>
        <v>10</v>
      </c>
      <c r="O14" s="16">
        <f>INDEX(O4:O13, MATCH($L$14, L4:L13, 0))</f>
        <v>45.333333333333343</v>
      </c>
      <c r="P14" s="21">
        <f>INDEX(P4:P13, MATCH($L$14, L4:L13, 0))</f>
        <v>1150.0651612193592</v>
      </c>
      <c r="Q14" s="21">
        <f>INDEX(Q4:Q13, MATCH($L$14, L4:L13, 0))</f>
        <v>20.355105277537767</v>
      </c>
      <c r="R14" s="21">
        <f>INDEX(R4:R13, MATCH($L$14, L4:L13, 0))</f>
        <v>6205.7500620333903</v>
      </c>
      <c r="S14" s="36" t="e">
        <f>(L14-$D$15)/$D$15</f>
        <v>#DIV/0!</v>
      </c>
      <c r="T14" s="38">
        <f>MIN(T4:T13)</f>
        <v>2335243.6952151279</v>
      </c>
      <c r="U14" s="39">
        <f>INDEX(U4:U13, MATCH($T$14, T4:T13, 0))</f>
        <v>240.4770270270308</v>
      </c>
      <c r="V14" s="38">
        <f>INDEX(V4:V13, MATCH($T$14, T4:T13, 0))</f>
        <v>5</v>
      </c>
      <c r="W14" s="38">
        <f>INDEX(W4:W13, MATCH($T$14, T4:T13, 0))</f>
        <v>37.333333333333343</v>
      </c>
      <c r="X14" s="39">
        <f>INDEX(X4:X13, MATCH($T$14, T4:T13, 0))</f>
        <v>879.37723254306286</v>
      </c>
      <c r="Y14" s="39">
        <f>INDEX(Y4:Y13, MATCH($T$14, T4:T13, 0))</f>
        <v>54.99875453142441</v>
      </c>
      <c r="Z14" s="39">
        <f>INDEX(Z4:Z13, MATCH($T$14, T4:T13, 0))</f>
        <v>6634.0737442650961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20:C2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416A-96A0-408A-BCFD-631ADFCC0E98}">
  <dimension ref="B1:AA17"/>
  <sheetViews>
    <sheetView tabSelected="1"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-0.98298464451732748</v>
      </c>
      <c r="J2" s="28" t="e">
        <f>(S14-J14)/J14</f>
        <v>#DIV/0!</v>
      </c>
      <c r="K2" s="28"/>
      <c r="L2" s="1" t="s">
        <v>19</v>
      </c>
      <c r="P2" s="1">
        <f>(P14-H14)/H14</f>
        <v>-0.42432088273099172</v>
      </c>
      <c r="R2" s="1">
        <f>(R14-J14)/J14</f>
        <v>-0.12319029038596067</v>
      </c>
      <c r="T2" s="1" t="s">
        <v>20</v>
      </c>
      <c r="X2" s="1">
        <f>(X14-P14)/P14</f>
        <v>0.35848377404101756</v>
      </c>
      <c r="Z2" s="1">
        <f>(Z14-R14)/R14</f>
        <v>0.15550233928270427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712</v>
      </c>
      <c r="D4" s="23">
        <v>1849788.0746269419</v>
      </c>
      <c r="E4" s="33">
        <v>251.71027027028046</v>
      </c>
      <c r="F4" s="5">
        <v>10</v>
      </c>
      <c r="G4" s="23">
        <v>73.333333333333329</v>
      </c>
      <c r="H4" s="33">
        <v>1583.3541520735419</v>
      </c>
      <c r="I4" s="23">
        <v>37.332004070025818</v>
      </c>
      <c r="J4" s="5">
        <v>6820.474403645414</v>
      </c>
      <c r="K4" s="31"/>
      <c r="L4" s="23">
        <v>2332075.518938649</v>
      </c>
      <c r="M4" s="33">
        <v>225.52783783784801</v>
      </c>
      <c r="N4" s="5">
        <v>10</v>
      </c>
      <c r="O4" s="5">
        <v>40.666666666666657</v>
      </c>
      <c r="P4" s="33">
        <v>815.72691254588096</v>
      </c>
      <c r="Q4" s="5">
        <v>22.813187638037917</v>
      </c>
      <c r="R4" s="5">
        <v>5502.7577292062506</v>
      </c>
      <c r="S4" s="31"/>
      <c r="T4" s="23">
        <v>2300346.8083651201</v>
      </c>
      <c r="U4" s="33">
        <v>67.238378378380133</v>
      </c>
      <c r="V4" s="5">
        <v>6</v>
      </c>
      <c r="W4" s="5">
        <v>39.333333333333343</v>
      </c>
      <c r="X4" s="33">
        <v>759.30232354856309</v>
      </c>
      <c r="Y4" s="5">
        <v>53.307872780304429</v>
      </c>
      <c r="Z4" s="5">
        <v>6196.2671393517803</v>
      </c>
      <c r="AA4" s="35"/>
    </row>
    <row r="5" spans="2:27" x14ac:dyDescent="0.2">
      <c r="B5" s="4">
        <v>2</v>
      </c>
      <c r="C5" s="4">
        <v>586</v>
      </c>
      <c r="D5" s="23">
        <v>1990830.33531935</v>
      </c>
      <c r="E5" s="33">
        <v>102.86756756756377</v>
      </c>
      <c r="F5" s="5">
        <v>7</v>
      </c>
      <c r="G5" s="23">
        <v>55.333333333333343</v>
      </c>
      <c r="H5" s="33">
        <v>883.94876237202948</v>
      </c>
      <c r="I5" s="23">
        <v>38.022904158523509</v>
      </c>
      <c r="J5" s="5">
        <v>5684.7919935172222</v>
      </c>
      <c r="K5" s="31"/>
      <c r="L5" s="23">
        <v>2344758.3428242812</v>
      </c>
      <c r="M5" s="33">
        <v>214.56918918919385</v>
      </c>
      <c r="N5" s="5">
        <v>8</v>
      </c>
      <c r="O5" s="5">
        <v>38</v>
      </c>
      <c r="P5" s="33">
        <v>555.62987249072796</v>
      </c>
      <c r="Q5" s="5">
        <v>22.809290151659997</v>
      </c>
      <c r="R5" s="5">
        <v>5497.6071709439057</v>
      </c>
      <c r="S5" s="31"/>
      <c r="T5" s="23">
        <v>2191116.607556927</v>
      </c>
      <c r="U5" s="33">
        <v>88.897837837843369</v>
      </c>
      <c r="V5" s="5">
        <v>6</v>
      </c>
      <c r="W5" s="5">
        <v>45.333333333333343</v>
      </c>
      <c r="X5" s="33">
        <v>1030.4276325617579</v>
      </c>
      <c r="Y5" s="5">
        <v>57.883694353192844</v>
      </c>
      <c r="Z5" s="5">
        <v>6272.2564521057975</v>
      </c>
      <c r="AA5" s="35"/>
    </row>
    <row r="6" spans="2:27" x14ac:dyDescent="0.2">
      <c r="B6" s="4">
        <v>3</v>
      </c>
      <c r="C6" s="4">
        <v>267</v>
      </c>
      <c r="D6" s="23">
        <v>1804163.797410818</v>
      </c>
      <c r="E6" s="33">
        <v>155.91648648648737</v>
      </c>
      <c r="F6" s="5">
        <v>10</v>
      </c>
      <c r="G6" s="23">
        <v>78</v>
      </c>
      <c r="H6" s="33">
        <v>1669.7050808514095</v>
      </c>
      <c r="I6" s="23">
        <v>40.046890247834604</v>
      </c>
      <c r="J6" s="5">
        <v>7051.9203871341142</v>
      </c>
      <c r="K6" s="31"/>
      <c r="L6" s="23">
        <v>2243013.4191357852</v>
      </c>
      <c r="M6" s="33">
        <v>204.70027027027115</v>
      </c>
      <c r="N6" s="5">
        <v>9</v>
      </c>
      <c r="O6" s="5">
        <v>40.666666666666657</v>
      </c>
      <c r="P6" s="33">
        <v>270.84202483722015</v>
      </c>
      <c r="Q6" s="5">
        <v>22.471993756569361</v>
      </c>
      <c r="R6" s="5">
        <v>4767.0277840364179</v>
      </c>
      <c r="S6" s="31"/>
      <c r="T6" s="23">
        <v>2426602.0562489061</v>
      </c>
      <c r="U6" s="33">
        <v>106.52864864865329</v>
      </c>
      <c r="V6" s="5">
        <v>9</v>
      </c>
      <c r="W6" s="5">
        <v>50</v>
      </c>
      <c r="X6" s="33">
        <v>2688.4642435336168</v>
      </c>
      <c r="Y6" s="5">
        <v>45.375221966565704</v>
      </c>
      <c r="Z6" s="5">
        <v>8418.0927076055068</v>
      </c>
      <c r="AA6" s="35"/>
    </row>
    <row r="7" spans="2:27" x14ac:dyDescent="0.2">
      <c r="B7" s="4">
        <v>4</v>
      </c>
      <c r="C7" s="4">
        <v>3</v>
      </c>
      <c r="D7" s="23">
        <v>1817440.4263045629</v>
      </c>
      <c r="E7" s="33">
        <v>302.23405405405487</v>
      </c>
      <c r="F7" s="5">
        <v>10</v>
      </c>
      <c r="G7" s="23">
        <v>77.333333333333329</v>
      </c>
      <c r="H7" s="33">
        <v>1754.7117068202022</v>
      </c>
      <c r="I7" s="23">
        <v>39.190180655001669</v>
      </c>
      <c r="J7" s="5">
        <v>6961.758473585367</v>
      </c>
      <c r="K7" s="31"/>
      <c r="L7" s="23">
        <v>2538993.7080612569</v>
      </c>
      <c r="M7" s="33">
        <v>135.62486486487418</v>
      </c>
      <c r="N7" s="5">
        <v>21</v>
      </c>
      <c r="O7" s="5">
        <v>46.666666666666657</v>
      </c>
      <c r="P7" s="33">
        <v>1552.9964242311369</v>
      </c>
      <c r="Q7" s="5">
        <v>11.080170975430207</v>
      </c>
      <c r="R7" s="5">
        <v>6223.007420711896</v>
      </c>
      <c r="S7" s="31"/>
      <c r="T7" s="23">
        <v>2432572.8378212042</v>
      </c>
      <c r="U7" s="33">
        <v>148.12918918918365</v>
      </c>
      <c r="V7" s="5">
        <v>7</v>
      </c>
      <c r="W7" s="5">
        <v>39.333333333333343</v>
      </c>
      <c r="X7" s="33">
        <v>1788.3365828871024</v>
      </c>
      <c r="Y7" s="5">
        <v>54.865053262363801</v>
      </c>
      <c r="Z7" s="5">
        <v>7402.721248815903</v>
      </c>
      <c r="AA7" s="35"/>
    </row>
    <row r="8" spans="2:27" x14ac:dyDescent="0.2">
      <c r="B8" s="4">
        <v>5</v>
      </c>
      <c r="C8" s="4">
        <v>890</v>
      </c>
      <c r="D8" s="23">
        <v>1755403.928120984</v>
      </c>
      <c r="E8" s="33">
        <v>235.96270270271199</v>
      </c>
      <c r="F8" s="5">
        <v>9</v>
      </c>
      <c r="G8" s="23">
        <v>73.333333333333329</v>
      </c>
      <c r="H8" s="33">
        <v>1363.7212645573775</v>
      </c>
      <c r="I8" s="23">
        <v>43.083242148476792</v>
      </c>
      <c r="J8" s="5">
        <v>6392.7961769058784</v>
      </c>
      <c r="K8" s="31"/>
      <c r="L8" s="23">
        <v>2278852.1247589709</v>
      </c>
      <c r="M8" s="33">
        <v>128.60648648648183</v>
      </c>
      <c r="N8" s="5">
        <v>10</v>
      </c>
      <c r="O8" s="5">
        <v>48</v>
      </c>
      <c r="P8" s="33">
        <v>1125.4393140388956</v>
      </c>
      <c r="Q8" s="5">
        <v>22.792688544960203</v>
      </c>
      <c r="R8" s="5">
        <v>6449.5550043279454</v>
      </c>
      <c r="S8" s="31"/>
      <c r="T8" s="23">
        <v>2262492.233507812</v>
      </c>
      <c r="U8" s="33">
        <v>123.79648648649201</v>
      </c>
      <c r="V8" s="5">
        <v>7</v>
      </c>
      <c r="W8" s="5">
        <v>44.666666666666657</v>
      </c>
      <c r="X8" s="33">
        <v>1082.1392987934314</v>
      </c>
      <c r="Y8" s="5">
        <v>54.193172358881633</v>
      </c>
      <c r="Z8" s="5">
        <v>6602.3570437548433</v>
      </c>
      <c r="AA8" s="35"/>
    </row>
    <row r="9" spans="2:27" x14ac:dyDescent="0.2">
      <c r="B9" s="4">
        <v>6</v>
      </c>
      <c r="C9" s="4">
        <v>202</v>
      </c>
      <c r="D9" s="23">
        <v>1830250.684231357</v>
      </c>
      <c r="E9" s="33">
        <v>210.11378378377648</v>
      </c>
      <c r="F9" s="5">
        <v>11</v>
      </c>
      <c r="G9" s="23">
        <v>75.333333333333329</v>
      </c>
      <c r="H9" s="33">
        <v>1671.1323323050112</v>
      </c>
      <c r="I9" s="23">
        <v>35.449892304839025</v>
      </c>
      <c r="J9" s="5">
        <v>6731.8855670124221</v>
      </c>
      <c r="K9" s="31"/>
      <c r="L9" s="23">
        <v>2302241.5582179232</v>
      </c>
      <c r="M9" s="33">
        <v>372.76189189188727</v>
      </c>
      <c r="N9" s="5">
        <v>13</v>
      </c>
      <c r="O9" s="5">
        <v>46.666666666666657</v>
      </c>
      <c r="P9" s="33">
        <v>1000.1452210340749</v>
      </c>
      <c r="Q9" s="5">
        <v>20.437272815208942</v>
      </c>
      <c r="R9" s="5">
        <v>5781.0388613494624</v>
      </c>
      <c r="S9" s="31"/>
      <c r="T9" s="23">
        <v>2251518.3648527861</v>
      </c>
      <c r="U9" s="33">
        <v>157.08621621622729</v>
      </c>
      <c r="V9" s="5">
        <v>6</v>
      </c>
      <c r="W9" s="5">
        <v>43.333333333333343</v>
      </c>
      <c r="X9" s="33">
        <v>1139.4642458110716</v>
      </c>
      <c r="Y9" s="5">
        <v>62.429319944678014</v>
      </c>
      <c r="Z9" s="5">
        <v>6456.4238695717358</v>
      </c>
      <c r="AA9" s="35"/>
    </row>
    <row r="10" spans="2:27" x14ac:dyDescent="0.2">
      <c r="B10" s="4">
        <v>7</v>
      </c>
      <c r="C10" s="4">
        <v>366</v>
      </c>
      <c r="D10" s="23">
        <v>1958782.641346849</v>
      </c>
      <c r="E10" s="33">
        <v>321.14432432432346</v>
      </c>
      <c r="F10" s="5">
        <v>8</v>
      </c>
      <c r="G10" s="23">
        <v>64.666666666666671</v>
      </c>
      <c r="H10" s="33">
        <v>1432.2637212812776</v>
      </c>
      <c r="I10" s="23">
        <v>44.702883345476039</v>
      </c>
      <c r="J10" s="5">
        <v>6830.0463850808919</v>
      </c>
      <c r="K10" s="31"/>
      <c r="L10" s="23">
        <v>2156546.773152594</v>
      </c>
      <c r="M10" s="33">
        <v>189.80567567566459</v>
      </c>
      <c r="N10" s="5">
        <v>17</v>
      </c>
      <c r="O10" s="5">
        <v>60</v>
      </c>
      <c r="P10" s="33">
        <v>1346.5664102279854</v>
      </c>
      <c r="Q10" s="5">
        <v>17.974325008650954</v>
      </c>
      <c r="R10" s="5">
        <v>6196.7800170636774</v>
      </c>
      <c r="S10" s="31"/>
      <c r="T10" s="23">
        <v>2314502.516297346</v>
      </c>
      <c r="U10" s="33">
        <v>227.63513513513513</v>
      </c>
      <c r="V10" s="5">
        <v>7</v>
      </c>
      <c r="W10" s="5">
        <v>44.666666666666657</v>
      </c>
      <c r="X10" s="33">
        <v>1309.0409857765214</v>
      </c>
      <c r="Y10" s="5">
        <v>50.926086034594938</v>
      </c>
      <c r="Z10" s="5">
        <v>7133.7536607298216</v>
      </c>
      <c r="AA10" s="35"/>
    </row>
    <row r="11" spans="2:27" x14ac:dyDescent="0.2">
      <c r="B11" s="4">
        <v>8</v>
      </c>
      <c r="C11" s="4">
        <v>353</v>
      </c>
      <c r="D11" s="23">
        <v>1857455.483441585</v>
      </c>
      <c r="E11" s="33">
        <v>136.51621621622814</v>
      </c>
      <c r="F11" s="5">
        <v>10</v>
      </c>
      <c r="G11" s="23">
        <v>74</v>
      </c>
      <c r="H11" s="33">
        <v>1619.8541176251906</v>
      </c>
      <c r="I11" s="23">
        <v>38.525462206360679</v>
      </c>
      <c r="J11" s="5">
        <v>6918.8606112009429</v>
      </c>
      <c r="K11" s="31"/>
      <c r="L11" s="23">
        <v>2145536.0887376298</v>
      </c>
      <c r="M11" s="33">
        <v>129.45513513513424</v>
      </c>
      <c r="N11" s="5">
        <v>15</v>
      </c>
      <c r="O11" s="5">
        <v>58</v>
      </c>
      <c r="P11" s="33">
        <v>1107.5327196390915</v>
      </c>
      <c r="Q11" s="5">
        <v>19.730530264135485</v>
      </c>
      <c r="R11" s="5">
        <v>6147.6790181500301</v>
      </c>
      <c r="S11" s="31"/>
      <c r="T11" s="23">
        <v>2257715.9637315632</v>
      </c>
      <c r="U11" s="33">
        <v>141.02189189189653</v>
      </c>
      <c r="V11" s="5">
        <v>9</v>
      </c>
      <c r="W11" s="5">
        <v>49.333333333333343</v>
      </c>
      <c r="X11" s="33">
        <v>1602.9813376451598</v>
      </c>
      <c r="Y11" s="5">
        <v>44.574079227367008</v>
      </c>
      <c r="Z11" s="5">
        <v>7039.8003217395481</v>
      </c>
      <c r="AA11" s="35"/>
    </row>
    <row r="12" spans="2:27" x14ac:dyDescent="0.2">
      <c r="B12" s="4">
        <v>9</v>
      </c>
      <c r="C12" s="4">
        <v>476</v>
      </c>
      <c r="D12" s="23">
        <v>1791695.3019686339</v>
      </c>
      <c r="E12" s="33">
        <v>95.840270270269372</v>
      </c>
      <c r="F12" s="5">
        <v>10</v>
      </c>
      <c r="G12" s="23">
        <v>73.333333333333329</v>
      </c>
      <c r="H12" s="33">
        <v>1375.1318850838488</v>
      </c>
      <c r="I12" s="23">
        <v>38.766927818502651</v>
      </c>
      <c r="J12" s="5">
        <v>6389.1245183681967</v>
      </c>
      <c r="K12" s="31"/>
      <c r="L12" s="23">
        <v>2372892.04186182</v>
      </c>
      <c r="M12" s="33">
        <v>117.05648648648558</v>
      </c>
      <c r="N12" s="5">
        <v>10</v>
      </c>
      <c r="O12" s="5">
        <v>38</v>
      </c>
      <c r="P12" s="33">
        <v>494.93698449256868</v>
      </c>
      <c r="Q12" s="5">
        <v>19.002944948145778</v>
      </c>
      <c r="R12" s="5">
        <v>5307.465319147208</v>
      </c>
      <c r="S12" s="31"/>
      <c r="T12" s="23">
        <v>2906089.3163559288</v>
      </c>
      <c r="U12" s="33">
        <v>135.15216216215282</v>
      </c>
      <c r="V12" s="5">
        <v>20</v>
      </c>
      <c r="W12" s="5">
        <v>76.666666666666671</v>
      </c>
      <c r="X12" s="33">
        <v>6252.9852110834609</v>
      </c>
      <c r="Y12" s="5">
        <v>43.120359036114124</v>
      </c>
      <c r="Z12" s="5">
        <v>11681.181616729711</v>
      </c>
      <c r="AA12" s="35"/>
    </row>
    <row r="13" spans="2:27" x14ac:dyDescent="0.2">
      <c r="B13" s="4">
        <v>10</v>
      </c>
      <c r="C13" s="4">
        <v>516</v>
      </c>
      <c r="D13" s="23">
        <v>1802378.1191413761</v>
      </c>
      <c r="E13" s="33">
        <v>98.787837837841622</v>
      </c>
      <c r="F13" s="5">
        <v>11</v>
      </c>
      <c r="G13" s="23">
        <v>74</v>
      </c>
      <c r="H13" s="33">
        <v>1463.2021504966042</v>
      </c>
      <c r="I13" s="23">
        <v>35.64111477593562</v>
      </c>
      <c r="J13" s="5">
        <v>6542.5257312663189</v>
      </c>
      <c r="K13" s="31"/>
      <c r="L13" s="23">
        <v>2089389.7644832269</v>
      </c>
      <c r="M13" s="33">
        <v>189.81000000000552</v>
      </c>
      <c r="N13" s="5">
        <v>12</v>
      </c>
      <c r="O13" s="5">
        <v>54.666666666666657</v>
      </c>
      <c r="P13" s="33">
        <v>785.06585378136674</v>
      </c>
      <c r="Q13" s="5">
        <v>23.204202095723556</v>
      </c>
      <c r="R13" s="5">
        <v>5605.265759494584</v>
      </c>
      <c r="S13" s="31"/>
      <c r="T13" s="23">
        <v>2162978.28373439</v>
      </c>
      <c r="U13" s="33">
        <v>270.7389189189181</v>
      </c>
      <c r="V13" s="5">
        <v>7</v>
      </c>
      <c r="W13" s="5">
        <v>49.333333333333343</v>
      </c>
      <c r="X13" s="33">
        <v>1066.4992239156447</v>
      </c>
      <c r="Y13" s="5">
        <v>50.586759507929223</v>
      </c>
      <c r="Z13" s="5">
        <v>6476.8976973972358</v>
      </c>
      <c r="AA13" s="35"/>
    </row>
    <row r="14" spans="2:27" x14ac:dyDescent="0.2">
      <c r="B14" s="46" t="s">
        <v>3</v>
      </c>
      <c r="C14" s="47"/>
      <c r="D14" s="9">
        <f>MIN(D4:D13)</f>
        <v>1755403.928120984</v>
      </c>
      <c r="E14" s="22">
        <f>INDEX(E4:E13, MATCH($D$14, D4:D13, 0))</f>
        <v>235.96270270271199</v>
      </c>
      <c r="F14" s="9">
        <f>INDEX(F4:F13, MATCH($D$14, D4:D13, 0))</f>
        <v>9</v>
      </c>
      <c r="G14" s="9">
        <f>INDEX(G4:G13, MATCH($D$14, D4:D13, 0))</f>
        <v>73.333333333333329</v>
      </c>
      <c r="H14" s="22">
        <f>INDEX(H4:H13, MATCH($D$14, D4:D13, 0))</f>
        <v>1363.7212645573775</v>
      </c>
      <c r="I14" s="22">
        <f>INDEX(I4:I13, MATCH($D$14, D4:D13, 0))</f>
        <v>43.083242148476792</v>
      </c>
      <c r="J14" s="22">
        <f>INDEX(J4:J13, MATCH($D$14, D4:D13, 0))</f>
        <v>6392.7961769058784</v>
      </c>
      <c r="K14" s="32" t="e">
        <f>(D14-$D$15)/$D$15</f>
        <v>#DIV/0!</v>
      </c>
      <c r="L14" s="16">
        <f>MIN(L4:L13)</f>
        <v>2089389.7644832269</v>
      </c>
      <c r="M14" s="21">
        <f>INDEX(M4:M13, MATCH($L$14, L4:L13, 0))</f>
        <v>189.81000000000552</v>
      </c>
      <c r="N14" s="16">
        <f>INDEX(N4:N13, MATCH($L$14, L4:L13, 0))</f>
        <v>12</v>
      </c>
      <c r="O14" s="16">
        <f>INDEX(O4:O13, MATCH($L$14, L4:L13, 0))</f>
        <v>54.666666666666657</v>
      </c>
      <c r="P14" s="21">
        <f>INDEX(P4:P13, MATCH($L$14, L4:L13, 0))</f>
        <v>785.06585378136674</v>
      </c>
      <c r="Q14" s="21">
        <f>INDEX(Q4:Q13, MATCH($L$14, L4:L13, 0))</f>
        <v>23.204202095723556</v>
      </c>
      <c r="R14" s="21">
        <f>INDEX(R4:R13, MATCH($L$14, L4:L13, 0))</f>
        <v>5605.265759494584</v>
      </c>
      <c r="S14" s="36" t="e">
        <f>(L14-$D$15)/$D$15</f>
        <v>#DIV/0!</v>
      </c>
      <c r="T14" s="38">
        <f>MIN(T4:T13)</f>
        <v>2162978.28373439</v>
      </c>
      <c r="U14" s="39">
        <f>INDEX(U4:U13, MATCH($T$14, T4:T13, 0))</f>
        <v>270.7389189189181</v>
      </c>
      <c r="V14" s="38">
        <f>INDEX(V4:V13, MATCH($T$14, T4:T13, 0))</f>
        <v>7</v>
      </c>
      <c r="W14" s="38">
        <f>INDEX(W4:W13, MATCH($T$14, T4:T13, 0))</f>
        <v>49.333333333333343</v>
      </c>
      <c r="X14" s="39">
        <f>INDEX(X4:X13, MATCH($T$14, T4:T13, 0))</f>
        <v>1066.4992239156447</v>
      </c>
      <c r="Y14" s="39">
        <f>INDEX(Y4:Y13, MATCH($T$14, T4:T13, 0))</f>
        <v>50.586759507929223</v>
      </c>
      <c r="Z14" s="39">
        <f>INDEX(Z4:Z13, MATCH($T$14, T4:T13, 0))</f>
        <v>6476.8976973972358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0:C1048576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20:C2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results70</vt:lpstr>
      <vt:lpstr>results203</vt:lpstr>
      <vt:lpstr>results299</vt:lpstr>
      <vt:lpstr>results327</vt:lpstr>
      <vt:lpstr>results459</vt:lpstr>
      <vt:lpstr>results539</vt:lpstr>
      <vt:lpstr>results662</vt:lpstr>
      <vt:lpstr>results713</vt:lpstr>
      <vt:lpstr>results740</vt:lpstr>
      <vt:lpstr>results752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2026-10-21T20:03:28Z</dcterms:modified>
</cp:coreProperties>
</file>