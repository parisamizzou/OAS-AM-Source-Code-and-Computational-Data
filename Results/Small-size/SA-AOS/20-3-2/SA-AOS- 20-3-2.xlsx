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20-3-2/"/>
    </mc:Choice>
  </mc:AlternateContent>
  <xr:revisionPtr revIDLastSave="0" documentId="13_ncr:1_{48C73B57-8606-634E-BA4D-5E3F9CB5DC57}" xr6:coauthVersionLast="47" xr6:coauthVersionMax="47" xr10:uidLastSave="{00000000-0000-0000-0000-000000000000}"/>
  <bookViews>
    <workbookView xWindow="0" yWindow="760" windowWidth="34560" windowHeight="20500" tabRatio="764" activeTab="1" xr2:uid="{41E620E7-D6DF-9342-B452-EA60AB3B07C5}"/>
  </bookViews>
  <sheets>
    <sheet name="Summary" sheetId="67" r:id="rId1"/>
    <sheet name="results119" sheetId="57" r:id="rId2"/>
    <sheet name="results190" sheetId="58" r:id="rId3"/>
    <sheet name="results372" sheetId="59" r:id="rId4"/>
    <sheet name="results440" sheetId="66" r:id="rId5"/>
    <sheet name="results522" sheetId="64" r:id="rId6"/>
    <sheet name="results644" sheetId="65" r:id="rId7"/>
    <sheet name="results753" sheetId="63" r:id="rId8"/>
    <sheet name="results767" sheetId="60" r:id="rId9"/>
    <sheet name="results837" sheetId="62" r:id="rId10"/>
    <sheet name="results883" sheetId="61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G3" i="67" a="1"/>
  <c r="G11" i="67" a="1"/>
  <c r="D4" i="67" a="1"/>
  <c r="F6" i="67" a="1"/>
  <c r="C8" i="67" a="1"/>
  <c r="G6" i="67" a="1"/>
  <c r="C4" i="67" a="1"/>
  <c r="E6" i="67" a="1"/>
  <c r="H6" i="67" a="1"/>
  <c r="C12" i="67" a="1"/>
  <c r="G12" i="67" a="1"/>
  <c r="D5" i="67" a="1"/>
  <c r="F8" i="67" a="1"/>
  <c r="C9" i="67" a="1"/>
  <c r="E3" i="67" a="1"/>
  <c r="I4" i="67" a="1"/>
  <c r="F9" i="67" a="1"/>
  <c r="H12" i="67" a="1"/>
  <c r="F11" i="67" a="1"/>
  <c r="I8" i="67" a="1"/>
  <c r="D11" i="67" a="1"/>
  <c r="C3" i="67" a="1"/>
  <c r="H11" i="67" a="1"/>
  <c r="I6" i="67" a="1"/>
  <c r="H9" i="67" a="1"/>
  <c r="D10" i="67" a="1"/>
  <c r="D6" i="67" a="1"/>
  <c r="F4" i="67" a="1"/>
  <c r="H10" i="67" a="1"/>
  <c r="I5" i="67" a="1"/>
  <c r="C10" i="67" a="1"/>
  <c r="G8" i="67" a="1"/>
  <c r="I12" i="67" a="1"/>
  <c r="C6" i="67" a="1"/>
  <c r="F10" i="67" a="1"/>
  <c r="H7" i="67" a="1"/>
  <c r="I7" i="67" a="1"/>
  <c r="D8" i="67" a="1"/>
  <c r="G4" i="67" a="1"/>
  <c r="H8" i="67" a="1"/>
  <c r="I9" i="67" a="1"/>
  <c r="F7" i="67" a="1"/>
  <c r="F3" i="67" a="1"/>
  <c r="G10" i="67" a="1"/>
  <c r="I3" i="67" a="1"/>
  <c r="F12" i="67" a="1"/>
  <c r="I11" i="67" a="1"/>
  <c r="C11" i="67" a="1"/>
  <c r="E5" i="67" a="1"/>
  <c r="E11" i="67" a="1"/>
  <c r="H3" i="67" a="1"/>
  <c r="D12" i="67" a="1"/>
  <c r="G7" i="67" a="1"/>
  <c r="E8" i="67" a="1"/>
  <c r="D3" i="67" a="1"/>
  <c r="G5" i="67" a="1"/>
  <c r="D7" i="67" a="1"/>
  <c r="F5" i="67" a="1"/>
  <c r="E7" i="67" a="1"/>
  <c r="H4" i="67" a="1"/>
  <c r="C5" i="67" a="1"/>
  <c r="E10" i="67" a="1"/>
  <c r="I10" i="67" a="1"/>
  <c r="G9" i="67" a="1"/>
  <c r="C7" i="67" a="1"/>
  <c r="D9" i="67" a="1"/>
  <c r="E9" i="67" a="1"/>
  <c r="H5" i="67" a="1"/>
  <c r="E4" i="67" a="1"/>
  <c r="E12" i="67" a="1"/>
  <c r="T14" i="61" l="1"/>
  <c r="W14" i="61" s="1"/>
  <c r="T14" i="62"/>
  <c r="AA14" i="62" s="1"/>
  <c r="T14" i="60"/>
  <c r="AA14" i="60" s="1"/>
  <c r="T14" i="63"/>
  <c r="T14" i="65"/>
  <c r="T14" i="64"/>
  <c r="T14" i="66"/>
  <c r="T14" i="59"/>
  <c r="T14" i="58"/>
  <c r="T14" i="57"/>
  <c r="L14" i="61"/>
  <c r="P14" i="61" s="1"/>
  <c r="L14" i="62"/>
  <c r="L14" i="60"/>
  <c r="L14" i="63"/>
  <c r="L14" i="65"/>
  <c r="N14" i="65" s="1"/>
  <c r="L14" i="64"/>
  <c r="L14" i="66"/>
  <c r="Q14" i="66" s="1"/>
  <c r="L14" i="59"/>
  <c r="L14" i="58"/>
  <c r="L14" i="57"/>
  <c r="AA14" i="61"/>
  <c r="Z14" i="61"/>
  <c r="Y14" i="61"/>
  <c r="X14" i="61"/>
  <c r="V14" i="61"/>
  <c r="U14" i="61"/>
  <c r="Q14" i="62"/>
  <c r="S14" i="62"/>
  <c r="R14" i="62"/>
  <c r="P14" i="62"/>
  <c r="O14" i="62"/>
  <c r="N14" i="62"/>
  <c r="M14" i="62"/>
  <c r="S14" i="60"/>
  <c r="R14" i="60"/>
  <c r="Q14" i="60"/>
  <c r="P14" i="60"/>
  <c r="O14" i="60"/>
  <c r="N14" i="60"/>
  <c r="M14" i="60"/>
  <c r="AA14" i="63"/>
  <c r="Z14" i="63"/>
  <c r="Y14" i="63"/>
  <c r="X14" i="63"/>
  <c r="W14" i="63"/>
  <c r="V14" i="63"/>
  <c r="U14" i="63"/>
  <c r="S14" i="63"/>
  <c r="R14" i="63"/>
  <c r="Q14" i="63"/>
  <c r="P14" i="63"/>
  <c r="O14" i="63"/>
  <c r="N14" i="63"/>
  <c r="M14" i="63"/>
  <c r="Q14" i="65"/>
  <c r="P14" i="65"/>
  <c r="O14" i="65"/>
  <c r="R14" i="65"/>
  <c r="Z14" i="65"/>
  <c r="Y14" i="65"/>
  <c r="X14" i="65"/>
  <c r="W14" i="65"/>
  <c r="V14" i="65"/>
  <c r="U14" i="65"/>
  <c r="AA14" i="64"/>
  <c r="Z14" i="64"/>
  <c r="Y14" i="64"/>
  <c r="X14" i="64"/>
  <c r="W14" i="64"/>
  <c r="V14" i="64"/>
  <c r="U14" i="64"/>
  <c r="S14" i="64"/>
  <c r="R14" i="64"/>
  <c r="Q14" i="64"/>
  <c r="P14" i="64"/>
  <c r="O14" i="64"/>
  <c r="N14" i="64"/>
  <c r="M14" i="64"/>
  <c r="O14" i="66"/>
  <c r="N14" i="66"/>
  <c r="S14" i="66"/>
  <c r="R14" i="66"/>
  <c r="U14" i="66"/>
  <c r="AA14" i="66"/>
  <c r="W14" i="66"/>
  <c r="Z14" i="66"/>
  <c r="Y14" i="66"/>
  <c r="X14" i="66"/>
  <c r="V14" i="66"/>
  <c r="AA14" i="59"/>
  <c r="U14" i="59"/>
  <c r="Y14" i="59"/>
  <c r="W14" i="59"/>
  <c r="Z14" i="59"/>
  <c r="X14" i="59"/>
  <c r="V14" i="59"/>
  <c r="P14" i="59"/>
  <c r="O14" i="59"/>
  <c r="N14" i="59"/>
  <c r="M14" i="59"/>
  <c r="S14" i="59"/>
  <c r="Q14" i="59"/>
  <c r="R14" i="59"/>
  <c r="AA14" i="58"/>
  <c r="Z14" i="58"/>
  <c r="Y14" i="58"/>
  <c r="X14" i="58"/>
  <c r="W14" i="58"/>
  <c r="V14" i="58"/>
  <c r="U14" i="58"/>
  <c r="Q14" i="58"/>
  <c r="P14" i="58"/>
  <c r="O14" i="58"/>
  <c r="N14" i="58"/>
  <c r="M14" i="58"/>
  <c r="S14" i="58"/>
  <c r="R14" i="58"/>
  <c r="Q14" i="57"/>
  <c r="P14" i="57"/>
  <c r="M14" i="57"/>
  <c r="O14" i="57"/>
  <c r="N14" i="57"/>
  <c r="S14" i="57"/>
  <c r="R14" i="57"/>
  <c r="W14" i="57"/>
  <c r="AA14" i="57"/>
  <c r="Z14" i="57"/>
  <c r="Y14" i="57"/>
  <c r="X14" i="57"/>
  <c r="V14" i="57"/>
  <c r="U14" i="57"/>
  <c r="D9" i="67"/>
  <c r="I8" i="67"/>
  <c r="I6" i="67"/>
  <c r="I10" i="67"/>
  <c r="F5" i="67"/>
  <c r="G4" i="67"/>
  <c r="E7" i="67"/>
  <c r="F11" i="67"/>
  <c r="E3" i="67"/>
  <c r="F7" i="67"/>
  <c r="F3" i="67"/>
  <c r="G10" i="67"/>
  <c r="D5" i="67"/>
  <c r="H12" i="67"/>
  <c r="E11" i="67"/>
  <c r="E9" i="67"/>
  <c r="C12" i="67"/>
  <c r="I4" i="67"/>
  <c r="C6" i="67"/>
  <c r="C10" i="67"/>
  <c r="G8" i="67"/>
  <c r="H10" i="67"/>
  <c r="C4" i="67"/>
  <c r="D7" i="67"/>
  <c r="D3" i="67"/>
  <c r="F9" i="67"/>
  <c r="H4" i="67"/>
  <c r="G12" i="67"/>
  <c r="C8" i="67"/>
  <c r="G6" i="67"/>
  <c r="E5" i="67"/>
  <c r="H6" i="67"/>
  <c r="H8" i="67"/>
  <c r="D11" i="67"/>
  <c r="I12" i="67"/>
  <c r="G3" i="67"/>
  <c r="G9" i="67"/>
  <c r="D10" i="67"/>
  <c r="H3" i="67"/>
  <c r="E4" i="67"/>
  <c r="H9" i="67"/>
  <c r="H11" i="67"/>
  <c r="E12" i="67"/>
  <c r="D4" i="67"/>
  <c r="G7" i="67"/>
  <c r="D8" i="67"/>
  <c r="H5" i="67"/>
  <c r="E6" i="67"/>
  <c r="C5" i="67"/>
  <c r="C7" i="67"/>
  <c r="I7" i="67"/>
  <c r="C9" i="67"/>
  <c r="I9" i="67"/>
  <c r="F10" i="67"/>
  <c r="C11" i="67"/>
  <c r="I11" i="67"/>
  <c r="F12" i="67"/>
  <c r="G5" i="67"/>
  <c r="D6" i="67"/>
  <c r="G11" i="67"/>
  <c r="D12" i="67"/>
  <c r="H7" i="67"/>
  <c r="E8" i="67"/>
  <c r="E10" i="67"/>
  <c r="C3" i="67"/>
  <c r="I3" i="67"/>
  <c r="F4" i="67"/>
  <c r="I5" i="67"/>
  <c r="F6" i="67"/>
  <c r="F8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K4" i="67" a="1"/>
  <c r="V12" i="67" a="1"/>
  <c r="V7" i="67" a="1"/>
  <c r="S6" i="67" a="1"/>
  <c r="M10" i="67" a="1"/>
  <c r="M11" i="67" a="1"/>
  <c r="K5" i="67" a="1"/>
  <c r="O10" i="67" a="1"/>
  <c r="Q4" i="67" a="1"/>
  <c r="O5" i="67" a="1"/>
  <c r="P10" i="67" a="1"/>
  <c r="W12" i="67" a="1"/>
  <c r="T4" i="67" a="1"/>
  <c r="P5" i="67" a="1"/>
  <c r="S11" i="67" a="1"/>
  <c r="P7" i="67" a="1"/>
  <c r="Y8" i="67" a="1"/>
  <c r="S12" i="67" a="1"/>
  <c r="W9" i="67" a="1"/>
  <c r="O4" i="67" a="1"/>
  <c r="K12" i="67" a="1"/>
  <c r="Q8" i="67" a="1"/>
  <c r="T7" i="67" a="1"/>
  <c r="V8" i="67" a="1"/>
  <c r="W5" i="67" a="1"/>
  <c r="T3" i="67" a="1"/>
  <c r="V5" i="67" a="1"/>
  <c r="Q5" i="67" a="1"/>
  <c r="N11" i="67" a="1"/>
  <c r="Y3" i="67" a="1"/>
  <c r="U8" i="67" a="1"/>
  <c r="V9" i="67" a="1"/>
  <c r="U3" i="67" a="1"/>
  <c r="K6" i="67" a="1"/>
  <c r="N5" i="67" a="1"/>
  <c r="M8" i="67" a="1"/>
  <c r="N6" i="67" a="1"/>
  <c r="Y6" i="67" a="1"/>
  <c r="N3" i="67" a="1"/>
  <c r="P6" i="67" a="1"/>
  <c r="U9" i="67" a="1"/>
  <c r="U4" i="67" a="1"/>
  <c r="S10" i="67" a="1"/>
  <c r="X5" i="67" a="1"/>
  <c r="Y7" i="67" a="1"/>
  <c r="W4" i="67" a="1"/>
  <c r="P8" i="67" a="1"/>
  <c r="U12" i="67" a="1"/>
  <c r="Q3" i="67" a="1"/>
  <c r="M4" i="67" a="1"/>
  <c r="U7" i="67" a="1"/>
  <c r="K11" i="67" a="1"/>
  <c r="S3" i="67" a="1"/>
  <c r="L10" i="67" a="1"/>
  <c r="L5" i="67" a="1"/>
  <c r="O11" i="67" a="1"/>
  <c r="S5" i="67" a="1"/>
  <c r="N7" i="67" a="1"/>
  <c r="S9" i="67" a="1"/>
  <c r="P3" i="67" a="1"/>
  <c r="P9" i="67" a="1"/>
  <c r="S8" i="67" a="1"/>
  <c r="T5" i="67" a="1"/>
  <c r="P11" i="67" a="1"/>
  <c r="Y5" i="67" a="1"/>
  <c r="Y9" i="67" a="1"/>
  <c r="O3" i="67" a="1"/>
  <c r="U6" i="67" a="1"/>
  <c r="K7" i="67" a="1"/>
  <c r="T9" i="67" a="1"/>
  <c r="T8" i="67" a="1"/>
  <c r="L9" i="67" a="1"/>
  <c r="X7" i="67" a="1"/>
  <c r="O9" i="67" a="1"/>
  <c r="X3" i="67" a="1"/>
  <c r="Q7" i="67" a="1"/>
  <c r="L11" i="67" a="1"/>
  <c r="W7" i="67" a="1"/>
  <c r="M3" i="67" a="1"/>
  <c r="U5" i="67" a="1"/>
  <c r="K9" i="67" a="1"/>
  <c r="S7" i="67" a="1"/>
  <c r="Y12" i="67" a="1"/>
  <c r="S4" i="67" a="1"/>
  <c r="N4" i="67" a="1"/>
  <c r="Q9" i="67" a="1"/>
  <c r="O12" i="67" a="1"/>
  <c r="N10" i="67" a="1"/>
  <c r="L3" i="67" a="1"/>
  <c r="X9" i="67" a="1"/>
  <c r="Q6" i="67" a="1"/>
  <c r="N9" i="67" a="1"/>
  <c r="W6" i="67" a="1"/>
  <c r="P4" i="67" a="1"/>
  <c r="K3" i="67" a="1"/>
  <c r="X4" i="67" a="1"/>
  <c r="M5" i="67" a="1"/>
  <c r="N8" i="67" a="1"/>
  <c r="M6" i="67" a="1"/>
  <c r="O7" i="67" a="1"/>
  <c r="Q10" i="67" a="1"/>
  <c r="K8" i="67" a="1"/>
  <c r="O8" i="67" a="1"/>
  <c r="Q11" i="67" a="1"/>
  <c r="M9" i="67" a="1"/>
  <c r="X6" i="67" a="1"/>
  <c r="W3" i="67" a="1"/>
  <c r="K10" i="67" a="1"/>
  <c r="X12" i="67" a="1"/>
  <c r="W8" i="67" a="1"/>
  <c r="T12" i="67" a="1"/>
  <c r="Y4" i="67" a="1"/>
  <c r="L4" i="67" a="1"/>
  <c r="V6" i="67" a="1"/>
  <c r="V4" i="67" a="1"/>
  <c r="M7" i="67" a="1"/>
  <c r="X8" i="67" a="1"/>
  <c r="T6" i="67" a="1"/>
  <c r="L7" i="67" a="1"/>
  <c r="V3" i="67" a="1"/>
  <c r="S12" i="67" l="1"/>
  <c r="U14" i="62"/>
  <c r="V14" i="62"/>
  <c r="W14" i="62"/>
  <c r="X14" i="62"/>
  <c r="Y14" i="62"/>
  <c r="Z14" i="62"/>
  <c r="S11" i="67"/>
  <c r="U14" i="60"/>
  <c r="Z14" i="60"/>
  <c r="S10" i="67"/>
  <c r="V14" i="60"/>
  <c r="W14" i="60"/>
  <c r="X14" i="60"/>
  <c r="Y14" i="60"/>
  <c r="S9" i="67"/>
  <c r="AA14" i="65"/>
  <c r="S8" i="67"/>
  <c r="S7" i="67"/>
  <c r="S6" i="67"/>
  <c r="S5" i="67"/>
  <c r="S4" i="67"/>
  <c r="S3" i="67"/>
  <c r="M14" i="61"/>
  <c r="R14" i="61"/>
  <c r="S14" i="61"/>
  <c r="N14" i="61"/>
  <c r="O14" i="61"/>
  <c r="Q14" i="61"/>
  <c r="S14" i="65"/>
  <c r="M14" i="65"/>
  <c r="P14" i="66"/>
  <c r="M14" i="66"/>
  <c r="T12" i="67"/>
  <c r="V12" i="67"/>
  <c r="Y12" i="67"/>
  <c r="U12" i="67"/>
  <c r="W12" i="67"/>
  <c r="X12" i="67"/>
  <c r="Z2" i="61"/>
  <c r="R2" i="61"/>
  <c r="X2" i="61"/>
  <c r="P2" i="61"/>
  <c r="P2" i="62"/>
  <c r="R2" i="62"/>
  <c r="X2" i="62"/>
  <c r="Z2" i="62"/>
  <c r="X2" i="60"/>
  <c r="P2" i="60"/>
  <c r="Z2" i="60"/>
  <c r="R2" i="60"/>
  <c r="T9" i="67"/>
  <c r="V9" i="67"/>
  <c r="U9" i="67"/>
  <c r="W9" i="67"/>
  <c r="X9" i="67"/>
  <c r="Y9" i="67"/>
  <c r="P2" i="63"/>
  <c r="R2" i="63"/>
  <c r="X2" i="63"/>
  <c r="Z2" i="63"/>
  <c r="T8" i="67"/>
  <c r="V8" i="67"/>
  <c r="W8" i="67"/>
  <c r="X8" i="67"/>
  <c r="Y8" i="67"/>
  <c r="U8" i="67"/>
  <c r="X2" i="65"/>
  <c r="Z2" i="65"/>
  <c r="P2" i="65"/>
  <c r="R2" i="65"/>
  <c r="U7" i="67"/>
  <c r="V7" i="67"/>
  <c r="W7" i="67"/>
  <c r="T7" i="67"/>
  <c r="X7" i="67"/>
  <c r="Y7" i="67"/>
  <c r="P2" i="64"/>
  <c r="X2" i="64"/>
  <c r="R2" i="64"/>
  <c r="Z2" i="64"/>
  <c r="W6" i="67"/>
  <c r="X6" i="67"/>
  <c r="Y6" i="67"/>
  <c r="V6" i="67"/>
  <c r="T6" i="67"/>
  <c r="U6" i="67"/>
  <c r="X2" i="66"/>
  <c r="Z2" i="66"/>
  <c r="R2" i="66"/>
  <c r="P2" i="66"/>
  <c r="W5" i="67"/>
  <c r="V5" i="67"/>
  <c r="Y5" i="67"/>
  <c r="X5" i="67"/>
  <c r="T5" i="67"/>
  <c r="U5" i="67"/>
  <c r="R2" i="59"/>
  <c r="X2" i="59"/>
  <c r="P2" i="59"/>
  <c r="Z2" i="59"/>
  <c r="U4" i="67"/>
  <c r="T4" i="67"/>
  <c r="V4" i="67"/>
  <c r="W4" i="67"/>
  <c r="X4" i="67"/>
  <c r="Y4" i="67"/>
  <c r="X2" i="58"/>
  <c r="P2" i="58"/>
  <c r="Z2" i="58"/>
  <c r="R2" i="58"/>
  <c r="W3" i="67"/>
  <c r="X3" i="67"/>
  <c r="Y3" i="67"/>
  <c r="V3" i="67"/>
  <c r="T3" i="67"/>
  <c r="U3" i="67"/>
  <c r="X2" i="57"/>
  <c r="Z2" i="57"/>
  <c r="R2" i="57"/>
  <c r="P2" i="57"/>
  <c r="P5" i="67"/>
  <c r="Q11" i="67"/>
  <c r="M5" i="67"/>
  <c r="O9" i="67"/>
  <c r="M6" i="67"/>
  <c r="P4" i="67"/>
  <c r="K9" i="67"/>
  <c r="Q8" i="67"/>
  <c r="P6" i="67"/>
  <c r="O10" i="67"/>
  <c r="L4" i="67"/>
  <c r="L3" i="67"/>
  <c r="Q10" i="67"/>
  <c r="M3" i="67"/>
  <c r="O4" i="67"/>
  <c r="N5" i="67"/>
  <c r="N11" i="67"/>
  <c r="M11" i="67"/>
  <c r="Q9" i="67"/>
  <c r="N6" i="67"/>
  <c r="Q3" i="67"/>
  <c r="K4" i="67"/>
  <c r="P10" i="67"/>
  <c r="O8" i="67"/>
  <c r="O5" i="67"/>
  <c r="P11" i="67"/>
  <c r="P9" i="67"/>
  <c r="N8" i="67"/>
  <c r="Q4" i="67"/>
  <c r="K5" i="67"/>
  <c r="L10" i="67"/>
  <c r="N10" i="67"/>
  <c r="L9" i="67"/>
  <c r="P8" i="67"/>
  <c r="K11" i="67"/>
  <c r="M9" i="67"/>
  <c r="K6" i="67"/>
  <c r="O11" i="67"/>
  <c r="N9" i="67"/>
  <c r="P3" i="67"/>
  <c r="K12" i="67"/>
  <c r="L11" i="67"/>
  <c r="M8" i="67"/>
  <c r="O3" i="67"/>
  <c r="M4" i="67"/>
  <c r="O12" i="67"/>
  <c r="Q6" i="67"/>
  <c r="N3" i="67"/>
  <c r="N4" i="67"/>
  <c r="L5" i="67"/>
  <c r="K10" i="67"/>
  <c r="K3" i="67"/>
  <c r="Q5" i="67"/>
  <c r="M10" i="67"/>
  <c r="K8" i="67"/>
  <c r="D13" i="67"/>
  <c r="E13" i="67"/>
  <c r="H13" i="67"/>
  <c r="G13" i="67"/>
  <c r="I13" i="67"/>
  <c r="C13" i="67"/>
  <c r="J13" i="67" s="1"/>
  <c r="F13" i="67"/>
  <c r="N7" i="67"/>
  <c r="L7" i="67"/>
  <c r="M7" i="67"/>
  <c r="P7" i="67"/>
  <c r="O7" i="67"/>
  <c r="K7" i="67"/>
  <c r="Q7" i="67"/>
  <c r="D14" i="66"/>
  <c r="D14" i="65"/>
  <c r="D14" i="64"/>
  <c r="D14" i="63"/>
  <c r="D14" i="62"/>
  <c r="D14" i="61"/>
  <c r="D14" i="60"/>
  <c r="D14" i="59"/>
  <c r="D14" i="58"/>
  <c r="D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T11" i="67" a="1"/>
  <c r="M12" i="67" a="1"/>
  <c r="O6" i="67" a="1"/>
  <c r="Y11" i="67" a="1"/>
  <c r="Q12" i="67" a="1"/>
  <c r="L8" i="67" a="1"/>
  <c r="P12" i="67" a="1"/>
  <c r="N12" i="67" a="1"/>
  <c r="L12" i="67" a="1"/>
  <c r="T10" i="67" a="1"/>
  <c r="X10" i="67" a="1"/>
  <c r="W10" i="67" a="1"/>
  <c r="U10" i="67" a="1"/>
  <c r="L6" i="67" a="1"/>
  <c r="Y10" i="67" a="1"/>
  <c r="X11" i="67" a="1"/>
  <c r="V11" i="67" a="1"/>
  <c r="V10" i="67" a="1"/>
  <c r="W11" i="67" a="1"/>
  <c r="U11" i="67" a="1"/>
  <c r="V11" i="67" l="1"/>
  <c r="U11" i="67"/>
  <c r="T11" i="67"/>
  <c r="Y11" i="67"/>
  <c r="X11" i="67"/>
  <c r="W11" i="67"/>
  <c r="Y10" i="67"/>
  <c r="T10" i="67"/>
  <c r="X10" i="67"/>
  <c r="W10" i="67"/>
  <c r="V10" i="67"/>
  <c r="U10" i="67"/>
  <c r="S13" i="67"/>
  <c r="Z13" i="67" s="1"/>
  <c r="N12" i="67"/>
  <c r="N13" i="67" s="1"/>
  <c r="M12" i="67"/>
  <c r="M13" i="67" s="1"/>
  <c r="Q12" i="67"/>
  <c r="Q13" i="67" s="1"/>
  <c r="L12" i="67"/>
  <c r="P12" i="67"/>
  <c r="P13" i="67" s="1"/>
  <c r="L8" i="67"/>
  <c r="L6" i="67"/>
  <c r="O6" i="67"/>
  <c r="O13" i="67" s="1"/>
  <c r="K13" i="67"/>
  <c r="R13" i="67" s="1"/>
  <c r="I14" i="66"/>
  <c r="H14" i="66"/>
  <c r="G14" i="66"/>
  <c r="F14" i="66"/>
  <c r="E14" i="66"/>
  <c r="J14" i="66"/>
  <c r="I14" i="65"/>
  <c r="H14" i="65"/>
  <c r="G14" i="65"/>
  <c r="F14" i="65"/>
  <c r="E14" i="65"/>
  <c r="J14" i="65"/>
  <c r="I14" i="64"/>
  <c r="H14" i="64"/>
  <c r="G14" i="64"/>
  <c r="F14" i="64"/>
  <c r="E14" i="64"/>
  <c r="J14" i="64"/>
  <c r="I14" i="63"/>
  <c r="H14" i="63"/>
  <c r="G14" i="63"/>
  <c r="F14" i="63"/>
  <c r="E14" i="63"/>
  <c r="J14" i="63"/>
  <c r="I14" i="62"/>
  <c r="H14" i="62"/>
  <c r="G14" i="62"/>
  <c r="F14" i="62"/>
  <c r="E14" i="62"/>
  <c r="J14" i="62"/>
  <c r="I14" i="61"/>
  <c r="H14" i="61"/>
  <c r="G14" i="61"/>
  <c r="F14" i="61"/>
  <c r="E14" i="61"/>
  <c r="J14" i="61"/>
  <c r="I14" i="60"/>
  <c r="H14" i="60"/>
  <c r="G14" i="60"/>
  <c r="J14" i="60"/>
  <c r="F14" i="60"/>
  <c r="E14" i="60"/>
  <c r="I14" i="59"/>
  <c r="H14" i="59"/>
  <c r="G14" i="59"/>
  <c r="F14" i="59"/>
  <c r="E14" i="59"/>
  <c r="J14" i="59"/>
  <c r="I14" i="58"/>
  <c r="H14" i="58"/>
  <c r="G14" i="58"/>
  <c r="F14" i="58"/>
  <c r="E14" i="58"/>
  <c r="J14" i="58"/>
  <c r="I14" i="57"/>
  <c r="H14" i="57"/>
  <c r="G14" i="57"/>
  <c r="F14" i="57"/>
  <c r="E14" i="57"/>
  <c r="J14" i="57"/>
  <c r="G14" i="26"/>
  <c r="E14" i="26"/>
  <c r="D14" i="26"/>
  <c r="K14" i="26"/>
  <c r="P14" i="25"/>
  <c r="N14" i="25"/>
  <c r="M14" i="25"/>
  <c r="T14" i="25"/>
  <c r="D14" i="25"/>
  <c r="H4" i="23" a="1"/>
  <c r="I4" i="23" a="1"/>
  <c r="X13" i="67" l="1"/>
  <c r="T13" i="67"/>
  <c r="W13" i="67"/>
  <c r="Y13" i="67"/>
  <c r="U13" i="67"/>
  <c r="V13" i="67"/>
  <c r="L13" i="67"/>
  <c r="J2" i="66"/>
  <c r="H2" i="66"/>
  <c r="J2" i="65"/>
  <c r="H2" i="65"/>
  <c r="J2" i="64"/>
  <c r="H2" i="64"/>
  <c r="J2" i="63"/>
  <c r="H2" i="63"/>
  <c r="J2" i="62"/>
  <c r="H2" i="62"/>
  <c r="J2" i="61"/>
  <c r="H2" i="61"/>
  <c r="J2" i="60"/>
  <c r="H2" i="60"/>
  <c r="J2" i="59"/>
  <c r="H2" i="59"/>
  <c r="H2" i="58"/>
  <c r="J2" i="58"/>
  <c r="H2" i="57"/>
  <c r="J2" i="57"/>
  <c r="H4" i="23"/>
  <c r="I4" i="23"/>
  <c r="F12" i="23" a="1"/>
  <c r="G4" i="23" a="1"/>
  <c r="E13" i="23" a="1"/>
  <c r="D11" i="23" a="1"/>
  <c r="F4" i="23" a="1"/>
  <c r="E4" i="23" a="1"/>
  <c r="E12" i="23" a="1"/>
  <c r="F13" i="23" a="1"/>
  <c r="D10" i="23" a="1"/>
  <c r="G6" i="23" a="1"/>
  <c r="E9" i="23" a="1"/>
  <c r="G7" i="23" a="1"/>
  <c r="G9" i="23" a="1"/>
  <c r="D9" i="23" a="1"/>
  <c r="E6" i="23" a="1"/>
  <c r="D7" i="23" a="1"/>
  <c r="G12" i="23" a="1"/>
  <c r="G11" i="23" a="1"/>
  <c r="F8" i="23" a="1"/>
  <c r="E10" i="23" a="1"/>
  <c r="F6" i="23" a="1"/>
  <c r="D5" i="23" a="1"/>
  <c r="F11" i="23" a="1"/>
  <c r="G8" i="23" a="1"/>
  <c r="E11" i="23" a="1"/>
  <c r="G10" i="23" a="1"/>
  <c r="F9" i="23" a="1"/>
  <c r="D4" i="23" a="1"/>
  <c r="E7" i="23" a="1"/>
  <c r="D12" i="23" a="1"/>
  <c r="E5" i="23" a="1"/>
  <c r="D6" i="23" a="1"/>
  <c r="F5" i="23" a="1"/>
  <c r="F10" i="23" a="1"/>
  <c r="E8" i="23" a="1"/>
  <c r="D8" i="23" a="1"/>
  <c r="G13" i="23" a="1"/>
  <c r="F7" i="23" a="1"/>
  <c r="G5" i="23" a="1"/>
  <c r="D13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<sst xmlns="http://schemas.openxmlformats.org/spreadsheetml/2006/main" count="667" uniqueCount="20">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</sst>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3877-758B-834C-9E7F-103DA75463A6}">
  <dimension ref="B1:Z15"/>
  <sheetViews>
    <sheetView zoomScale="85" zoomScaleNormal="85" workbookViewId="0">
      <selection activeCell="B16" sqref="B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119</v>
      </c>
      <c r="C3" s="5" cm="1">
        <f t="array" aca="1" ref="C3" ca="1">INDIRECT("'results" &amp; $B3 &amp; "'!D$14")</f>
        <v>50881.670453779137</v>
      </c>
      <c r="D3" s="33" cm="1">
        <f t="array" aca="1" ref="D3" ca="1">INDIRECT("'results" &amp; $B3 &amp; "'!E$14")</f>
        <v>2.5972386250005002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95</v>
      </c>
      <c r="G3" s="5" cm="1">
        <f t="array" aca="1" ref="G3" ca="1">INDIRECT("'results" &amp; $B3 &amp; "'!H$14")</f>
        <v>16.791840255198906</v>
      </c>
      <c r="H3" s="33" cm="1">
        <f t="array" aca="1" ref="H3" ca="1">INDIRECT("'results" &amp; $B3 &amp; "'!I$14")</f>
        <v>40.313647568260933</v>
      </c>
      <c r="I3" s="5" cm="1">
        <f t="array" aca="1" ref="I3" ca="1">INDIRECT("'results" &amp; $B3 &amp; "'!J$14")</f>
        <v>1810.2045845838163</v>
      </c>
      <c r="J3" s="5"/>
      <c r="K3" s="5" cm="1">
        <f t="array" aca="1" ref="K3" ca="1">INDIRECT("'results" &amp; $B3 &amp; "'!L$14")</f>
        <v>60585.417151621732</v>
      </c>
      <c r="L3" s="5" cm="1">
        <f t="array" aca="1" ref="L3" ca="1">INDIRECT("'results" &amp; $B3 &amp; "'!M$14")</f>
        <v>3.4884153750026599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85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20.625846157278243</v>
      </c>
      <c r="Q3" s="5" cm="1">
        <f t="array" aca="1" ref="Q3" ca="1">INDIRECT("'results" &amp; $B3 &amp; "'!R$14")</f>
        <v>1346.4371719965673</v>
      </c>
      <c r="R3" s="5"/>
      <c r="S3" s="5" cm="1">
        <f t="array" aca="1" ref="S3" ca="1">INDIRECT("'results" &amp; $B3 &amp; "'!T$14")</f>
        <v>59882.332623861257</v>
      </c>
      <c r="T3" s="5" cm="1">
        <f t="array" aca="1" ref="T3" ca="1">INDIRECT("'results" &amp; $B3 &amp; "'!U$14")</f>
        <v>4.054351749997295</v>
      </c>
      <c r="U3" s="5" cm="1">
        <f t="array" aca="1" ref="U3" ca="1">INDIRECT("'results" &amp; $B3 &amp; "'!V$14")</f>
        <v>3</v>
      </c>
      <c r="V3" s="5" cm="1">
        <f t="array" aca="1" ref="V3" ca="1">INDIRECT("'results" &amp; $B3 &amp; "'!W$14")</f>
        <v>85</v>
      </c>
      <c r="W3" s="5" cm="1">
        <f t="array" aca="1" ref="W3" ca="1">INDIRECT("'results" &amp; $B3 &amp; "'!X$14")</f>
        <v>11.255450349271461</v>
      </c>
      <c r="X3" s="5" cm="1">
        <f t="array" aca="1" ref="X3" ca="1">INDIRECT("'results" &amp; $B3 &amp; "'!Y$14")</f>
        <v>48.531342214573272</v>
      </c>
      <c r="Y3" s="5" cm="1">
        <f t="array" aca="1" ref="Y3" ca="1">INDIRECT("'results" &amp; $B3 &amp; "'!Z$14")</f>
        <v>1748.5764440018079</v>
      </c>
      <c r="Z3" s="5"/>
    </row>
    <row r="4" spans="2:26" x14ac:dyDescent="0.2">
      <c r="B4" s="4">
        <v>190</v>
      </c>
      <c r="C4" s="5" cm="1">
        <f t="array" aca="1" ref="C4" ca="1">INDIRECT("'results" &amp; $B4 &amp; "'!D$14")</f>
        <v>57371.067287101978</v>
      </c>
      <c r="D4" s="33" cm="1">
        <f t="array" aca="1" ref="D4" ca="1">INDIRECT("'results" &amp; $B4 &amp; "'!E$14")</f>
        <v>2.5964591670008299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85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19.040077835059041</v>
      </c>
      <c r="I4" s="5" cm="1">
        <f t="array" aca="1" ref="I4" ca="1">INDIRECT("'results" &amp; $B4 &amp; "'!J$14")</f>
        <v>1394.2873398660095</v>
      </c>
      <c r="J4" s="5"/>
      <c r="K4" s="5" cm="1">
        <f t="array" aca="1" ref="K4" ca="1">INDIRECT("'results" &amp; $B4 &amp; "'!L$14")</f>
        <v>57371.067287101978</v>
      </c>
      <c r="L4" s="5" cm="1">
        <f t="array" aca="1" ref="L4" ca="1">INDIRECT("'results" &amp; $B4 &amp; "'!M$14")</f>
        <v>2.706512875000044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85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19.040077835059041</v>
      </c>
      <c r="Q4" s="5" cm="1">
        <f t="array" aca="1" ref="Q4" ca="1">INDIRECT("'results" &amp; $B4 &amp; "'!R$14")</f>
        <v>1394.2873398660095</v>
      </c>
      <c r="R4" s="5"/>
      <c r="S4" s="5" cm="1">
        <f t="array" aca="1" ref="S4" ca="1">INDIRECT("'results" &amp; $B4 &amp; "'!T$14")</f>
        <v>67050.718120312478</v>
      </c>
      <c r="T4" s="5" cm="1">
        <f t="array" aca="1" ref="T4" ca="1">INDIRECT("'results" &amp; $B4 &amp; "'!U$14")</f>
        <v>3.291068833997997</v>
      </c>
      <c r="U4" s="5" cm="1">
        <f t="array" aca="1" ref="U4" ca="1">INDIRECT("'results" &amp; $B4 &amp; "'!V$14")</f>
        <v>3</v>
      </c>
      <c r="V4" s="5" cm="1">
        <f t="array" aca="1" ref="V4" ca="1">INDIRECT("'results" &amp; $B4 &amp; "'!W$14")</f>
        <v>85</v>
      </c>
      <c r="W4" s="5" cm="1">
        <f t="array" aca="1" ref="W4" ca="1">INDIRECT("'results" &amp; $B4 &amp; "'!X$14")</f>
        <v>2.3592133666229791</v>
      </c>
      <c r="X4" s="5" cm="1">
        <f t="array" aca="1" ref="X4" ca="1">INDIRECT("'results" &amp; $B4 &amp; "'!Y$14")</f>
        <v>23.26547417725001</v>
      </c>
      <c r="Y4" s="5" cm="1">
        <f t="array" aca="1" ref="Y4" ca="1">INDIRECT("'results" &amp; $B4 &amp; "'!Z$14")</f>
        <v>1549.4899460794666</v>
      </c>
      <c r="Z4" s="5"/>
    </row>
    <row r="5" spans="2:26" x14ac:dyDescent="0.2">
      <c r="B5" s="4">
        <v>372</v>
      </c>
      <c r="C5" s="5" cm="1">
        <f t="array" aca="1" ref="C5" ca="1">INDIRECT("'results" &amp; $B5 &amp; "'!D$14")</f>
        <v>49534.207125809669</v>
      </c>
      <c r="D5" s="33" cm="1">
        <f t="array" aca="1" ref="D5" ca="1">INDIRECT("'results" &amp; $B5 &amp; "'!E$14")</f>
        <v>2.8482388330003232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7.3325820654510556</v>
      </c>
      <c r="H5" s="33" cm="1">
        <f t="array" aca="1" ref="H5" ca="1">INDIRECT("'results" &amp; $B5 &amp; "'!I$14")</f>
        <v>43.505655392047267</v>
      </c>
      <c r="I5" s="5" cm="1">
        <f t="array" aca="1" ref="I5" ca="1">INDIRECT("'results" &amp; $B5 &amp; "'!J$14")</f>
        <v>1477.4735078294689</v>
      </c>
      <c r="J5" s="5"/>
      <c r="K5" s="5" cm="1">
        <f t="array" aca="1" ref="K5" ca="1">INDIRECT("'results" &amp; $B5 &amp; "'!L$14")</f>
        <v>65198.979850634707</v>
      </c>
      <c r="L5" s="5" cm="1">
        <f t="array" aca="1" ref="L5" ca="1">INDIRECT("'results" &amp; $B5 &amp; "'!M$14")</f>
        <v>4.4036844580004981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75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18.577148628786819</v>
      </c>
      <c r="Q5" s="5" cm="1">
        <f t="array" aca="1" ref="Q5" ca="1">INDIRECT("'results" &amp; $B5 &amp; "'!R$14")</f>
        <v>986.36163461791978</v>
      </c>
      <c r="R5" s="5"/>
      <c r="S5" s="5" cm="1">
        <f t="array" aca="1" ref="S5" ca="1">INDIRECT("'results" &amp; $B5 &amp; "'!T$14")</f>
        <v>58944.616323736169</v>
      </c>
      <c r="T5" s="5" cm="1">
        <f t="array" aca="1" ref="T5" ca="1">INDIRECT("'results" &amp; $B5 &amp; "'!U$14")</f>
        <v>4.0259323330028556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90</v>
      </c>
      <c r="W5" s="5" cm="1">
        <f t="array" aca="1" ref="W5" ca="1">INDIRECT("'results" &amp; $B5 &amp; "'!X$14")</f>
        <v>24.128333699438016</v>
      </c>
      <c r="X5" s="5" cm="1">
        <f t="array" aca="1" ref="X5" ca="1">INDIRECT("'results" &amp; $B5 &amp; "'!Y$14")</f>
        <v>49.24044940639908</v>
      </c>
      <c r="Y5" s="5" cm="1">
        <f t="array" aca="1" ref="Y5" ca="1">INDIRECT("'results" &amp; $B5 &amp; "'!Z$14")</f>
        <v>1718.8850065659562</v>
      </c>
      <c r="Z5" s="5"/>
    </row>
    <row r="6" spans="2:26" x14ac:dyDescent="0.2">
      <c r="B6" s="4">
        <v>440</v>
      </c>
      <c r="C6" s="5" cm="1">
        <f t="array" aca="1" ref="C6" ca="1">INDIRECT("'results" &amp; $B6 &amp; "'!D$14")</f>
        <v>47931.50682278708</v>
      </c>
      <c r="D6" s="33" cm="1">
        <f t="array" aca="1" ref="D6" ca="1">INDIRECT("'results" &amp; $B6 &amp; "'!E$14")</f>
        <v>2.6835156660008579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95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33.75035329346472</v>
      </c>
      <c r="I6" s="5" cm="1">
        <f t="array" aca="1" ref="I6" ca="1">INDIRECT("'results" &amp; $B6 &amp; "'!J$14")</f>
        <v>1557.000880385139</v>
      </c>
      <c r="J6" s="5"/>
      <c r="K6" s="5" cm="1">
        <f t="array" aca="1" ref="K6" ca="1">INDIRECT("'results" &amp; $B6 &amp; "'!L$14")</f>
        <v>60960.495096751787</v>
      </c>
      <c r="L6" s="5" cm="1">
        <f t="array" aca="1" ref="L6" ca="1">INDIRECT("'results" &amp; $B6 &amp; "'!M$14")</f>
        <v>4.3931773330004944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80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20.123769000336036</v>
      </c>
      <c r="Q6" s="5" cm="1">
        <f t="array" aca="1" ref="Q6" ca="1">INDIRECT("'results" &amp; $B6 &amp; "'!R$14")</f>
        <v>1051.3937957433359</v>
      </c>
      <c r="R6" s="5"/>
      <c r="S6" s="5" cm="1">
        <f t="array" aca="1" ref="S6" ca="1">INDIRECT("'results" &amp; $B6 &amp; "'!T$14")</f>
        <v>57712.892723472789</v>
      </c>
      <c r="T6" s="5" cm="1">
        <f t="array" aca="1" ref="T6" ca="1">INDIRECT("'results" &amp; $B6 &amp; "'!U$14")</f>
        <v>3.2859845829989349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95</v>
      </c>
      <c r="W6" s="5" cm="1">
        <f t="array" aca="1" ref="W6" ca="1">INDIRECT("'results" &amp; $B6 &amp; "'!X$14")</f>
        <v>8.4839549859614518</v>
      </c>
      <c r="X6" s="5" cm="1">
        <f t="array" aca="1" ref="X6" ca="1">INDIRECT("'results" &amp; $B6 &amp; "'!Y$14")</f>
        <v>55.335414299227217</v>
      </c>
      <c r="Y6" s="5" cm="1">
        <f t="array" aca="1" ref="Y6" ca="1">INDIRECT("'results" &amp; $B6 &amp; "'!Z$14")</f>
        <v>2050.0955828591868</v>
      </c>
      <c r="Z6" s="5"/>
    </row>
    <row r="7" spans="2:26" x14ac:dyDescent="0.2">
      <c r="B7" s="4">
        <v>522</v>
      </c>
      <c r="C7" s="5" cm="1">
        <f t="array" aca="1" ref="C7" ca="1">INDIRECT("'results" &amp; $B7 &amp; "'!D$14")</f>
        <v>54322.432382085899</v>
      </c>
      <c r="D7" s="33" cm="1">
        <f t="array" aca="1" ref="D7" ca="1">INDIRECT("'results" &amp; $B7 &amp; "'!E$14")</f>
        <v>2.9407132090000232</v>
      </c>
      <c r="E7" s="5" cm="1">
        <f t="array" aca="1" ref="E7" ca="1">INDIRECT("'results" &amp; $B7 &amp; "'!F$14")</f>
        <v>3</v>
      </c>
      <c r="F7" s="5" cm="1">
        <f t="array" aca="1" ref="F7" ca="1">INDIRECT("'results" &amp; $B7 &amp; "'!G$14")</f>
        <v>100</v>
      </c>
      <c r="G7" s="5" cm="1">
        <f t="array" aca="1" ref="G7" ca="1">INDIRECT("'results" &amp; $B7 &amp; "'!H$14")</f>
        <v>24.937812288909548</v>
      </c>
      <c r="H7" s="33" cm="1">
        <f t="array" aca="1" ref="H7" ca="1">INDIRECT("'results" &amp; $B7 &amp; "'!I$14")</f>
        <v>32.182398966785136</v>
      </c>
      <c r="I7" s="5" cm="1">
        <f t="array" aca="1" ref="I7" ca="1">INDIRECT("'results" &amp; $B7 &amp; "'!J$14")</f>
        <v>1615.2145566904276</v>
      </c>
      <c r="J7" s="5"/>
      <c r="K7" s="5" cm="1">
        <f t="array" aca="1" ref="K7" ca="1">INDIRECT("'results" &amp; $B7 &amp; "'!L$14")</f>
        <v>69346.213177694386</v>
      </c>
      <c r="L7" s="5" cm="1">
        <f t="array" aca="1" ref="L7" ca="1">INDIRECT("'results" &amp; $B7 &amp; "'!M$14")</f>
        <v>4.9940052080019086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75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20.55333947116522</v>
      </c>
      <c r="Q7" s="5" cm="1">
        <f t="array" aca="1" ref="Q7" ca="1">INDIRECT("'results" &amp; $B7 &amp; "'!R$14")</f>
        <v>1266.0289408187684</v>
      </c>
      <c r="R7" s="5"/>
      <c r="S7" s="5" cm="1">
        <f t="array" aca="1" ref="S7" ca="1">INDIRECT("'results" &amp; $B7 &amp; "'!T$14")</f>
        <v>67477.062808825052</v>
      </c>
      <c r="T7" s="5" cm="1">
        <f t="array" aca="1" ref="T7" ca="1">INDIRECT("'results" &amp; $B7 &amp; "'!U$14")</f>
        <v>3.0324159579977281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80</v>
      </c>
      <c r="W7" s="5" cm="1">
        <f t="array" aca="1" ref="W7" ca="1">INDIRECT("'results" &amp; $B7 &amp; "'!X$14")</f>
        <v>185.58851835856535</v>
      </c>
      <c r="X7" s="5" cm="1">
        <f t="array" aca="1" ref="X7" ca="1">INDIRECT("'results" &amp; $B7 &amp; "'!Y$14")</f>
        <v>69.819015146944807</v>
      </c>
      <c r="Y7" s="5" cm="1">
        <f t="array" aca="1" ref="Y7" ca="1">INDIRECT("'results" &amp; $B7 &amp; "'!Z$14")</f>
        <v>2383.678617567954</v>
      </c>
      <c r="Z7" s="5"/>
    </row>
    <row r="8" spans="2:26" x14ac:dyDescent="0.2">
      <c r="B8" s="4">
        <v>644</v>
      </c>
      <c r="C8" s="5" cm="1">
        <f t="array" aca="1" ref="C8" ca="1">INDIRECT("'results" &amp; $B8 &amp; "'!D$14")</f>
        <v>38717.786789514859</v>
      </c>
      <c r="D8" s="33" cm="1">
        <f t="array" aca="1" ref="D8" ca="1">INDIRECT("'results" &amp; $B8 &amp; "'!E$14")</f>
        <v>1.604440375000195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100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28.30506578698435</v>
      </c>
      <c r="I8" s="5" cm="1">
        <f t="array" aca="1" ref="I8" ca="1">INDIRECT("'results" &amp; $B8 &amp; "'!J$14")</f>
        <v>1158.007859143017</v>
      </c>
      <c r="J8" s="5"/>
      <c r="K8" s="5" cm="1">
        <f t="array" aca="1" ref="K8" ca="1">INDIRECT("'results" &amp; $B8 &amp; "'!L$14")</f>
        <v>48336.264596020148</v>
      </c>
      <c r="L8" s="5" cm="1">
        <f t="array" aca="1" ref="L8" ca="1">INDIRECT("'results" &amp; $B8 &amp; "'!M$14")</f>
        <v>3.8957954169964069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95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15.239276814277128</v>
      </c>
      <c r="Q8" s="5" cm="1">
        <f t="array" aca="1" ref="Q8" ca="1">INDIRECT("'results" &amp; $B8 &amp; "'!R$14")</f>
        <v>896.27519282352432</v>
      </c>
      <c r="R8" s="5"/>
      <c r="S8" s="5" cm="1">
        <f t="array" aca="1" ref="S8" ca="1">INDIRECT("'results" &amp; $B8 &amp; "'!T$14")</f>
        <v>44253.662424585862</v>
      </c>
      <c r="T8" s="5" cm="1">
        <f t="array" aca="1" ref="T8" ca="1">INDIRECT("'results" &amp; $B8 &amp; "'!U$14")</f>
        <v>2.1987404169994988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95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36.812002561869654</v>
      </c>
      <c r="Y8" s="5" cm="1">
        <f t="array" aca="1" ref="Y8" ca="1">INDIRECT("'results" &amp; $B8 &amp; "'!Z$14")</f>
        <v>1331.6469244929315</v>
      </c>
      <c r="Z8" s="5"/>
    </row>
    <row r="9" spans="2:26" x14ac:dyDescent="0.2">
      <c r="B9" s="4">
        <v>753</v>
      </c>
      <c r="C9" s="5" cm="1">
        <f t="array" aca="1" ref="C9" ca="1">INDIRECT("'results" &amp; $B9 &amp; "'!D$14")</f>
        <v>55134.051797088017</v>
      </c>
      <c r="D9" s="33" cm="1">
        <f t="array" aca="1" ref="D9" ca="1">INDIRECT("'results" &amp; $B9 &amp; "'!E$14")</f>
        <v>2.6839797080001522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95</v>
      </c>
      <c r="G9" s="5" cm="1">
        <f t="array" aca="1" ref="G9" ca="1">INDIRECT("'results" &amp; $B9 &amp; "'!H$14")</f>
        <v>71.900109558516547</v>
      </c>
      <c r="H9" s="33" cm="1">
        <f t="array" aca="1" ref="H9" ca="1">INDIRECT("'results" &amp; $B9 &amp; "'!I$14")</f>
        <v>44.391014625786966</v>
      </c>
      <c r="I9" s="5" cm="1">
        <f t="array" aca="1" ref="I9" ca="1">INDIRECT("'results" &amp; $B9 &amp; "'!J$14")</f>
        <v>1970.8688068957047</v>
      </c>
      <c r="J9" s="5"/>
      <c r="K9" s="5" cm="1">
        <f t="array" aca="1" ref="K9" ca="1">INDIRECT("'results" &amp; $B9 &amp; "'!L$14")</f>
        <v>62368.695919369697</v>
      </c>
      <c r="L9" s="5" cm="1">
        <f t="array" aca="1" ref="L9" ca="1">INDIRECT("'results" &amp; $B9 &amp; "'!M$14")</f>
        <v>3.8111482079984849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85</v>
      </c>
      <c r="O9" s="5" cm="1">
        <f t="array" aca="1" ref="O9" ca="1">INDIRECT("'results" &amp; $B9 &amp; "'!P$14")</f>
        <v>0.79429139750649291</v>
      </c>
      <c r="P9" s="5" cm="1">
        <f t="array" aca="1" ref="P9" ca="1">INDIRECT("'results" &amp; $B9 &amp; "'!Q$14")</f>
        <v>23.190120279558567</v>
      </c>
      <c r="Q9" s="5" cm="1">
        <f t="array" aca="1" ref="Q9" ca="1">INDIRECT("'results" &amp; $B9 &amp; "'!R$14")</f>
        <v>1400.9862737477251</v>
      </c>
      <c r="R9" s="5"/>
      <c r="S9" s="5" cm="1">
        <f t="array" aca="1" ref="S9" ca="1">INDIRECT("'results" &amp; $B9 &amp; "'!T$14")</f>
        <v>67747.323984949544</v>
      </c>
      <c r="T9" s="5" cm="1">
        <f t="array" aca="1" ref="T9" ca="1">INDIRECT("'results" &amp; $B9 &amp; "'!U$14")</f>
        <v>4.1398479169984057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85</v>
      </c>
      <c r="W9" s="5" cm="1">
        <f t="array" aca="1" ref="W9" ca="1">INDIRECT("'results" &amp; $B9 &amp; "'!X$14")</f>
        <v>84.113864510017692</v>
      </c>
      <c r="X9" s="5" cm="1">
        <f t="array" aca="1" ref="X9" ca="1">INDIRECT("'results" &amp; $B9 &amp; "'!Y$14")</f>
        <v>43.238137757480921</v>
      </c>
      <c r="Y9" s="5" cm="1">
        <f t="array" aca="1" ref="Y9" ca="1">INDIRECT("'results" &amp; $B9 &amp; "'!Z$14")</f>
        <v>1990.0938452423447</v>
      </c>
      <c r="Z9" s="5"/>
    </row>
    <row r="10" spans="2:26" x14ac:dyDescent="0.2">
      <c r="B10" s="4">
        <v>767</v>
      </c>
      <c r="C10" s="5" cm="1">
        <f t="array" aca="1" ref="C10" ca="1">INDIRECT("'results" &amp; $B10 &amp; "'!D$14")</f>
        <v>51743.509363671968</v>
      </c>
      <c r="D10" s="33" cm="1">
        <f t="array" aca="1" ref="D10" ca="1">INDIRECT("'results" &amp; $B10 &amp; "'!E$14")</f>
        <v>2.709202791999815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21.94849358753347</v>
      </c>
      <c r="I10" s="5" cm="1">
        <f t="array" aca="1" ref="I10" ca="1">INDIRECT("'results" &amp; $B10 &amp; "'!J$14")</f>
        <v>1397.9190698859372</v>
      </c>
      <c r="J10" s="5"/>
      <c r="K10" s="5" cm="1">
        <f t="array" aca="1" ref="K10" ca="1">INDIRECT("'results" &amp; $B10 &amp; "'!L$14")</f>
        <v>61118.07873907905</v>
      </c>
      <c r="L10" s="5" cm="1">
        <f t="array" aca="1" ref="L10" ca="1">INDIRECT("'results" &amp; $B10 &amp; "'!M$14")</f>
        <v>3.2356612500007031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75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17.980038324491915</v>
      </c>
      <c r="Q10" s="5" cm="1">
        <f t="array" aca="1" ref="Q10" ca="1">INDIRECT("'results" &amp; $B10 &amp; "'!R$14")</f>
        <v>1197.5030545011634</v>
      </c>
      <c r="R10" s="5"/>
      <c r="S10" s="5" cm="1">
        <f t="array" aca="1" ref="S10" ca="1">INDIRECT("'results" &amp; $B10 &amp; "'!T$14")</f>
        <v>58422.256800214287</v>
      </c>
      <c r="T10" s="5" cm="1">
        <f t="array" aca="1" ref="T10" ca="1">INDIRECT("'results" &amp; $B10 &amp; "'!U$14")</f>
        <v>3.487969457997679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38.248148377033274</v>
      </c>
      <c r="Y10" s="5" cm="1">
        <f t="array" aca="1" ref="Y10" ca="1">INDIRECT("'results" &amp; $B10 &amp; "'!Z$14")</f>
        <v>1607.5319725517477</v>
      </c>
      <c r="Z10" s="5"/>
    </row>
    <row r="11" spans="2:26" x14ac:dyDescent="0.2">
      <c r="B11" s="4">
        <v>837</v>
      </c>
      <c r="C11" s="5" cm="1">
        <f t="array" aca="1" ref="C11" ca="1">INDIRECT("'results" &amp; $B11 &amp; "'!D$14")</f>
        <v>46451.564642973179</v>
      </c>
      <c r="D11" s="33" cm="1">
        <f t="array" aca="1" ref="D11" ca="1">INDIRECT("'results" &amp; $B11 &amp; "'!E$14")</f>
        <v>1.7664666250002481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100</v>
      </c>
      <c r="G11" s="5" cm="1">
        <f t="array" aca="1" ref="G11" ca="1">INDIRECT("'results" &amp; $B11 &amp; "'!H$14")</f>
        <v>18.534266869647229</v>
      </c>
      <c r="H11" s="33" cm="1">
        <f t="array" aca="1" ref="H11" ca="1">INDIRECT("'results" &amp; $B11 &amp; "'!I$14")</f>
        <v>31.411981728802004</v>
      </c>
      <c r="I11" s="5" cm="1">
        <f t="array" aca="1" ref="I11" ca="1">INDIRECT("'results" &amp; $B11 &amp; "'!J$14")</f>
        <v>1525.4432500959065</v>
      </c>
      <c r="J11" s="5"/>
      <c r="K11" s="5" cm="1">
        <f t="array" aca="1" ref="K11" ca="1">INDIRECT("'results" &amp; $B11 &amp; "'!L$14")</f>
        <v>69680.75886431025</v>
      </c>
      <c r="L11" s="5" cm="1">
        <f t="array" aca="1" ref="L11" ca="1">INDIRECT("'results" &amp; $B11 &amp; "'!M$14")</f>
        <v>3.2953764170015352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60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14.73195583218625</v>
      </c>
      <c r="Q11" s="5" cm="1">
        <f t="array" aca="1" ref="Q11" ca="1">INDIRECT("'results" &amp; $B11 &amp; "'!R$14")</f>
        <v>1022.1821892976595</v>
      </c>
      <c r="R11" s="5"/>
      <c r="S11" s="5" cm="1">
        <f t="array" aca="1" ref="S11" ca="1">INDIRECT("'results" &amp; $B11 &amp; "'!T$14")</f>
        <v>60687.8551993539</v>
      </c>
      <c r="T11" s="5" cm="1">
        <f t="array" aca="1" ref="T11" ca="1">INDIRECT("'results" &amp; $B11 &amp; "'!U$14")</f>
        <v>3.0407988340011798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40.318715015569694</v>
      </c>
      <c r="X11" s="5" cm="1">
        <f t="array" aca="1" ref="X11" ca="1">INDIRECT("'results" &amp; $B11 &amp; "'!Y$14")</f>
        <v>36.416135712285666</v>
      </c>
      <c r="Y11" s="5" cm="1">
        <f t="array" aca="1" ref="Y11" ca="1">INDIRECT("'results" &amp; $B11 &amp; "'!Z$14")</f>
        <v>1644.9208798007307</v>
      </c>
      <c r="Z11" s="5"/>
    </row>
    <row r="12" spans="2:26" x14ac:dyDescent="0.2">
      <c r="B12" s="4">
        <v>883</v>
      </c>
      <c r="C12" s="5" cm="1">
        <f t="array" aca="1" ref="C12" ca="1">INDIRECT("'results" &amp; $B12 &amp; "'!D$14")</f>
        <v>62669.538811936363</v>
      </c>
      <c r="D12" s="33" cm="1">
        <f t="array" aca="1" ref="D12" ca="1">INDIRECT("'results" &amp; $B12 &amp; "'!E$14")</f>
        <v>2.9447204999996761</v>
      </c>
      <c r="E12" s="5" cm="1">
        <f t="array" aca="1" ref="E12" ca="1">INDIRECT("'results" &amp; $B12 &amp; "'!F$14")</f>
        <v>3</v>
      </c>
      <c r="F12" s="5" cm="1">
        <f t="array" aca="1" ref="F12" ca="1">INDIRECT("'results" &amp; $B12 &amp; "'!G$14")</f>
        <v>100</v>
      </c>
      <c r="G12" s="5" cm="1">
        <f t="array" aca="1" ref="G12" ca="1">INDIRECT("'results" &amp; $B12 &amp; "'!H$14")</f>
        <v>23.649716610179986</v>
      </c>
      <c r="H12" s="33" cm="1">
        <f t="array" aca="1" ref="H12" ca="1">INDIRECT("'results" &amp; $B12 &amp; "'!I$14")</f>
        <v>23.831677631224618</v>
      </c>
      <c r="I12" s="5" cm="1">
        <f t="array" aca="1" ref="I12" ca="1">INDIRECT("'results" &amp; $B12 &amp; "'!J$14")</f>
        <v>1822.7697548882963</v>
      </c>
      <c r="J12" s="5"/>
      <c r="K12" s="5" cm="1">
        <f t="array" aca="1" ref="K12" ca="1">INDIRECT("'results" &amp; $B12 &amp; "'!L$14")</f>
        <v>65844.260791170396</v>
      </c>
      <c r="L12" s="5" cm="1">
        <f t="array" aca="1" ref="L12" ca="1">INDIRECT("'results" &amp; $B12 &amp; "'!M$14")</f>
        <v>4.5269229169971368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90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21.173062096563239</v>
      </c>
      <c r="Q12" s="5" cm="1">
        <f t="array" aca="1" ref="Q12" ca="1">INDIRECT("'results" &amp; $B12 &amp; "'!R$14")</f>
        <v>1632.7595876927132</v>
      </c>
      <c r="R12" s="5"/>
      <c r="S12" s="5" cm="1">
        <f t="array" aca="1" ref="S12" ca="1">INDIRECT("'results" &amp; $B12 &amp; "'!T$14")</f>
        <v>67500.800586799771</v>
      </c>
      <c r="T12" s="5" cm="1">
        <f t="array" aca="1" ref="T12" ca="1">INDIRECT("'results" &amp; $B12 &amp; "'!U$14")</f>
        <v>2.8189230000025418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75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34.731366066306364</v>
      </c>
      <c r="Y12" s="5" cm="1">
        <f t="array" aca="1" ref="Y12" ca="1">INDIRECT("'results" &amp; $B12 &amp; "'!Z$14")</f>
        <v>1803.1262859560459</v>
      </c>
      <c r="Z12" s="5"/>
    </row>
    <row r="13" spans="2:26" x14ac:dyDescent="0.2">
      <c r="B13" s="8" t="s">
        <v>3</v>
      </c>
      <c r="C13" s="9">
        <f ca="1">AVERAGE(C3:C12)</f>
        <v>51475.733547674819</v>
      </c>
      <c r="D13" s="10">
        <f t="shared" ref="D13:I13" ca="1" si="0">AVERAGE(D3:D12)</f>
        <v>2.5374975500002619</v>
      </c>
      <c r="E13" s="9">
        <f t="shared" ca="1" si="0"/>
        <v>2.2000000000000002</v>
      </c>
      <c r="F13" s="9">
        <f t="shared" ca="1" si="0"/>
        <v>95</v>
      </c>
      <c r="G13" s="9">
        <f t="shared" ca="1" si="0"/>
        <v>16.314632764790325</v>
      </c>
      <c r="H13" s="10">
        <f t="shared" ca="1" si="0"/>
        <v>31.868036641594852</v>
      </c>
      <c r="I13" s="9">
        <f t="shared" ca="1" si="0"/>
        <v>1572.9189610263725</v>
      </c>
      <c r="J13" s="32" t="e">
        <f ca="1">(C13-$D$15)/$D$15</f>
        <v>#DIV/0!</v>
      </c>
      <c r="K13" s="16">
        <f ca="1">AVERAGE(K3:K12)</f>
        <v>62081.023147375417</v>
      </c>
      <c r="L13" s="36">
        <f t="shared" ref="L13:Q13" ca="1" si="1">AVERAGE(L3:L12)</f>
        <v>3.8750699457999871</v>
      </c>
      <c r="M13" s="16">
        <f t="shared" ca="1" si="1"/>
        <v>2.7</v>
      </c>
      <c r="N13" s="16">
        <f ca="1">AVERAGE(N3:N12)</f>
        <v>80.5</v>
      </c>
      <c r="O13" s="16">
        <f t="shared" ca="1" si="1"/>
        <v>7.9429139750649289E-2</v>
      </c>
      <c r="P13" s="36">
        <f t="shared" ca="1" si="1"/>
        <v>19.123463443970245</v>
      </c>
      <c r="Q13" s="16">
        <f t="shared" ca="1" si="1"/>
        <v>1219.4215181105387</v>
      </c>
      <c r="R13" s="37" t="e">
        <f ca="1">(K13-$D$15)/$D$15</f>
        <v>#DIV/0!</v>
      </c>
      <c r="S13" s="38">
        <f ca="1">AVERAGE(S3:S12)</f>
        <v>60967.952159611115</v>
      </c>
      <c r="T13" s="39">
        <f t="shared" ref="T13:Y13" ca="1" si="2">AVERAGE(T3:T12)</f>
        <v>3.3376033083994114</v>
      </c>
      <c r="U13" s="38">
        <f t="shared" ca="1" si="2"/>
        <v>2.6</v>
      </c>
      <c r="V13" s="38">
        <f t="shared" ca="1" si="2"/>
        <v>86</v>
      </c>
      <c r="W13" s="38">
        <f t="shared" ca="1" si="2"/>
        <v>35.624805028544664</v>
      </c>
      <c r="X13" s="39">
        <f t="shared" ca="1" si="2"/>
        <v>43.563748571937019</v>
      </c>
      <c r="Y13" s="38">
        <f t="shared" ca="1" si="2"/>
        <v>1782.8045505118175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5" spans="2:26" x14ac:dyDescent="0.2">
      <c r="J15" s="1"/>
      <c r="R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A026-CCDA-C74F-BFFA-5BCEAD3A27B7}">
  <dimension ref="B1:AA17"/>
  <sheetViews>
    <sheetView tabSelected="1" zoomScale="118" zoomScaleNormal="120" workbookViewId="0">
      <selection activeCell="K4" sqref="K4:K2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0.2283255345340898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-0.2561961319382437</v>
      </c>
      <c r="T2" s="1" t="s">
        <v>19</v>
      </c>
      <c r="X2" s="1" t="e">
        <f>(X14-P14)/P14</f>
        <v>#DIV/0!</v>
      </c>
      <c r="Z2" s="1">
        <f>(Z14-R14)/R14</f>
        <v>0.29866916954537698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273</v>
      </c>
      <c r="D4" s="23">
        <v>50881.670453779137</v>
      </c>
      <c r="E4" s="33">
        <v>2.5972386250005002</v>
      </c>
      <c r="F4" s="5">
        <v>2</v>
      </c>
      <c r="G4" s="23">
        <v>95</v>
      </c>
      <c r="H4" s="33">
        <v>16.791840255198906</v>
      </c>
      <c r="I4" s="23">
        <v>40.313647568260933</v>
      </c>
      <c r="J4" s="5">
        <v>1810.2045845838163</v>
      </c>
      <c r="K4" s="31"/>
      <c r="L4" s="23">
        <v>66281.905431156294</v>
      </c>
      <c r="M4" s="33">
        <v>4.3797267499976442</v>
      </c>
      <c r="N4" s="5">
        <v>3</v>
      </c>
      <c r="O4" s="5">
        <v>80</v>
      </c>
      <c r="P4" s="33">
        <v>0</v>
      </c>
      <c r="Q4" s="5">
        <v>21.991628683350971</v>
      </c>
      <c r="R4" s="5">
        <v>1508.3640124804231</v>
      </c>
      <c r="S4" s="42"/>
      <c r="T4" s="23">
        <v>59882.332623861257</v>
      </c>
      <c r="U4" s="33">
        <v>4.054351749997295</v>
      </c>
      <c r="V4" s="5">
        <v>3</v>
      </c>
      <c r="W4" s="5">
        <v>85</v>
      </c>
      <c r="X4" s="33">
        <v>11.255450349271461</v>
      </c>
      <c r="Y4" s="5">
        <v>48.531342214573272</v>
      </c>
      <c r="Z4" s="5">
        <v>1748.5764440018079</v>
      </c>
      <c r="AA4" s="42"/>
    </row>
    <row r="5" spans="2:27" x14ac:dyDescent="0.2">
      <c r="B5" s="4">
        <v>2</v>
      </c>
      <c r="C5" s="4">
        <v>675</v>
      </c>
      <c r="D5" s="23">
        <v>50881.670453779137</v>
      </c>
      <c r="E5" s="33">
        <v>2.6309705419998859</v>
      </c>
      <c r="F5" s="5">
        <v>2</v>
      </c>
      <c r="G5" s="23">
        <v>95</v>
      </c>
      <c r="H5" s="33">
        <v>16.791840255198906</v>
      </c>
      <c r="I5" s="23">
        <v>40.313647568260933</v>
      </c>
      <c r="J5" s="5">
        <v>1810.2045845838163</v>
      </c>
      <c r="K5" s="31"/>
      <c r="L5" s="23">
        <v>66281.905431156294</v>
      </c>
      <c r="M5" s="33">
        <v>4.4299261249980191</v>
      </c>
      <c r="N5" s="5">
        <v>3</v>
      </c>
      <c r="O5" s="5">
        <v>80</v>
      </c>
      <c r="P5" s="33">
        <v>0</v>
      </c>
      <c r="Q5" s="5">
        <v>21.991628683350971</v>
      </c>
      <c r="R5" s="5">
        <v>1508.3640124804231</v>
      </c>
      <c r="S5" s="42"/>
      <c r="T5" s="23">
        <v>59882.332623861257</v>
      </c>
      <c r="U5" s="33">
        <v>5.0883555000000342</v>
      </c>
      <c r="V5" s="5">
        <v>3</v>
      </c>
      <c r="W5" s="5">
        <v>85</v>
      </c>
      <c r="X5" s="33">
        <v>11.255450349271461</v>
      </c>
      <c r="Y5" s="5">
        <v>48.531342214573272</v>
      </c>
      <c r="Z5" s="5">
        <v>1748.5764440018079</v>
      </c>
      <c r="AA5" s="42"/>
    </row>
    <row r="6" spans="2:27" x14ac:dyDescent="0.2">
      <c r="B6" s="4">
        <v>3</v>
      </c>
      <c r="C6" s="4">
        <v>508</v>
      </c>
      <c r="D6" s="23">
        <v>50881.670453779137</v>
      </c>
      <c r="E6" s="33">
        <v>2.3387309580002689</v>
      </c>
      <c r="F6" s="5">
        <v>2</v>
      </c>
      <c r="G6" s="23">
        <v>95</v>
      </c>
      <c r="H6" s="33">
        <v>16.791840255198906</v>
      </c>
      <c r="I6" s="23">
        <v>40.313647568260933</v>
      </c>
      <c r="J6" s="5">
        <v>1810.2045845838163</v>
      </c>
      <c r="K6" s="31"/>
      <c r="L6" s="23">
        <v>60585.417151621732</v>
      </c>
      <c r="M6" s="33">
        <v>3.4884153750026599</v>
      </c>
      <c r="N6" s="5">
        <v>3</v>
      </c>
      <c r="O6" s="5">
        <v>85</v>
      </c>
      <c r="P6" s="33">
        <v>0</v>
      </c>
      <c r="Q6" s="5">
        <v>20.625846157278243</v>
      </c>
      <c r="R6" s="5">
        <v>1346.4371719965673</v>
      </c>
      <c r="S6" s="42"/>
      <c r="T6" s="23">
        <v>59882.332623861257</v>
      </c>
      <c r="U6" s="33">
        <v>3.7016244580008788</v>
      </c>
      <c r="V6" s="5">
        <v>3</v>
      </c>
      <c r="W6" s="5">
        <v>85</v>
      </c>
      <c r="X6" s="33">
        <v>11.255450349271461</v>
      </c>
      <c r="Y6" s="5">
        <v>48.531342214573272</v>
      </c>
      <c r="Z6" s="5">
        <v>1748.5764440018079</v>
      </c>
      <c r="AA6" s="42"/>
    </row>
    <row r="7" spans="2:27" x14ac:dyDescent="0.2">
      <c r="B7" s="4">
        <v>4</v>
      </c>
      <c r="C7" s="4">
        <v>742</v>
      </c>
      <c r="D7" s="23">
        <v>50881.670453779137</v>
      </c>
      <c r="E7" s="33">
        <v>2.637704083999779</v>
      </c>
      <c r="F7" s="5">
        <v>2</v>
      </c>
      <c r="G7" s="23">
        <v>95</v>
      </c>
      <c r="H7" s="33">
        <v>16.791840255198906</v>
      </c>
      <c r="I7" s="23">
        <v>40.313647568260933</v>
      </c>
      <c r="J7" s="5">
        <v>1810.2045845838163</v>
      </c>
      <c r="K7" s="31"/>
      <c r="L7" s="23">
        <v>66281.905431156294</v>
      </c>
      <c r="M7" s="33">
        <v>4.3855552919994807</v>
      </c>
      <c r="N7" s="5">
        <v>3</v>
      </c>
      <c r="O7" s="5">
        <v>80</v>
      </c>
      <c r="P7" s="33">
        <v>0</v>
      </c>
      <c r="Q7" s="5">
        <v>21.991628683350971</v>
      </c>
      <c r="R7" s="5">
        <v>1508.3640124804231</v>
      </c>
      <c r="S7" s="42"/>
      <c r="T7" s="23">
        <v>59882.332623861257</v>
      </c>
      <c r="U7" s="33">
        <v>3.700061542000185</v>
      </c>
      <c r="V7" s="5">
        <v>3</v>
      </c>
      <c r="W7" s="5">
        <v>85</v>
      </c>
      <c r="X7" s="33">
        <v>11.255450349271461</v>
      </c>
      <c r="Y7" s="5">
        <v>48.531342214573272</v>
      </c>
      <c r="Z7" s="5">
        <v>1748.5764440018079</v>
      </c>
      <c r="AA7" s="42"/>
    </row>
    <row r="8" spans="2:27" x14ac:dyDescent="0.2">
      <c r="B8" s="4">
        <v>5</v>
      </c>
      <c r="C8" s="4">
        <v>773</v>
      </c>
      <c r="D8" s="23">
        <v>50881.670453779137</v>
      </c>
      <c r="E8" s="33">
        <v>2.6073697920001</v>
      </c>
      <c r="F8" s="5">
        <v>2</v>
      </c>
      <c r="G8" s="23">
        <v>95</v>
      </c>
      <c r="H8" s="33">
        <v>16.791840255198906</v>
      </c>
      <c r="I8" s="23">
        <v>40.313647568260933</v>
      </c>
      <c r="J8" s="5">
        <v>1810.2045845838163</v>
      </c>
      <c r="K8" s="31"/>
      <c r="L8" s="23">
        <v>60585.417151621732</v>
      </c>
      <c r="M8" s="33">
        <v>3.530880833000992</v>
      </c>
      <c r="N8" s="5">
        <v>3</v>
      </c>
      <c r="O8" s="5">
        <v>85</v>
      </c>
      <c r="P8" s="33">
        <v>0</v>
      </c>
      <c r="Q8" s="5">
        <v>20.625846157278243</v>
      </c>
      <c r="R8" s="5">
        <v>1346.4371719965673</v>
      </c>
      <c r="S8" s="42"/>
      <c r="T8" s="23">
        <v>59882.332623861257</v>
      </c>
      <c r="U8" s="33">
        <v>4.764305582997622</v>
      </c>
      <c r="V8" s="5">
        <v>3</v>
      </c>
      <c r="W8" s="5">
        <v>85</v>
      </c>
      <c r="X8" s="33">
        <v>11.255450349271461</v>
      </c>
      <c r="Y8" s="5">
        <v>48.531342214573272</v>
      </c>
      <c r="Z8" s="5">
        <v>1748.5764440018079</v>
      </c>
      <c r="AA8" s="42"/>
    </row>
    <row r="9" spans="2:27" x14ac:dyDescent="0.2">
      <c r="B9" s="4">
        <v>6</v>
      </c>
      <c r="C9" s="4">
        <v>102</v>
      </c>
      <c r="D9" s="23">
        <v>51853.656380585788</v>
      </c>
      <c r="E9" s="33">
        <v>2.5836053330003779</v>
      </c>
      <c r="F9" s="5">
        <v>2</v>
      </c>
      <c r="G9" s="23">
        <v>95</v>
      </c>
      <c r="H9" s="33">
        <v>16.791840255198906</v>
      </c>
      <c r="I9" s="23">
        <v>31.61114059144424</v>
      </c>
      <c r="J9" s="5">
        <v>1771.4611147029577</v>
      </c>
      <c r="K9" s="31"/>
      <c r="L9" s="23">
        <v>60585.417151621732</v>
      </c>
      <c r="M9" s="33">
        <v>3.535740415998589</v>
      </c>
      <c r="N9" s="5">
        <v>3</v>
      </c>
      <c r="O9" s="5">
        <v>85</v>
      </c>
      <c r="P9" s="33">
        <v>0</v>
      </c>
      <c r="Q9" s="5">
        <v>20.625846157278243</v>
      </c>
      <c r="R9" s="5">
        <v>1346.4371719965673</v>
      </c>
      <c r="S9" s="42"/>
      <c r="T9" s="23">
        <v>59882.332623861257</v>
      </c>
      <c r="U9" s="33">
        <v>3.783972290999372</v>
      </c>
      <c r="V9" s="5">
        <v>3</v>
      </c>
      <c r="W9" s="5">
        <v>85</v>
      </c>
      <c r="X9" s="33">
        <v>11.255450349271461</v>
      </c>
      <c r="Y9" s="5">
        <v>48.531342214573272</v>
      </c>
      <c r="Z9" s="5">
        <v>1748.5764440018079</v>
      </c>
      <c r="AA9" s="42"/>
    </row>
    <row r="10" spans="2:27" x14ac:dyDescent="0.2">
      <c r="B10" s="4">
        <v>7</v>
      </c>
      <c r="C10" s="4">
        <v>157</v>
      </c>
      <c r="D10" s="23">
        <v>50881.670453779137</v>
      </c>
      <c r="E10" s="33">
        <v>2.5968677910004772</v>
      </c>
      <c r="F10" s="5">
        <v>2</v>
      </c>
      <c r="G10" s="23">
        <v>95</v>
      </c>
      <c r="H10" s="33">
        <v>16.791840255198906</v>
      </c>
      <c r="I10" s="23">
        <v>40.313647568260933</v>
      </c>
      <c r="J10" s="5">
        <v>1810.2045845838163</v>
      </c>
      <c r="K10" s="31"/>
      <c r="L10" s="23">
        <v>66281.905431156294</v>
      </c>
      <c r="M10" s="33">
        <v>4.4894668750021083</v>
      </c>
      <c r="N10" s="5">
        <v>3</v>
      </c>
      <c r="O10" s="5">
        <v>80</v>
      </c>
      <c r="P10" s="33">
        <v>0</v>
      </c>
      <c r="Q10" s="5">
        <v>21.991628683350971</v>
      </c>
      <c r="R10" s="5">
        <v>1508.3640124804231</v>
      </c>
      <c r="S10" s="42"/>
      <c r="T10" s="23">
        <v>59882.332623861257</v>
      </c>
      <c r="U10" s="33">
        <v>3.810275374999037</v>
      </c>
      <c r="V10" s="5">
        <v>3</v>
      </c>
      <c r="W10" s="5">
        <v>85</v>
      </c>
      <c r="X10" s="33">
        <v>11.255450349271461</v>
      </c>
      <c r="Y10" s="5">
        <v>48.531342214573272</v>
      </c>
      <c r="Z10" s="5">
        <v>1748.5764440018079</v>
      </c>
      <c r="AA10" s="42"/>
    </row>
    <row r="11" spans="2:27" x14ac:dyDescent="0.2">
      <c r="B11" s="4">
        <v>8</v>
      </c>
      <c r="C11" s="4">
        <v>390</v>
      </c>
      <c r="D11" s="23">
        <v>51853.656380585788</v>
      </c>
      <c r="E11" s="33">
        <v>2.5812316249994178</v>
      </c>
      <c r="F11" s="5">
        <v>2</v>
      </c>
      <c r="G11" s="23">
        <v>95</v>
      </c>
      <c r="H11" s="33">
        <v>16.791840255198906</v>
      </c>
      <c r="I11" s="23">
        <v>31.61114059144424</v>
      </c>
      <c r="J11" s="5">
        <v>1771.4611147029577</v>
      </c>
      <c r="K11" s="31"/>
      <c r="L11" s="23">
        <v>60585.417151621732</v>
      </c>
      <c r="M11" s="33">
        <v>3.7628749169998632</v>
      </c>
      <c r="N11" s="5">
        <v>3</v>
      </c>
      <c r="O11" s="5">
        <v>85</v>
      </c>
      <c r="P11" s="33">
        <v>0</v>
      </c>
      <c r="Q11" s="5">
        <v>20.625846157278243</v>
      </c>
      <c r="R11" s="5">
        <v>1346.4371719965673</v>
      </c>
      <c r="S11" s="42"/>
      <c r="T11" s="23">
        <v>59882.332623861257</v>
      </c>
      <c r="U11" s="33">
        <v>3.8148923749977262</v>
      </c>
      <c r="V11" s="5">
        <v>3</v>
      </c>
      <c r="W11" s="5">
        <v>85</v>
      </c>
      <c r="X11" s="33">
        <v>11.255450349271461</v>
      </c>
      <c r="Y11" s="5">
        <v>48.531342214573272</v>
      </c>
      <c r="Z11" s="5">
        <v>1748.5764440018079</v>
      </c>
      <c r="AA11" s="42"/>
    </row>
    <row r="12" spans="2:27" x14ac:dyDescent="0.2">
      <c r="B12" s="4">
        <v>9</v>
      </c>
      <c r="C12" s="4">
        <v>868</v>
      </c>
      <c r="D12" s="23">
        <v>51853.656380585788</v>
      </c>
      <c r="E12" s="33">
        <v>2.5908814589993199</v>
      </c>
      <c r="F12" s="5">
        <v>2</v>
      </c>
      <c r="G12" s="23">
        <v>95</v>
      </c>
      <c r="H12" s="33">
        <v>16.791840255198906</v>
      </c>
      <c r="I12" s="23">
        <v>31.61114059144424</v>
      </c>
      <c r="J12" s="5">
        <v>1771.4611147029577</v>
      </c>
      <c r="K12" s="31"/>
      <c r="L12" s="23">
        <v>66281.905431156294</v>
      </c>
      <c r="M12" s="33">
        <v>5.1612383339997896</v>
      </c>
      <c r="N12" s="5">
        <v>3</v>
      </c>
      <c r="O12" s="5">
        <v>80</v>
      </c>
      <c r="P12" s="33">
        <v>0</v>
      </c>
      <c r="Q12" s="5">
        <v>21.991628683350971</v>
      </c>
      <c r="R12" s="5">
        <v>1508.3640124804231</v>
      </c>
      <c r="S12" s="42"/>
      <c r="T12" s="23">
        <v>59882.332623861257</v>
      </c>
      <c r="U12" s="33">
        <v>3.8120679999992721</v>
      </c>
      <c r="V12" s="5">
        <v>3</v>
      </c>
      <c r="W12" s="5">
        <v>85</v>
      </c>
      <c r="X12" s="33">
        <v>11.255450349271461</v>
      </c>
      <c r="Y12" s="5">
        <v>48.531342214573272</v>
      </c>
      <c r="Z12" s="5">
        <v>1748.5764440018079</v>
      </c>
      <c r="AA12" s="42"/>
    </row>
    <row r="13" spans="2:27" x14ac:dyDescent="0.2">
      <c r="B13" s="4">
        <v>10</v>
      </c>
      <c r="C13" s="4">
        <v>960</v>
      </c>
      <c r="D13" s="23">
        <v>51853.656380585788</v>
      </c>
      <c r="E13" s="33">
        <v>2.5539277080006291</v>
      </c>
      <c r="F13" s="5">
        <v>2</v>
      </c>
      <c r="G13" s="23">
        <v>95</v>
      </c>
      <c r="H13" s="33">
        <v>16.791840255198906</v>
      </c>
      <c r="I13" s="23">
        <v>31.61114059144424</v>
      </c>
      <c r="J13" s="5">
        <v>1771.4611147029577</v>
      </c>
      <c r="K13" s="31"/>
      <c r="L13" s="23">
        <v>60585.417151621732</v>
      </c>
      <c r="M13" s="33">
        <v>3.6205757079987961</v>
      </c>
      <c r="N13" s="5">
        <v>3</v>
      </c>
      <c r="O13" s="5">
        <v>85</v>
      </c>
      <c r="P13" s="33">
        <v>0</v>
      </c>
      <c r="Q13" s="5">
        <v>20.625846157278243</v>
      </c>
      <c r="R13" s="5">
        <v>1346.4371719965673</v>
      </c>
      <c r="S13" s="42"/>
      <c r="T13" s="23">
        <v>59882.332623861257</v>
      </c>
      <c r="U13" s="33">
        <v>3.8527205840000529</v>
      </c>
      <c r="V13" s="5">
        <v>3</v>
      </c>
      <c r="W13" s="5">
        <v>85</v>
      </c>
      <c r="X13" s="33">
        <v>11.255450349271461</v>
      </c>
      <c r="Y13" s="5">
        <v>48.531342214573272</v>
      </c>
      <c r="Z13" s="5">
        <v>1748.5764440018079</v>
      </c>
      <c r="AA13" s="42"/>
    </row>
    <row r="14" spans="2:27" x14ac:dyDescent="0.2">
      <c r="B14" s="46" t="s">
        <v>3</v>
      </c>
      <c r="C14" s="47"/>
      <c r="D14" s="9">
        <f>MIN(D4:D13)</f>
        <v>50881.670453779137</v>
      </c>
      <c r="E14" s="22">
        <f>INDEX(E4:E13, MATCH($D$14, D4:D13, 0))</f>
        <v>2.5972386250005002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16.791840255198906</v>
      </c>
      <c r="I14" s="22">
        <f>INDEX(I4:I13, MATCH($D$14, D4:D13, 0))</f>
        <v>40.313647568260933</v>
      </c>
      <c r="J14" s="22">
        <f>INDEX(J4:J13, MATCH($D$14, D4:D13, 0))</f>
        <v>1810.2045845838163</v>
      </c>
      <c r="K14" s="32"/>
      <c r="L14" s="16">
        <f>MIN(L4:L13)</f>
        <v>60585.417151621732</v>
      </c>
      <c r="M14" s="21">
        <f>INDEX(M4:M13, MATCH($L$14, L4:L13, 0))</f>
        <v>3.4884153750026599</v>
      </c>
      <c r="N14" s="16">
        <f>INDEX(N4:N13, MATCH($L$14, L4:L13, 0))</f>
        <v>3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20.625846157278243</v>
      </c>
      <c r="R14" s="21">
        <f>INDEX(R4:R13, MATCH($L$14, L4:L13, 0))</f>
        <v>1346.4371719965673</v>
      </c>
      <c r="S14" s="43" t="e">
        <f>(L14-$D$15)/$D$15</f>
        <v>#DIV/0!</v>
      </c>
      <c r="T14" s="38">
        <f>MIN(T4:T13)</f>
        <v>59882.332623861257</v>
      </c>
      <c r="U14" s="44">
        <f>INDEX(U4:U13, MATCH($T$14, T4:T13, 0))</f>
        <v>4.054351749997295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11.255450349271461</v>
      </c>
      <c r="Y14" s="44">
        <f>INDEX(Y4:Y13, MATCH($T$14, T4:T13, 0))</f>
        <v>48.531342214573272</v>
      </c>
      <c r="Z14" s="44">
        <f>INDEX(Z4:Z13, MATCH($T$14, T4:T13, 0))</f>
        <v>1748.5764440018079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9" priority="3"/>
    <cfRule type="duplicateValues" dxfId="88" priority="4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C5B6-8481-1142-9E84-5E217BCCEE81}">
  <dimension ref="B1:AA17"/>
  <sheetViews>
    <sheetView zoomScale="118" zoomScaleNormal="120" workbookViewId="0">
      <selection activeCell="K4" sqref="K4:K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0.11131321484162082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415</v>
      </c>
      <c r="D4" s="23">
        <v>57371.067287101978</v>
      </c>
      <c r="E4" s="33">
        <v>2.5964591670008299</v>
      </c>
      <c r="F4" s="5">
        <v>2</v>
      </c>
      <c r="G4" s="23">
        <v>85</v>
      </c>
      <c r="H4" s="33">
        <v>0</v>
      </c>
      <c r="I4" s="23">
        <v>19.040077835059041</v>
      </c>
      <c r="J4" s="5">
        <v>1394.2873398660095</v>
      </c>
      <c r="K4" s="31"/>
      <c r="L4" s="23">
        <v>57371.067287101978</v>
      </c>
      <c r="M4" s="33">
        <v>2.706512875000044</v>
      </c>
      <c r="N4" s="5">
        <v>2</v>
      </c>
      <c r="O4" s="5">
        <v>85</v>
      </c>
      <c r="P4" s="33">
        <v>0</v>
      </c>
      <c r="Q4" s="5">
        <v>19.040077835059041</v>
      </c>
      <c r="R4" s="5">
        <v>1394.2873398660095</v>
      </c>
      <c r="S4" s="42"/>
      <c r="T4" s="23">
        <v>67050.718120312478</v>
      </c>
      <c r="U4" s="33">
        <v>3.291068833997997</v>
      </c>
      <c r="V4" s="5">
        <v>3</v>
      </c>
      <c r="W4" s="5">
        <v>85</v>
      </c>
      <c r="X4" s="33">
        <v>2.3592133666229791</v>
      </c>
      <c r="Y4" s="5">
        <v>23.26547417725001</v>
      </c>
      <c r="Z4" s="5">
        <v>1549.4899460794666</v>
      </c>
      <c r="AA4" s="42"/>
    </row>
    <row r="5" spans="2:27" x14ac:dyDescent="0.2">
      <c r="B5" s="4">
        <v>2</v>
      </c>
      <c r="C5" s="4">
        <v>525</v>
      </c>
      <c r="D5" s="23">
        <v>57371.067287101978</v>
      </c>
      <c r="E5" s="33">
        <v>2.541591124999286</v>
      </c>
      <c r="F5" s="5">
        <v>2</v>
      </c>
      <c r="G5" s="23">
        <v>85</v>
      </c>
      <c r="H5" s="33">
        <v>0</v>
      </c>
      <c r="I5" s="23">
        <v>19.040077835059041</v>
      </c>
      <c r="J5" s="5">
        <v>1394.2873398660095</v>
      </c>
      <c r="K5" s="31"/>
      <c r="L5" s="23">
        <v>57371.067287101978</v>
      </c>
      <c r="M5" s="33">
        <v>2.6790206250007031</v>
      </c>
      <c r="N5" s="5">
        <v>2</v>
      </c>
      <c r="O5" s="5">
        <v>85</v>
      </c>
      <c r="P5" s="33">
        <v>0</v>
      </c>
      <c r="Q5" s="5">
        <v>19.040077835059041</v>
      </c>
      <c r="R5" s="5">
        <v>1394.2873398660095</v>
      </c>
      <c r="S5" s="42"/>
      <c r="T5" s="23">
        <v>67050.718120312478</v>
      </c>
      <c r="U5" s="33">
        <v>3.2857012079985002</v>
      </c>
      <c r="V5" s="5">
        <v>3</v>
      </c>
      <c r="W5" s="5">
        <v>85</v>
      </c>
      <c r="X5" s="33">
        <v>2.3592133666229791</v>
      </c>
      <c r="Y5" s="5">
        <v>23.26547417725001</v>
      </c>
      <c r="Z5" s="5">
        <v>1549.4899460794666</v>
      </c>
      <c r="AA5" s="42"/>
    </row>
    <row r="6" spans="2:27" x14ac:dyDescent="0.2">
      <c r="B6" s="4">
        <v>3</v>
      </c>
      <c r="C6" s="4">
        <v>636</v>
      </c>
      <c r="D6" s="23">
        <v>57371.067287101978</v>
      </c>
      <c r="E6" s="33">
        <v>2.5310064999994211</v>
      </c>
      <c r="F6" s="5">
        <v>2</v>
      </c>
      <c r="G6" s="23">
        <v>85</v>
      </c>
      <c r="H6" s="33">
        <v>0</v>
      </c>
      <c r="I6" s="23">
        <v>19.040077835059041</v>
      </c>
      <c r="J6" s="5">
        <v>1394.2873398660095</v>
      </c>
      <c r="K6" s="31"/>
      <c r="L6" s="23">
        <v>57371.067287101978</v>
      </c>
      <c r="M6" s="33">
        <v>2.6779529999985239</v>
      </c>
      <c r="N6" s="5">
        <v>2</v>
      </c>
      <c r="O6" s="5">
        <v>85</v>
      </c>
      <c r="P6" s="33">
        <v>0</v>
      </c>
      <c r="Q6" s="5">
        <v>19.040077835059041</v>
      </c>
      <c r="R6" s="5">
        <v>1394.2873398660095</v>
      </c>
      <c r="S6" s="42"/>
      <c r="T6" s="23">
        <v>67050.718120312478</v>
      </c>
      <c r="U6" s="33">
        <v>3.3269154999979951</v>
      </c>
      <c r="V6" s="5">
        <v>3</v>
      </c>
      <c r="W6" s="5">
        <v>85</v>
      </c>
      <c r="X6" s="33">
        <v>2.3592133666229791</v>
      </c>
      <c r="Y6" s="5">
        <v>23.26547417725001</v>
      </c>
      <c r="Z6" s="5">
        <v>1549.4899460794666</v>
      </c>
      <c r="AA6" s="42"/>
    </row>
    <row r="7" spans="2:27" x14ac:dyDescent="0.2">
      <c r="B7" s="4">
        <v>4</v>
      </c>
      <c r="C7" s="4">
        <v>239</v>
      </c>
      <c r="D7" s="23">
        <v>57371.067287101978</v>
      </c>
      <c r="E7" s="33">
        <v>2.5037472500007421</v>
      </c>
      <c r="F7" s="5">
        <v>2</v>
      </c>
      <c r="G7" s="23">
        <v>85</v>
      </c>
      <c r="H7" s="33">
        <v>0</v>
      </c>
      <c r="I7" s="23">
        <v>19.040077835059041</v>
      </c>
      <c r="J7" s="5">
        <v>1394.2873398660095</v>
      </c>
      <c r="K7" s="31"/>
      <c r="L7" s="23">
        <v>57371.067287101978</v>
      </c>
      <c r="M7" s="33">
        <v>2.704233791999286</v>
      </c>
      <c r="N7" s="5">
        <v>2</v>
      </c>
      <c r="O7" s="5">
        <v>85</v>
      </c>
      <c r="P7" s="33">
        <v>0</v>
      </c>
      <c r="Q7" s="5">
        <v>19.040077835059041</v>
      </c>
      <c r="R7" s="5">
        <v>1394.2873398660095</v>
      </c>
      <c r="S7" s="42"/>
      <c r="T7" s="23">
        <v>67050.718120312478</v>
      </c>
      <c r="U7" s="33">
        <v>3.3258535409986512</v>
      </c>
      <c r="V7" s="5">
        <v>3</v>
      </c>
      <c r="W7" s="5">
        <v>85</v>
      </c>
      <c r="X7" s="33">
        <v>2.3592133666229791</v>
      </c>
      <c r="Y7" s="5">
        <v>23.26547417725001</v>
      </c>
      <c r="Z7" s="5">
        <v>1549.4899460794666</v>
      </c>
      <c r="AA7" s="42"/>
    </row>
    <row r="8" spans="2:27" x14ac:dyDescent="0.2">
      <c r="B8" s="4">
        <v>5</v>
      </c>
      <c r="C8" s="4">
        <v>269</v>
      </c>
      <c r="D8" s="23">
        <v>57371.067287101978</v>
      </c>
      <c r="E8" s="33">
        <v>2.477831584000342</v>
      </c>
      <c r="F8" s="5">
        <v>2</v>
      </c>
      <c r="G8" s="23">
        <v>85</v>
      </c>
      <c r="H8" s="33">
        <v>0</v>
      </c>
      <c r="I8" s="23">
        <v>19.040077835059041</v>
      </c>
      <c r="J8" s="5">
        <v>1394.2873398660095</v>
      </c>
      <c r="K8" s="31"/>
      <c r="L8" s="23">
        <v>57371.067287101978</v>
      </c>
      <c r="M8" s="33">
        <v>2.7087360840014298</v>
      </c>
      <c r="N8" s="5">
        <v>2</v>
      </c>
      <c r="O8" s="5">
        <v>85</v>
      </c>
      <c r="P8" s="33">
        <v>0</v>
      </c>
      <c r="Q8" s="5">
        <v>19.040077835059041</v>
      </c>
      <c r="R8" s="5">
        <v>1394.2873398660095</v>
      </c>
      <c r="S8" s="42"/>
      <c r="T8" s="23">
        <v>67050.718120312478</v>
      </c>
      <c r="U8" s="33">
        <v>3.318224374997953</v>
      </c>
      <c r="V8" s="5">
        <v>3</v>
      </c>
      <c r="W8" s="5">
        <v>85</v>
      </c>
      <c r="X8" s="33">
        <v>2.3592133666229791</v>
      </c>
      <c r="Y8" s="5">
        <v>23.26547417725001</v>
      </c>
      <c r="Z8" s="5">
        <v>1549.4899460794666</v>
      </c>
      <c r="AA8" s="42"/>
    </row>
    <row r="9" spans="2:27" x14ac:dyDescent="0.2">
      <c r="B9" s="4">
        <v>6</v>
      </c>
      <c r="C9" s="4">
        <v>394</v>
      </c>
      <c r="D9" s="23">
        <v>57371.067287101978</v>
      </c>
      <c r="E9" s="33">
        <v>2.5360037919999741</v>
      </c>
      <c r="F9" s="5">
        <v>2</v>
      </c>
      <c r="G9" s="23">
        <v>85</v>
      </c>
      <c r="H9" s="33">
        <v>0</v>
      </c>
      <c r="I9" s="23">
        <v>19.040077835059041</v>
      </c>
      <c r="J9" s="5">
        <v>1394.2873398660095</v>
      </c>
      <c r="K9" s="31"/>
      <c r="L9" s="23">
        <v>57371.067287101978</v>
      </c>
      <c r="M9" s="33">
        <v>2.702056041998731</v>
      </c>
      <c r="N9" s="5">
        <v>2</v>
      </c>
      <c r="O9" s="5">
        <v>85</v>
      </c>
      <c r="P9" s="33">
        <v>0</v>
      </c>
      <c r="Q9" s="5">
        <v>19.040077835059041</v>
      </c>
      <c r="R9" s="5">
        <v>1394.2873398660095</v>
      </c>
      <c r="S9" s="42"/>
      <c r="T9" s="23">
        <v>67050.718120312478</v>
      </c>
      <c r="U9" s="33">
        <v>3.3197518750021122</v>
      </c>
      <c r="V9" s="5">
        <v>3</v>
      </c>
      <c r="W9" s="5">
        <v>85</v>
      </c>
      <c r="X9" s="33">
        <v>2.3592133666229791</v>
      </c>
      <c r="Y9" s="5">
        <v>23.26547417725001</v>
      </c>
      <c r="Z9" s="5">
        <v>1549.4899460794666</v>
      </c>
      <c r="AA9" s="42"/>
    </row>
    <row r="10" spans="2:27" x14ac:dyDescent="0.2">
      <c r="B10" s="4">
        <v>7</v>
      </c>
      <c r="C10" s="4">
        <v>642</v>
      </c>
      <c r="D10" s="23">
        <v>57371.067287101978</v>
      </c>
      <c r="E10" s="33">
        <v>2.5248890419998129</v>
      </c>
      <c r="F10" s="5">
        <v>2</v>
      </c>
      <c r="G10" s="23">
        <v>85</v>
      </c>
      <c r="H10" s="33">
        <v>0</v>
      </c>
      <c r="I10" s="23">
        <v>19.040077835059041</v>
      </c>
      <c r="J10" s="5">
        <v>1394.2873398660095</v>
      </c>
      <c r="K10" s="31"/>
      <c r="L10" s="23">
        <v>57371.067287101978</v>
      </c>
      <c r="M10" s="33">
        <v>2.704355000001669</v>
      </c>
      <c r="N10" s="5">
        <v>2</v>
      </c>
      <c r="O10" s="5">
        <v>85</v>
      </c>
      <c r="P10" s="33">
        <v>0</v>
      </c>
      <c r="Q10" s="5">
        <v>19.040077835059041</v>
      </c>
      <c r="R10" s="5">
        <v>1394.2873398660095</v>
      </c>
      <c r="S10" s="42"/>
      <c r="T10" s="23">
        <v>67050.718120312478</v>
      </c>
      <c r="U10" s="33">
        <v>3.303551624998363</v>
      </c>
      <c r="V10" s="5">
        <v>3</v>
      </c>
      <c r="W10" s="5">
        <v>85</v>
      </c>
      <c r="X10" s="33">
        <v>2.3592133666229791</v>
      </c>
      <c r="Y10" s="5">
        <v>23.26547417725001</v>
      </c>
      <c r="Z10" s="5">
        <v>1549.4899460794666</v>
      </c>
      <c r="AA10" s="42"/>
    </row>
    <row r="11" spans="2:27" x14ac:dyDescent="0.2">
      <c r="B11" s="4">
        <v>8</v>
      </c>
      <c r="C11" s="4">
        <v>802</v>
      </c>
      <c r="D11" s="23">
        <v>60568.154648938616</v>
      </c>
      <c r="E11" s="33">
        <v>2.6070220000001432</v>
      </c>
      <c r="F11" s="5">
        <v>2</v>
      </c>
      <c r="G11" s="23">
        <v>85</v>
      </c>
      <c r="H11" s="33">
        <v>0</v>
      </c>
      <c r="I11" s="23">
        <v>20.829843375915896</v>
      </c>
      <c r="J11" s="5">
        <v>1583.0624018591548</v>
      </c>
      <c r="K11" s="31"/>
      <c r="L11" s="23">
        <v>61144.195376271076</v>
      </c>
      <c r="M11" s="33">
        <v>2.812013209000725</v>
      </c>
      <c r="N11" s="5">
        <v>2</v>
      </c>
      <c r="O11" s="5">
        <v>85</v>
      </c>
      <c r="P11" s="33">
        <v>15.320953339016352</v>
      </c>
      <c r="Q11" s="5">
        <v>20.83483564389125</v>
      </c>
      <c r="R11" s="5">
        <v>1583.323271424372</v>
      </c>
      <c r="S11" s="42"/>
      <c r="T11" s="23">
        <v>71306.215417519881</v>
      </c>
      <c r="U11" s="33">
        <v>2.9205540830007521</v>
      </c>
      <c r="V11" s="5">
        <v>2</v>
      </c>
      <c r="W11" s="5">
        <v>75</v>
      </c>
      <c r="X11" s="33">
        <v>11.995929002828472</v>
      </c>
      <c r="Y11" s="5">
        <v>28.74261073298748</v>
      </c>
      <c r="Z11" s="5">
        <v>1944.6335868603389</v>
      </c>
      <c r="AA11" s="42"/>
    </row>
    <row r="12" spans="2:27" x14ac:dyDescent="0.2">
      <c r="B12" s="4">
        <v>9</v>
      </c>
      <c r="C12" s="4">
        <v>869</v>
      </c>
      <c r="D12" s="23">
        <v>57371.067287101978</v>
      </c>
      <c r="E12" s="33">
        <v>2.4721570419997079</v>
      </c>
      <c r="F12" s="5">
        <v>2</v>
      </c>
      <c r="G12" s="23">
        <v>85</v>
      </c>
      <c r="H12" s="33">
        <v>0</v>
      </c>
      <c r="I12" s="23">
        <v>19.040077835059041</v>
      </c>
      <c r="J12" s="5">
        <v>1394.2873398660095</v>
      </c>
      <c r="K12" s="31"/>
      <c r="L12" s="23">
        <v>57371.067287101978</v>
      </c>
      <c r="M12" s="33">
        <v>2.700408833999973</v>
      </c>
      <c r="N12" s="5">
        <v>2</v>
      </c>
      <c r="O12" s="5">
        <v>85</v>
      </c>
      <c r="P12" s="33">
        <v>0</v>
      </c>
      <c r="Q12" s="5">
        <v>19.040077835059041</v>
      </c>
      <c r="R12" s="5">
        <v>1394.2873398660095</v>
      </c>
      <c r="S12" s="42"/>
      <c r="T12" s="23">
        <v>67050.718120312478</v>
      </c>
      <c r="U12" s="33">
        <v>3.313099666997005</v>
      </c>
      <c r="V12" s="5">
        <v>3</v>
      </c>
      <c r="W12" s="5">
        <v>85</v>
      </c>
      <c r="X12" s="33">
        <v>2.3592133666229791</v>
      </c>
      <c r="Y12" s="5">
        <v>23.26547417725001</v>
      </c>
      <c r="Z12" s="5">
        <v>1549.4899460794666</v>
      </c>
      <c r="AA12" s="42"/>
    </row>
    <row r="13" spans="2:27" x14ac:dyDescent="0.2">
      <c r="B13" s="4">
        <v>10</v>
      </c>
      <c r="C13" s="4">
        <v>786</v>
      </c>
      <c r="D13" s="23">
        <v>59708.400412208881</v>
      </c>
      <c r="E13" s="33">
        <v>2.348132875000374</v>
      </c>
      <c r="F13" s="5">
        <v>2</v>
      </c>
      <c r="G13" s="23">
        <v>85</v>
      </c>
      <c r="H13" s="33">
        <v>0</v>
      </c>
      <c r="I13" s="23">
        <v>21.754743752875548</v>
      </c>
      <c r="J13" s="5">
        <v>1546.7720267956097</v>
      </c>
      <c r="K13" s="31"/>
      <c r="L13" s="23">
        <v>57371.067287101978</v>
      </c>
      <c r="M13" s="33">
        <v>2.6869530830008439</v>
      </c>
      <c r="N13" s="5">
        <v>2</v>
      </c>
      <c r="O13" s="5">
        <v>85</v>
      </c>
      <c r="P13" s="33">
        <v>0</v>
      </c>
      <c r="Q13" s="5">
        <v>19.040077835059041</v>
      </c>
      <c r="R13" s="5">
        <v>1394.2873398660095</v>
      </c>
      <c r="S13" s="42"/>
      <c r="T13" s="23">
        <v>67050.718120312478</v>
      </c>
      <c r="U13" s="33">
        <v>3.3642101250006822</v>
      </c>
      <c r="V13" s="5">
        <v>3</v>
      </c>
      <c r="W13" s="5">
        <v>85</v>
      </c>
      <c r="X13" s="33">
        <v>2.3592133666229791</v>
      </c>
      <c r="Y13" s="5">
        <v>23.26547417725001</v>
      </c>
      <c r="Z13" s="5">
        <v>1549.4899460794666</v>
      </c>
      <c r="AA13" s="42"/>
    </row>
    <row r="14" spans="2:27" x14ac:dyDescent="0.2">
      <c r="B14" s="46" t="s">
        <v>3</v>
      </c>
      <c r="C14" s="47"/>
      <c r="D14" s="9">
        <f>MIN(D4:D13)</f>
        <v>57371.067287101978</v>
      </c>
      <c r="E14" s="22">
        <f>INDEX(E4:E13, MATCH($D$14, D4:D13, 0))</f>
        <v>2.5964591670008299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19.040077835059041</v>
      </c>
      <c r="J14" s="22">
        <f>INDEX(J4:J13, MATCH($D$14, D4:D13, 0))</f>
        <v>1394.2873398660095</v>
      </c>
      <c r="K14" s="32"/>
      <c r="L14" s="16">
        <f>MIN(L4:L13)</f>
        <v>57371.067287101978</v>
      </c>
      <c r="M14" s="21">
        <f>INDEX(M4:M13, MATCH($L$14, L4:L13, 0))</f>
        <v>2.706512875000044</v>
      </c>
      <c r="N14" s="16">
        <f>INDEX(N4:N13, MATCH($L$14, L4:L13, 0))</f>
        <v>2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19.040077835059041</v>
      </c>
      <c r="R14" s="21">
        <f>INDEX(R4:R13, MATCH($L$14, L4:L13, 0))</f>
        <v>1394.2873398660095</v>
      </c>
      <c r="S14" s="43" t="e">
        <f>(L14-$D$15)/$D$15</f>
        <v>#DIV/0!</v>
      </c>
      <c r="T14" s="38">
        <f>MIN(T4:T13)</f>
        <v>67050.718120312478</v>
      </c>
      <c r="U14" s="44">
        <f>INDEX(U4:U13, MATCH($T$14, T4:T13, 0))</f>
        <v>3.291068833997997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2.3592133666229791</v>
      </c>
      <c r="Y14" s="44">
        <f>INDEX(Y4:Y13, MATCH($T$14, T4:T13, 0))</f>
        <v>23.26547417725001</v>
      </c>
      <c r="Z14" s="44">
        <f>INDEX(Z4:Z13, MATCH($T$14, T4:T13, 0))</f>
        <v>1549.4899460794666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5" priority="3"/>
    <cfRule type="duplicateValues" dxfId="84" priority="4"/>
  </conditionalFormatting>
  <conditionalFormatting sqref="C28:C1048576 C1:C13">
    <cfRule type="duplicateValues" dxfId="83" priority="5"/>
    <cfRule type="duplicateValues" dxfId="82" priority="6"/>
  </conditionalFormatting>
  <conditionalFormatting sqref="C15:C2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79A9-58C6-0544-97E7-FC8661C4F66D}">
  <dimension ref="B1:AA17"/>
  <sheetViews>
    <sheetView zoomScale="118" zoomScaleNormal="120" workbookViewId="0">
      <selection activeCell="K4" sqref="K4:K1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1.5335070869942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-0.33239978287870159</v>
      </c>
      <c r="T2" s="1" t="s">
        <v>19</v>
      </c>
      <c r="X2" s="1" t="e">
        <f>(X14-P14)/P14</f>
        <v>#DIV/0!</v>
      </c>
      <c r="Z2" s="1">
        <f>(Z14-R14)/R14</f>
        <v>0.74265193032552312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249</v>
      </c>
      <c r="D4" s="23">
        <v>49534.207125809669</v>
      </c>
      <c r="E4" s="33">
        <v>2.8482388330003232</v>
      </c>
      <c r="F4" s="5">
        <v>2</v>
      </c>
      <c r="G4" s="23">
        <v>90</v>
      </c>
      <c r="H4" s="33">
        <v>7.3325820654510556</v>
      </c>
      <c r="I4" s="23">
        <v>43.505655392047267</v>
      </c>
      <c r="J4" s="5">
        <v>1477.4735078294689</v>
      </c>
      <c r="K4" s="31"/>
      <c r="L4" s="23">
        <v>65198.979850634707</v>
      </c>
      <c r="M4" s="33">
        <v>4.4036844580004981</v>
      </c>
      <c r="N4" s="5">
        <v>3</v>
      </c>
      <c r="O4" s="5">
        <v>75</v>
      </c>
      <c r="P4" s="33">
        <v>0</v>
      </c>
      <c r="Q4" s="5">
        <v>18.577148628786819</v>
      </c>
      <c r="R4" s="5">
        <v>986.36163461791978</v>
      </c>
      <c r="S4" s="42"/>
      <c r="T4" s="23">
        <v>58944.616323736169</v>
      </c>
      <c r="U4" s="33">
        <v>4.0259323330028556</v>
      </c>
      <c r="V4" s="5">
        <v>3</v>
      </c>
      <c r="W4" s="5">
        <v>90</v>
      </c>
      <c r="X4" s="33">
        <v>24.128333699438016</v>
      </c>
      <c r="Y4" s="5">
        <v>49.24044940639908</v>
      </c>
      <c r="Z4" s="5">
        <v>1718.8850065659562</v>
      </c>
      <c r="AA4" s="42"/>
    </row>
    <row r="5" spans="2:27" x14ac:dyDescent="0.2">
      <c r="B5" s="4">
        <v>2</v>
      </c>
      <c r="C5" s="4">
        <v>278</v>
      </c>
      <c r="D5" s="23">
        <v>49534.207125809669</v>
      </c>
      <c r="E5" s="33">
        <v>2.5836341249996622</v>
      </c>
      <c r="F5" s="5">
        <v>2</v>
      </c>
      <c r="G5" s="23">
        <v>90</v>
      </c>
      <c r="H5" s="33">
        <v>7.3325820654510556</v>
      </c>
      <c r="I5" s="23">
        <v>43.505655392047267</v>
      </c>
      <c r="J5" s="5">
        <v>1477.4735078294689</v>
      </c>
      <c r="K5" s="31"/>
      <c r="L5" s="23">
        <v>67099.367145466647</v>
      </c>
      <c r="M5" s="33">
        <v>4.3072549169992271</v>
      </c>
      <c r="N5" s="5">
        <v>3</v>
      </c>
      <c r="O5" s="5">
        <v>75</v>
      </c>
      <c r="P5" s="33">
        <v>0</v>
      </c>
      <c r="Q5" s="5">
        <v>22.549463675663265</v>
      </c>
      <c r="R5" s="5">
        <v>1203.256378657785</v>
      </c>
      <c r="S5" s="42"/>
      <c r="T5" s="23">
        <v>58944.616323736169</v>
      </c>
      <c r="U5" s="33">
        <v>5.2794186669998453</v>
      </c>
      <c r="V5" s="5">
        <v>3</v>
      </c>
      <c r="W5" s="5">
        <v>90</v>
      </c>
      <c r="X5" s="33">
        <v>24.128333699438016</v>
      </c>
      <c r="Y5" s="5">
        <v>49.24044940639908</v>
      </c>
      <c r="Z5" s="5">
        <v>1718.8850065659562</v>
      </c>
      <c r="AA5" s="42"/>
    </row>
    <row r="6" spans="2:27" x14ac:dyDescent="0.2">
      <c r="B6" s="4">
        <v>3</v>
      </c>
      <c r="C6" s="4">
        <v>853</v>
      </c>
      <c r="D6" s="23">
        <v>49534.207125809669</v>
      </c>
      <c r="E6" s="33">
        <v>2.6192765830001008</v>
      </c>
      <c r="F6" s="5">
        <v>2</v>
      </c>
      <c r="G6" s="23">
        <v>90</v>
      </c>
      <c r="H6" s="33">
        <v>7.3325820654510556</v>
      </c>
      <c r="I6" s="23">
        <v>43.505655392047267</v>
      </c>
      <c r="J6" s="5">
        <v>1477.4735078294689</v>
      </c>
      <c r="K6" s="31"/>
      <c r="L6" s="23">
        <v>65198.979850634707</v>
      </c>
      <c r="M6" s="33">
        <v>4.0635854169995582</v>
      </c>
      <c r="N6" s="5">
        <v>3</v>
      </c>
      <c r="O6" s="5">
        <v>75</v>
      </c>
      <c r="P6" s="33">
        <v>0</v>
      </c>
      <c r="Q6" s="5">
        <v>18.577148628786819</v>
      </c>
      <c r="R6" s="5">
        <v>986.36163461791978</v>
      </c>
      <c r="S6" s="42"/>
      <c r="T6" s="23">
        <v>58944.616323736169</v>
      </c>
      <c r="U6" s="33">
        <v>4.6451959590012848</v>
      </c>
      <c r="V6" s="5">
        <v>3</v>
      </c>
      <c r="W6" s="5">
        <v>90</v>
      </c>
      <c r="X6" s="33">
        <v>24.128333699438016</v>
      </c>
      <c r="Y6" s="5">
        <v>49.24044940639908</v>
      </c>
      <c r="Z6" s="5">
        <v>1718.8850065659562</v>
      </c>
      <c r="AA6" s="42"/>
    </row>
    <row r="7" spans="2:27" x14ac:dyDescent="0.2">
      <c r="B7" s="4">
        <v>4</v>
      </c>
      <c r="C7" s="4">
        <v>537</v>
      </c>
      <c r="D7" s="23">
        <v>49534.207125809669</v>
      </c>
      <c r="E7" s="33">
        <v>2.475255166999887</v>
      </c>
      <c r="F7" s="5">
        <v>2</v>
      </c>
      <c r="G7" s="23">
        <v>90</v>
      </c>
      <c r="H7" s="33">
        <v>7.3325820654510556</v>
      </c>
      <c r="I7" s="23">
        <v>43.505655392047267</v>
      </c>
      <c r="J7" s="5">
        <v>1477.4735078294689</v>
      </c>
      <c r="K7" s="31"/>
      <c r="L7" s="23">
        <v>65198.979850634707</v>
      </c>
      <c r="M7" s="33">
        <v>3.9846817079996981</v>
      </c>
      <c r="N7" s="5">
        <v>3</v>
      </c>
      <c r="O7" s="5">
        <v>75</v>
      </c>
      <c r="P7" s="33">
        <v>0</v>
      </c>
      <c r="Q7" s="5">
        <v>18.577148628786819</v>
      </c>
      <c r="R7" s="5">
        <v>986.36163461791978</v>
      </c>
      <c r="S7" s="42"/>
      <c r="T7" s="23">
        <v>59119.545031576599</v>
      </c>
      <c r="U7" s="33">
        <v>6.6663663750005071</v>
      </c>
      <c r="V7" s="5">
        <v>3</v>
      </c>
      <c r="W7" s="5">
        <v>90</v>
      </c>
      <c r="X7" s="33">
        <v>29.864138093509002</v>
      </c>
      <c r="Y7" s="5">
        <v>49.634410292410401</v>
      </c>
      <c r="Z7" s="5">
        <v>1734.3541610808231</v>
      </c>
      <c r="AA7" s="42"/>
    </row>
    <row r="8" spans="2:27" x14ac:dyDescent="0.2">
      <c r="B8" s="4">
        <v>5</v>
      </c>
      <c r="C8" s="4">
        <v>557</v>
      </c>
      <c r="D8" s="23">
        <v>49534.207125809669</v>
      </c>
      <c r="E8" s="33">
        <v>2.611942167000052</v>
      </c>
      <c r="F8" s="5">
        <v>2</v>
      </c>
      <c r="G8" s="23">
        <v>90</v>
      </c>
      <c r="H8" s="33">
        <v>7.3325820654510556</v>
      </c>
      <c r="I8" s="23">
        <v>43.505655392047267</v>
      </c>
      <c r="J8" s="5">
        <v>1477.4735078294689</v>
      </c>
      <c r="K8" s="31"/>
      <c r="L8" s="23">
        <v>65198.979850634707</v>
      </c>
      <c r="M8" s="33">
        <v>4.0197310000003199</v>
      </c>
      <c r="N8" s="5">
        <v>3</v>
      </c>
      <c r="O8" s="5">
        <v>75</v>
      </c>
      <c r="P8" s="33">
        <v>0</v>
      </c>
      <c r="Q8" s="5">
        <v>18.577148628786819</v>
      </c>
      <c r="R8" s="5">
        <v>986.36163461791978</v>
      </c>
      <c r="S8" s="42"/>
      <c r="T8" s="23">
        <v>59261.491175851777</v>
      </c>
      <c r="U8" s="33">
        <v>3.2730904589989218</v>
      </c>
      <c r="V8" s="5">
        <v>2</v>
      </c>
      <c r="W8" s="5">
        <v>80</v>
      </c>
      <c r="X8" s="33">
        <v>10.15510391514705</v>
      </c>
      <c r="Y8" s="5">
        <v>56.778580603047793</v>
      </c>
      <c r="Z8" s="5">
        <v>1789.0459524687471</v>
      </c>
      <c r="AA8" s="42"/>
    </row>
    <row r="9" spans="2:27" x14ac:dyDescent="0.2">
      <c r="B9" s="4">
        <v>6</v>
      </c>
      <c r="C9" s="4">
        <v>592</v>
      </c>
      <c r="D9" s="23">
        <v>52293.177612513522</v>
      </c>
      <c r="E9" s="33">
        <v>2.6061167910002041</v>
      </c>
      <c r="F9" s="5">
        <v>2</v>
      </c>
      <c r="G9" s="23">
        <v>90</v>
      </c>
      <c r="H9" s="33">
        <v>7.3325820654510556</v>
      </c>
      <c r="I9" s="23">
        <v>45.460994272307381</v>
      </c>
      <c r="J9" s="5">
        <v>1644.8252673869301</v>
      </c>
      <c r="K9" s="31"/>
      <c r="L9" s="23">
        <v>68221.417472225527</v>
      </c>
      <c r="M9" s="33">
        <v>5.3389196659991276</v>
      </c>
      <c r="N9" s="5">
        <v>4</v>
      </c>
      <c r="O9" s="5">
        <v>85</v>
      </c>
      <c r="P9" s="33">
        <v>0</v>
      </c>
      <c r="Q9" s="5">
        <v>16.781744520076927</v>
      </c>
      <c r="R9" s="5">
        <v>1100.4497950989255</v>
      </c>
      <c r="S9" s="42"/>
      <c r="T9" s="23">
        <v>59261.491175851777</v>
      </c>
      <c r="U9" s="33">
        <v>2.9475760410023208</v>
      </c>
      <c r="V9" s="5">
        <v>2</v>
      </c>
      <c r="W9" s="5">
        <v>80</v>
      </c>
      <c r="X9" s="33">
        <v>10.15510391514705</v>
      </c>
      <c r="Y9" s="5">
        <v>56.778580603047793</v>
      </c>
      <c r="Z9" s="5">
        <v>1789.0459524687471</v>
      </c>
      <c r="AA9" s="42"/>
    </row>
    <row r="10" spans="2:27" x14ac:dyDescent="0.2">
      <c r="B10" s="4">
        <v>7</v>
      </c>
      <c r="C10" s="4">
        <v>648</v>
      </c>
      <c r="D10" s="23">
        <v>49534.207125809669</v>
      </c>
      <c r="E10" s="33">
        <v>2.619972167000014</v>
      </c>
      <c r="F10" s="5">
        <v>2</v>
      </c>
      <c r="G10" s="23">
        <v>90</v>
      </c>
      <c r="H10" s="33">
        <v>7.3325820654510556</v>
      </c>
      <c r="I10" s="23">
        <v>43.505655392047267</v>
      </c>
      <c r="J10" s="5">
        <v>1477.4735078294689</v>
      </c>
      <c r="K10" s="31"/>
      <c r="L10" s="23">
        <v>65198.979850634707</v>
      </c>
      <c r="M10" s="33">
        <v>4.047701416999189</v>
      </c>
      <c r="N10" s="5">
        <v>3</v>
      </c>
      <c r="O10" s="5">
        <v>75</v>
      </c>
      <c r="P10" s="33">
        <v>0</v>
      </c>
      <c r="Q10" s="5">
        <v>18.577148628786819</v>
      </c>
      <c r="R10" s="5">
        <v>986.36163461791978</v>
      </c>
      <c r="S10" s="42"/>
      <c r="T10" s="23">
        <v>58944.616323736169</v>
      </c>
      <c r="U10" s="33">
        <v>4.6723396250017686</v>
      </c>
      <c r="V10" s="5">
        <v>3</v>
      </c>
      <c r="W10" s="5">
        <v>90</v>
      </c>
      <c r="X10" s="33">
        <v>24.128333699438016</v>
      </c>
      <c r="Y10" s="5">
        <v>49.24044940639908</v>
      </c>
      <c r="Z10" s="5">
        <v>1718.8850065659562</v>
      </c>
      <c r="AA10" s="42"/>
    </row>
    <row r="11" spans="2:27" x14ac:dyDescent="0.2">
      <c r="B11" s="4">
        <v>8</v>
      </c>
      <c r="C11" s="4">
        <v>862</v>
      </c>
      <c r="D11" s="23">
        <v>49534.207125809669</v>
      </c>
      <c r="E11" s="33">
        <v>2.5527393749998741</v>
      </c>
      <c r="F11" s="5">
        <v>2</v>
      </c>
      <c r="G11" s="23">
        <v>90</v>
      </c>
      <c r="H11" s="33">
        <v>7.3325820654510556</v>
      </c>
      <c r="I11" s="23">
        <v>43.505655392047267</v>
      </c>
      <c r="J11" s="5">
        <v>1477.4735078294689</v>
      </c>
      <c r="K11" s="31"/>
      <c r="L11" s="23">
        <v>67288.584266571619</v>
      </c>
      <c r="M11" s="33">
        <v>3.8141993329991242</v>
      </c>
      <c r="N11" s="5">
        <v>3</v>
      </c>
      <c r="O11" s="5">
        <v>75</v>
      </c>
      <c r="P11" s="33">
        <v>0</v>
      </c>
      <c r="Q11" s="5">
        <v>16.895905838975811</v>
      </c>
      <c r="R11" s="5">
        <v>1086.5071197146976</v>
      </c>
      <c r="S11" s="42"/>
      <c r="T11" s="23">
        <v>59119.545031576599</v>
      </c>
      <c r="U11" s="33">
        <v>3.428976332997991</v>
      </c>
      <c r="V11" s="5">
        <v>3</v>
      </c>
      <c r="W11" s="5">
        <v>90</v>
      </c>
      <c r="X11" s="33">
        <v>29.864138093509002</v>
      </c>
      <c r="Y11" s="5">
        <v>49.634410292410401</v>
      </c>
      <c r="Z11" s="5">
        <v>1734.3541610808231</v>
      </c>
      <c r="AA11" s="42"/>
    </row>
    <row r="12" spans="2:27" x14ac:dyDescent="0.2">
      <c r="B12" s="4">
        <v>9</v>
      </c>
      <c r="C12" s="4">
        <v>880</v>
      </c>
      <c r="D12" s="23">
        <v>52293.177612513522</v>
      </c>
      <c r="E12" s="33">
        <v>2.7164529589999802</v>
      </c>
      <c r="F12" s="5">
        <v>2</v>
      </c>
      <c r="G12" s="23">
        <v>90</v>
      </c>
      <c r="H12" s="33">
        <v>7.3325820654510556</v>
      </c>
      <c r="I12" s="23">
        <v>45.460994272307381</v>
      </c>
      <c r="J12" s="5">
        <v>1644.8252673869301</v>
      </c>
      <c r="K12" s="31"/>
      <c r="L12" s="23">
        <v>73514.129385894354</v>
      </c>
      <c r="M12" s="33">
        <v>5.6173291249979229</v>
      </c>
      <c r="N12" s="5">
        <v>4</v>
      </c>
      <c r="O12" s="5">
        <v>80</v>
      </c>
      <c r="P12" s="33">
        <v>0</v>
      </c>
      <c r="Q12" s="5">
        <v>18.26181000740905</v>
      </c>
      <c r="R12" s="5">
        <v>1263.1190442893749</v>
      </c>
      <c r="S12" s="42"/>
      <c r="T12" s="23">
        <v>59261.491175851777</v>
      </c>
      <c r="U12" s="33">
        <v>3.5644883749992</v>
      </c>
      <c r="V12" s="5">
        <v>2</v>
      </c>
      <c r="W12" s="5">
        <v>80</v>
      </c>
      <c r="X12" s="33">
        <v>10.15510391514705</v>
      </c>
      <c r="Y12" s="5">
        <v>56.778580603047793</v>
      </c>
      <c r="Z12" s="5">
        <v>1789.0459524687471</v>
      </c>
      <c r="AA12" s="42"/>
    </row>
    <row r="13" spans="2:27" x14ac:dyDescent="0.2">
      <c r="B13" s="4">
        <v>10</v>
      </c>
      <c r="C13" s="4">
        <v>982</v>
      </c>
      <c r="D13" s="23">
        <v>49534.207125809669</v>
      </c>
      <c r="E13" s="33">
        <v>2.6118242089996779</v>
      </c>
      <c r="F13" s="5">
        <v>2</v>
      </c>
      <c r="G13" s="23">
        <v>90</v>
      </c>
      <c r="H13" s="33">
        <v>7.3325820654510556</v>
      </c>
      <c r="I13" s="23">
        <v>43.505655392047267</v>
      </c>
      <c r="J13" s="5">
        <v>1477.4735078294689</v>
      </c>
      <c r="K13" s="31"/>
      <c r="L13" s="23">
        <v>68221.417472225527</v>
      </c>
      <c r="M13" s="33">
        <v>6.0262953330020537</v>
      </c>
      <c r="N13" s="5">
        <v>4</v>
      </c>
      <c r="O13" s="5">
        <v>85</v>
      </c>
      <c r="P13" s="33">
        <v>0</v>
      </c>
      <c r="Q13" s="5">
        <v>16.781744520076927</v>
      </c>
      <c r="R13" s="5">
        <v>1100.4497950989255</v>
      </c>
      <c r="S13" s="42"/>
      <c r="T13" s="23">
        <v>59261.491175851777</v>
      </c>
      <c r="U13" s="33">
        <v>2.960052166999958</v>
      </c>
      <c r="V13" s="5">
        <v>2</v>
      </c>
      <c r="W13" s="5">
        <v>80</v>
      </c>
      <c r="X13" s="33">
        <v>10.15510391514705</v>
      </c>
      <c r="Y13" s="5">
        <v>56.778580603047793</v>
      </c>
      <c r="Z13" s="5">
        <v>1789.0459524687471</v>
      </c>
      <c r="AA13" s="42"/>
    </row>
    <row r="14" spans="2:27" x14ac:dyDescent="0.2">
      <c r="B14" s="46" t="s">
        <v>3</v>
      </c>
      <c r="C14" s="47"/>
      <c r="D14" s="9">
        <f>MIN(D4:D13)</f>
        <v>49534.207125809669</v>
      </c>
      <c r="E14" s="22">
        <f>INDEX(E4:E13, MATCH($D$14, D4:D13, 0))</f>
        <v>2.8482388330003232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7.3325820654510556</v>
      </c>
      <c r="I14" s="22">
        <f>INDEX(I4:I13, MATCH($D$14, D4:D13, 0))</f>
        <v>43.505655392047267</v>
      </c>
      <c r="J14" s="22">
        <f>INDEX(J4:J13, MATCH($D$14, D4:D13, 0))</f>
        <v>1477.4735078294689</v>
      </c>
      <c r="K14" s="32"/>
      <c r="L14" s="16">
        <f>MIN(L4:L13)</f>
        <v>65198.979850634707</v>
      </c>
      <c r="M14" s="21">
        <f>INDEX(M4:M13, MATCH($L$14, L4:L13, 0))</f>
        <v>4.4036844580004981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18.577148628786819</v>
      </c>
      <c r="R14" s="21">
        <f>INDEX(R4:R13, MATCH($L$14, L4:L13, 0))</f>
        <v>986.36163461791978</v>
      </c>
      <c r="S14" s="43" t="e">
        <f>(L14-$D$15)/$D$15</f>
        <v>#DIV/0!</v>
      </c>
      <c r="T14" s="38">
        <f>MIN(T4:T13)</f>
        <v>58944.616323736169</v>
      </c>
      <c r="U14" s="44">
        <f>INDEX(U4:U13, MATCH($T$14, T4:T13, 0))</f>
        <v>4.0259323330028556</v>
      </c>
      <c r="V14" s="38">
        <f>INDEX(V4:V13, MATCH($T$14, T4:T13, 0))</f>
        <v>3</v>
      </c>
      <c r="W14" s="38">
        <f>INDEX(W4:W13, MATCH($T$14, T4:T13, 0))</f>
        <v>90</v>
      </c>
      <c r="X14" s="44">
        <f>INDEX(X4:X13, MATCH($T$14, T4:T13, 0))</f>
        <v>24.128333699438016</v>
      </c>
      <c r="Y14" s="44">
        <f>INDEX(Y4:Y13, MATCH($T$14, T4:T13, 0))</f>
        <v>49.24044940639908</v>
      </c>
      <c r="Z14" s="44">
        <f>INDEX(Z4:Z13, MATCH($T$14, T4:T13, 0))</f>
        <v>1718.8850065659562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8:C1048576">
    <cfRule type="duplicateValues" dxfId="81" priority="5"/>
    <cfRule type="duplicateValues" dxfId="80" priority="6"/>
  </conditionalFormatting>
  <conditionalFormatting sqref="C14">
    <cfRule type="duplicateValues" dxfId="79" priority="3"/>
    <cfRule type="duplicateValues" dxfId="78" priority="4"/>
  </conditionalFormatting>
  <conditionalFormatting sqref="C15:C27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E349-6A6D-184F-9EB7-A1E909A6E2D1}">
  <dimension ref="B1:AA17"/>
  <sheetViews>
    <sheetView zoomScale="118" zoomScaleNormal="120" workbookViewId="0">
      <selection activeCell="K4" sqref="K4:K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-0.32473140575022436</v>
      </c>
      <c r="T2" s="1" t="s">
        <v>19</v>
      </c>
      <c r="X2" s="1" t="e">
        <f>(X14-P14)/P14</f>
        <v>#DIV/0!</v>
      </c>
      <c r="Z2" s="1">
        <f>(Z14-R14)/R14</f>
        <v>0.94988366029853577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327</v>
      </c>
      <c r="D4" s="23">
        <v>48274.453704844869</v>
      </c>
      <c r="E4" s="33">
        <v>2.673145082999326</v>
      </c>
      <c r="F4" s="5">
        <v>2</v>
      </c>
      <c r="G4" s="23">
        <v>95</v>
      </c>
      <c r="H4" s="33">
        <v>0</v>
      </c>
      <c r="I4" s="23">
        <v>38.274380962170042</v>
      </c>
      <c r="J4" s="5">
        <v>1615.116968685039</v>
      </c>
      <c r="K4" s="31"/>
      <c r="L4" s="23">
        <v>60960.495096751787</v>
      </c>
      <c r="M4" s="33">
        <v>4.3931773330004944</v>
      </c>
      <c r="N4" s="5">
        <v>3</v>
      </c>
      <c r="O4" s="5">
        <v>80</v>
      </c>
      <c r="P4" s="33">
        <v>0</v>
      </c>
      <c r="Q4" s="5">
        <v>20.123769000336036</v>
      </c>
      <c r="R4" s="5">
        <v>1051.3937957433359</v>
      </c>
      <c r="S4" s="42"/>
      <c r="T4" s="23">
        <v>59170.333330474212</v>
      </c>
      <c r="U4" s="33">
        <v>2.8431607500024261</v>
      </c>
      <c r="V4" s="5">
        <v>2</v>
      </c>
      <c r="W4" s="5">
        <v>85</v>
      </c>
      <c r="X4" s="33">
        <v>14.258315946725947</v>
      </c>
      <c r="Y4" s="5">
        <v>55.906808452042043</v>
      </c>
      <c r="Z4" s="5">
        <v>2029.9014088371996</v>
      </c>
      <c r="AA4" s="42"/>
    </row>
    <row r="5" spans="2:27" x14ac:dyDescent="0.2">
      <c r="B5" s="4">
        <v>2</v>
      </c>
      <c r="C5" s="4">
        <v>508</v>
      </c>
      <c r="D5" s="23">
        <v>48274.453704844869</v>
      </c>
      <c r="E5" s="33">
        <v>2.614458791999823</v>
      </c>
      <c r="F5" s="5">
        <v>2</v>
      </c>
      <c r="G5" s="23">
        <v>95</v>
      </c>
      <c r="H5" s="33">
        <v>0</v>
      </c>
      <c r="I5" s="23">
        <v>38.274380962170042</v>
      </c>
      <c r="J5" s="5">
        <v>1615.116968685039</v>
      </c>
      <c r="K5" s="31"/>
      <c r="L5" s="23">
        <v>60987.929859645359</v>
      </c>
      <c r="M5" s="33">
        <v>3.2272272500013059</v>
      </c>
      <c r="N5" s="5">
        <v>2</v>
      </c>
      <c r="O5" s="5">
        <v>70</v>
      </c>
      <c r="P5" s="33">
        <v>0</v>
      </c>
      <c r="Q5" s="5">
        <v>20.272092423899501</v>
      </c>
      <c r="R5" s="5">
        <v>1044.381298310384</v>
      </c>
      <c r="S5" s="42"/>
      <c r="T5" s="23">
        <v>59170.333330474212</v>
      </c>
      <c r="U5" s="33">
        <v>2.8530458749992249</v>
      </c>
      <c r="V5" s="5">
        <v>2</v>
      </c>
      <c r="W5" s="5">
        <v>85</v>
      </c>
      <c r="X5" s="33">
        <v>14.258315946725947</v>
      </c>
      <c r="Y5" s="5">
        <v>55.906808452042043</v>
      </c>
      <c r="Z5" s="5">
        <v>2029.9014088371996</v>
      </c>
      <c r="AA5" s="42"/>
    </row>
    <row r="6" spans="2:27" x14ac:dyDescent="0.2">
      <c r="B6" s="4">
        <v>3</v>
      </c>
      <c r="C6" s="4">
        <v>581</v>
      </c>
      <c r="D6" s="23">
        <v>47931.50682278708</v>
      </c>
      <c r="E6" s="33">
        <v>2.6835156660008579</v>
      </c>
      <c r="F6" s="5">
        <v>2</v>
      </c>
      <c r="G6" s="23">
        <v>95</v>
      </c>
      <c r="H6" s="33">
        <v>0</v>
      </c>
      <c r="I6" s="23">
        <v>33.75035329346472</v>
      </c>
      <c r="J6" s="5">
        <v>1557.000880385139</v>
      </c>
      <c r="K6" s="31"/>
      <c r="L6" s="23">
        <v>60960.495096751787</v>
      </c>
      <c r="M6" s="33">
        <v>4.1945004160006647</v>
      </c>
      <c r="N6" s="5">
        <v>3</v>
      </c>
      <c r="O6" s="5">
        <v>80</v>
      </c>
      <c r="P6" s="33">
        <v>0</v>
      </c>
      <c r="Q6" s="5">
        <v>20.123769000336036</v>
      </c>
      <c r="R6" s="5">
        <v>1051.3937957433359</v>
      </c>
      <c r="S6" s="42"/>
      <c r="T6" s="23">
        <v>57712.892723472789</v>
      </c>
      <c r="U6" s="33">
        <v>3.2859845829989349</v>
      </c>
      <c r="V6" s="5">
        <v>3</v>
      </c>
      <c r="W6" s="5">
        <v>95</v>
      </c>
      <c r="X6" s="33">
        <v>8.4839549859614518</v>
      </c>
      <c r="Y6" s="5">
        <v>55.335414299227217</v>
      </c>
      <c r="Z6" s="5">
        <v>2050.0955828591868</v>
      </c>
      <c r="AA6" s="42"/>
    </row>
    <row r="7" spans="2:27" x14ac:dyDescent="0.2">
      <c r="B7" s="4">
        <v>4</v>
      </c>
      <c r="C7" s="4">
        <v>664</v>
      </c>
      <c r="D7" s="23">
        <v>47931.50682278708</v>
      </c>
      <c r="E7" s="33">
        <v>2.6859235840001929</v>
      </c>
      <c r="F7" s="5">
        <v>2</v>
      </c>
      <c r="G7" s="23">
        <v>95</v>
      </c>
      <c r="H7" s="33">
        <v>0</v>
      </c>
      <c r="I7" s="23">
        <v>33.75035329346472</v>
      </c>
      <c r="J7" s="5">
        <v>1557.000880385139</v>
      </c>
      <c r="K7" s="31"/>
      <c r="L7" s="23">
        <v>60960.495096751787</v>
      </c>
      <c r="M7" s="33">
        <v>4.1594804170017596</v>
      </c>
      <c r="N7" s="5">
        <v>3</v>
      </c>
      <c r="O7" s="5">
        <v>80</v>
      </c>
      <c r="P7" s="33">
        <v>0</v>
      </c>
      <c r="Q7" s="5">
        <v>20.123769000336036</v>
      </c>
      <c r="R7" s="5">
        <v>1051.3937957433359</v>
      </c>
      <c r="S7" s="42"/>
      <c r="T7" s="23">
        <v>57712.892723472789</v>
      </c>
      <c r="U7" s="33">
        <v>3.294021084002452</v>
      </c>
      <c r="V7" s="5">
        <v>3</v>
      </c>
      <c r="W7" s="5">
        <v>95</v>
      </c>
      <c r="X7" s="33">
        <v>8.4839549859614518</v>
      </c>
      <c r="Y7" s="5">
        <v>55.335414299227217</v>
      </c>
      <c r="Z7" s="5">
        <v>2050.0955828591868</v>
      </c>
      <c r="AA7" s="42"/>
    </row>
    <row r="8" spans="2:27" x14ac:dyDescent="0.2">
      <c r="B8" s="4">
        <v>5</v>
      </c>
      <c r="C8" s="4">
        <v>750</v>
      </c>
      <c r="D8" s="23">
        <v>48274.453704844869</v>
      </c>
      <c r="E8" s="33">
        <v>2.6800258749999561</v>
      </c>
      <c r="F8" s="5">
        <v>2</v>
      </c>
      <c r="G8" s="23">
        <v>95</v>
      </c>
      <c r="H8" s="33">
        <v>0</v>
      </c>
      <c r="I8" s="23">
        <v>38.274380962170042</v>
      </c>
      <c r="J8" s="5">
        <v>1615.116968685039</v>
      </c>
      <c r="K8" s="31"/>
      <c r="L8" s="23">
        <v>60960.495096751787</v>
      </c>
      <c r="M8" s="33">
        <v>4.5671557079986087</v>
      </c>
      <c r="N8" s="5">
        <v>3</v>
      </c>
      <c r="O8" s="5">
        <v>80</v>
      </c>
      <c r="P8" s="33">
        <v>0</v>
      </c>
      <c r="Q8" s="5">
        <v>20.123769000336036</v>
      </c>
      <c r="R8" s="5">
        <v>1051.3937957433359</v>
      </c>
      <c r="S8" s="42"/>
      <c r="T8" s="23">
        <v>57712.892723472789</v>
      </c>
      <c r="U8" s="33">
        <v>3.352802749999682</v>
      </c>
      <c r="V8" s="5">
        <v>3</v>
      </c>
      <c r="W8" s="5">
        <v>95</v>
      </c>
      <c r="X8" s="33">
        <v>8.4839549859614518</v>
      </c>
      <c r="Y8" s="5">
        <v>55.335414299227217</v>
      </c>
      <c r="Z8" s="5">
        <v>2050.0955828591868</v>
      </c>
      <c r="AA8" s="42"/>
    </row>
    <row r="9" spans="2:27" x14ac:dyDescent="0.2">
      <c r="B9" s="4">
        <v>6</v>
      </c>
      <c r="C9" s="4">
        <v>758</v>
      </c>
      <c r="D9" s="23">
        <v>48274.453704844869</v>
      </c>
      <c r="E9" s="33">
        <v>2.665450375000546</v>
      </c>
      <c r="F9" s="5">
        <v>2</v>
      </c>
      <c r="G9" s="23">
        <v>95</v>
      </c>
      <c r="H9" s="33">
        <v>0</v>
      </c>
      <c r="I9" s="23">
        <v>38.274380962170042</v>
      </c>
      <c r="J9" s="5">
        <v>1615.116968685039</v>
      </c>
      <c r="K9" s="31"/>
      <c r="L9" s="23">
        <v>60960.495096751787</v>
      </c>
      <c r="M9" s="33">
        <v>4.9214698750001844</v>
      </c>
      <c r="N9" s="5">
        <v>3</v>
      </c>
      <c r="O9" s="5">
        <v>80</v>
      </c>
      <c r="P9" s="33">
        <v>0</v>
      </c>
      <c r="Q9" s="5">
        <v>20.123769000336036</v>
      </c>
      <c r="R9" s="5">
        <v>1051.3937957433359</v>
      </c>
      <c r="S9" s="42"/>
      <c r="T9" s="23">
        <v>57712.892723472789</v>
      </c>
      <c r="U9" s="33">
        <v>4.9384990420003314</v>
      </c>
      <c r="V9" s="5">
        <v>3</v>
      </c>
      <c r="W9" s="5">
        <v>95</v>
      </c>
      <c r="X9" s="33">
        <v>8.4839549859614518</v>
      </c>
      <c r="Y9" s="5">
        <v>55.335414299227217</v>
      </c>
      <c r="Z9" s="5">
        <v>2050.0955828591868</v>
      </c>
      <c r="AA9" s="42"/>
    </row>
    <row r="10" spans="2:27" x14ac:dyDescent="0.2">
      <c r="B10" s="4">
        <v>7</v>
      </c>
      <c r="C10" s="4">
        <v>863</v>
      </c>
      <c r="D10" s="23">
        <v>47931.50682278708</v>
      </c>
      <c r="E10" s="33">
        <v>2.6633914579997509</v>
      </c>
      <c r="F10" s="5">
        <v>2</v>
      </c>
      <c r="G10" s="23">
        <v>95</v>
      </c>
      <c r="H10" s="33">
        <v>0</v>
      </c>
      <c r="I10" s="23">
        <v>33.75035329346472</v>
      </c>
      <c r="J10" s="5">
        <v>1557.000880385139</v>
      </c>
      <c r="K10" s="31"/>
      <c r="L10" s="23">
        <v>60960.495096751787</v>
      </c>
      <c r="M10" s="33">
        <v>4.1401960000002873</v>
      </c>
      <c r="N10" s="5">
        <v>3</v>
      </c>
      <c r="O10" s="5">
        <v>80</v>
      </c>
      <c r="P10" s="33">
        <v>0</v>
      </c>
      <c r="Q10" s="5">
        <v>20.123769000336036</v>
      </c>
      <c r="R10" s="5">
        <v>1051.3937957433359</v>
      </c>
      <c r="S10" s="42"/>
      <c r="T10" s="23">
        <v>57712.892723472789</v>
      </c>
      <c r="U10" s="33">
        <v>3.3351448339999479</v>
      </c>
      <c r="V10" s="5">
        <v>3</v>
      </c>
      <c r="W10" s="5">
        <v>95</v>
      </c>
      <c r="X10" s="33">
        <v>8.4839549859614518</v>
      </c>
      <c r="Y10" s="5">
        <v>55.335414299227217</v>
      </c>
      <c r="Z10" s="5">
        <v>2050.0955828591868</v>
      </c>
      <c r="AA10" s="42"/>
    </row>
    <row r="11" spans="2:27" x14ac:dyDescent="0.2">
      <c r="B11" s="4">
        <v>8</v>
      </c>
      <c r="C11" s="4">
        <v>884</v>
      </c>
      <c r="D11" s="23">
        <v>47931.50682278708</v>
      </c>
      <c r="E11" s="33">
        <v>2.6749658750004528</v>
      </c>
      <c r="F11" s="5">
        <v>2</v>
      </c>
      <c r="G11" s="23">
        <v>95</v>
      </c>
      <c r="H11" s="33">
        <v>0</v>
      </c>
      <c r="I11" s="23">
        <v>33.75035329346472</v>
      </c>
      <c r="J11" s="5">
        <v>1557.000880385139</v>
      </c>
      <c r="K11" s="31"/>
      <c r="L11" s="23">
        <v>60960.495096751787</v>
      </c>
      <c r="M11" s="33">
        <v>4.155919291999453</v>
      </c>
      <c r="N11" s="5">
        <v>3</v>
      </c>
      <c r="O11" s="5">
        <v>80</v>
      </c>
      <c r="P11" s="33">
        <v>0</v>
      </c>
      <c r="Q11" s="5">
        <v>20.123769000336036</v>
      </c>
      <c r="R11" s="5">
        <v>1051.3937957433359</v>
      </c>
      <c r="S11" s="42"/>
      <c r="T11" s="23">
        <v>57712.892723472789</v>
      </c>
      <c r="U11" s="33">
        <v>3.6486472090000461</v>
      </c>
      <c r="V11" s="5">
        <v>3</v>
      </c>
      <c r="W11" s="5">
        <v>95</v>
      </c>
      <c r="X11" s="33">
        <v>8.4839549859614518</v>
      </c>
      <c r="Y11" s="5">
        <v>55.335414299227217</v>
      </c>
      <c r="Z11" s="5">
        <v>2050.0955828591868</v>
      </c>
      <c r="AA11" s="42"/>
    </row>
    <row r="12" spans="2:27" x14ac:dyDescent="0.2">
      <c r="B12" s="4">
        <v>9</v>
      </c>
      <c r="C12" s="4">
        <v>899</v>
      </c>
      <c r="D12" s="23">
        <v>47931.50682278708</v>
      </c>
      <c r="E12" s="33">
        <v>2.6378384999998161</v>
      </c>
      <c r="F12" s="5">
        <v>2</v>
      </c>
      <c r="G12" s="23">
        <v>95</v>
      </c>
      <c r="H12" s="33">
        <v>0</v>
      </c>
      <c r="I12" s="23">
        <v>33.75035329346472</v>
      </c>
      <c r="J12" s="5">
        <v>1557.000880385139</v>
      </c>
      <c r="K12" s="31"/>
      <c r="L12" s="23">
        <v>60960.495096751787</v>
      </c>
      <c r="M12" s="33">
        <v>4.1403087090002373</v>
      </c>
      <c r="N12" s="5">
        <v>3</v>
      </c>
      <c r="O12" s="5">
        <v>80</v>
      </c>
      <c r="P12" s="33">
        <v>0</v>
      </c>
      <c r="Q12" s="5">
        <v>20.123769000336036</v>
      </c>
      <c r="R12" s="5">
        <v>1051.3937957433359</v>
      </c>
      <c r="S12" s="42"/>
      <c r="T12" s="23">
        <v>57712.892723472789</v>
      </c>
      <c r="U12" s="33">
        <v>3.372849415998644</v>
      </c>
      <c r="V12" s="5">
        <v>3</v>
      </c>
      <c r="W12" s="5">
        <v>95</v>
      </c>
      <c r="X12" s="33">
        <v>8.4839549859614518</v>
      </c>
      <c r="Y12" s="5">
        <v>55.335414299227217</v>
      </c>
      <c r="Z12" s="5">
        <v>2050.0955828591868</v>
      </c>
      <c r="AA12" s="42"/>
    </row>
    <row r="13" spans="2:27" x14ac:dyDescent="0.2">
      <c r="B13" s="4">
        <v>10</v>
      </c>
      <c r="C13" s="4">
        <v>901</v>
      </c>
      <c r="D13" s="23">
        <v>47931.50682278708</v>
      </c>
      <c r="E13" s="33">
        <v>2.5966680000001361</v>
      </c>
      <c r="F13" s="5">
        <v>2</v>
      </c>
      <c r="G13" s="23">
        <v>95</v>
      </c>
      <c r="H13" s="33">
        <v>0</v>
      </c>
      <c r="I13" s="23">
        <v>33.75035329346472</v>
      </c>
      <c r="J13" s="5">
        <v>1557.000880385139</v>
      </c>
      <c r="K13" s="31"/>
      <c r="L13" s="23">
        <v>60960.495096751787</v>
      </c>
      <c r="M13" s="33">
        <v>4.6034263330002432</v>
      </c>
      <c r="N13" s="5">
        <v>3</v>
      </c>
      <c r="O13" s="5">
        <v>80</v>
      </c>
      <c r="P13" s="33">
        <v>0</v>
      </c>
      <c r="Q13" s="5">
        <v>20.123769000336036</v>
      </c>
      <c r="R13" s="5">
        <v>1051.3937957433359</v>
      </c>
      <c r="S13" s="42"/>
      <c r="T13" s="23">
        <v>57712.892723472789</v>
      </c>
      <c r="U13" s="33">
        <v>3.4077126250012948</v>
      </c>
      <c r="V13" s="5">
        <v>3</v>
      </c>
      <c r="W13" s="5">
        <v>95</v>
      </c>
      <c r="X13" s="33">
        <v>8.4839549859614518</v>
      </c>
      <c r="Y13" s="5">
        <v>55.335414299227217</v>
      </c>
      <c r="Z13" s="5">
        <v>2050.0955828591868</v>
      </c>
      <c r="AA13" s="42"/>
    </row>
    <row r="14" spans="2:27" x14ac:dyDescent="0.2">
      <c r="B14" s="46" t="s">
        <v>3</v>
      </c>
      <c r="C14" s="47"/>
      <c r="D14" s="9">
        <f>MIN(D4:D13)</f>
        <v>47931.50682278708</v>
      </c>
      <c r="E14" s="22">
        <f>INDEX(E4:E13, MATCH($D$14, D4:D13, 0))</f>
        <v>2.6835156660008579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0</v>
      </c>
      <c r="I14" s="22">
        <f>INDEX(I4:I13, MATCH($D$14, D4:D13, 0))</f>
        <v>33.75035329346472</v>
      </c>
      <c r="J14" s="22">
        <f>INDEX(J4:J13, MATCH($D$14, D4:D13, 0))</f>
        <v>1557.000880385139</v>
      </c>
      <c r="K14" s="32"/>
      <c r="L14" s="16">
        <f>MIN(L4:L13)</f>
        <v>60960.495096751787</v>
      </c>
      <c r="M14" s="21">
        <f>INDEX(M4:M13, MATCH($L$14, L4:L13, 0))</f>
        <v>4.3931773330004944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20.123769000336036</v>
      </c>
      <c r="R14" s="21">
        <f>INDEX(R4:R13, MATCH($L$14, L4:L13, 0))</f>
        <v>1051.3937957433359</v>
      </c>
      <c r="S14" s="43" t="e">
        <f>(L14-$D$15)/$D$15</f>
        <v>#DIV/0!</v>
      </c>
      <c r="T14" s="38">
        <f>MIN(T4:T13)</f>
        <v>57712.892723472789</v>
      </c>
      <c r="U14" s="44">
        <f>INDEX(U4:U13, MATCH($T$14, T4:T13, 0))</f>
        <v>3.2859845829989349</v>
      </c>
      <c r="V14" s="38">
        <f>INDEX(V4:V13, MATCH($T$14, T4:T13, 0))</f>
        <v>3</v>
      </c>
      <c r="W14" s="38">
        <f>INDEX(W4:W13, MATCH($T$14, T4:T13, 0))</f>
        <v>95</v>
      </c>
      <c r="X14" s="44">
        <f>INDEX(X4:X13, MATCH($T$14, T4:T13, 0))</f>
        <v>8.4839549859614518</v>
      </c>
      <c r="Y14" s="44">
        <f>INDEX(Y4:Y13, MATCH($T$14, T4:T13, 0))</f>
        <v>55.335414299227217</v>
      </c>
      <c r="Z14" s="44">
        <f>INDEX(Z4:Z13, MATCH($T$14, T4:T13, 0))</f>
        <v>2050.0955828591868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8:C1048576">
    <cfRule type="duplicateValues" dxfId="77" priority="5"/>
    <cfRule type="duplicateValues" dxfId="76" priority="6"/>
  </conditionalFormatting>
  <conditionalFormatting sqref="C14">
    <cfRule type="duplicateValues" dxfId="75" priority="3"/>
    <cfRule type="duplicateValues" dxfId="74" priority="4"/>
  </conditionalFormatting>
  <conditionalFormatting sqref="C15:C2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4CE5-0149-A043-9CB5-B3EDA6668A58}">
  <dimension ref="B1:AA17"/>
  <sheetViews>
    <sheetView zoomScale="118" zoomScaleNormal="120" workbookViewId="0">
      <selection activeCell="K4" sqref="K4:K2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-0.17581625713391907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-0.21618528289340086</v>
      </c>
      <c r="T2" s="1" t="s">
        <v>19</v>
      </c>
      <c r="X2" s="1" t="e">
        <f>(X14-P14)/P14</f>
        <v>#DIV/0!</v>
      </c>
      <c r="Z2" s="1">
        <f>(Z14-R14)/R14</f>
        <v>0.88279946904403084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98</v>
      </c>
      <c r="D4" s="23">
        <v>54322.432382085899</v>
      </c>
      <c r="E4" s="33">
        <v>2.9407132090000232</v>
      </c>
      <c r="F4" s="5">
        <v>3</v>
      </c>
      <c r="G4" s="23">
        <v>100</v>
      </c>
      <c r="H4" s="33">
        <v>24.937812288909548</v>
      </c>
      <c r="I4" s="23">
        <v>32.182398966785136</v>
      </c>
      <c r="J4" s="5">
        <v>1615.2145566904276</v>
      </c>
      <c r="K4" s="31"/>
      <c r="L4" s="23">
        <v>69828.075622718636</v>
      </c>
      <c r="M4" s="33">
        <v>4.0685611670014623</v>
      </c>
      <c r="N4" s="5">
        <v>3</v>
      </c>
      <c r="O4" s="5">
        <v>75</v>
      </c>
      <c r="P4" s="33">
        <v>0</v>
      </c>
      <c r="Q4" s="5">
        <v>17.665174888020925</v>
      </c>
      <c r="R4" s="5">
        <v>1304.5294182942271</v>
      </c>
      <c r="S4" s="42"/>
      <c r="T4" s="23">
        <v>67477.062808825052</v>
      </c>
      <c r="U4" s="33">
        <v>3.0324159579977281</v>
      </c>
      <c r="V4" s="5">
        <v>2</v>
      </c>
      <c r="W4" s="5">
        <v>80</v>
      </c>
      <c r="X4" s="33">
        <v>185.58851835856535</v>
      </c>
      <c r="Y4" s="5">
        <v>69.819015146944807</v>
      </c>
      <c r="Z4" s="5">
        <v>2383.678617567954</v>
      </c>
      <c r="AA4" s="42"/>
    </row>
    <row r="5" spans="2:27" x14ac:dyDescent="0.2">
      <c r="B5" s="4">
        <v>2</v>
      </c>
      <c r="C5" s="4">
        <v>109</v>
      </c>
      <c r="D5" s="23">
        <v>54322.432382085899</v>
      </c>
      <c r="E5" s="33">
        <v>2.982665415999691</v>
      </c>
      <c r="F5" s="5">
        <v>3</v>
      </c>
      <c r="G5" s="23">
        <v>100</v>
      </c>
      <c r="H5" s="33">
        <v>24.937812288909548</v>
      </c>
      <c r="I5" s="23">
        <v>32.182398966785136</v>
      </c>
      <c r="J5" s="5">
        <v>1615.2145566904276</v>
      </c>
      <c r="K5" s="31"/>
      <c r="L5" s="23">
        <v>70032.558309570246</v>
      </c>
      <c r="M5" s="33">
        <v>5.1958774580016316</v>
      </c>
      <c r="N5" s="5">
        <v>3</v>
      </c>
      <c r="O5" s="5">
        <v>75</v>
      </c>
      <c r="P5" s="33">
        <v>0</v>
      </c>
      <c r="Q5" s="5">
        <v>20.911392828349264</v>
      </c>
      <c r="R5" s="5">
        <v>1306.1953637173235</v>
      </c>
      <c r="S5" s="42"/>
      <c r="T5" s="23">
        <v>67477.062808825052</v>
      </c>
      <c r="U5" s="33">
        <v>2.994738999997935</v>
      </c>
      <c r="V5" s="5">
        <v>2</v>
      </c>
      <c r="W5" s="5">
        <v>80</v>
      </c>
      <c r="X5" s="33">
        <v>185.58851835856535</v>
      </c>
      <c r="Y5" s="5">
        <v>69.819015146944807</v>
      </c>
      <c r="Z5" s="5">
        <v>2383.678617567954</v>
      </c>
      <c r="AA5" s="42"/>
    </row>
    <row r="6" spans="2:27" x14ac:dyDescent="0.2">
      <c r="B6" s="4">
        <v>3</v>
      </c>
      <c r="C6" s="4">
        <v>131</v>
      </c>
      <c r="D6" s="23">
        <v>54322.432382085899</v>
      </c>
      <c r="E6" s="33">
        <v>2.949466624999332</v>
      </c>
      <c r="F6" s="5">
        <v>3</v>
      </c>
      <c r="G6" s="23">
        <v>100</v>
      </c>
      <c r="H6" s="33">
        <v>24.937812288909548</v>
      </c>
      <c r="I6" s="23">
        <v>32.182398966785136</v>
      </c>
      <c r="J6" s="5">
        <v>1615.2145566904276</v>
      </c>
      <c r="K6" s="31"/>
      <c r="L6" s="23">
        <v>69346.213177694386</v>
      </c>
      <c r="M6" s="33">
        <v>4.9940052080019086</v>
      </c>
      <c r="N6" s="5">
        <v>3</v>
      </c>
      <c r="O6" s="5">
        <v>75</v>
      </c>
      <c r="P6" s="33">
        <v>0</v>
      </c>
      <c r="Q6" s="5">
        <v>20.55333947116522</v>
      </c>
      <c r="R6" s="5">
        <v>1266.0289408187684</v>
      </c>
      <c r="S6" s="42"/>
      <c r="T6" s="23">
        <v>67477.062808825052</v>
      </c>
      <c r="U6" s="33">
        <v>3.3345312500023279</v>
      </c>
      <c r="V6" s="5">
        <v>2</v>
      </c>
      <c r="W6" s="5">
        <v>80</v>
      </c>
      <c r="X6" s="33">
        <v>185.58851835856535</v>
      </c>
      <c r="Y6" s="5">
        <v>69.819015146944807</v>
      </c>
      <c r="Z6" s="5">
        <v>2383.678617567954</v>
      </c>
      <c r="AA6" s="42"/>
    </row>
    <row r="7" spans="2:27" x14ac:dyDescent="0.2">
      <c r="B7" s="4">
        <v>4</v>
      </c>
      <c r="C7" s="4">
        <v>211</v>
      </c>
      <c r="D7" s="23">
        <v>54322.432382085899</v>
      </c>
      <c r="E7" s="33">
        <v>3.0184619589999779</v>
      </c>
      <c r="F7" s="5">
        <v>3</v>
      </c>
      <c r="G7" s="23">
        <v>100</v>
      </c>
      <c r="H7" s="33">
        <v>24.937812288909548</v>
      </c>
      <c r="I7" s="23">
        <v>32.182398966785136</v>
      </c>
      <c r="J7" s="5">
        <v>1615.2145566904276</v>
      </c>
      <c r="K7" s="31"/>
      <c r="L7" s="23">
        <v>70032.558309570246</v>
      </c>
      <c r="M7" s="33">
        <v>6.2360110830013582</v>
      </c>
      <c r="N7" s="5">
        <v>3</v>
      </c>
      <c r="O7" s="5">
        <v>75</v>
      </c>
      <c r="P7" s="33">
        <v>0</v>
      </c>
      <c r="Q7" s="5">
        <v>20.911392828349264</v>
      </c>
      <c r="R7" s="5">
        <v>1306.1953637173235</v>
      </c>
      <c r="S7" s="42"/>
      <c r="T7" s="23">
        <v>67477.062808825052</v>
      </c>
      <c r="U7" s="33">
        <v>2.9946157079975819</v>
      </c>
      <c r="V7" s="5">
        <v>2</v>
      </c>
      <c r="W7" s="5">
        <v>80</v>
      </c>
      <c r="X7" s="33">
        <v>185.58851835856535</v>
      </c>
      <c r="Y7" s="5">
        <v>69.819015146944807</v>
      </c>
      <c r="Z7" s="5">
        <v>2383.678617567954</v>
      </c>
      <c r="AA7" s="42"/>
    </row>
    <row r="8" spans="2:27" x14ac:dyDescent="0.2">
      <c r="B8" s="4">
        <v>5</v>
      </c>
      <c r="C8" s="4">
        <v>542</v>
      </c>
      <c r="D8" s="23">
        <v>54322.432382085899</v>
      </c>
      <c r="E8" s="33">
        <v>2.9839804169996569</v>
      </c>
      <c r="F8" s="5">
        <v>3</v>
      </c>
      <c r="G8" s="23">
        <v>100</v>
      </c>
      <c r="H8" s="33">
        <v>24.937812288909548</v>
      </c>
      <c r="I8" s="23">
        <v>32.182398966785136</v>
      </c>
      <c r="J8" s="5">
        <v>1615.2145566904276</v>
      </c>
      <c r="K8" s="31"/>
      <c r="L8" s="23">
        <v>74073.461041863775</v>
      </c>
      <c r="M8" s="33">
        <v>3.868699417002063</v>
      </c>
      <c r="N8" s="5">
        <v>3</v>
      </c>
      <c r="O8" s="5">
        <v>75</v>
      </c>
      <c r="P8" s="33">
        <v>0</v>
      </c>
      <c r="Q8" s="5">
        <v>18.103250240070484</v>
      </c>
      <c r="R8" s="5">
        <v>1556.3180184752955</v>
      </c>
      <c r="S8" s="42"/>
      <c r="T8" s="23">
        <v>67477.062808825052</v>
      </c>
      <c r="U8" s="33">
        <v>3.0663585830006919</v>
      </c>
      <c r="V8" s="5">
        <v>2</v>
      </c>
      <c r="W8" s="5">
        <v>80</v>
      </c>
      <c r="X8" s="33">
        <v>185.58851835856535</v>
      </c>
      <c r="Y8" s="5">
        <v>69.819015146944807</v>
      </c>
      <c r="Z8" s="5">
        <v>2383.678617567954</v>
      </c>
      <c r="AA8" s="42"/>
    </row>
    <row r="9" spans="2:27" x14ac:dyDescent="0.2">
      <c r="B9" s="4">
        <v>6</v>
      </c>
      <c r="C9" s="4">
        <v>764</v>
      </c>
      <c r="D9" s="23">
        <v>54322.432382085899</v>
      </c>
      <c r="E9" s="33">
        <v>2.9463526250001451</v>
      </c>
      <c r="F9" s="5">
        <v>3</v>
      </c>
      <c r="G9" s="23">
        <v>100</v>
      </c>
      <c r="H9" s="33">
        <v>24.937812288909548</v>
      </c>
      <c r="I9" s="23">
        <v>32.182398966785136</v>
      </c>
      <c r="J9" s="5">
        <v>1615.2145566904276</v>
      </c>
      <c r="K9" s="31"/>
      <c r="L9" s="23">
        <v>69800.828732688125</v>
      </c>
      <c r="M9" s="33">
        <v>4.3074394159993972</v>
      </c>
      <c r="N9" s="5">
        <v>3</v>
      </c>
      <c r="O9" s="5">
        <v>75</v>
      </c>
      <c r="P9" s="33">
        <v>0</v>
      </c>
      <c r="Q9" s="5">
        <v>17.441065884150017</v>
      </c>
      <c r="R9" s="5">
        <v>1294.4974962188141</v>
      </c>
      <c r="S9" s="42"/>
      <c r="T9" s="23">
        <v>67477.062808825052</v>
      </c>
      <c r="U9" s="33">
        <v>2.9315320000023348</v>
      </c>
      <c r="V9" s="5">
        <v>2</v>
      </c>
      <c r="W9" s="5">
        <v>80</v>
      </c>
      <c r="X9" s="33">
        <v>185.58851835856535</v>
      </c>
      <c r="Y9" s="5">
        <v>69.819015146944807</v>
      </c>
      <c r="Z9" s="5">
        <v>2383.678617567954</v>
      </c>
      <c r="AA9" s="42"/>
    </row>
    <row r="10" spans="2:27" x14ac:dyDescent="0.2">
      <c r="B10" s="4">
        <v>7</v>
      </c>
      <c r="C10" s="4">
        <v>859</v>
      </c>
      <c r="D10" s="23">
        <v>54322.432382085899</v>
      </c>
      <c r="E10" s="33">
        <v>3.3184629160004988</v>
      </c>
      <c r="F10" s="5">
        <v>3</v>
      </c>
      <c r="G10" s="23">
        <v>100</v>
      </c>
      <c r="H10" s="33">
        <v>24.937812288909548</v>
      </c>
      <c r="I10" s="23">
        <v>32.182398966785136</v>
      </c>
      <c r="J10" s="5">
        <v>1615.2145566904276</v>
      </c>
      <c r="K10" s="31"/>
      <c r="L10" s="23">
        <v>69800.828732688125</v>
      </c>
      <c r="M10" s="33">
        <v>4.2689130830003714</v>
      </c>
      <c r="N10" s="5">
        <v>3</v>
      </c>
      <c r="O10" s="5">
        <v>75</v>
      </c>
      <c r="P10" s="33">
        <v>0</v>
      </c>
      <c r="Q10" s="5">
        <v>17.441065884150017</v>
      </c>
      <c r="R10" s="5">
        <v>1294.4974962188141</v>
      </c>
      <c r="S10" s="42"/>
      <c r="T10" s="23">
        <v>67477.062808825052</v>
      </c>
      <c r="U10" s="33">
        <v>2.9846635829999291</v>
      </c>
      <c r="V10" s="5">
        <v>2</v>
      </c>
      <c r="W10" s="5">
        <v>80</v>
      </c>
      <c r="X10" s="33">
        <v>185.58851835856535</v>
      </c>
      <c r="Y10" s="5">
        <v>69.819015146944807</v>
      </c>
      <c r="Z10" s="5">
        <v>2383.678617567954</v>
      </c>
      <c r="AA10" s="42"/>
    </row>
    <row r="11" spans="2:27" x14ac:dyDescent="0.2">
      <c r="B11" s="4">
        <v>8</v>
      </c>
      <c r="C11" s="4">
        <v>954</v>
      </c>
      <c r="D11" s="23">
        <v>54322.432382085899</v>
      </c>
      <c r="E11" s="33">
        <v>3.048898957999882</v>
      </c>
      <c r="F11" s="5">
        <v>3</v>
      </c>
      <c r="G11" s="23">
        <v>100</v>
      </c>
      <c r="H11" s="33">
        <v>24.937812288909548</v>
      </c>
      <c r="I11" s="23">
        <v>32.182398966785136</v>
      </c>
      <c r="J11" s="5">
        <v>1615.2145566904276</v>
      </c>
      <c r="K11" s="31"/>
      <c r="L11" s="23">
        <v>70032.558309570246</v>
      </c>
      <c r="M11" s="33">
        <v>4.3644997910014354</v>
      </c>
      <c r="N11" s="5">
        <v>3</v>
      </c>
      <c r="O11" s="5">
        <v>75</v>
      </c>
      <c r="P11" s="33">
        <v>0</v>
      </c>
      <c r="Q11" s="5">
        <v>20.911392828349264</v>
      </c>
      <c r="R11" s="5">
        <v>1306.1953637173235</v>
      </c>
      <c r="S11" s="42"/>
      <c r="T11" s="23">
        <v>67477.062808825052</v>
      </c>
      <c r="U11" s="33">
        <v>2.9877960410012752</v>
      </c>
      <c r="V11" s="5">
        <v>2</v>
      </c>
      <c r="W11" s="5">
        <v>80</v>
      </c>
      <c r="X11" s="33">
        <v>185.58851835856535</v>
      </c>
      <c r="Y11" s="5">
        <v>69.819015146944807</v>
      </c>
      <c r="Z11" s="5">
        <v>2383.678617567954</v>
      </c>
      <c r="AA11" s="42"/>
    </row>
    <row r="12" spans="2:27" x14ac:dyDescent="0.2">
      <c r="B12" s="4">
        <v>9</v>
      </c>
      <c r="C12" s="4">
        <v>970</v>
      </c>
      <c r="D12" s="23">
        <v>54322.432382085899</v>
      </c>
      <c r="E12" s="33">
        <v>3.0098131670001749</v>
      </c>
      <c r="F12" s="5">
        <v>3</v>
      </c>
      <c r="G12" s="23">
        <v>100</v>
      </c>
      <c r="H12" s="33">
        <v>24.937812288909548</v>
      </c>
      <c r="I12" s="23">
        <v>32.182398966785136</v>
      </c>
      <c r="J12" s="5">
        <v>1615.2145566904276</v>
      </c>
      <c r="K12" s="31"/>
      <c r="L12" s="23">
        <v>70032.558309570246</v>
      </c>
      <c r="M12" s="33">
        <v>4.0077980419991954</v>
      </c>
      <c r="N12" s="5">
        <v>3</v>
      </c>
      <c r="O12" s="5">
        <v>75</v>
      </c>
      <c r="P12" s="33">
        <v>0</v>
      </c>
      <c r="Q12" s="5">
        <v>20.911392828349264</v>
      </c>
      <c r="R12" s="5">
        <v>1306.1953637173235</v>
      </c>
      <c r="S12" s="42"/>
      <c r="T12" s="23">
        <v>67477.062808825052</v>
      </c>
      <c r="U12" s="33">
        <v>2.9808375409993459</v>
      </c>
      <c r="V12" s="5">
        <v>2</v>
      </c>
      <c r="W12" s="5">
        <v>80</v>
      </c>
      <c r="X12" s="33">
        <v>185.58851835856535</v>
      </c>
      <c r="Y12" s="5">
        <v>69.819015146944807</v>
      </c>
      <c r="Z12" s="5">
        <v>2383.678617567954</v>
      </c>
      <c r="AA12" s="42"/>
    </row>
    <row r="13" spans="2:27" x14ac:dyDescent="0.2">
      <c r="B13" s="4">
        <v>10</v>
      </c>
      <c r="C13" s="4">
        <v>981</v>
      </c>
      <c r="D13" s="23">
        <v>54322.432382085899</v>
      </c>
      <c r="E13" s="33">
        <v>3.216997542000172</v>
      </c>
      <c r="F13" s="5">
        <v>3</v>
      </c>
      <c r="G13" s="23">
        <v>100</v>
      </c>
      <c r="H13" s="33">
        <v>24.937812288909548</v>
      </c>
      <c r="I13" s="23">
        <v>32.182398966785136</v>
      </c>
      <c r="J13" s="5">
        <v>1615.2145566904276</v>
      </c>
      <c r="K13" s="31"/>
      <c r="L13" s="23">
        <v>69823.494381822573</v>
      </c>
      <c r="M13" s="33">
        <v>4.8111760829997374</v>
      </c>
      <c r="N13" s="5">
        <v>3</v>
      </c>
      <c r="O13" s="5">
        <v>75</v>
      </c>
      <c r="P13" s="33">
        <v>0</v>
      </c>
      <c r="Q13" s="5">
        <v>17.590841703568692</v>
      </c>
      <c r="R13" s="5">
        <v>1298.8520416733597</v>
      </c>
      <c r="S13" s="42"/>
      <c r="T13" s="23">
        <v>67477.062808825052</v>
      </c>
      <c r="U13" s="33">
        <v>3.110712624998996</v>
      </c>
      <c r="V13" s="5">
        <v>2</v>
      </c>
      <c r="W13" s="5">
        <v>80</v>
      </c>
      <c r="X13" s="33">
        <v>185.58851835856535</v>
      </c>
      <c r="Y13" s="5">
        <v>69.819015146944807</v>
      </c>
      <c r="Z13" s="5">
        <v>2383.678617567954</v>
      </c>
      <c r="AA13" s="42"/>
    </row>
    <row r="14" spans="2:27" x14ac:dyDescent="0.2">
      <c r="B14" s="46" t="s">
        <v>3</v>
      </c>
      <c r="C14" s="47"/>
      <c r="D14" s="9">
        <f>MIN(D4:D13)</f>
        <v>54322.432382085899</v>
      </c>
      <c r="E14" s="22">
        <f>INDEX(E4:E13, MATCH($D$14, D4:D13, 0))</f>
        <v>2.9407132090000232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24.937812288909548</v>
      </c>
      <c r="I14" s="22">
        <f>INDEX(I4:I13, MATCH($D$14, D4:D13, 0))</f>
        <v>32.182398966785136</v>
      </c>
      <c r="J14" s="22">
        <f>INDEX(J4:J13, MATCH($D$14, D4:D13, 0))</f>
        <v>1615.2145566904276</v>
      </c>
      <c r="K14" s="32"/>
      <c r="L14" s="16">
        <f>MIN(L4:L13)</f>
        <v>69346.213177694386</v>
      </c>
      <c r="M14" s="21">
        <f>INDEX(M4:M13, MATCH($L$14, L4:L13, 0))</f>
        <v>4.9940052080019086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20.55333947116522</v>
      </c>
      <c r="R14" s="21">
        <f>INDEX(R4:R13, MATCH($L$14, L4:L13, 0))</f>
        <v>1266.0289408187684</v>
      </c>
      <c r="S14" s="43" t="e">
        <f>(L14-$D$15)/$D$15</f>
        <v>#DIV/0!</v>
      </c>
      <c r="T14" s="38">
        <f>MIN(T4:T13)</f>
        <v>67477.062808825052</v>
      </c>
      <c r="U14" s="44">
        <f>INDEX(U4:U13, MATCH($T$14, T4:T13, 0))</f>
        <v>3.0324159579977281</v>
      </c>
      <c r="V14" s="38">
        <f>INDEX(V4:V13, MATCH($T$14, T4:T13, 0))</f>
        <v>2</v>
      </c>
      <c r="W14" s="38">
        <f>INDEX(W4:W13, MATCH($T$14, T4:T13, 0))</f>
        <v>80</v>
      </c>
      <c r="X14" s="44">
        <f>INDEX(X4:X13, MATCH($T$14, T4:T13, 0))</f>
        <v>185.58851835856535</v>
      </c>
      <c r="Y14" s="44">
        <f>INDEX(Y4:Y13, MATCH($T$14, T4:T13, 0))</f>
        <v>69.819015146944807</v>
      </c>
      <c r="Z14" s="44">
        <f>INDEX(Z4:Z13, MATCH($T$14, T4:T13, 0))</f>
        <v>2383.678617567954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8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:C27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B2A5-6DC7-1E4E-B962-E79AF37A7E3A}">
  <dimension ref="B1:AA17"/>
  <sheetViews>
    <sheetView zoomScale="118" zoomScaleNormal="120" workbookViewId="0">
      <selection activeCell="K4" sqref="K4:K1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-0.22601976683749603</v>
      </c>
      <c r="T2" s="1" t="s">
        <v>19</v>
      </c>
      <c r="X2" s="1" t="e">
        <f>(X14-P14)/P14</f>
        <v>#DIV/0!</v>
      </c>
      <c r="Z2" s="1">
        <f>(Z14-R14)/R14</f>
        <v>0.48575675769610577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14</v>
      </c>
      <c r="D4" s="23">
        <v>41430.09580848302</v>
      </c>
      <c r="E4" s="33">
        <v>2.148257916999682</v>
      </c>
      <c r="F4" s="5">
        <v>2</v>
      </c>
      <c r="G4" s="23">
        <v>100</v>
      </c>
      <c r="H4" s="33">
        <v>0</v>
      </c>
      <c r="I4" s="23">
        <v>21.696829922745057</v>
      </c>
      <c r="J4" s="5">
        <v>1222.3903520189565</v>
      </c>
      <c r="K4" s="31"/>
      <c r="L4" s="23">
        <v>51798.491758665717</v>
      </c>
      <c r="M4" s="33">
        <v>3.6277413339994382</v>
      </c>
      <c r="N4" s="5">
        <v>3</v>
      </c>
      <c r="O4" s="5">
        <v>90</v>
      </c>
      <c r="P4" s="33">
        <v>0</v>
      </c>
      <c r="Q4" s="5">
        <v>15.813265068764585</v>
      </c>
      <c r="R4" s="5">
        <v>873.19379883413103</v>
      </c>
      <c r="S4" s="42"/>
      <c r="T4" s="23">
        <v>44253.662424585862</v>
      </c>
      <c r="U4" s="33">
        <v>2.1987404169994988</v>
      </c>
      <c r="V4" s="5">
        <v>2</v>
      </c>
      <c r="W4" s="5">
        <v>95</v>
      </c>
      <c r="X4" s="33">
        <v>0</v>
      </c>
      <c r="Y4" s="5">
        <v>36.812002561869654</v>
      </c>
      <c r="Z4" s="5">
        <v>1331.6469244929315</v>
      </c>
      <c r="AA4" s="42"/>
    </row>
    <row r="5" spans="2:27" x14ac:dyDescent="0.2">
      <c r="B5" s="4">
        <v>2</v>
      </c>
      <c r="C5" s="4">
        <v>112</v>
      </c>
      <c r="D5" s="23">
        <v>38717.786789514859</v>
      </c>
      <c r="E5" s="33">
        <v>1.604440375000195</v>
      </c>
      <c r="F5" s="5">
        <v>2</v>
      </c>
      <c r="G5" s="23">
        <v>100</v>
      </c>
      <c r="H5" s="33">
        <v>0</v>
      </c>
      <c r="I5" s="23">
        <v>28.30506578698435</v>
      </c>
      <c r="J5" s="5">
        <v>1158.007859143017</v>
      </c>
      <c r="K5" s="31"/>
      <c r="L5" s="23">
        <v>48336.264596020148</v>
      </c>
      <c r="M5" s="33">
        <v>3.8957954169964069</v>
      </c>
      <c r="N5" s="5">
        <v>3</v>
      </c>
      <c r="O5" s="5">
        <v>95</v>
      </c>
      <c r="P5" s="33">
        <v>0</v>
      </c>
      <c r="Q5" s="5">
        <v>15.239276814277128</v>
      </c>
      <c r="R5" s="5">
        <v>896.27519282352432</v>
      </c>
      <c r="S5" s="42"/>
      <c r="T5" s="23">
        <v>44253.662424585862</v>
      </c>
      <c r="U5" s="33">
        <v>2.1894617500001909</v>
      </c>
      <c r="V5" s="5">
        <v>2</v>
      </c>
      <c r="W5" s="5">
        <v>95</v>
      </c>
      <c r="X5" s="33">
        <v>0</v>
      </c>
      <c r="Y5" s="5">
        <v>36.812002561869654</v>
      </c>
      <c r="Z5" s="5">
        <v>1331.6469244929315</v>
      </c>
      <c r="AA5" s="42"/>
    </row>
    <row r="6" spans="2:27" x14ac:dyDescent="0.2">
      <c r="B6" s="4">
        <v>3</v>
      </c>
      <c r="C6" s="4">
        <v>126</v>
      </c>
      <c r="D6" s="23">
        <v>38717.786789514859</v>
      </c>
      <c r="E6" s="33">
        <v>1.786644584000896</v>
      </c>
      <c r="F6" s="5">
        <v>2</v>
      </c>
      <c r="G6" s="23">
        <v>100</v>
      </c>
      <c r="H6" s="33">
        <v>0</v>
      </c>
      <c r="I6" s="23">
        <v>28.30506578698435</v>
      </c>
      <c r="J6" s="5">
        <v>1158.007859143017</v>
      </c>
      <c r="K6" s="31"/>
      <c r="L6" s="23">
        <v>48336.264596020148</v>
      </c>
      <c r="M6" s="33">
        <v>3.9246390419975801</v>
      </c>
      <c r="N6" s="5">
        <v>3</v>
      </c>
      <c r="O6" s="5">
        <v>95</v>
      </c>
      <c r="P6" s="33">
        <v>0</v>
      </c>
      <c r="Q6" s="5">
        <v>15.239276814277128</v>
      </c>
      <c r="R6" s="5">
        <v>896.27519282352432</v>
      </c>
      <c r="S6" s="42"/>
      <c r="T6" s="23">
        <v>44253.662424585862</v>
      </c>
      <c r="U6" s="33">
        <v>2.2063632499994128</v>
      </c>
      <c r="V6" s="5">
        <v>2</v>
      </c>
      <c r="W6" s="5">
        <v>95</v>
      </c>
      <c r="X6" s="33">
        <v>0</v>
      </c>
      <c r="Y6" s="5">
        <v>36.812002561869654</v>
      </c>
      <c r="Z6" s="5">
        <v>1331.6469244929315</v>
      </c>
      <c r="AA6" s="42"/>
    </row>
    <row r="7" spans="2:27" x14ac:dyDescent="0.2">
      <c r="B7" s="4">
        <v>4</v>
      </c>
      <c r="C7" s="4">
        <v>181</v>
      </c>
      <c r="D7" s="23">
        <v>38717.786789514859</v>
      </c>
      <c r="E7" s="33">
        <v>1.756236000000172</v>
      </c>
      <c r="F7" s="5">
        <v>2</v>
      </c>
      <c r="G7" s="23">
        <v>100</v>
      </c>
      <c r="H7" s="33">
        <v>0</v>
      </c>
      <c r="I7" s="23">
        <v>28.30506578698435</v>
      </c>
      <c r="J7" s="5">
        <v>1158.007859143017</v>
      </c>
      <c r="K7" s="31"/>
      <c r="L7" s="23">
        <v>48336.264596020148</v>
      </c>
      <c r="M7" s="33">
        <v>3.930854041998828</v>
      </c>
      <c r="N7" s="5">
        <v>3</v>
      </c>
      <c r="O7" s="5">
        <v>95</v>
      </c>
      <c r="P7" s="33">
        <v>0</v>
      </c>
      <c r="Q7" s="5">
        <v>15.239276814277128</v>
      </c>
      <c r="R7" s="5">
        <v>896.27519282352432</v>
      </c>
      <c r="S7" s="42"/>
      <c r="T7" s="23">
        <v>44253.662424585862</v>
      </c>
      <c r="U7" s="33">
        <v>2.200457957998879</v>
      </c>
      <c r="V7" s="5">
        <v>2</v>
      </c>
      <c r="W7" s="5">
        <v>95</v>
      </c>
      <c r="X7" s="33">
        <v>0</v>
      </c>
      <c r="Y7" s="5">
        <v>36.812002561869654</v>
      </c>
      <c r="Z7" s="5">
        <v>1331.6469244929315</v>
      </c>
      <c r="AA7" s="42"/>
    </row>
    <row r="8" spans="2:27" x14ac:dyDescent="0.2">
      <c r="B8" s="4">
        <v>5</v>
      </c>
      <c r="C8" s="4">
        <v>231</v>
      </c>
      <c r="D8" s="23">
        <v>41430.09580848302</v>
      </c>
      <c r="E8" s="33">
        <v>2.129723709000245</v>
      </c>
      <c r="F8" s="5">
        <v>2</v>
      </c>
      <c r="G8" s="23">
        <v>100</v>
      </c>
      <c r="H8" s="33">
        <v>0</v>
      </c>
      <c r="I8" s="23">
        <v>21.696829922745057</v>
      </c>
      <c r="J8" s="5">
        <v>1222.3903520189565</v>
      </c>
      <c r="K8" s="31"/>
      <c r="L8" s="23">
        <v>51798.491758665717</v>
      </c>
      <c r="M8" s="33">
        <v>3.6640824159985641</v>
      </c>
      <c r="N8" s="5">
        <v>3</v>
      </c>
      <c r="O8" s="5">
        <v>90</v>
      </c>
      <c r="P8" s="33">
        <v>0</v>
      </c>
      <c r="Q8" s="5">
        <v>15.813265068764585</v>
      </c>
      <c r="R8" s="5">
        <v>873.19379883413103</v>
      </c>
      <c r="S8" s="42"/>
      <c r="T8" s="23">
        <v>44253.662424585862</v>
      </c>
      <c r="U8" s="33">
        <v>2.2197620420010939</v>
      </c>
      <c r="V8" s="5">
        <v>2</v>
      </c>
      <c r="W8" s="5">
        <v>95</v>
      </c>
      <c r="X8" s="33">
        <v>0</v>
      </c>
      <c r="Y8" s="5">
        <v>36.812002561869654</v>
      </c>
      <c r="Z8" s="5">
        <v>1331.6469244929315</v>
      </c>
      <c r="AA8" s="42"/>
    </row>
    <row r="9" spans="2:27" x14ac:dyDescent="0.2">
      <c r="B9" s="4">
        <v>6</v>
      </c>
      <c r="C9" s="4">
        <v>247</v>
      </c>
      <c r="D9" s="23">
        <v>41430.09580848302</v>
      </c>
      <c r="E9" s="33">
        <v>2.3686913750007079</v>
      </c>
      <c r="F9" s="5">
        <v>2</v>
      </c>
      <c r="G9" s="23">
        <v>100</v>
      </c>
      <c r="H9" s="33">
        <v>0</v>
      </c>
      <c r="I9" s="23">
        <v>21.696829922745057</v>
      </c>
      <c r="J9" s="5">
        <v>1222.3903520189565</v>
      </c>
      <c r="K9" s="31"/>
      <c r="L9" s="23">
        <v>54642.369742018767</v>
      </c>
      <c r="M9" s="33">
        <v>3.8047572920004309</v>
      </c>
      <c r="N9" s="5">
        <v>3</v>
      </c>
      <c r="O9" s="5">
        <v>90</v>
      </c>
      <c r="P9" s="33">
        <v>0</v>
      </c>
      <c r="Q9" s="5">
        <v>13.237573183637721</v>
      </c>
      <c r="R9" s="5">
        <v>1000.502200351316</v>
      </c>
      <c r="S9" s="42"/>
      <c r="T9" s="23">
        <v>44253.662424585862</v>
      </c>
      <c r="U9" s="33">
        <v>3.430144000001746</v>
      </c>
      <c r="V9" s="5">
        <v>2</v>
      </c>
      <c r="W9" s="5">
        <v>95</v>
      </c>
      <c r="X9" s="33">
        <v>0</v>
      </c>
      <c r="Y9" s="5">
        <v>36.812002561869654</v>
      </c>
      <c r="Z9" s="5">
        <v>1331.6469244929315</v>
      </c>
      <c r="AA9" s="42"/>
    </row>
    <row r="10" spans="2:27" x14ac:dyDescent="0.2">
      <c r="B10" s="4">
        <v>7</v>
      </c>
      <c r="C10" s="4">
        <v>340</v>
      </c>
      <c r="D10" s="23">
        <v>38717.786789514859</v>
      </c>
      <c r="E10" s="33">
        <v>1.599969625000085</v>
      </c>
      <c r="F10" s="5">
        <v>2</v>
      </c>
      <c r="G10" s="23">
        <v>100</v>
      </c>
      <c r="H10" s="33">
        <v>0</v>
      </c>
      <c r="I10" s="23">
        <v>28.30506578698435</v>
      </c>
      <c r="J10" s="5">
        <v>1158.007859143017</v>
      </c>
      <c r="K10" s="31"/>
      <c r="L10" s="23">
        <v>48336.264596020148</v>
      </c>
      <c r="M10" s="33">
        <v>3.8927772089991781</v>
      </c>
      <c r="N10" s="5">
        <v>3</v>
      </c>
      <c r="O10" s="5">
        <v>95</v>
      </c>
      <c r="P10" s="33">
        <v>0</v>
      </c>
      <c r="Q10" s="5">
        <v>15.239276814277128</v>
      </c>
      <c r="R10" s="5">
        <v>896.27519282352432</v>
      </c>
      <c r="S10" s="42"/>
      <c r="T10" s="23">
        <v>44253.662424585862</v>
      </c>
      <c r="U10" s="33">
        <v>2.2045883329992648</v>
      </c>
      <c r="V10" s="5">
        <v>2</v>
      </c>
      <c r="W10" s="5">
        <v>95</v>
      </c>
      <c r="X10" s="33">
        <v>0</v>
      </c>
      <c r="Y10" s="5">
        <v>36.812002561869654</v>
      </c>
      <c r="Z10" s="5">
        <v>1331.6469244929315</v>
      </c>
      <c r="AA10" s="42"/>
    </row>
    <row r="11" spans="2:27" x14ac:dyDescent="0.2">
      <c r="B11" s="4">
        <v>8</v>
      </c>
      <c r="C11" s="4">
        <v>445</v>
      </c>
      <c r="D11" s="23">
        <v>41430.09580848302</v>
      </c>
      <c r="E11" s="33">
        <v>2.3144973750004278</v>
      </c>
      <c r="F11" s="5">
        <v>2</v>
      </c>
      <c r="G11" s="23">
        <v>100</v>
      </c>
      <c r="H11" s="33">
        <v>0</v>
      </c>
      <c r="I11" s="23">
        <v>21.696829922745057</v>
      </c>
      <c r="J11" s="5">
        <v>1222.3903520189565</v>
      </c>
      <c r="K11" s="31"/>
      <c r="L11" s="23">
        <v>50249.450040189913</v>
      </c>
      <c r="M11" s="33">
        <v>3.4866604169983479</v>
      </c>
      <c r="N11" s="5">
        <v>2</v>
      </c>
      <c r="O11" s="5">
        <v>85</v>
      </c>
      <c r="P11" s="33">
        <v>0</v>
      </c>
      <c r="Q11" s="5">
        <v>16.365401746292534</v>
      </c>
      <c r="R11" s="5">
        <v>1021.3606306504114</v>
      </c>
      <c r="S11" s="42"/>
      <c r="T11" s="23">
        <v>44253.662424585862</v>
      </c>
      <c r="U11" s="33">
        <v>2.24020345900135</v>
      </c>
      <c r="V11" s="5">
        <v>2</v>
      </c>
      <c r="W11" s="5">
        <v>95</v>
      </c>
      <c r="X11" s="33">
        <v>0</v>
      </c>
      <c r="Y11" s="5">
        <v>36.812002561869654</v>
      </c>
      <c r="Z11" s="5">
        <v>1331.6469244929315</v>
      </c>
      <c r="AA11" s="42"/>
    </row>
    <row r="12" spans="2:27" x14ac:dyDescent="0.2">
      <c r="B12" s="4">
        <v>9</v>
      </c>
      <c r="C12" s="4">
        <v>954</v>
      </c>
      <c r="D12" s="23">
        <v>41430.09580848302</v>
      </c>
      <c r="E12" s="33">
        <v>2.37660870900072</v>
      </c>
      <c r="F12" s="5">
        <v>2</v>
      </c>
      <c r="G12" s="23">
        <v>100</v>
      </c>
      <c r="H12" s="33">
        <v>0</v>
      </c>
      <c r="I12" s="23">
        <v>21.696829922745057</v>
      </c>
      <c r="J12" s="5">
        <v>1222.3903520189565</v>
      </c>
      <c r="K12" s="31"/>
      <c r="L12" s="23">
        <v>54642.369742018767</v>
      </c>
      <c r="M12" s="33">
        <v>3.7524160829998441</v>
      </c>
      <c r="N12" s="5">
        <v>3</v>
      </c>
      <c r="O12" s="5">
        <v>90</v>
      </c>
      <c r="P12" s="33">
        <v>0</v>
      </c>
      <c r="Q12" s="5">
        <v>13.237573183637721</v>
      </c>
      <c r="R12" s="5">
        <v>1000.502200351316</v>
      </c>
      <c r="S12" s="42"/>
      <c r="T12" s="23">
        <v>44253.662424585862</v>
      </c>
      <c r="U12" s="33">
        <v>2.2053809999997611</v>
      </c>
      <c r="V12" s="5">
        <v>2</v>
      </c>
      <c r="W12" s="5">
        <v>95</v>
      </c>
      <c r="X12" s="33">
        <v>0</v>
      </c>
      <c r="Y12" s="5">
        <v>36.812002561869654</v>
      </c>
      <c r="Z12" s="5">
        <v>1331.6469244929315</v>
      </c>
      <c r="AA12" s="42"/>
    </row>
    <row r="13" spans="2:27" x14ac:dyDescent="0.2">
      <c r="B13" s="4">
        <v>10</v>
      </c>
      <c r="C13" s="4">
        <v>978</v>
      </c>
      <c r="D13" s="23">
        <v>38717.786789514859</v>
      </c>
      <c r="E13" s="33">
        <v>1.7778427499997631</v>
      </c>
      <c r="F13" s="5">
        <v>2</v>
      </c>
      <c r="G13" s="23">
        <v>100</v>
      </c>
      <c r="H13" s="33">
        <v>0</v>
      </c>
      <c r="I13" s="23">
        <v>28.30506578698435</v>
      </c>
      <c r="J13" s="5">
        <v>1158.007859143017</v>
      </c>
      <c r="K13" s="31"/>
      <c r="L13" s="23">
        <v>48336.264596020148</v>
      </c>
      <c r="M13" s="33">
        <v>3.8618342090012452</v>
      </c>
      <c r="N13" s="5">
        <v>3</v>
      </c>
      <c r="O13" s="5">
        <v>95</v>
      </c>
      <c r="P13" s="33">
        <v>0</v>
      </c>
      <c r="Q13" s="5">
        <v>15.239276814277128</v>
      </c>
      <c r="R13" s="5">
        <v>896.27519282352432</v>
      </c>
      <c r="S13" s="42"/>
      <c r="T13" s="23">
        <v>44253.662424585862</v>
      </c>
      <c r="U13" s="33">
        <v>2.1847787080005219</v>
      </c>
      <c r="V13" s="5">
        <v>2</v>
      </c>
      <c r="W13" s="5">
        <v>95</v>
      </c>
      <c r="X13" s="33">
        <v>0</v>
      </c>
      <c r="Y13" s="5">
        <v>36.812002561869654</v>
      </c>
      <c r="Z13" s="5">
        <v>1331.6469244929315</v>
      </c>
      <c r="AA13" s="42"/>
    </row>
    <row r="14" spans="2:27" x14ac:dyDescent="0.2">
      <c r="B14" s="46" t="s">
        <v>3</v>
      </c>
      <c r="C14" s="47"/>
      <c r="D14" s="9">
        <f>MIN(D4:D13)</f>
        <v>38717.786789514859</v>
      </c>
      <c r="E14" s="22">
        <f>INDEX(E4:E13, MATCH($D$14, D4:D13, 0))</f>
        <v>1.604440375000195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28.30506578698435</v>
      </c>
      <c r="J14" s="22">
        <f>INDEX(J4:J13, MATCH($D$14, D4:D13, 0))</f>
        <v>1158.007859143017</v>
      </c>
      <c r="K14" s="32"/>
      <c r="L14" s="16">
        <f>MIN(L4:L13)</f>
        <v>48336.264596020148</v>
      </c>
      <c r="M14" s="21">
        <f>INDEX(M4:M13, MATCH($L$14, L4:L13, 0))</f>
        <v>3.8957954169964069</v>
      </c>
      <c r="N14" s="16">
        <f>INDEX(N4:N13, MATCH($L$14, L4:L13, 0))</f>
        <v>3</v>
      </c>
      <c r="O14" s="16">
        <f>INDEX(O4:O13, MATCH($L$14, L4:L13, 0))</f>
        <v>95</v>
      </c>
      <c r="P14" s="21">
        <f>INDEX(P4:P13, MATCH($L$14, L4:L13, 0))</f>
        <v>0</v>
      </c>
      <c r="Q14" s="21">
        <f>INDEX(Q4:Q13, MATCH($L$14, L4:L13, 0))</f>
        <v>15.239276814277128</v>
      </c>
      <c r="R14" s="21">
        <f>INDEX(R4:R13, MATCH($L$14, L4:L13, 0))</f>
        <v>896.27519282352432</v>
      </c>
      <c r="S14" s="43" t="e">
        <f>(L14-$D$15)/$D$15</f>
        <v>#DIV/0!</v>
      </c>
      <c r="T14" s="38">
        <f>MIN(T4:T13)</f>
        <v>44253.662424585862</v>
      </c>
      <c r="U14" s="44">
        <f>INDEX(U4:U13, MATCH($T$14, T4:T13, 0))</f>
        <v>2.1987404169994988</v>
      </c>
      <c r="V14" s="38">
        <f>INDEX(V4:V13, MATCH($T$14, T4:T13, 0))</f>
        <v>2</v>
      </c>
      <c r="W14" s="38">
        <f>INDEX(W4:W13, MATCH($T$14, T4:T13, 0))</f>
        <v>95</v>
      </c>
      <c r="X14" s="44">
        <f>INDEX(X4:X13, MATCH($T$14, T4:T13, 0))</f>
        <v>0</v>
      </c>
      <c r="Y14" s="44">
        <f>INDEX(Y4:Y13, MATCH($T$14, T4:T13, 0))</f>
        <v>36.812002561869654</v>
      </c>
      <c r="Z14" s="44">
        <f>INDEX(Z4:Z13, MATCH($T$14, T4:T13, 0))</f>
        <v>1331.6469244929315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8:C1048576">
    <cfRule type="duplicateValues" dxfId="69" priority="5"/>
    <cfRule type="duplicateValues" dxfId="68" priority="6"/>
  </conditionalFormatting>
  <conditionalFormatting sqref="C14">
    <cfRule type="duplicateValues" dxfId="67" priority="3"/>
    <cfRule type="duplicateValues" dxfId="66" priority="4"/>
  </conditionalFormatting>
  <conditionalFormatting sqref="C15:C2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1980-07E2-3A46-878F-7D49012A7930}">
  <dimension ref="B1:AA17"/>
  <sheetViews>
    <sheetView zoomScale="118" zoomScaleNormal="120" workbookViewId="0">
      <selection activeCell="K4" sqref="K4:K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-0.6774675251268556</v>
      </c>
      <c r="J2" s="28" t="e">
        <f>(S14-J14)/J14</f>
        <v>#DIV/0!</v>
      </c>
      <c r="K2" s="28"/>
      <c r="L2" s="1" t="s">
        <v>18</v>
      </c>
      <c r="P2" s="1">
        <f>(P14-H14)/H14</f>
        <v>-0.98895284857862342</v>
      </c>
      <c r="R2" s="1">
        <f>(R14-J14)/J14</f>
        <v>-0.28915295181194517</v>
      </c>
      <c r="T2" s="1" t="s">
        <v>19</v>
      </c>
      <c r="X2" s="1">
        <f>(X14-P14)/P14</f>
        <v>104.8979925680614</v>
      </c>
      <c r="Z2" s="1">
        <f>(Z14-R14)/R14</f>
        <v>0.42049489172989563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296</v>
      </c>
      <c r="D4" s="23">
        <v>55134.051797088017</v>
      </c>
      <c r="E4" s="33">
        <v>2.6839797080001522</v>
      </c>
      <c r="F4" s="5">
        <v>2</v>
      </c>
      <c r="G4" s="23">
        <v>95</v>
      </c>
      <c r="H4" s="33">
        <v>71.900109558516547</v>
      </c>
      <c r="I4" s="23">
        <v>44.391014625786966</v>
      </c>
      <c r="J4" s="5">
        <v>1970.8688068957047</v>
      </c>
      <c r="K4" s="31"/>
      <c r="L4" s="23">
        <v>62368.695919369697</v>
      </c>
      <c r="M4" s="33">
        <v>3.8111482079984849</v>
      </c>
      <c r="N4" s="5">
        <v>3</v>
      </c>
      <c r="O4" s="5">
        <v>85</v>
      </c>
      <c r="P4" s="33">
        <v>0.79429139750649291</v>
      </c>
      <c r="Q4" s="5">
        <v>23.190120279558567</v>
      </c>
      <c r="R4" s="5">
        <v>1400.9862737477251</v>
      </c>
      <c r="S4" s="42"/>
      <c r="T4" s="23">
        <v>67747.323984949544</v>
      </c>
      <c r="U4" s="33">
        <v>4.1398479169984057</v>
      </c>
      <c r="V4" s="5">
        <v>3</v>
      </c>
      <c r="W4" s="5">
        <v>85</v>
      </c>
      <c r="X4" s="33">
        <v>84.113864510017692</v>
      </c>
      <c r="Y4" s="5">
        <v>43.238137757480921</v>
      </c>
      <c r="Z4" s="5">
        <v>1990.0938452423447</v>
      </c>
      <c r="AA4" s="42"/>
    </row>
    <row r="5" spans="2:27" x14ac:dyDescent="0.2">
      <c r="B5" s="4">
        <v>2</v>
      </c>
      <c r="C5" s="4">
        <v>327</v>
      </c>
      <c r="D5" s="23">
        <v>55134.051797088017</v>
      </c>
      <c r="E5" s="33">
        <v>2.6963482080000181</v>
      </c>
      <c r="F5" s="5">
        <v>2</v>
      </c>
      <c r="G5" s="23">
        <v>95</v>
      </c>
      <c r="H5" s="33">
        <v>71.900109558516547</v>
      </c>
      <c r="I5" s="23">
        <v>44.391014625786966</v>
      </c>
      <c r="J5" s="5">
        <v>1970.8688068957047</v>
      </c>
      <c r="K5" s="31"/>
      <c r="L5" s="23">
        <v>62368.695919369697</v>
      </c>
      <c r="M5" s="33">
        <v>3.8526022910009492</v>
      </c>
      <c r="N5" s="5">
        <v>3</v>
      </c>
      <c r="O5" s="5">
        <v>85</v>
      </c>
      <c r="P5" s="33">
        <v>0.79429139750649291</v>
      </c>
      <c r="Q5" s="5">
        <v>23.190120279558567</v>
      </c>
      <c r="R5" s="5">
        <v>1400.9862737477251</v>
      </c>
      <c r="S5" s="42"/>
      <c r="T5" s="23">
        <v>67747.323984949544</v>
      </c>
      <c r="U5" s="33">
        <v>5.0236570829983984</v>
      </c>
      <c r="V5" s="5">
        <v>3</v>
      </c>
      <c r="W5" s="5">
        <v>85</v>
      </c>
      <c r="X5" s="33">
        <v>84.113864510017692</v>
      </c>
      <c r="Y5" s="5">
        <v>43.238137757480921</v>
      </c>
      <c r="Z5" s="5">
        <v>1990.0938452423447</v>
      </c>
      <c r="AA5" s="42"/>
    </row>
    <row r="6" spans="2:27" x14ac:dyDescent="0.2">
      <c r="B6" s="4">
        <v>3</v>
      </c>
      <c r="C6" s="4">
        <v>371</v>
      </c>
      <c r="D6" s="23">
        <v>55134.051797088017</v>
      </c>
      <c r="E6" s="33">
        <v>2.6190663329998638</v>
      </c>
      <c r="F6" s="5">
        <v>2</v>
      </c>
      <c r="G6" s="23">
        <v>95</v>
      </c>
      <c r="H6" s="33">
        <v>71.900109558516547</v>
      </c>
      <c r="I6" s="23">
        <v>44.391014625786966</v>
      </c>
      <c r="J6" s="5">
        <v>1970.8688068957047</v>
      </c>
      <c r="K6" s="31"/>
      <c r="L6" s="23">
        <v>62368.695919369697</v>
      </c>
      <c r="M6" s="33">
        <v>3.8343411669993661</v>
      </c>
      <c r="N6" s="5">
        <v>3</v>
      </c>
      <c r="O6" s="5">
        <v>85</v>
      </c>
      <c r="P6" s="33">
        <v>0.79429139750649291</v>
      </c>
      <c r="Q6" s="5">
        <v>23.190120279558567</v>
      </c>
      <c r="R6" s="5">
        <v>1400.9862737477251</v>
      </c>
      <c r="S6" s="42"/>
      <c r="T6" s="23">
        <v>67747.323984949544</v>
      </c>
      <c r="U6" s="33">
        <v>4.8612402079997992</v>
      </c>
      <c r="V6" s="5">
        <v>3</v>
      </c>
      <c r="W6" s="5">
        <v>85</v>
      </c>
      <c r="X6" s="33">
        <v>84.113864510017692</v>
      </c>
      <c r="Y6" s="5">
        <v>43.238137757480921</v>
      </c>
      <c r="Z6" s="5">
        <v>1990.0938452423447</v>
      </c>
      <c r="AA6" s="42"/>
    </row>
    <row r="7" spans="2:27" x14ac:dyDescent="0.2">
      <c r="B7" s="4">
        <v>4</v>
      </c>
      <c r="C7" s="4">
        <v>545</v>
      </c>
      <c r="D7" s="23">
        <v>55134.051797088017</v>
      </c>
      <c r="E7" s="33">
        <v>2.6915744580001051</v>
      </c>
      <c r="F7" s="5">
        <v>2</v>
      </c>
      <c r="G7" s="23">
        <v>95</v>
      </c>
      <c r="H7" s="33">
        <v>71.900109558516547</v>
      </c>
      <c r="I7" s="23">
        <v>44.391014625786966</v>
      </c>
      <c r="J7" s="5">
        <v>1970.8688068957047</v>
      </c>
      <c r="K7" s="31"/>
      <c r="L7" s="23">
        <v>62368.695919369697</v>
      </c>
      <c r="M7" s="33">
        <v>3.8212414160007029</v>
      </c>
      <c r="N7" s="5">
        <v>3</v>
      </c>
      <c r="O7" s="5">
        <v>85</v>
      </c>
      <c r="P7" s="33">
        <v>0.79429139750649291</v>
      </c>
      <c r="Q7" s="5">
        <v>23.190120279558567</v>
      </c>
      <c r="R7" s="5">
        <v>1400.9862737477251</v>
      </c>
      <c r="S7" s="42"/>
      <c r="T7" s="23">
        <v>67747.323984949544</v>
      </c>
      <c r="U7" s="33">
        <v>4.8835074579983484</v>
      </c>
      <c r="V7" s="5">
        <v>3</v>
      </c>
      <c r="W7" s="5">
        <v>85</v>
      </c>
      <c r="X7" s="33">
        <v>84.113864510017692</v>
      </c>
      <c r="Y7" s="5">
        <v>43.238137757480921</v>
      </c>
      <c r="Z7" s="5">
        <v>1990.0938452423447</v>
      </c>
      <c r="AA7" s="42"/>
    </row>
    <row r="8" spans="2:27" x14ac:dyDescent="0.2">
      <c r="B8" s="4">
        <v>5</v>
      </c>
      <c r="C8" s="4">
        <v>885</v>
      </c>
      <c r="D8" s="23">
        <v>55134.051797088017</v>
      </c>
      <c r="E8" s="33">
        <v>2.723843833000501</v>
      </c>
      <c r="F8" s="5">
        <v>2</v>
      </c>
      <c r="G8" s="23">
        <v>95</v>
      </c>
      <c r="H8" s="33">
        <v>71.900109558516547</v>
      </c>
      <c r="I8" s="23">
        <v>44.391014625786966</v>
      </c>
      <c r="J8" s="5">
        <v>1970.8688068957047</v>
      </c>
      <c r="K8" s="31"/>
      <c r="L8" s="23">
        <v>62368.695919369697</v>
      </c>
      <c r="M8" s="33">
        <v>3.8395959999979818</v>
      </c>
      <c r="N8" s="5">
        <v>3</v>
      </c>
      <c r="O8" s="5">
        <v>85</v>
      </c>
      <c r="P8" s="33">
        <v>0.79429139750649291</v>
      </c>
      <c r="Q8" s="5">
        <v>23.190120279558567</v>
      </c>
      <c r="R8" s="5">
        <v>1400.9862737477251</v>
      </c>
      <c r="S8" s="42"/>
      <c r="T8" s="23">
        <v>67747.323984949544</v>
      </c>
      <c r="U8" s="33">
        <v>3.8897450420008681</v>
      </c>
      <c r="V8" s="5">
        <v>3</v>
      </c>
      <c r="W8" s="5">
        <v>85</v>
      </c>
      <c r="X8" s="33">
        <v>84.113864510017692</v>
      </c>
      <c r="Y8" s="5">
        <v>43.238137757480921</v>
      </c>
      <c r="Z8" s="5">
        <v>1990.0938452423447</v>
      </c>
      <c r="AA8" s="42"/>
    </row>
    <row r="9" spans="2:27" x14ac:dyDescent="0.2">
      <c r="B9" s="4">
        <v>6</v>
      </c>
      <c r="C9" s="4">
        <v>310</v>
      </c>
      <c r="D9" s="23">
        <v>55134.051797088017</v>
      </c>
      <c r="E9" s="33">
        <v>2.5949478750007979</v>
      </c>
      <c r="F9" s="5">
        <v>2</v>
      </c>
      <c r="G9" s="23">
        <v>95</v>
      </c>
      <c r="H9" s="33">
        <v>71.900109558516547</v>
      </c>
      <c r="I9" s="23">
        <v>44.391014625786966</v>
      </c>
      <c r="J9" s="5">
        <v>1970.8688068957047</v>
      </c>
      <c r="K9" s="31"/>
      <c r="L9" s="23">
        <v>62368.695919369697</v>
      </c>
      <c r="M9" s="33">
        <v>3.8141768329987831</v>
      </c>
      <c r="N9" s="5">
        <v>3</v>
      </c>
      <c r="O9" s="5">
        <v>85</v>
      </c>
      <c r="P9" s="33">
        <v>0.79429139750649291</v>
      </c>
      <c r="Q9" s="5">
        <v>23.190120279558567</v>
      </c>
      <c r="R9" s="5">
        <v>1400.9862737477251</v>
      </c>
      <c r="S9" s="42"/>
      <c r="T9" s="23">
        <v>67747.323984949544</v>
      </c>
      <c r="U9" s="33">
        <v>3.8930164169978529</v>
      </c>
      <c r="V9" s="5">
        <v>3</v>
      </c>
      <c r="W9" s="5">
        <v>85</v>
      </c>
      <c r="X9" s="33">
        <v>84.113864510017692</v>
      </c>
      <c r="Y9" s="5">
        <v>43.238137757480921</v>
      </c>
      <c r="Z9" s="5">
        <v>1990.0938452423447</v>
      </c>
      <c r="AA9" s="42"/>
    </row>
    <row r="10" spans="2:27" x14ac:dyDescent="0.2">
      <c r="B10" s="4">
        <v>7</v>
      </c>
      <c r="C10" s="4">
        <v>748</v>
      </c>
      <c r="D10" s="23">
        <v>55134.051797088017</v>
      </c>
      <c r="E10" s="33">
        <v>2.647483499999908</v>
      </c>
      <c r="F10" s="5">
        <v>2</v>
      </c>
      <c r="G10" s="23">
        <v>95</v>
      </c>
      <c r="H10" s="33">
        <v>71.900109558516547</v>
      </c>
      <c r="I10" s="23">
        <v>44.391014625786966</v>
      </c>
      <c r="J10" s="5">
        <v>1970.8688068957047</v>
      </c>
      <c r="K10" s="31"/>
      <c r="L10" s="23">
        <v>62368.695919369697</v>
      </c>
      <c r="M10" s="33">
        <v>3.7725370000007392</v>
      </c>
      <c r="N10" s="5">
        <v>3</v>
      </c>
      <c r="O10" s="5">
        <v>85</v>
      </c>
      <c r="P10" s="33">
        <v>0.79429139750649291</v>
      </c>
      <c r="Q10" s="5">
        <v>23.190120279558567</v>
      </c>
      <c r="R10" s="5">
        <v>1400.9862737477251</v>
      </c>
      <c r="S10" s="42"/>
      <c r="T10" s="23">
        <v>67747.323984949544</v>
      </c>
      <c r="U10" s="33">
        <v>3.894768083999224</v>
      </c>
      <c r="V10" s="5">
        <v>3</v>
      </c>
      <c r="W10" s="5">
        <v>85</v>
      </c>
      <c r="X10" s="33">
        <v>84.113864510017692</v>
      </c>
      <c r="Y10" s="5">
        <v>43.238137757480921</v>
      </c>
      <c r="Z10" s="5">
        <v>1990.0938452423447</v>
      </c>
      <c r="AA10" s="42"/>
    </row>
    <row r="11" spans="2:27" x14ac:dyDescent="0.2">
      <c r="B11" s="4">
        <v>8</v>
      </c>
      <c r="C11" s="4">
        <v>888</v>
      </c>
      <c r="D11" s="23">
        <v>55134.051797088017</v>
      </c>
      <c r="E11" s="33">
        <v>2.571105959000306</v>
      </c>
      <c r="F11" s="5">
        <v>2</v>
      </c>
      <c r="G11" s="23">
        <v>95</v>
      </c>
      <c r="H11" s="33">
        <v>71.900109558516547</v>
      </c>
      <c r="I11" s="23">
        <v>44.391014625786966</v>
      </c>
      <c r="J11" s="5">
        <v>1970.8688068957047</v>
      </c>
      <c r="K11" s="31"/>
      <c r="L11" s="23">
        <v>62368.695919369697</v>
      </c>
      <c r="M11" s="33">
        <v>3.8308991670019168</v>
      </c>
      <c r="N11" s="5">
        <v>3</v>
      </c>
      <c r="O11" s="5">
        <v>85</v>
      </c>
      <c r="P11" s="33">
        <v>0.79429139750649291</v>
      </c>
      <c r="Q11" s="5">
        <v>23.190120279558567</v>
      </c>
      <c r="R11" s="5">
        <v>1400.9862737477251</v>
      </c>
      <c r="S11" s="42"/>
      <c r="T11" s="23">
        <v>67747.323984949544</v>
      </c>
      <c r="U11" s="33">
        <v>6.3026192500001343</v>
      </c>
      <c r="V11" s="5">
        <v>3</v>
      </c>
      <c r="W11" s="5">
        <v>85</v>
      </c>
      <c r="X11" s="33">
        <v>84.113864510017692</v>
      </c>
      <c r="Y11" s="5">
        <v>43.238137757480921</v>
      </c>
      <c r="Z11" s="5">
        <v>1990.0938452423447</v>
      </c>
      <c r="AA11" s="42"/>
    </row>
    <row r="12" spans="2:27" x14ac:dyDescent="0.2">
      <c r="B12" s="4">
        <v>9</v>
      </c>
      <c r="C12" s="4">
        <v>63</v>
      </c>
      <c r="D12" s="23">
        <v>55134.051797088017</v>
      </c>
      <c r="E12" s="33">
        <v>2.7349299580000661</v>
      </c>
      <c r="F12" s="5">
        <v>2</v>
      </c>
      <c r="G12" s="23">
        <v>95</v>
      </c>
      <c r="H12" s="33">
        <v>71.900109558516547</v>
      </c>
      <c r="I12" s="23">
        <v>44.391014625786966</v>
      </c>
      <c r="J12" s="5">
        <v>1970.8688068957047</v>
      </c>
      <c r="K12" s="31"/>
      <c r="L12" s="23">
        <v>62368.695919369697</v>
      </c>
      <c r="M12" s="33">
        <v>3.8038964170009422</v>
      </c>
      <c r="N12" s="5">
        <v>3</v>
      </c>
      <c r="O12" s="5">
        <v>85</v>
      </c>
      <c r="P12" s="33">
        <v>0.79429139750649291</v>
      </c>
      <c r="Q12" s="5">
        <v>23.190120279558567</v>
      </c>
      <c r="R12" s="5">
        <v>1400.9862737477251</v>
      </c>
      <c r="S12" s="42"/>
      <c r="T12" s="23">
        <v>67747.323984949544</v>
      </c>
      <c r="U12" s="33">
        <v>4.1360083750005288</v>
      </c>
      <c r="V12" s="5">
        <v>3</v>
      </c>
      <c r="W12" s="5">
        <v>85</v>
      </c>
      <c r="X12" s="33">
        <v>84.113864510017692</v>
      </c>
      <c r="Y12" s="5">
        <v>43.238137757480921</v>
      </c>
      <c r="Z12" s="5">
        <v>1990.0938452423447</v>
      </c>
      <c r="AA12" s="42"/>
    </row>
    <row r="13" spans="2:27" x14ac:dyDescent="0.2">
      <c r="B13" s="4">
        <v>10</v>
      </c>
      <c r="C13" s="4">
        <v>604</v>
      </c>
      <c r="D13" s="23">
        <v>55134.051797088017</v>
      </c>
      <c r="E13" s="33">
        <v>2.706479667000167</v>
      </c>
      <c r="F13" s="5">
        <v>2</v>
      </c>
      <c r="G13" s="23">
        <v>95</v>
      </c>
      <c r="H13" s="33">
        <v>71.900109558516547</v>
      </c>
      <c r="I13" s="23">
        <v>44.391014625786966</v>
      </c>
      <c r="J13" s="5">
        <v>1970.8688068957047</v>
      </c>
      <c r="K13" s="31"/>
      <c r="L13" s="23">
        <v>62368.695919369697</v>
      </c>
      <c r="M13" s="33">
        <v>3.807930166000006</v>
      </c>
      <c r="N13" s="5">
        <v>3</v>
      </c>
      <c r="O13" s="5">
        <v>85</v>
      </c>
      <c r="P13" s="33">
        <v>0.79429139750649291</v>
      </c>
      <c r="Q13" s="5">
        <v>23.190120279558567</v>
      </c>
      <c r="R13" s="5">
        <v>1400.9862737477251</v>
      </c>
      <c r="S13" s="42"/>
      <c r="T13" s="23">
        <v>67747.323984949544</v>
      </c>
      <c r="U13" s="33">
        <v>4.2574476660010987</v>
      </c>
      <c r="V13" s="5">
        <v>3</v>
      </c>
      <c r="W13" s="5">
        <v>85</v>
      </c>
      <c r="X13" s="33">
        <v>84.113864510017692</v>
      </c>
      <c r="Y13" s="5">
        <v>43.238137757480921</v>
      </c>
      <c r="Z13" s="5">
        <v>1990.0938452423447</v>
      </c>
      <c r="AA13" s="42"/>
    </row>
    <row r="14" spans="2:27" x14ac:dyDescent="0.2">
      <c r="B14" s="46" t="s">
        <v>3</v>
      </c>
      <c r="C14" s="47"/>
      <c r="D14" s="9">
        <f>MIN(D4:D13)</f>
        <v>55134.051797088017</v>
      </c>
      <c r="E14" s="22">
        <f>INDEX(E4:E13, MATCH($D$14, D4:D13, 0))</f>
        <v>2.6839797080001522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71.900109558516547</v>
      </c>
      <c r="I14" s="22">
        <f>INDEX(I4:I13, MATCH($D$14, D4:D13, 0))</f>
        <v>44.391014625786966</v>
      </c>
      <c r="J14" s="22">
        <f>INDEX(J4:J13, MATCH($D$14, D4:D13, 0))</f>
        <v>1970.8688068957047</v>
      </c>
      <c r="K14" s="32"/>
      <c r="L14" s="16">
        <f>MIN(L4:L13)</f>
        <v>62368.695919369697</v>
      </c>
      <c r="M14" s="21">
        <f>INDEX(M4:M13, MATCH($L$14, L4:L13, 0))</f>
        <v>3.8111482079984849</v>
      </c>
      <c r="N14" s="16">
        <f>INDEX(N4:N13, MATCH($L$14, L4:L13, 0))</f>
        <v>3</v>
      </c>
      <c r="O14" s="16">
        <f>INDEX(O4:O13, MATCH($L$14, L4:L13, 0))</f>
        <v>85</v>
      </c>
      <c r="P14" s="21">
        <f>INDEX(P4:P13, MATCH($L$14, L4:L13, 0))</f>
        <v>0.79429139750649291</v>
      </c>
      <c r="Q14" s="21">
        <f>INDEX(Q4:Q13, MATCH($L$14, L4:L13, 0))</f>
        <v>23.190120279558567</v>
      </c>
      <c r="R14" s="21">
        <f>INDEX(R4:R13, MATCH($L$14, L4:L13, 0))</f>
        <v>1400.9862737477251</v>
      </c>
      <c r="S14" s="43" t="e">
        <f>(L14-$D$15)/$D$15</f>
        <v>#DIV/0!</v>
      </c>
      <c r="T14" s="38">
        <f>MIN(T4:T13)</f>
        <v>67747.323984949544</v>
      </c>
      <c r="U14" s="44">
        <f>INDEX(U4:U13, MATCH($T$14, T4:T13, 0))</f>
        <v>4.1398479169984057</v>
      </c>
      <c r="V14" s="38">
        <f>INDEX(V4:V13, MATCH($T$14, T4:T13, 0))</f>
        <v>3</v>
      </c>
      <c r="W14" s="38">
        <f>INDEX(W4:W13, MATCH($T$14, T4:T13, 0))</f>
        <v>85</v>
      </c>
      <c r="X14" s="44">
        <f>INDEX(X4:X13, MATCH($T$14, T4:T13, 0))</f>
        <v>84.113864510017692</v>
      </c>
      <c r="Y14" s="44">
        <f>INDEX(Y4:Y13, MATCH($T$14, T4:T13, 0))</f>
        <v>43.238137757480921</v>
      </c>
      <c r="Z14" s="44">
        <f>INDEX(Z4:Z13, MATCH($T$14, T4:T13, 0))</f>
        <v>1990.0938452423447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5" priority="3"/>
    <cfRule type="duplicateValues" dxfId="64" priority="4"/>
  </conditionalFormatting>
  <conditionalFormatting sqref="C28:C1048576 C1:C13">
    <cfRule type="duplicateValues" dxfId="63" priority="5"/>
    <cfRule type="duplicateValues" dxfId="62" priority="6"/>
  </conditionalFormatting>
  <conditionalFormatting sqref="C15:C27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16C9-B81D-DA43-82B5-788821158A33}">
  <dimension ref="B1:AA17"/>
  <sheetViews>
    <sheetView zoomScale="118" zoomScaleNormal="120" workbookViewId="0">
      <selection activeCell="K4" sqref="K4:K2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-0.14336739493876902</v>
      </c>
      <c r="T2" s="1" t="s">
        <v>19</v>
      </c>
      <c r="X2" s="1" t="e">
        <f>(X14-P14)/P14</f>
        <v>#DIV/0!</v>
      </c>
      <c r="Z2" s="1">
        <f>(Z14-R14)/R14</f>
        <v>0.34240323355282587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25</v>
      </c>
      <c r="D4" s="23">
        <v>51743.509363671968</v>
      </c>
      <c r="E4" s="33">
        <v>2.709202791999815</v>
      </c>
      <c r="F4" s="5">
        <v>2</v>
      </c>
      <c r="G4" s="23">
        <v>90</v>
      </c>
      <c r="H4" s="33">
        <v>0</v>
      </c>
      <c r="I4" s="23">
        <v>21.94849358753347</v>
      </c>
      <c r="J4" s="5">
        <v>1397.9190698859372</v>
      </c>
      <c r="K4" s="31"/>
      <c r="L4" s="23">
        <v>62656.839161732787</v>
      </c>
      <c r="M4" s="33">
        <v>4.0425087499970687</v>
      </c>
      <c r="N4" s="5">
        <v>3</v>
      </c>
      <c r="O4" s="5">
        <v>80</v>
      </c>
      <c r="P4" s="33">
        <v>0</v>
      </c>
      <c r="Q4" s="5">
        <v>18.25458891085103</v>
      </c>
      <c r="R4" s="5">
        <v>1055.5258956874843</v>
      </c>
      <c r="S4" s="42"/>
      <c r="T4" s="23">
        <v>58422.256800214287</v>
      </c>
      <c r="U4" s="33">
        <v>3.487969457997679</v>
      </c>
      <c r="V4" s="5">
        <v>3</v>
      </c>
      <c r="W4" s="5">
        <v>90</v>
      </c>
      <c r="X4" s="33">
        <v>0</v>
      </c>
      <c r="Y4" s="5">
        <v>38.248148377033274</v>
      </c>
      <c r="Z4" s="5">
        <v>1607.5319725517477</v>
      </c>
      <c r="AA4" s="42"/>
    </row>
    <row r="5" spans="2:27" x14ac:dyDescent="0.2">
      <c r="B5" s="4">
        <v>2</v>
      </c>
      <c r="C5" s="4">
        <v>60</v>
      </c>
      <c r="D5" s="23">
        <v>51743.509363671968</v>
      </c>
      <c r="E5" s="33">
        <v>2.7027479170001238</v>
      </c>
      <c r="F5" s="5">
        <v>2</v>
      </c>
      <c r="G5" s="23">
        <v>90</v>
      </c>
      <c r="H5" s="33">
        <v>0</v>
      </c>
      <c r="I5" s="23">
        <v>21.94849358753347</v>
      </c>
      <c r="J5" s="5">
        <v>1397.9190698859372</v>
      </c>
      <c r="K5" s="31"/>
      <c r="L5" s="23">
        <v>62656.839161732787</v>
      </c>
      <c r="M5" s="33">
        <v>4.0240318750002189</v>
      </c>
      <c r="N5" s="5">
        <v>3</v>
      </c>
      <c r="O5" s="5">
        <v>80</v>
      </c>
      <c r="P5" s="33">
        <v>0</v>
      </c>
      <c r="Q5" s="5">
        <v>18.25458891085103</v>
      </c>
      <c r="R5" s="5">
        <v>1055.5258956874843</v>
      </c>
      <c r="S5" s="42"/>
      <c r="T5" s="23">
        <v>58422.256800214287</v>
      </c>
      <c r="U5" s="33">
        <v>3.4466855829996348</v>
      </c>
      <c r="V5" s="5">
        <v>3</v>
      </c>
      <c r="W5" s="5">
        <v>90</v>
      </c>
      <c r="X5" s="33">
        <v>0</v>
      </c>
      <c r="Y5" s="5">
        <v>38.248148377033274</v>
      </c>
      <c r="Z5" s="5">
        <v>1607.5319725517477</v>
      </c>
      <c r="AA5" s="42"/>
    </row>
    <row r="6" spans="2:27" x14ac:dyDescent="0.2">
      <c r="B6" s="4">
        <v>3</v>
      </c>
      <c r="C6" s="4">
        <v>72</v>
      </c>
      <c r="D6" s="23">
        <v>51743.509363671968</v>
      </c>
      <c r="E6" s="33">
        <v>2.7236052500002188</v>
      </c>
      <c r="F6" s="5">
        <v>2</v>
      </c>
      <c r="G6" s="23">
        <v>90</v>
      </c>
      <c r="H6" s="33">
        <v>0</v>
      </c>
      <c r="I6" s="23">
        <v>21.94849358753347</v>
      </c>
      <c r="J6" s="5">
        <v>1397.9190698859372</v>
      </c>
      <c r="K6" s="31"/>
      <c r="L6" s="23">
        <v>62656.839161732787</v>
      </c>
      <c r="M6" s="33">
        <v>4.3440222499993979</v>
      </c>
      <c r="N6" s="5">
        <v>3</v>
      </c>
      <c r="O6" s="5">
        <v>80</v>
      </c>
      <c r="P6" s="33">
        <v>0</v>
      </c>
      <c r="Q6" s="5">
        <v>18.25458891085103</v>
      </c>
      <c r="R6" s="5">
        <v>1055.5258956874843</v>
      </c>
      <c r="S6" s="42"/>
      <c r="T6" s="23">
        <v>58422.256800214287</v>
      </c>
      <c r="U6" s="33">
        <v>3.4475838750004191</v>
      </c>
      <c r="V6" s="5">
        <v>3</v>
      </c>
      <c r="W6" s="5">
        <v>90</v>
      </c>
      <c r="X6" s="33">
        <v>0</v>
      </c>
      <c r="Y6" s="5">
        <v>38.248148377033274</v>
      </c>
      <c r="Z6" s="5">
        <v>1607.5319725517477</v>
      </c>
      <c r="AA6" s="42"/>
    </row>
    <row r="7" spans="2:27" x14ac:dyDescent="0.2">
      <c r="B7" s="4">
        <v>4</v>
      </c>
      <c r="C7" s="4">
        <v>437</v>
      </c>
      <c r="D7" s="23">
        <v>51743.509363671968</v>
      </c>
      <c r="E7" s="33">
        <v>2.712402291999751</v>
      </c>
      <c r="F7" s="5">
        <v>2</v>
      </c>
      <c r="G7" s="23">
        <v>90</v>
      </c>
      <c r="H7" s="33">
        <v>0</v>
      </c>
      <c r="I7" s="23">
        <v>21.94849358753347</v>
      </c>
      <c r="J7" s="5">
        <v>1397.9190698859372</v>
      </c>
      <c r="K7" s="31"/>
      <c r="L7" s="23">
        <v>64863.905112754393</v>
      </c>
      <c r="M7" s="33">
        <v>4.0395600840020052</v>
      </c>
      <c r="N7" s="5">
        <v>3</v>
      </c>
      <c r="O7" s="5">
        <v>85</v>
      </c>
      <c r="P7" s="33">
        <v>0.81979687283290004</v>
      </c>
      <c r="Q7" s="5">
        <v>19.245761984954587</v>
      </c>
      <c r="R7" s="5">
        <v>1443.7370300569098</v>
      </c>
      <c r="S7" s="42"/>
      <c r="T7" s="23">
        <v>58422.256800214287</v>
      </c>
      <c r="U7" s="33">
        <v>3.482210874997691</v>
      </c>
      <c r="V7" s="5">
        <v>3</v>
      </c>
      <c r="W7" s="5">
        <v>90</v>
      </c>
      <c r="X7" s="33">
        <v>0</v>
      </c>
      <c r="Y7" s="5">
        <v>38.248148377033274</v>
      </c>
      <c r="Z7" s="5">
        <v>1607.5319725517477</v>
      </c>
      <c r="AA7" s="42"/>
    </row>
    <row r="8" spans="2:27" x14ac:dyDescent="0.2">
      <c r="B8" s="4">
        <v>5</v>
      </c>
      <c r="C8" s="4">
        <v>501</v>
      </c>
      <c r="D8" s="23">
        <v>51743.509363671968</v>
      </c>
      <c r="E8" s="33">
        <v>2.6814834159995371</v>
      </c>
      <c r="F8" s="5">
        <v>2</v>
      </c>
      <c r="G8" s="23">
        <v>90</v>
      </c>
      <c r="H8" s="33">
        <v>0</v>
      </c>
      <c r="I8" s="23">
        <v>21.94849358753347</v>
      </c>
      <c r="J8" s="5">
        <v>1397.9190698859372</v>
      </c>
      <c r="K8" s="31"/>
      <c r="L8" s="23">
        <v>65448.354184592739</v>
      </c>
      <c r="M8" s="33">
        <v>4.1116720829995757</v>
      </c>
      <c r="N8" s="5">
        <v>3</v>
      </c>
      <c r="O8" s="5">
        <v>85</v>
      </c>
      <c r="P8" s="33">
        <v>0.81979687283290004</v>
      </c>
      <c r="Q8" s="5">
        <v>17.962056800540179</v>
      </c>
      <c r="R8" s="5">
        <v>1453.9304469574206</v>
      </c>
      <c r="S8" s="42"/>
      <c r="T8" s="23">
        <v>58422.256800214287</v>
      </c>
      <c r="U8" s="33">
        <v>3.4513501250003169</v>
      </c>
      <c r="V8" s="5">
        <v>3</v>
      </c>
      <c r="W8" s="5">
        <v>90</v>
      </c>
      <c r="X8" s="33">
        <v>0</v>
      </c>
      <c r="Y8" s="5">
        <v>38.248148377033274</v>
      </c>
      <c r="Z8" s="5">
        <v>1607.5319725517477</v>
      </c>
      <c r="AA8" s="42"/>
    </row>
    <row r="9" spans="2:27" x14ac:dyDescent="0.2">
      <c r="B9" s="4">
        <v>6</v>
      </c>
      <c r="C9" s="4">
        <v>517</v>
      </c>
      <c r="D9" s="23">
        <v>51743.509363671968</v>
      </c>
      <c r="E9" s="33">
        <v>2.683740833000229</v>
      </c>
      <c r="F9" s="5">
        <v>2</v>
      </c>
      <c r="G9" s="23">
        <v>90</v>
      </c>
      <c r="H9" s="33">
        <v>0</v>
      </c>
      <c r="I9" s="23">
        <v>21.94849358753347</v>
      </c>
      <c r="J9" s="5">
        <v>1397.9190698859372</v>
      </c>
      <c r="K9" s="31"/>
      <c r="L9" s="23">
        <v>62656.839161732787</v>
      </c>
      <c r="M9" s="33">
        <v>4.0666632079992269</v>
      </c>
      <c r="N9" s="5">
        <v>3</v>
      </c>
      <c r="O9" s="5">
        <v>80</v>
      </c>
      <c r="P9" s="33">
        <v>0</v>
      </c>
      <c r="Q9" s="5">
        <v>18.25458891085103</v>
      </c>
      <c r="R9" s="5">
        <v>1055.5258956874843</v>
      </c>
      <c r="S9" s="42"/>
      <c r="T9" s="23">
        <v>58422.256800214287</v>
      </c>
      <c r="U9" s="33">
        <v>3.451031416003389</v>
      </c>
      <c r="V9" s="5">
        <v>3</v>
      </c>
      <c r="W9" s="5">
        <v>90</v>
      </c>
      <c r="X9" s="33">
        <v>0</v>
      </c>
      <c r="Y9" s="5">
        <v>38.248148377033274</v>
      </c>
      <c r="Z9" s="5">
        <v>1607.5319725517477</v>
      </c>
      <c r="AA9" s="42"/>
    </row>
    <row r="10" spans="2:27" x14ac:dyDescent="0.2">
      <c r="B10" s="4">
        <v>7</v>
      </c>
      <c r="C10" s="4">
        <v>645</v>
      </c>
      <c r="D10" s="23">
        <v>51743.509363671968</v>
      </c>
      <c r="E10" s="33">
        <v>2.615612167000108</v>
      </c>
      <c r="F10" s="5">
        <v>2</v>
      </c>
      <c r="G10" s="23">
        <v>90</v>
      </c>
      <c r="H10" s="33">
        <v>0</v>
      </c>
      <c r="I10" s="23">
        <v>21.94849358753347</v>
      </c>
      <c r="J10" s="5">
        <v>1397.9190698859372</v>
      </c>
      <c r="K10" s="31"/>
      <c r="L10" s="23">
        <v>62656.839161732787</v>
      </c>
      <c r="M10" s="33">
        <v>4.322906375000457</v>
      </c>
      <c r="N10" s="5">
        <v>3</v>
      </c>
      <c r="O10" s="5">
        <v>80</v>
      </c>
      <c r="P10" s="33">
        <v>0</v>
      </c>
      <c r="Q10" s="5">
        <v>18.25458891085103</v>
      </c>
      <c r="R10" s="5">
        <v>1055.5258956874843</v>
      </c>
      <c r="S10" s="42"/>
      <c r="T10" s="23">
        <v>58422.256800214287</v>
      </c>
      <c r="U10" s="33">
        <v>3.4505410419988038</v>
      </c>
      <c r="V10" s="5">
        <v>3</v>
      </c>
      <c r="W10" s="5">
        <v>90</v>
      </c>
      <c r="X10" s="33">
        <v>0</v>
      </c>
      <c r="Y10" s="5">
        <v>38.248148377033274</v>
      </c>
      <c r="Z10" s="5">
        <v>1607.5319725517477</v>
      </c>
      <c r="AA10" s="42"/>
    </row>
    <row r="11" spans="2:27" x14ac:dyDescent="0.2">
      <c r="B11" s="4">
        <v>8</v>
      </c>
      <c r="C11" s="4">
        <v>831</v>
      </c>
      <c r="D11" s="23">
        <v>51743.509363671968</v>
      </c>
      <c r="E11" s="33">
        <v>2.7073862919996832</v>
      </c>
      <c r="F11" s="5">
        <v>2</v>
      </c>
      <c r="G11" s="23">
        <v>90</v>
      </c>
      <c r="H11" s="33">
        <v>0</v>
      </c>
      <c r="I11" s="23">
        <v>21.94849358753347</v>
      </c>
      <c r="J11" s="5">
        <v>1397.9190698859372</v>
      </c>
      <c r="K11" s="31"/>
      <c r="L11" s="23">
        <v>64863.905112754393</v>
      </c>
      <c r="M11" s="33">
        <v>4.2918869169989193</v>
      </c>
      <c r="N11" s="5">
        <v>3</v>
      </c>
      <c r="O11" s="5">
        <v>85</v>
      </c>
      <c r="P11" s="33">
        <v>0.81979687283290004</v>
      </c>
      <c r="Q11" s="5">
        <v>19.245761984954587</v>
      </c>
      <c r="R11" s="5">
        <v>1443.7370300569098</v>
      </c>
      <c r="S11" s="42"/>
      <c r="T11" s="23">
        <v>58422.256800214287</v>
      </c>
      <c r="U11" s="33">
        <v>3.4650217080015859</v>
      </c>
      <c r="V11" s="5">
        <v>3</v>
      </c>
      <c r="W11" s="5">
        <v>90</v>
      </c>
      <c r="X11" s="33">
        <v>0</v>
      </c>
      <c r="Y11" s="5">
        <v>38.248148377033274</v>
      </c>
      <c r="Z11" s="5">
        <v>1607.5319725517477</v>
      </c>
      <c r="AA11" s="42"/>
    </row>
    <row r="12" spans="2:27" x14ac:dyDescent="0.2">
      <c r="B12" s="4">
        <v>9</v>
      </c>
      <c r="C12" s="4">
        <v>833</v>
      </c>
      <c r="D12" s="23">
        <v>51743.509363671968</v>
      </c>
      <c r="E12" s="33">
        <v>2.6805052910003719</v>
      </c>
      <c r="F12" s="5">
        <v>2</v>
      </c>
      <c r="G12" s="23">
        <v>90</v>
      </c>
      <c r="H12" s="33">
        <v>0</v>
      </c>
      <c r="I12" s="23">
        <v>21.94849358753347</v>
      </c>
      <c r="J12" s="5">
        <v>1397.9190698859372</v>
      </c>
      <c r="K12" s="31"/>
      <c r="L12" s="23">
        <v>65448.354184592739</v>
      </c>
      <c r="M12" s="33">
        <v>4.1055172089982079</v>
      </c>
      <c r="N12" s="5">
        <v>3</v>
      </c>
      <c r="O12" s="5">
        <v>85</v>
      </c>
      <c r="P12" s="33">
        <v>0.81979687283290004</v>
      </c>
      <c r="Q12" s="5">
        <v>17.962056800540179</v>
      </c>
      <c r="R12" s="5">
        <v>1453.9304469574206</v>
      </c>
      <c r="S12" s="42"/>
      <c r="T12" s="23">
        <v>58422.256800214287</v>
      </c>
      <c r="U12" s="33">
        <v>3.4507548750007122</v>
      </c>
      <c r="V12" s="5">
        <v>3</v>
      </c>
      <c r="W12" s="5">
        <v>90</v>
      </c>
      <c r="X12" s="33">
        <v>0</v>
      </c>
      <c r="Y12" s="5">
        <v>38.248148377033274</v>
      </c>
      <c r="Z12" s="5">
        <v>1607.5319725517477</v>
      </c>
      <c r="AA12" s="42"/>
    </row>
    <row r="13" spans="2:27" x14ac:dyDescent="0.2">
      <c r="B13" s="4">
        <v>10</v>
      </c>
      <c r="C13" s="4">
        <v>859</v>
      </c>
      <c r="D13" s="23">
        <v>51743.509363671968</v>
      </c>
      <c r="E13" s="33">
        <v>2.690106582999761</v>
      </c>
      <c r="F13" s="5">
        <v>2</v>
      </c>
      <c r="G13" s="23">
        <v>90</v>
      </c>
      <c r="H13" s="33">
        <v>0</v>
      </c>
      <c r="I13" s="23">
        <v>21.94849358753347</v>
      </c>
      <c r="J13" s="5">
        <v>1397.9190698859372</v>
      </c>
      <c r="K13" s="31"/>
      <c r="L13" s="23">
        <v>61118.07873907905</v>
      </c>
      <c r="M13" s="33">
        <v>3.2356612500007031</v>
      </c>
      <c r="N13" s="5">
        <v>2</v>
      </c>
      <c r="O13" s="5">
        <v>75</v>
      </c>
      <c r="P13" s="33">
        <v>0</v>
      </c>
      <c r="Q13" s="5">
        <v>17.980038324491915</v>
      </c>
      <c r="R13" s="5">
        <v>1197.5030545011634</v>
      </c>
      <c r="S13" s="42"/>
      <c r="T13" s="23">
        <v>58422.256800214287</v>
      </c>
      <c r="U13" s="33">
        <v>3.473411666000175</v>
      </c>
      <c r="V13" s="5">
        <v>3</v>
      </c>
      <c r="W13" s="5">
        <v>90</v>
      </c>
      <c r="X13" s="33">
        <v>0</v>
      </c>
      <c r="Y13" s="5">
        <v>38.248148377033274</v>
      </c>
      <c r="Z13" s="5">
        <v>1607.5319725517477</v>
      </c>
      <c r="AA13" s="42"/>
    </row>
    <row r="14" spans="2:27" x14ac:dyDescent="0.2">
      <c r="B14" s="46" t="s">
        <v>3</v>
      </c>
      <c r="C14" s="47"/>
      <c r="D14" s="9">
        <f>MIN(D4:D13)</f>
        <v>51743.509363671968</v>
      </c>
      <c r="E14" s="22">
        <f>INDEX(E4:E13, MATCH($D$14, D4:D13, 0))</f>
        <v>2.709202791999815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21.94849358753347</v>
      </c>
      <c r="J14" s="22">
        <f>INDEX(J4:J13, MATCH($D$14, D4:D13, 0))</f>
        <v>1397.9190698859372</v>
      </c>
      <c r="K14" s="32"/>
      <c r="L14" s="16">
        <f>MIN(L4:L13)</f>
        <v>61118.07873907905</v>
      </c>
      <c r="M14" s="21">
        <f>INDEX(M4:M13, MATCH($L$14, L4:L13, 0))</f>
        <v>3.2356612500007031</v>
      </c>
      <c r="N14" s="16">
        <f>INDEX(N4:N13, MATCH($L$14, L4:L13, 0))</f>
        <v>2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17.980038324491915</v>
      </c>
      <c r="R14" s="21">
        <f>INDEX(R4:R13, MATCH($L$14, L4:L13, 0))</f>
        <v>1197.5030545011634</v>
      </c>
      <c r="S14" s="43" t="e">
        <f>(L14-$D$15)/$D$15</f>
        <v>#DIV/0!</v>
      </c>
      <c r="T14" s="38">
        <f>MIN(T4:T13)</f>
        <v>58422.256800214287</v>
      </c>
      <c r="U14" s="44">
        <f>INDEX(U4:U13, MATCH($T$14, T4:T13, 0))</f>
        <v>3.487969457997679</v>
      </c>
      <c r="V14" s="38">
        <f>INDEX(V4:V13, MATCH($T$14, T4:T13, 0))</f>
        <v>3</v>
      </c>
      <c r="W14" s="38">
        <f>INDEX(W4:W13, MATCH($T$14, T4:T13, 0))</f>
        <v>90</v>
      </c>
      <c r="X14" s="44">
        <f>INDEX(X4:X13, MATCH($T$14, T4:T13, 0))</f>
        <v>0</v>
      </c>
      <c r="Y14" s="44">
        <f>INDEX(Y4:Y13, MATCH($T$14, T4:T13, 0))</f>
        <v>38.248148377033274</v>
      </c>
      <c r="Z14" s="44">
        <f>INDEX(Z4:Z13, MATCH($T$14, T4:T13, 0))</f>
        <v>1607.5319725517477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8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:C2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13B6-9378-5B4D-948E-E07F153D9E22}">
  <dimension ref="B1:AA17"/>
  <sheetViews>
    <sheetView topLeftCell="J1" zoomScale="118" zoomScaleNormal="120" workbookViewId="0">
      <selection activeCell="K4" sqref="K4:K2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-0.20515033393027596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-0.32991136233131341</v>
      </c>
      <c r="T2" s="1" t="s">
        <v>19</v>
      </c>
      <c r="X2" s="1" t="e">
        <f>(X14-P14)/P14</f>
        <v>#DIV/0!</v>
      </c>
      <c r="Z2" s="1">
        <f>(Z14-R14)/R14</f>
        <v>0.60922475173526003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70</v>
      </c>
      <c r="D4" s="23">
        <v>46451.564642973179</v>
      </c>
      <c r="E4" s="33">
        <v>1.7664666250002481</v>
      </c>
      <c r="F4" s="5">
        <v>2</v>
      </c>
      <c r="G4" s="23">
        <v>100</v>
      </c>
      <c r="H4" s="33">
        <v>18.534266869647229</v>
      </c>
      <c r="I4" s="23">
        <v>31.411981728802004</v>
      </c>
      <c r="J4" s="5">
        <v>1525.4432500959065</v>
      </c>
      <c r="K4" s="31"/>
      <c r="L4" s="23">
        <v>71761.309867305768</v>
      </c>
      <c r="M4" s="33">
        <v>5.0816956670023501</v>
      </c>
      <c r="N4" s="5">
        <v>3</v>
      </c>
      <c r="O4" s="5">
        <v>70</v>
      </c>
      <c r="P4" s="33">
        <v>0</v>
      </c>
      <c r="Q4" s="5">
        <v>13.99039358048045</v>
      </c>
      <c r="R4" s="5">
        <v>1072.7325495169091</v>
      </c>
      <c r="S4" s="42"/>
      <c r="T4" s="23">
        <v>60687.8551993539</v>
      </c>
      <c r="U4" s="33">
        <v>3.0407988340011798</v>
      </c>
      <c r="V4" s="5">
        <v>2</v>
      </c>
      <c r="W4" s="5">
        <v>80</v>
      </c>
      <c r="X4" s="33">
        <v>40.318715015569694</v>
      </c>
      <c r="Y4" s="5">
        <v>36.416135712285666</v>
      </c>
      <c r="Z4" s="5">
        <v>1644.9208798007307</v>
      </c>
      <c r="AA4" s="42"/>
    </row>
    <row r="5" spans="2:27" x14ac:dyDescent="0.2">
      <c r="B5" s="4">
        <v>2</v>
      </c>
      <c r="C5" s="4">
        <v>327</v>
      </c>
      <c r="D5" s="23">
        <v>46451.564642973179</v>
      </c>
      <c r="E5" s="33">
        <v>1.8378869170001051</v>
      </c>
      <c r="F5" s="5">
        <v>2</v>
      </c>
      <c r="G5" s="23">
        <v>100</v>
      </c>
      <c r="H5" s="33">
        <v>18.534266869647229</v>
      </c>
      <c r="I5" s="23">
        <v>31.411981728802004</v>
      </c>
      <c r="J5" s="5">
        <v>1525.4432500959065</v>
      </c>
      <c r="K5" s="31"/>
      <c r="L5" s="23">
        <v>69680.75886431025</v>
      </c>
      <c r="M5" s="33">
        <v>3.2953764170015352</v>
      </c>
      <c r="N5" s="5">
        <v>2</v>
      </c>
      <c r="O5" s="5">
        <v>60</v>
      </c>
      <c r="P5" s="33">
        <v>0</v>
      </c>
      <c r="Q5" s="5">
        <v>14.73195583218625</v>
      </c>
      <c r="R5" s="5">
        <v>1022.1821892976595</v>
      </c>
      <c r="S5" s="42"/>
      <c r="T5" s="23">
        <v>60687.8551993539</v>
      </c>
      <c r="U5" s="33">
        <v>3.1673627499985741</v>
      </c>
      <c r="V5" s="5">
        <v>2</v>
      </c>
      <c r="W5" s="5">
        <v>80</v>
      </c>
      <c r="X5" s="33">
        <v>40.318715015569694</v>
      </c>
      <c r="Y5" s="5">
        <v>36.416135712285666</v>
      </c>
      <c r="Z5" s="5">
        <v>1644.9208798007307</v>
      </c>
      <c r="AA5" s="42"/>
    </row>
    <row r="6" spans="2:27" x14ac:dyDescent="0.2">
      <c r="B6" s="4">
        <v>3</v>
      </c>
      <c r="C6" s="4">
        <v>330</v>
      </c>
      <c r="D6" s="23">
        <v>46451.564642973179</v>
      </c>
      <c r="E6" s="33">
        <v>1.8349820830007959</v>
      </c>
      <c r="F6" s="5">
        <v>2</v>
      </c>
      <c r="G6" s="23">
        <v>100</v>
      </c>
      <c r="H6" s="33">
        <v>18.534266869647229</v>
      </c>
      <c r="I6" s="23">
        <v>31.411981728802004</v>
      </c>
      <c r="J6" s="5">
        <v>1525.4432500959065</v>
      </c>
      <c r="K6" s="31"/>
      <c r="L6" s="23">
        <v>69680.75886431025</v>
      </c>
      <c r="M6" s="33">
        <v>3.257307582996873</v>
      </c>
      <c r="N6" s="5">
        <v>2</v>
      </c>
      <c r="O6" s="5">
        <v>60</v>
      </c>
      <c r="P6" s="33">
        <v>0</v>
      </c>
      <c r="Q6" s="5">
        <v>14.73195583218625</v>
      </c>
      <c r="R6" s="5">
        <v>1022.1821892976595</v>
      </c>
      <c r="S6" s="42"/>
      <c r="T6" s="23">
        <v>60687.8551993539</v>
      </c>
      <c r="U6" s="33">
        <v>3.09633754099923</v>
      </c>
      <c r="V6" s="5">
        <v>2</v>
      </c>
      <c r="W6" s="5">
        <v>80</v>
      </c>
      <c r="X6" s="33">
        <v>40.318715015569694</v>
      </c>
      <c r="Y6" s="5">
        <v>36.416135712285666</v>
      </c>
      <c r="Z6" s="5">
        <v>1644.9208798007307</v>
      </c>
      <c r="AA6" s="42"/>
    </row>
    <row r="7" spans="2:27" x14ac:dyDescent="0.2">
      <c r="B7" s="4">
        <v>4</v>
      </c>
      <c r="C7" s="4">
        <v>346</v>
      </c>
      <c r="D7" s="23">
        <v>46451.564642973179</v>
      </c>
      <c r="E7" s="33">
        <v>1.81896237500041</v>
      </c>
      <c r="F7" s="5">
        <v>2</v>
      </c>
      <c r="G7" s="23">
        <v>100</v>
      </c>
      <c r="H7" s="33">
        <v>18.534266869647229</v>
      </c>
      <c r="I7" s="23">
        <v>31.411981728802004</v>
      </c>
      <c r="J7" s="5">
        <v>1525.4432500959065</v>
      </c>
      <c r="K7" s="31"/>
      <c r="L7" s="23">
        <v>69680.75886431025</v>
      </c>
      <c r="M7" s="33">
        <v>3.2719409169985738</v>
      </c>
      <c r="N7" s="5">
        <v>2</v>
      </c>
      <c r="O7" s="5">
        <v>60</v>
      </c>
      <c r="P7" s="33">
        <v>0</v>
      </c>
      <c r="Q7" s="5">
        <v>14.73195583218625</v>
      </c>
      <c r="R7" s="5">
        <v>1022.1821892976595</v>
      </c>
      <c r="S7" s="42"/>
      <c r="T7" s="23">
        <v>60687.8551993539</v>
      </c>
      <c r="U7" s="33">
        <v>3.0597513329994399</v>
      </c>
      <c r="V7" s="5">
        <v>2</v>
      </c>
      <c r="W7" s="5">
        <v>80</v>
      </c>
      <c r="X7" s="33">
        <v>40.318715015569694</v>
      </c>
      <c r="Y7" s="5">
        <v>36.416135712285666</v>
      </c>
      <c r="Z7" s="5">
        <v>1644.9208798007307</v>
      </c>
      <c r="AA7" s="42"/>
    </row>
    <row r="8" spans="2:27" x14ac:dyDescent="0.2">
      <c r="B8" s="4">
        <v>5</v>
      </c>
      <c r="C8" s="4">
        <v>358</v>
      </c>
      <c r="D8" s="23">
        <v>46451.564642973179</v>
      </c>
      <c r="E8" s="33">
        <v>1.852137332999519</v>
      </c>
      <c r="F8" s="5">
        <v>2</v>
      </c>
      <c r="G8" s="23">
        <v>100</v>
      </c>
      <c r="H8" s="33">
        <v>18.534266869647229</v>
      </c>
      <c r="I8" s="23">
        <v>31.411981728802004</v>
      </c>
      <c r="J8" s="5">
        <v>1525.4432500959065</v>
      </c>
      <c r="K8" s="31"/>
      <c r="L8" s="23">
        <v>71761.309867305768</v>
      </c>
      <c r="M8" s="33">
        <v>5.1668761660002929</v>
      </c>
      <c r="N8" s="5">
        <v>3</v>
      </c>
      <c r="O8" s="5">
        <v>70</v>
      </c>
      <c r="P8" s="33">
        <v>0</v>
      </c>
      <c r="Q8" s="5">
        <v>13.99039358048045</v>
      </c>
      <c r="R8" s="5">
        <v>1072.7325495169091</v>
      </c>
      <c r="S8" s="42"/>
      <c r="T8" s="23">
        <v>60687.8551993539</v>
      </c>
      <c r="U8" s="33">
        <v>3.0416455000013229</v>
      </c>
      <c r="V8" s="5">
        <v>2</v>
      </c>
      <c r="W8" s="5">
        <v>80</v>
      </c>
      <c r="X8" s="33">
        <v>40.318715015569694</v>
      </c>
      <c r="Y8" s="5">
        <v>36.416135712285666</v>
      </c>
      <c r="Z8" s="5">
        <v>1644.9208798007307</v>
      </c>
      <c r="AA8" s="42"/>
    </row>
    <row r="9" spans="2:27" x14ac:dyDescent="0.2">
      <c r="B9" s="4">
        <v>6</v>
      </c>
      <c r="C9" s="4">
        <v>367</v>
      </c>
      <c r="D9" s="23">
        <v>46451.564642973179</v>
      </c>
      <c r="E9" s="33">
        <v>2.0059117499995409</v>
      </c>
      <c r="F9" s="5">
        <v>2</v>
      </c>
      <c r="G9" s="23">
        <v>100</v>
      </c>
      <c r="H9" s="33">
        <v>18.534266869647229</v>
      </c>
      <c r="I9" s="23">
        <v>31.411981728802004</v>
      </c>
      <c r="J9" s="5">
        <v>1525.4432500959065</v>
      </c>
      <c r="K9" s="31"/>
      <c r="L9" s="23">
        <v>72271.885373094614</v>
      </c>
      <c r="M9" s="33">
        <v>5.3929276249982649</v>
      </c>
      <c r="N9" s="5">
        <v>3</v>
      </c>
      <c r="O9" s="5">
        <v>70</v>
      </c>
      <c r="P9" s="33">
        <v>0</v>
      </c>
      <c r="Q9" s="5">
        <v>14.543959217935596</v>
      </c>
      <c r="R9" s="5">
        <v>1116.572078692878</v>
      </c>
      <c r="S9" s="42"/>
      <c r="T9" s="23">
        <v>60687.8551993539</v>
      </c>
      <c r="U9" s="33">
        <v>3.0931812499984521</v>
      </c>
      <c r="V9" s="5">
        <v>2</v>
      </c>
      <c r="W9" s="5">
        <v>80</v>
      </c>
      <c r="X9" s="33">
        <v>40.318715015569694</v>
      </c>
      <c r="Y9" s="5">
        <v>36.416135712285666</v>
      </c>
      <c r="Z9" s="5">
        <v>1644.9208798007307</v>
      </c>
      <c r="AA9" s="42"/>
    </row>
    <row r="10" spans="2:27" x14ac:dyDescent="0.2">
      <c r="B10" s="4">
        <v>7</v>
      </c>
      <c r="C10" s="4">
        <v>797</v>
      </c>
      <c r="D10" s="23">
        <v>46451.564642973179</v>
      </c>
      <c r="E10" s="33">
        <v>1.8220277919999719</v>
      </c>
      <c r="F10" s="5">
        <v>2</v>
      </c>
      <c r="G10" s="23">
        <v>100</v>
      </c>
      <c r="H10" s="33">
        <v>18.534266869647229</v>
      </c>
      <c r="I10" s="23">
        <v>31.411981728802004</v>
      </c>
      <c r="J10" s="5">
        <v>1525.4432500959065</v>
      </c>
      <c r="K10" s="31"/>
      <c r="L10" s="23">
        <v>71327.988417830828</v>
      </c>
      <c r="M10" s="33">
        <v>4.4101944169997296</v>
      </c>
      <c r="N10" s="5">
        <v>3</v>
      </c>
      <c r="O10" s="5">
        <v>70</v>
      </c>
      <c r="P10" s="33">
        <v>0</v>
      </c>
      <c r="Q10" s="5">
        <v>14.572381903477302</v>
      </c>
      <c r="R10" s="5">
        <v>1059.7026455758628</v>
      </c>
      <c r="S10" s="42"/>
      <c r="T10" s="23">
        <v>60687.8551993539</v>
      </c>
      <c r="U10" s="33">
        <v>3.0808137500025619</v>
      </c>
      <c r="V10" s="5">
        <v>2</v>
      </c>
      <c r="W10" s="5">
        <v>80</v>
      </c>
      <c r="X10" s="33">
        <v>40.318715015569694</v>
      </c>
      <c r="Y10" s="5">
        <v>36.416135712285666</v>
      </c>
      <c r="Z10" s="5">
        <v>1644.9208798007307</v>
      </c>
      <c r="AA10" s="42"/>
    </row>
    <row r="11" spans="2:27" x14ac:dyDescent="0.2">
      <c r="B11" s="4">
        <v>8</v>
      </c>
      <c r="C11" s="4">
        <v>955</v>
      </c>
      <c r="D11" s="23">
        <v>46451.564642973179</v>
      </c>
      <c r="E11" s="33">
        <v>2.0600304580002562</v>
      </c>
      <c r="F11" s="5">
        <v>2</v>
      </c>
      <c r="G11" s="23">
        <v>100</v>
      </c>
      <c r="H11" s="33">
        <v>18.534266869647229</v>
      </c>
      <c r="I11" s="23">
        <v>31.411981728802004</v>
      </c>
      <c r="J11" s="5">
        <v>1525.4432500959065</v>
      </c>
      <c r="K11" s="31"/>
      <c r="L11" s="23">
        <v>72271.885373094614</v>
      </c>
      <c r="M11" s="33">
        <v>5.5190305420001096</v>
      </c>
      <c r="N11" s="5">
        <v>3</v>
      </c>
      <c r="O11" s="5">
        <v>70</v>
      </c>
      <c r="P11" s="33">
        <v>0</v>
      </c>
      <c r="Q11" s="5">
        <v>14.543959217935596</v>
      </c>
      <c r="R11" s="5">
        <v>1116.572078692878</v>
      </c>
      <c r="S11" s="42"/>
      <c r="T11" s="23">
        <v>60687.8551993539</v>
      </c>
      <c r="U11" s="33">
        <v>3.4924660420001601</v>
      </c>
      <c r="V11" s="5">
        <v>2</v>
      </c>
      <c r="W11" s="5">
        <v>80</v>
      </c>
      <c r="X11" s="33">
        <v>40.318715015569694</v>
      </c>
      <c r="Y11" s="5">
        <v>36.416135712285666</v>
      </c>
      <c r="Z11" s="5">
        <v>1644.9208798007307</v>
      </c>
      <c r="AA11" s="42"/>
    </row>
    <row r="12" spans="2:27" x14ac:dyDescent="0.2">
      <c r="B12" s="4">
        <v>9</v>
      </c>
      <c r="C12" s="4">
        <v>76</v>
      </c>
      <c r="D12" s="23">
        <v>46451.564642973179</v>
      </c>
      <c r="E12" s="33">
        <v>1.9329760420005191</v>
      </c>
      <c r="F12" s="5">
        <v>2</v>
      </c>
      <c r="G12" s="23">
        <v>100</v>
      </c>
      <c r="H12" s="33">
        <v>18.534266869647229</v>
      </c>
      <c r="I12" s="23">
        <v>31.411981728802004</v>
      </c>
      <c r="J12" s="5">
        <v>1525.4432500959065</v>
      </c>
      <c r="K12" s="31"/>
      <c r="L12" s="23">
        <v>72271.885373094614</v>
      </c>
      <c r="M12" s="33">
        <v>5.4457724169988069</v>
      </c>
      <c r="N12" s="5">
        <v>3</v>
      </c>
      <c r="O12" s="5">
        <v>70</v>
      </c>
      <c r="P12" s="33">
        <v>0</v>
      </c>
      <c r="Q12" s="5">
        <v>14.543959217935596</v>
      </c>
      <c r="R12" s="5">
        <v>1116.572078692878</v>
      </c>
      <c r="S12" s="42"/>
      <c r="T12" s="23">
        <v>60687.8551993539</v>
      </c>
      <c r="U12" s="33">
        <v>3.0910000000003488</v>
      </c>
      <c r="V12" s="5">
        <v>2</v>
      </c>
      <c r="W12" s="5">
        <v>80</v>
      </c>
      <c r="X12" s="33">
        <v>40.318715015569694</v>
      </c>
      <c r="Y12" s="5">
        <v>36.416135712285666</v>
      </c>
      <c r="Z12" s="5">
        <v>1644.9208798007307</v>
      </c>
      <c r="AA12" s="42"/>
    </row>
    <row r="13" spans="2:27" x14ac:dyDescent="0.2">
      <c r="B13" s="4">
        <v>10</v>
      </c>
      <c r="C13" s="4">
        <v>842</v>
      </c>
      <c r="D13" s="23">
        <v>46451.564642973179</v>
      </c>
      <c r="E13" s="33">
        <v>1.9401644589997891</v>
      </c>
      <c r="F13" s="5">
        <v>2</v>
      </c>
      <c r="G13" s="23">
        <v>100</v>
      </c>
      <c r="H13" s="33">
        <v>18.534266869647229</v>
      </c>
      <c r="I13" s="23">
        <v>31.411981728802004</v>
      </c>
      <c r="J13" s="5">
        <v>1525.4432500959065</v>
      </c>
      <c r="K13" s="31"/>
      <c r="L13" s="23">
        <v>71734.132403013442</v>
      </c>
      <c r="M13" s="33">
        <v>5.1511647920015093</v>
      </c>
      <c r="N13" s="5">
        <v>3</v>
      </c>
      <c r="O13" s="5">
        <v>70</v>
      </c>
      <c r="P13" s="33">
        <v>0</v>
      </c>
      <c r="Q13" s="5">
        <v>14.569674981044756</v>
      </c>
      <c r="R13" s="5">
        <v>1091.3253763451703</v>
      </c>
      <c r="S13" s="42"/>
      <c r="T13" s="23">
        <v>60687.8551993539</v>
      </c>
      <c r="U13" s="33">
        <v>2.970111541999358</v>
      </c>
      <c r="V13" s="5">
        <v>2</v>
      </c>
      <c r="W13" s="5">
        <v>80</v>
      </c>
      <c r="X13" s="33">
        <v>40.318715015569694</v>
      </c>
      <c r="Y13" s="5">
        <v>36.416135712285666</v>
      </c>
      <c r="Z13" s="5">
        <v>1644.9208798007307</v>
      </c>
      <c r="AA13" s="42"/>
    </row>
    <row r="14" spans="2:27" x14ac:dyDescent="0.2">
      <c r="B14" s="46" t="s">
        <v>3</v>
      </c>
      <c r="C14" s="47"/>
      <c r="D14" s="9">
        <f>MIN(D4:D13)</f>
        <v>46451.564642973179</v>
      </c>
      <c r="E14" s="22">
        <f>INDEX(E4:E13, MATCH($D$14, D4:D13, 0))</f>
        <v>1.7664666250002481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18.534266869647229</v>
      </c>
      <c r="I14" s="22">
        <f>INDEX(I4:I13, MATCH($D$14, D4:D13, 0))</f>
        <v>31.411981728802004</v>
      </c>
      <c r="J14" s="22">
        <f>INDEX(J4:J13, MATCH($D$14, D4:D13, 0))</f>
        <v>1525.4432500959065</v>
      </c>
      <c r="K14" s="32"/>
      <c r="L14" s="16">
        <f>MIN(L4:L13)</f>
        <v>69680.75886431025</v>
      </c>
      <c r="M14" s="21">
        <f>INDEX(M4:M13, MATCH($L$14, L4:L13, 0))</f>
        <v>3.2953764170015352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14.73195583218625</v>
      </c>
      <c r="R14" s="21">
        <f>INDEX(R4:R13, MATCH($L$14, L4:L13, 0))</f>
        <v>1022.1821892976595</v>
      </c>
      <c r="S14" s="43" t="e">
        <f>(L14-$D$15)/$D$15</f>
        <v>#DIV/0!</v>
      </c>
      <c r="T14" s="38">
        <f>MIN(T4:T13)</f>
        <v>60687.8551993539</v>
      </c>
      <c r="U14" s="44">
        <f>INDEX(U4:U13, MATCH($T$14, T4:T13, 0))</f>
        <v>3.0407988340011798</v>
      </c>
      <c r="V14" s="38">
        <f>INDEX(V4:V13, MATCH($T$14, T4:T13, 0))</f>
        <v>2</v>
      </c>
      <c r="W14" s="38">
        <f>INDEX(W4:W13, MATCH($T$14, T4:T13, 0))</f>
        <v>80</v>
      </c>
      <c r="X14" s="44">
        <f>INDEX(X4:X13, MATCH($T$14, T4:T13, 0))</f>
        <v>40.318715015569694</v>
      </c>
      <c r="Y14" s="44">
        <f>INDEX(Y4:Y13, MATCH($T$14, T4:T13, 0))</f>
        <v>36.416135712285666</v>
      </c>
      <c r="Z14" s="44">
        <f>INDEX(Z4:Z13, MATCH($T$14, T4:T13, 0))</f>
        <v>1644.9208798007307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57" priority="3"/>
    <cfRule type="duplicateValues" dxfId="56" priority="4"/>
  </conditionalFormatting>
  <conditionalFormatting sqref="C28:C1048576 C1:C13">
    <cfRule type="duplicateValues" dxfId="55" priority="5"/>
    <cfRule type="duplicateValues" dxfId="54" priority="6"/>
  </conditionalFormatting>
  <conditionalFormatting sqref="C15:C27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8ABE-E97B-2A47-B242-53771F4B3A16}">
  <dimension ref="B1:AA17"/>
  <sheetViews>
    <sheetView topLeftCell="H1" zoomScale="118" zoomScaleNormal="120" workbookViewId="0">
      <selection activeCell="K4" sqref="K4:K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-0.10472237593539176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-0.10424254993589543</v>
      </c>
      <c r="T2" s="1" t="s">
        <v>19</v>
      </c>
      <c r="X2" s="1" t="e">
        <f>(X14-P14)/P14</f>
        <v>#DIV/0!</v>
      </c>
      <c r="Z2" s="1">
        <f>(Z14-R14)/R14</f>
        <v>0.10434279458378889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36</v>
      </c>
      <c r="D4" s="23">
        <v>62669.538811936363</v>
      </c>
      <c r="E4" s="33">
        <v>2.9447204999996761</v>
      </c>
      <c r="F4" s="5">
        <v>3</v>
      </c>
      <c r="G4" s="23">
        <v>100</v>
      </c>
      <c r="H4" s="33">
        <v>23.649716610179986</v>
      </c>
      <c r="I4" s="23">
        <v>23.831677631224618</v>
      </c>
      <c r="J4" s="5">
        <v>1822.7697548882963</v>
      </c>
      <c r="K4" s="31"/>
      <c r="L4" s="23">
        <v>65844.260791170396</v>
      </c>
      <c r="M4" s="33">
        <v>4.5269229169971368</v>
      </c>
      <c r="N4" s="5">
        <v>3</v>
      </c>
      <c r="O4" s="5">
        <v>90</v>
      </c>
      <c r="P4" s="33">
        <v>0</v>
      </c>
      <c r="Q4" s="5">
        <v>21.173062096563239</v>
      </c>
      <c r="R4" s="5">
        <v>1632.7595876927132</v>
      </c>
      <c r="S4" s="42"/>
      <c r="T4" s="23">
        <v>74497.691086856299</v>
      </c>
      <c r="U4" s="33">
        <v>3.467804167001304</v>
      </c>
      <c r="V4" s="5">
        <v>3</v>
      </c>
      <c r="W4" s="5">
        <v>90</v>
      </c>
      <c r="X4" s="33">
        <v>84.952398951526348</v>
      </c>
      <c r="Y4" s="5">
        <v>32.287347187590022</v>
      </c>
      <c r="Z4" s="5">
        <v>2245.7610351188905</v>
      </c>
      <c r="AA4" s="42"/>
    </row>
    <row r="5" spans="2:27" x14ac:dyDescent="0.2">
      <c r="B5" s="4">
        <v>2</v>
      </c>
      <c r="C5" s="4">
        <v>242</v>
      </c>
      <c r="D5" s="23">
        <v>63164.704855572869</v>
      </c>
      <c r="E5" s="33">
        <v>3.0220629590003232</v>
      </c>
      <c r="F5" s="5">
        <v>2</v>
      </c>
      <c r="G5" s="23">
        <v>80</v>
      </c>
      <c r="H5" s="33">
        <v>0</v>
      </c>
      <c r="I5" s="23">
        <v>27.862643579043784</v>
      </c>
      <c r="J5" s="5">
        <v>1681.9642784526673</v>
      </c>
      <c r="K5" s="31"/>
      <c r="L5" s="23">
        <v>69047.367982687676</v>
      </c>
      <c r="M5" s="33">
        <v>3.3047300830003219</v>
      </c>
      <c r="N5" s="5">
        <v>2</v>
      </c>
      <c r="O5" s="5">
        <v>70</v>
      </c>
      <c r="P5" s="33">
        <v>0</v>
      </c>
      <c r="Q5" s="5">
        <v>24.88547242673371</v>
      </c>
      <c r="R5" s="5">
        <v>1561.5048732299326</v>
      </c>
      <c r="S5" s="42"/>
      <c r="T5" s="23">
        <v>67500.800586799771</v>
      </c>
      <c r="U5" s="33">
        <v>2.8189230000025418</v>
      </c>
      <c r="V5" s="5">
        <v>2</v>
      </c>
      <c r="W5" s="5">
        <v>75</v>
      </c>
      <c r="X5" s="33">
        <v>0</v>
      </c>
      <c r="Y5" s="5">
        <v>34.731366066306364</v>
      </c>
      <c r="Z5" s="5">
        <v>1803.1262859560459</v>
      </c>
      <c r="AA5" s="42"/>
    </row>
    <row r="6" spans="2:27" x14ac:dyDescent="0.2">
      <c r="B6" s="4">
        <v>3</v>
      </c>
      <c r="C6" s="4">
        <v>382</v>
      </c>
      <c r="D6" s="23">
        <v>63164.704855572869</v>
      </c>
      <c r="E6" s="33">
        <v>3.0514330420000988</v>
      </c>
      <c r="F6" s="5">
        <v>2</v>
      </c>
      <c r="G6" s="23">
        <v>80</v>
      </c>
      <c r="H6" s="33">
        <v>0</v>
      </c>
      <c r="I6" s="23">
        <v>27.862643579043784</v>
      </c>
      <c r="J6" s="5">
        <v>1681.9642784526673</v>
      </c>
      <c r="K6" s="31"/>
      <c r="L6" s="23">
        <v>69047.367982687676</v>
      </c>
      <c r="M6" s="33">
        <v>3.3893510419984518</v>
      </c>
      <c r="N6" s="5">
        <v>2</v>
      </c>
      <c r="O6" s="5">
        <v>70</v>
      </c>
      <c r="P6" s="33">
        <v>0</v>
      </c>
      <c r="Q6" s="5">
        <v>24.88547242673371</v>
      </c>
      <c r="R6" s="5">
        <v>1561.5048732299326</v>
      </c>
      <c r="S6" s="42"/>
      <c r="T6" s="23">
        <v>67500.800586799771</v>
      </c>
      <c r="U6" s="33">
        <v>2.8418224590022869</v>
      </c>
      <c r="V6" s="5">
        <v>2</v>
      </c>
      <c r="W6" s="5">
        <v>75</v>
      </c>
      <c r="X6" s="33">
        <v>0</v>
      </c>
      <c r="Y6" s="5">
        <v>34.731366066306364</v>
      </c>
      <c r="Z6" s="5">
        <v>1803.1262859560459</v>
      </c>
      <c r="AA6" s="42"/>
    </row>
    <row r="7" spans="2:27" x14ac:dyDescent="0.2">
      <c r="B7" s="4">
        <v>4</v>
      </c>
      <c r="C7" s="4">
        <v>478</v>
      </c>
      <c r="D7" s="23">
        <v>62669.538811936363</v>
      </c>
      <c r="E7" s="33">
        <v>2.8959309580004629</v>
      </c>
      <c r="F7" s="5">
        <v>3</v>
      </c>
      <c r="G7" s="23">
        <v>100</v>
      </c>
      <c r="H7" s="33">
        <v>23.649716610179986</v>
      </c>
      <c r="I7" s="23">
        <v>23.831677631224618</v>
      </c>
      <c r="J7" s="5">
        <v>1822.7697548882963</v>
      </c>
      <c r="K7" s="31"/>
      <c r="L7" s="23">
        <v>65844.260791170396</v>
      </c>
      <c r="M7" s="33">
        <v>4.6846622500015664</v>
      </c>
      <c r="N7" s="5">
        <v>3</v>
      </c>
      <c r="O7" s="5">
        <v>90</v>
      </c>
      <c r="P7" s="33">
        <v>0</v>
      </c>
      <c r="Q7" s="5">
        <v>21.173062096563239</v>
      </c>
      <c r="R7" s="5">
        <v>1632.7595876927132</v>
      </c>
      <c r="S7" s="42"/>
      <c r="T7" s="23">
        <v>74499.365070042462</v>
      </c>
      <c r="U7" s="33">
        <v>3.492592208996939</v>
      </c>
      <c r="V7" s="5">
        <v>3</v>
      </c>
      <c r="W7" s="5">
        <v>85</v>
      </c>
      <c r="X7" s="33">
        <v>86.233722883511447</v>
      </c>
      <c r="Y7" s="5">
        <v>29.707055604734308</v>
      </c>
      <c r="Z7" s="5">
        <v>2079.4613507742447</v>
      </c>
      <c r="AA7" s="42"/>
    </row>
    <row r="8" spans="2:27" x14ac:dyDescent="0.2">
      <c r="B8" s="4">
        <v>5</v>
      </c>
      <c r="C8" s="4">
        <v>535</v>
      </c>
      <c r="D8" s="23">
        <v>62669.538811936363</v>
      </c>
      <c r="E8" s="33">
        <v>2.941997541000092</v>
      </c>
      <c r="F8" s="5">
        <v>3</v>
      </c>
      <c r="G8" s="23">
        <v>100</v>
      </c>
      <c r="H8" s="33">
        <v>23.649716610179986</v>
      </c>
      <c r="I8" s="23">
        <v>23.831677631224618</v>
      </c>
      <c r="J8" s="5">
        <v>1822.7697548882963</v>
      </c>
      <c r="K8" s="31"/>
      <c r="L8" s="23">
        <v>65844.260791170396</v>
      </c>
      <c r="M8" s="33">
        <v>4.6362952080016839</v>
      </c>
      <c r="N8" s="5">
        <v>3</v>
      </c>
      <c r="O8" s="5">
        <v>90</v>
      </c>
      <c r="P8" s="33">
        <v>0</v>
      </c>
      <c r="Q8" s="5">
        <v>21.173062096563239</v>
      </c>
      <c r="R8" s="5">
        <v>1632.7595876927132</v>
      </c>
      <c r="S8" s="42"/>
      <c r="T8" s="23">
        <v>74497.691086856299</v>
      </c>
      <c r="U8" s="33">
        <v>3.4844977920001838</v>
      </c>
      <c r="V8" s="5">
        <v>3</v>
      </c>
      <c r="W8" s="5">
        <v>90</v>
      </c>
      <c r="X8" s="33">
        <v>84.952398951526348</v>
      </c>
      <c r="Y8" s="5">
        <v>32.287347187590022</v>
      </c>
      <c r="Z8" s="5">
        <v>2245.7610351188905</v>
      </c>
      <c r="AA8" s="42"/>
    </row>
    <row r="9" spans="2:27" x14ac:dyDescent="0.2">
      <c r="B9" s="4">
        <v>6</v>
      </c>
      <c r="C9" s="4">
        <v>588</v>
      </c>
      <c r="D9" s="23">
        <v>62669.538811936363</v>
      </c>
      <c r="E9" s="33">
        <v>3.1918744999993578</v>
      </c>
      <c r="F9" s="5">
        <v>3</v>
      </c>
      <c r="G9" s="23">
        <v>100</v>
      </c>
      <c r="H9" s="33">
        <v>23.649716610179986</v>
      </c>
      <c r="I9" s="23">
        <v>23.831677631224618</v>
      </c>
      <c r="J9" s="5">
        <v>1822.7697548882963</v>
      </c>
      <c r="K9" s="31"/>
      <c r="L9" s="23">
        <v>65844.260791170396</v>
      </c>
      <c r="M9" s="33">
        <v>4.6288308330003929</v>
      </c>
      <c r="N9" s="5">
        <v>3</v>
      </c>
      <c r="O9" s="5">
        <v>90</v>
      </c>
      <c r="P9" s="33">
        <v>0</v>
      </c>
      <c r="Q9" s="5">
        <v>21.173062096563239</v>
      </c>
      <c r="R9" s="5">
        <v>1632.7595876927132</v>
      </c>
      <c r="S9" s="42"/>
      <c r="T9" s="23">
        <v>74508.198441733693</v>
      </c>
      <c r="U9" s="33">
        <v>3.447882333999587</v>
      </c>
      <c r="V9" s="5">
        <v>3</v>
      </c>
      <c r="W9" s="5">
        <v>85</v>
      </c>
      <c r="X9" s="33">
        <v>86.233722883511447</v>
      </c>
      <c r="Y9" s="5">
        <v>29.736364439359452</v>
      </c>
      <c r="Z9" s="5">
        <v>2095.6667301588177</v>
      </c>
      <c r="AA9" s="42"/>
    </row>
    <row r="10" spans="2:27" x14ac:dyDescent="0.2">
      <c r="B10" s="4">
        <v>7</v>
      </c>
      <c r="C10" s="4">
        <v>619</v>
      </c>
      <c r="D10" s="23">
        <v>63164.704855572869</v>
      </c>
      <c r="E10" s="33">
        <v>3.0525706250000439</v>
      </c>
      <c r="F10" s="5">
        <v>2</v>
      </c>
      <c r="G10" s="23">
        <v>80</v>
      </c>
      <c r="H10" s="33">
        <v>0</v>
      </c>
      <c r="I10" s="23">
        <v>27.862643579043784</v>
      </c>
      <c r="J10" s="5">
        <v>1681.9642784526673</v>
      </c>
      <c r="K10" s="31"/>
      <c r="L10" s="23">
        <v>69047.367982687676</v>
      </c>
      <c r="M10" s="33">
        <v>3.409734707998723</v>
      </c>
      <c r="N10" s="5">
        <v>2</v>
      </c>
      <c r="O10" s="5">
        <v>70</v>
      </c>
      <c r="P10" s="33">
        <v>0</v>
      </c>
      <c r="Q10" s="5">
        <v>24.88547242673371</v>
      </c>
      <c r="R10" s="5">
        <v>1561.5048732299326</v>
      </c>
      <c r="S10" s="42"/>
      <c r="T10" s="23">
        <v>67500.800586799771</v>
      </c>
      <c r="U10" s="33">
        <v>2.8521212079976981</v>
      </c>
      <c r="V10" s="5">
        <v>2</v>
      </c>
      <c r="W10" s="5">
        <v>75</v>
      </c>
      <c r="X10" s="33">
        <v>0</v>
      </c>
      <c r="Y10" s="5">
        <v>34.731366066306364</v>
      </c>
      <c r="Z10" s="5">
        <v>1803.1262859560459</v>
      </c>
      <c r="AA10" s="42"/>
    </row>
    <row r="11" spans="2:27" x14ac:dyDescent="0.2">
      <c r="B11" s="4">
        <v>8</v>
      </c>
      <c r="C11" s="4">
        <v>666</v>
      </c>
      <c r="D11" s="23">
        <v>63164.704855572869</v>
      </c>
      <c r="E11" s="33">
        <v>3.016545208000025</v>
      </c>
      <c r="F11" s="5">
        <v>2</v>
      </c>
      <c r="G11" s="23">
        <v>80</v>
      </c>
      <c r="H11" s="33">
        <v>0</v>
      </c>
      <c r="I11" s="23">
        <v>27.862643579043784</v>
      </c>
      <c r="J11" s="5">
        <v>1681.9642784526673</v>
      </c>
      <c r="K11" s="31"/>
      <c r="L11" s="23">
        <v>69047.367982687676</v>
      </c>
      <c r="M11" s="33">
        <v>3.3032014999989769</v>
      </c>
      <c r="N11" s="5">
        <v>2</v>
      </c>
      <c r="O11" s="5">
        <v>70</v>
      </c>
      <c r="P11" s="33">
        <v>0</v>
      </c>
      <c r="Q11" s="5">
        <v>24.88547242673371</v>
      </c>
      <c r="R11" s="5">
        <v>1561.5048732299326</v>
      </c>
      <c r="S11" s="42"/>
      <c r="T11" s="23">
        <v>67500.800586799771</v>
      </c>
      <c r="U11" s="33">
        <v>2.8498027500027092</v>
      </c>
      <c r="V11" s="5">
        <v>2</v>
      </c>
      <c r="W11" s="5">
        <v>75</v>
      </c>
      <c r="X11" s="33">
        <v>0</v>
      </c>
      <c r="Y11" s="5">
        <v>34.731366066306364</v>
      </c>
      <c r="Z11" s="5">
        <v>1803.1262859560459</v>
      </c>
      <c r="AA11" s="42"/>
    </row>
    <row r="12" spans="2:27" x14ac:dyDescent="0.2">
      <c r="B12" s="4">
        <v>9</v>
      </c>
      <c r="C12" s="4">
        <v>802</v>
      </c>
      <c r="D12" s="23">
        <v>63164.704855572869</v>
      </c>
      <c r="E12" s="33">
        <v>3.0038754580000391</v>
      </c>
      <c r="F12" s="5">
        <v>2</v>
      </c>
      <c r="G12" s="23">
        <v>80</v>
      </c>
      <c r="H12" s="33">
        <v>0</v>
      </c>
      <c r="I12" s="23">
        <v>27.862643579043784</v>
      </c>
      <c r="J12" s="5">
        <v>1681.9642784526673</v>
      </c>
      <c r="K12" s="31"/>
      <c r="L12" s="23">
        <v>65844.260791170396</v>
      </c>
      <c r="M12" s="33">
        <v>4.4390666250001232</v>
      </c>
      <c r="N12" s="5">
        <v>3</v>
      </c>
      <c r="O12" s="5">
        <v>90</v>
      </c>
      <c r="P12" s="33">
        <v>0</v>
      </c>
      <c r="Q12" s="5">
        <v>21.173062096563239</v>
      </c>
      <c r="R12" s="5">
        <v>1632.7595876927132</v>
      </c>
      <c r="S12" s="42"/>
      <c r="T12" s="23">
        <v>67500.800586799771</v>
      </c>
      <c r="U12" s="33">
        <v>2.8755694579995179</v>
      </c>
      <c r="V12" s="5">
        <v>2</v>
      </c>
      <c r="W12" s="5">
        <v>75</v>
      </c>
      <c r="X12" s="33">
        <v>0</v>
      </c>
      <c r="Y12" s="5">
        <v>34.731366066306364</v>
      </c>
      <c r="Z12" s="5">
        <v>1803.1262859560459</v>
      </c>
      <c r="AA12" s="42"/>
    </row>
    <row r="13" spans="2:27" x14ac:dyDescent="0.2">
      <c r="B13" s="4">
        <v>10</v>
      </c>
      <c r="C13" s="4">
        <v>863</v>
      </c>
      <c r="D13" s="23">
        <v>63164.704855572869</v>
      </c>
      <c r="E13" s="33">
        <v>3.0509555830003592</v>
      </c>
      <c r="F13" s="5">
        <v>2</v>
      </c>
      <c r="G13" s="23">
        <v>80</v>
      </c>
      <c r="H13" s="33">
        <v>0</v>
      </c>
      <c r="I13" s="23">
        <v>27.862643579043784</v>
      </c>
      <c r="J13" s="5">
        <v>1681.9642784526673</v>
      </c>
      <c r="K13" s="31"/>
      <c r="L13" s="23">
        <v>69047.367982687676</v>
      </c>
      <c r="M13" s="33">
        <v>3.3476865420016111</v>
      </c>
      <c r="N13" s="5">
        <v>2</v>
      </c>
      <c r="O13" s="5">
        <v>70</v>
      </c>
      <c r="P13" s="33">
        <v>0</v>
      </c>
      <c r="Q13" s="5">
        <v>24.88547242673371</v>
      </c>
      <c r="R13" s="5">
        <v>1561.5048732299326</v>
      </c>
      <c r="S13" s="42"/>
      <c r="T13" s="23">
        <v>67500.800586799771</v>
      </c>
      <c r="U13" s="33">
        <v>2.868228457999066</v>
      </c>
      <c r="V13" s="5">
        <v>2</v>
      </c>
      <c r="W13" s="5">
        <v>75</v>
      </c>
      <c r="X13" s="33">
        <v>0</v>
      </c>
      <c r="Y13" s="5">
        <v>34.731366066306364</v>
      </c>
      <c r="Z13" s="5">
        <v>1803.1262859560459</v>
      </c>
      <c r="AA13" s="42"/>
    </row>
    <row r="14" spans="2:27" x14ac:dyDescent="0.2">
      <c r="B14" s="46" t="s">
        <v>3</v>
      </c>
      <c r="C14" s="47"/>
      <c r="D14" s="9">
        <f>MIN(D4:D13)</f>
        <v>62669.538811936363</v>
      </c>
      <c r="E14" s="22">
        <f>INDEX(E4:E13, MATCH($D$14, D4:D13, 0))</f>
        <v>2.9447204999996761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23.649716610179986</v>
      </c>
      <c r="I14" s="22">
        <f>INDEX(I4:I13, MATCH($D$14, D4:D13, 0))</f>
        <v>23.831677631224618</v>
      </c>
      <c r="J14" s="22">
        <f>INDEX(J4:J13, MATCH($D$14, D4:D13, 0))</f>
        <v>1822.7697548882963</v>
      </c>
      <c r="K14" s="32"/>
      <c r="L14" s="16">
        <f>MIN(L4:L13)</f>
        <v>65844.260791170396</v>
      </c>
      <c r="M14" s="21">
        <f>INDEX(M4:M13, MATCH($L$14, L4:L13, 0))</f>
        <v>4.5269229169971368</v>
      </c>
      <c r="N14" s="16">
        <f>INDEX(N4:N13, MATCH($L$14, L4:L13, 0))</f>
        <v>3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21.173062096563239</v>
      </c>
      <c r="R14" s="21">
        <f>INDEX(R4:R13, MATCH($L$14, L4:L13, 0))</f>
        <v>1632.7595876927132</v>
      </c>
      <c r="S14" s="43" t="e">
        <f>(L14-$D$15)/$D$15</f>
        <v>#DIV/0!</v>
      </c>
      <c r="T14" s="38">
        <f>MIN(T4:T13)</f>
        <v>67500.800586799771</v>
      </c>
      <c r="U14" s="44">
        <f>INDEX(U4:U13, MATCH($T$14, T4:T13, 0))</f>
        <v>2.8189230000025418</v>
      </c>
      <c r="V14" s="38">
        <f>INDEX(V4:V13, MATCH($T$14, T4:T13, 0))</f>
        <v>2</v>
      </c>
      <c r="W14" s="38">
        <f>INDEX(W4:W13, MATCH($T$14, T4:T13, 0))</f>
        <v>75</v>
      </c>
      <c r="X14" s="44">
        <f>INDEX(X4:X13, MATCH($T$14, T4:T13, 0))</f>
        <v>0</v>
      </c>
      <c r="Y14" s="44">
        <f>INDEX(Y4:Y13, MATCH($T$14, T4:T13, 0))</f>
        <v>34.731366066306364</v>
      </c>
      <c r="Z14" s="44">
        <f>INDEX(Z4:Z13, MATCH($T$14, T4:T13, 0))</f>
        <v>1803.1262859560459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8:C1048576">
    <cfRule type="duplicateValues" dxfId="53" priority="5"/>
    <cfRule type="duplicateValues" dxfId="52" priority="6"/>
  </conditionalFormatting>
  <conditionalFormatting sqref="C14">
    <cfRule type="duplicateValues" dxfId="51" priority="3"/>
    <cfRule type="duplicateValues" dxfId="50" priority="4"/>
  </conditionalFormatting>
  <conditionalFormatting sqref="C15:C2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results119</vt:lpstr>
      <vt:lpstr>results190</vt:lpstr>
      <vt:lpstr>results372</vt:lpstr>
      <vt:lpstr>results440</vt:lpstr>
      <vt:lpstr>results522</vt:lpstr>
      <vt:lpstr>results644</vt:lpstr>
      <vt:lpstr>results753</vt:lpstr>
      <vt:lpstr>results767</vt:lpstr>
      <vt:lpstr>results837</vt:lpstr>
      <vt:lpstr>results883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2026-10-15T21:48:47Z</dcterms:modified>
</cp:coreProperties>
</file>