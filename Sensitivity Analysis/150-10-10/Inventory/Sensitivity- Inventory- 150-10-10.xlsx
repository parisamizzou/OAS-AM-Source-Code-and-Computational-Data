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ensitivity Analysis/Large/150-10-10/Inventory/"/>
    </mc:Choice>
  </mc:AlternateContent>
  <xr:revisionPtr revIDLastSave="0" documentId="13_ncr:1_{EF0937FF-DD37-974D-88AD-8C93C25BFA9A}" xr6:coauthVersionLast="47" xr6:coauthVersionMax="47" xr10:uidLastSave="{00000000-0000-0000-0000-000000000000}"/>
  <bookViews>
    <workbookView xWindow="0" yWindow="740" windowWidth="34560" windowHeight="21600" tabRatio="842" xr2:uid="{41E620E7-D6DF-9342-B452-EA60AB3B07C5}"/>
  </bookViews>
  <sheets>
    <sheet name="Summary" sheetId="68" r:id="rId1"/>
    <sheet name="results45" sheetId="63" r:id="rId2"/>
    <sheet name="results229" sheetId="69" r:id="rId3"/>
    <sheet name="results268" sheetId="70" r:id="rId4"/>
    <sheet name="results346" sheetId="71" r:id="rId5"/>
    <sheet name="results418" sheetId="72" r:id="rId6"/>
    <sheet name="results464" sheetId="76" r:id="rId7"/>
    <sheet name="results658" sheetId="77" r:id="rId8"/>
    <sheet name="results720" sheetId="73" r:id="rId9"/>
    <sheet name="results846" sheetId="74" r:id="rId10"/>
    <sheet name="results910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5" l="1"/>
  <c r="G14" i="75" s="1"/>
  <c r="D14" i="74"/>
  <c r="K14" i="74" s="1"/>
  <c r="D14" i="73"/>
  <c r="I14" i="73" s="1"/>
  <c r="D14" i="77"/>
  <c r="D14" i="76"/>
  <c r="E14" i="76" s="1"/>
  <c r="D14" i="72"/>
  <c r="K14" i="72" s="1"/>
  <c r="D14" i="71"/>
  <c r="D14" i="70"/>
  <c r="E14" i="70" s="1"/>
  <c r="D14" i="69"/>
  <c r="G14" i="69" s="1"/>
  <c r="H14" i="75" l="1"/>
  <c r="E14" i="75"/>
  <c r="I14" i="75"/>
  <c r="J14" i="75"/>
  <c r="F14" i="75"/>
  <c r="K14" i="75"/>
  <c r="I14" i="74"/>
  <c r="J14" i="74"/>
  <c r="E14" i="74"/>
  <c r="F14" i="74"/>
  <c r="G14" i="74"/>
  <c r="H14" i="74"/>
  <c r="K14" i="73"/>
  <c r="E14" i="73"/>
  <c r="F14" i="73"/>
  <c r="J14" i="73"/>
  <c r="G14" i="73"/>
  <c r="H14" i="73"/>
  <c r="J14" i="77"/>
  <c r="E14" i="77"/>
  <c r="F14" i="77"/>
  <c r="G14" i="77"/>
  <c r="I14" i="77"/>
  <c r="K14" i="77"/>
  <c r="H14" i="77"/>
  <c r="G14" i="76"/>
  <c r="I14" i="76"/>
  <c r="J14" i="76"/>
  <c r="K14" i="76"/>
  <c r="F14" i="76"/>
  <c r="H14" i="76"/>
  <c r="I14" i="72"/>
  <c r="J14" i="72"/>
  <c r="H14" i="72"/>
  <c r="E14" i="72"/>
  <c r="G14" i="72"/>
  <c r="F14" i="72"/>
  <c r="G14" i="71"/>
  <c r="H14" i="71"/>
  <c r="F14" i="71"/>
  <c r="E14" i="71"/>
  <c r="I14" i="71"/>
  <c r="J14" i="71"/>
  <c r="K14" i="71"/>
  <c r="K14" i="70"/>
  <c r="G14" i="70"/>
  <c r="F14" i="70"/>
  <c r="H14" i="70"/>
  <c r="J14" i="70"/>
  <c r="I14" i="70"/>
  <c r="F14" i="69"/>
  <c r="I14" i="69"/>
  <c r="J14" i="69"/>
  <c r="K14" i="69"/>
  <c r="E14" i="69"/>
  <c r="H14" i="69"/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G6" i="68" a="1"/>
  <c r="C3" i="68" a="1"/>
  <c r="H12" i="68" a="1"/>
  <c r="F7" i="68" a="1"/>
  <c r="F5" i="68" a="1"/>
  <c r="C7" i="68" a="1"/>
  <c r="E10" i="68" a="1"/>
  <c r="C11" i="68" a="1"/>
  <c r="E4" i="68" a="1"/>
  <c r="I4" i="68" a="1"/>
  <c r="H11" i="68" a="1"/>
  <c r="F3" i="68" a="1"/>
  <c r="D12" i="68" a="1"/>
  <c r="E12" i="68" a="1"/>
  <c r="I12" i="68" a="1"/>
  <c r="D4" i="68" a="1"/>
  <c r="D6" i="68" a="1"/>
  <c r="E9" i="68" a="1"/>
  <c r="I5" i="68" a="1"/>
  <c r="F10" i="68" a="1"/>
  <c r="G4" i="68" a="1"/>
  <c r="C8" i="68" a="1"/>
  <c r="H10" i="68" a="1"/>
  <c r="H9" i="68" a="1"/>
  <c r="I7" i="68" a="1"/>
  <c r="D9" i="68" a="1"/>
  <c r="G11" i="68" a="1"/>
  <c r="H8" i="68" a="1"/>
  <c r="C9" i="68" a="1"/>
  <c r="E6" i="68" a="1"/>
  <c r="F4" i="68" a="1"/>
  <c r="H5" i="68" a="1"/>
  <c r="F6" i="68" a="1"/>
  <c r="C10" i="68" a="1"/>
  <c r="E11" i="68" a="1"/>
  <c r="G5" i="68" a="1"/>
  <c r="G7" i="68" a="1"/>
  <c r="H3" i="68" a="1"/>
  <c r="D11" i="68" a="1"/>
  <c r="E8" i="68" a="1"/>
  <c r="G10" i="68" a="1"/>
  <c r="I8" i="68" a="1"/>
  <c r="F8" i="68" a="1"/>
  <c r="H4" i="68" a="1"/>
  <c r="I6" i="68" a="1"/>
  <c r="I11" i="68" a="1"/>
  <c r="C4" i="68" a="1"/>
  <c r="F11" i="68" a="1"/>
  <c r="D7" i="68" a="1"/>
  <c r="F9" i="68" a="1"/>
  <c r="D8" i="68" a="1"/>
  <c r="F12" i="68" a="1"/>
  <c r="I3" i="68" a="1"/>
  <c r="D10" i="68" a="1"/>
  <c r="H7" i="68" a="1"/>
  <c r="I10" i="68" a="1"/>
  <c r="H6" i="68" a="1"/>
  <c r="G12" i="68" a="1"/>
  <c r="E7" i="68" a="1"/>
  <c r="I9" i="68" a="1"/>
  <c r="E3" i="68" a="1"/>
  <c r="G8" i="68" a="1"/>
  <c r="G9" i="68" a="1"/>
  <c r="C5" i="68" a="1"/>
  <c r="D5" i="68" a="1"/>
  <c r="G3" i="68" a="1"/>
  <c r="C6" i="68" a="1"/>
  <c r="C12" i="68" a="1"/>
  <c r="E5" i="68" a="1"/>
  <c r="F9" i="68" l="1"/>
  <c r="E10" i="68"/>
  <c r="H11" i="68"/>
  <c r="H12" i="68"/>
  <c r="E8" i="68"/>
  <c r="I5" i="68"/>
  <c r="E5" i="68"/>
  <c r="E12" i="68"/>
  <c r="D10" i="68"/>
  <c r="C5" i="68"/>
  <c r="G12" i="68"/>
  <c r="E6" i="68"/>
  <c r="F10" i="68"/>
  <c r="C12" i="68"/>
  <c r="C10" i="68"/>
  <c r="H5" i="68"/>
  <c r="F7" i="68"/>
  <c r="C11" i="68"/>
  <c r="I7" i="68"/>
  <c r="I10" i="68"/>
  <c r="D6" i="68"/>
  <c r="G10" i="68"/>
  <c r="D5" i="68"/>
  <c r="E7" i="68"/>
  <c r="I8" i="68"/>
  <c r="H7" i="68"/>
  <c r="E9" i="68"/>
  <c r="C6" i="68"/>
  <c r="G3" i="68"/>
  <c r="G4" i="68"/>
  <c r="G9" i="68"/>
  <c r="C8" i="68"/>
  <c r="D7" i="68"/>
  <c r="H8" i="68"/>
  <c r="F11" i="68"/>
  <c r="G11" i="68"/>
  <c r="D9" i="68"/>
  <c r="D11" i="68"/>
  <c r="D8" i="68"/>
  <c r="E11" i="68"/>
  <c r="F8" i="68"/>
  <c r="D12" i="68"/>
  <c r="H10" i="68"/>
  <c r="C4" i="68"/>
  <c r="F12" i="68"/>
  <c r="F5" i="68"/>
  <c r="G6" i="68"/>
  <c r="I11" i="68"/>
  <c r="I9" i="68"/>
  <c r="G5" i="68"/>
  <c r="D4" i="68"/>
  <c r="H4" i="68"/>
  <c r="F6" i="68"/>
  <c r="F4" i="68"/>
  <c r="G7" i="68"/>
  <c r="H6" i="68"/>
  <c r="C9" i="68"/>
  <c r="I12" i="68"/>
  <c r="H3" i="68"/>
  <c r="F3" i="68"/>
  <c r="E3" i="68"/>
  <c r="C7" i="68"/>
  <c r="I6" i="68"/>
  <c r="I3" i="68"/>
  <c r="I4" i="68"/>
  <c r="H9" i="68"/>
  <c r="E4" i="68"/>
  <c r="C3" i="68"/>
  <c r="G8" i="68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L14" i="75" l="1"/>
  <c r="O14" i="75" s="1"/>
  <c r="T14" i="75"/>
  <c r="X14" i="75" s="1"/>
  <c r="X15" i="75" s="1"/>
  <c r="L14" i="74"/>
  <c r="O14" i="74" s="1"/>
  <c r="O15" i="74" s="1"/>
  <c r="T14" i="74"/>
  <c r="U14" i="74" s="1"/>
  <c r="T14" i="77"/>
  <c r="V14" i="77" s="1"/>
  <c r="V15" i="77" s="1"/>
  <c r="L14" i="77"/>
  <c r="L15" i="77" s="1"/>
  <c r="T14" i="76"/>
  <c r="T15" i="76" s="1"/>
  <c r="L14" i="76"/>
  <c r="L14" i="72"/>
  <c r="N14" i="72" s="1"/>
  <c r="N15" i="72" s="1"/>
  <c r="T14" i="72"/>
  <c r="X14" i="72" s="1"/>
  <c r="X15" i="72" s="1"/>
  <c r="T14" i="71"/>
  <c r="Y14" i="71" s="1"/>
  <c r="Y15" i="71" s="1"/>
  <c r="L14" i="71"/>
  <c r="L15" i="71" s="1"/>
  <c r="T14" i="69"/>
  <c r="AA14" i="69" s="1"/>
  <c r="L14" i="69"/>
  <c r="N14" i="69" s="1"/>
  <c r="N15" i="69" s="1"/>
  <c r="L14" i="73"/>
  <c r="T14" i="73"/>
  <c r="AA14" i="73" s="1"/>
  <c r="Q14" i="77"/>
  <c r="Q15" i="77" s="1"/>
  <c r="O14" i="77"/>
  <c r="O15" i="77" s="1"/>
  <c r="P14" i="74"/>
  <c r="P15" i="74" s="1"/>
  <c r="L14" i="70"/>
  <c r="N14" i="70" s="1"/>
  <c r="N15" i="70" s="1"/>
  <c r="T14" i="70"/>
  <c r="AA14" i="70" s="1"/>
  <c r="N14" i="73"/>
  <c r="M14" i="76"/>
  <c r="M15" i="76" s="1"/>
  <c r="Q14" i="76"/>
  <c r="Q15" i="76" s="1"/>
  <c r="M14" i="73"/>
  <c r="M15" i="73" s="1"/>
  <c r="R14" i="73"/>
  <c r="R2" i="73" s="1"/>
  <c r="F13" i="68"/>
  <c r="N14" i="77"/>
  <c r="S14" i="77"/>
  <c r="E13" i="68"/>
  <c r="S14" i="73"/>
  <c r="C13" i="68"/>
  <c r="J13" i="68" s="1"/>
  <c r="I13" i="68"/>
  <c r="G13" i="68"/>
  <c r="O14" i="73"/>
  <c r="O15" i="73" s="1"/>
  <c r="H13" i="68"/>
  <c r="P14" i="73"/>
  <c r="P2" i="73" s="1"/>
  <c r="R14" i="76"/>
  <c r="R15" i="76" s="1"/>
  <c r="S14" i="69"/>
  <c r="R14" i="69"/>
  <c r="R2" i="69" s="1"/>
  <c r="L15" i="73"/>
  <c r="Q14" i="69"/>
  <c r="M14" i="69"/>
  <c r="M14" i="77"/>
  <c r="P14" i="76"/>
  <c r="P15" i="76" s="1"/>
  <c r="N14" i="76"/>
  <c r="O14" i="76"/>
  <c r="P14" i="69"/>
  <c r="P2" i="69" s="1"/>
  <c r="S14" i="76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N11" i="68" a="1"/>
  <c r="N12" i="68" a="1"/>
  <c r="W12" i="68" a="1"/>
  <c r="L9" i="68" a="1"/>
  <c r="S8" i="68" a="1"/>
  <c r="M4" i="68" a="1"/>
  <c r="K6" i="68" a="1"/>
  <c r="O11" i="68" a="1"/>
  <c r="W7" i="68" a="1"/>
  <c r="S12" i="68" a="1"/>
  <c r="N10" i="68" a="1"/>
  <c r="P4" i="68" a="1"/>
  <c r="S6" i="68" a="1"/>
  <c r="S9" i="68" a="1"/>
  <c r="O8" i="68" a="1"/>
  <c r="N8" i="68" a="1"/>
  <c r="Q4" i="68" a="1"/>
  <c r="M5" i="68" a="1"/>
  <c r="M10" i="68" a="1"/>
  <c r="M9" i="68" a="1"/>
  <c r="S10" i="68" a="1"/>
  <c r="K12" i="68" a="1"/>
  <c r="K4" i="68" a="1"/>
  <c r="N9" i="68" a="1"/>
  <c r="S4" i="68" a="1"/>
  <c r="T11" i="68" a="1"/>
  <c r="P8" i="68" a="1"/>
  <c r="L10" i="68" a="1"/>
  <c r="M8" i="68" a="1"/>
  <c r="S5" i="68" a="1"/>
  <c r="L8" i="68" a="1"/>
  <c r="M7" i="68" a="1"/>
  <c r="O10" i="68" a="1"/>
  <c r="L4" i="68" a="1"/>
  <c r="K7" i="68" a="1"/>
  <c r="S11" i="68" a="1"/>
  <c r="K10" i="68" a="1"/>
  <c r="U9" i="68" a="1"/>
  <c r="Q8" i="68" a="1"/>
  <c r="K8" i="68" a="1"/>
  <c r="O4" i="68" a="1"/>
  <c r="X6" i="68" a="1"/>
  <c r="P9" i="68" a="1"/>
  <c r="Q10" i="68" a="1"/>
  <c r="S7" i="68" a="1"/>
  <c r="K9" i="68" a="1"/>
  <c r="K11" i="68" a="1"/>
  <c r="K5" i="68" a="1"/>
  <c r="W14" i="77" l="1"/>
  <c r="AA14" i="77"/>
  <c r="N14" i="75"/>
  <c r="K12" i="68"/>
  <c r="P14" i="75"/>
  <c r="R14" i="75"/>
  <c r="S14" i="75"/>
  <c r="M14" i="75"/>
  <c r="Q14" i="75"/>
  <c r="L15" i="75"/>
  <c r="S12" i="68"/>
  <c r="Y14" i="75"/>
  <c r="Y15" i="75" s="1"/>
  <c r="W14" i="75"/>
  <c r="Z14" i="75"/>
  <c r="Z15" i="75" s="1"/>
  <c r="AA14" i="75"/>
  <c r="T15" i="75"/>
  <c r="U14" i="75"/>
  <c r="V14" i="75"/>
  <c r="N14" i="74"/>
  <c r="Q14" i="74"/>
  <c r="R14" i="74"/>
  <c r="L15" i="74"/>
  <c r="S14" i="74"/>
  <c r="K11" i="68"/>
  <c r="W14" i="72"/>
  <c r="W15" i="72" s="1"/>
  <c r="Y14" i="72"/>
  <c r="T15" i="72"/>
  <c r="AA14" i="72"/>
  <c r="M14" i="74"/>
  <c r="S11" i="68"/>
  <c r="AA14" i="74"/>
  <c r="X14" i="74"/>
  <c r="X15" i="74" s="1"/>
  <c r="W14" i="74"/>
  <c r="W15" i="74" s="1"/>
  <c r="T15" i="77"/>
  <c r="U14" i="77"/>
  <c r="Y14" i="77"/>
  <c r="Y14" i="74"/>
  <c r="Y15" i="74" s="1"/>
  <c r="X14" i="77"/>
  <c r="V14" i="74"/>
  <c r="V15" i="74" s="1"/>
  <c r="T15" i="74"/>
  <c r="Z14" i="74"/>
  <c r="Z15" i="74" s="1"/>
  <c r="R14" i="77"/>
  <c r="S9" i="68"/>
  <c r="Z14" i="77"/>
  <c r="K9" i="68"/>
  <c r="V14" i="76"/>
  <c r="V15" i="76" s="1"/>
  <c r="P14" i="77"/>
  <c r="U14" i="72"/>
  <c r="V14" i="72"/>
  <c r="Y14" i="76"/>
  <c r="Y15" i="76" s="1"/>
  <c r="W14" i="76"/>
  <c r="U14" i="76"/>
  <c r="AA14" i="76"/>
  <c r="X14" i="76"/>
  <c r="X15" i="76" s="1"/>
  <c r="S8" i="68"/>
  <c r="Z14" i="76"/>
  <c r="K8" i="68"/>
  <c r="L15" i="76"/>
  <c r="L15" i="72"/>
  <c r="M14" i="72"/>
  <c r="S14" i="72"/>
  <c r="P14" i="72"/>
  <c r="O14" i="72"/>
  <c r="Q14" i="72"/>
  <c r="K7" i="68"/>
  <c r="R14" i="72"/>
  <c r="S7" i="68"/>
  <c r="Z14" i="72"/>
  <c r="Q14" i="71"/>
  <c r="Z14" i="71"/>
  <c r="R14" i="71"/>
  <c r="R2" i="71" s="1"/>
  <c r="W14" i="71"/>
  <c r="U14" i="71"/>
  <c r="U15" i="71" s="1"/>
  <c r="S14" i="71"/>
  <c r="X14" i="71"/>
  <c r="X15" i="71" s="1"/>
  <c r="V14" i="71"/>
  <c r="V15" i="71" s="1"/>
  <c r="T15" i="71"/>
  <c r="M14" i="71"/>
  <c r="P14" i="71"/>
  <c r="P15" i="71" s="1"/>
  <c r="O14" i="71"/>
  <c r="O15" i="71" s="1"/>
  <c r="K6" i="68"/>
  <c r="S6" i="68"/>
  <c r="N14" i="71"/>
  <c r="AA14" i="71"/>
  <c r="U14" i="69"/>
  <c r="T15" i="69"/>
  <c r="W14" i="69"/>
  <c r="W15" i="69" s="1"/>
  <c r="Z14" i="69"/>
  <c r="Z15" i="69" s="1"/>
  <c r="V14" i="69"/>
  <c r="V15" i="69" s="1"/>
  <c r="X14" i="69"/>
  <c r="O14" i="69"/>
  <c r="S4" i="68"/>
  <c r="Y14" i="69"/>
  <c r="K4" i="68"/>
  <c r="L15" i="69"/>
  <c r="W14" i="73"/>
  <c r="U14" i="73"/>
  <c r="X14" i="73"/>
  <c r="T15" i="73"/>
  <c r="Z14" i="73"/>
  <c r="V14" i="73"/>
  <c r="K10" i="68"/>
  <c r="Q14" i="73"/>
  <c r="T15" i="70"/>
  <c r="S10" i="68"/>
  <c r="Y14" i="73"/>
  <c r="N11" i="68"/>
  <c r="P2" i="74"/>
  <c r="X14" i="70"/>
  <c r="N9" i="68"/>
  <c r="P9" i="68"/>
  <c r="L15" i="70"/>
  <c r="M14" i="70"/>
  <c r="M15" i="70" s="1"/>
  <c r="O14" i="70"/>
  <c r="Z14" i="70"/>
  <c r="Z15" i="70" s="1"/>
  <c r="S14" i="70"/>
  <c r="R15" i="77"/>
  <c r="O11" i="68"/>
  <c r="Q14" i="70"/>
  <c r="Q15" i="70" s="1"/>
  <c r="P14" i="70"/>
  <c r="U14" i="70"/>
  <c r="V14" i="70"/>
  <c r="W14" i="70"/>
  <c r="W15" i="70" s="1"/>
  <c r="S5" i="68"/>
  <c r="K5" i="68"/>
  <c r="Y14" i="70"/>
  <c r="R14" i="70"/>
  <c r="R15" i="74"/>
  <c r="P2" i="75"/>
  <c r="Q15" i="74"/>
  <c r="M10" i="68"/>
  <c r="R15" i="75"/>
  <c r="N15" i="73"/>
  <c r="W7" i="68"/>
  <c r="P15" i="73"/>
  <c r="P2" i="76"/>
  <c r="U9" i="68"/>
  <c r="X6" i="68"/>
  <c r="W12" i="68"/>
  <c r="M5" i="68"/>
  <c r="P8" i="68"/>
  <c r="L8" i="68"/>
  <c r="M7" i="68"/>
  <c r="R2" i="76"/>
  <c r="N10" i="68"/>
  <c r="M4" i="68"/>
  <c r="M9" i="68"/>
  <c r="N12" i="68"/>
  <c r="O10" i="68"/>
  <c r="Q10" i="68"/>
  <c r="L10" i="68"/>
  <c r="P15" i="72"/>
  <c r="O15" i="75"/>
  <c r="R15" i="73"/>
  <c r="N15" i="77"/>
  <c r="P4" i="68"/>
  <c r="O4" i="68"/>
  <c r="Q8" i="68"/>
  <c r="T11" i="68"/>
  <c r="M8" i="68"/>
  <c r="N8" i="68"/>
  <c r="L9" i="68"/>
  <c r="Q4" i="68"/>
  <c r="L4" i="68"/>
  <c r="O8" i="68"/>
  <c r="P15" i="69"/>
  <c r="Q15" i="69"/>
  <c r="U15" i="74"/>
  <c r="N15" i="76"/>
  <c r="M15" i="77"/>
  <c r="O15" i="76"/>
  <c r="R15" i="69"/>
  <c r="M15" i="69"/>
  <c r="T14" i="63"/>
  <c r="G14" i="26"/>
  <c r="E14" i="26"/>
  <c r="D14" i="26"/>
  <c r="K14" i="26"/>
  <c r="P14" i="25"/>
  <c r="N14" i="25"/>
  <c r="M14" i="25"/>
  <c r="T14" i="25"/>
  <c r="D14" i="25"/>
  <c r="P10" i="68" a="1"/>
  <c r="V11" i="68" a="1"/>
  <c r="P11" i="68" a="1"/>
  <c r="H4" i="23" a="1"/>
  <c r="Q5" i="68" a="1"/>
  <c r="U7" i="68" a="1"/>
  <c r="Y9" i="68" a="1"/>
  <c r="Q6" i="68" a="1"/>
  <c r="O7" i="68" a="1"/>
  <c r="X7" i="68" a="1"/>
  <c r="L12" i="68" a="1"/>
  <c r="X10" i="68" a="1"/>
  <c r="N6" i="68" a="1"/>
  <c r="T9" i="68" a="1"/>
  <c r="N7" i="68" a="1"/>
  <c r="Y4" i="68" a="1"/>
  <c r="Q11" i="68" a="1"/>
  <c r="Y10" i="68" a="1"/>
  <c r="V9" i="68" a="1"/>
  <c r="Q9" i="68" a="1"/>
  <c r="W5" i="68" a="1"/>
  <c r="L6" i="68" a="1"/>
  <c r="S3" i="68" a="1"/>
  <c r="T6" i="68" a="1"/>
  <c r="V12" i="68" a="1"/>
  <c r="T12" i="68" a="1"/>
  <c r="W10" i="68" a="1"/>
  <c r="U8" i="68" a="1"/>
  <c r="O9" i="68" a="1"/>
  <c r="U4" i="68" a="1"/>
  <c r="X11" i="68" a="1"/>
  <c r="O5" i="68" a="1"/>
  <c r="M6" i="68" a="1"/>
  <c r="T8" i="68" a="1"/>
  <c r="M12" i="68" a="1"/>
  <c r="I4" i="23" a="1"/>
  <c r="X9" i="68" a="1"/>
  <c r="L11" i="68" a="1"/>
  <c r="X8" i="68" a="1"/>
  <c r="Y8" i="68" a="1"/>
  <c r="P7" i="68" a="1"/>
  <c r="W4" i="68" a="1"/>
  <c r="Y6" i="68" a="1"/>
  <c r="L7" i="68" a="1"/>
  <c r="U12" i="68" a="1"/>
  <c r="P12" i="68" a="1"/>
  <c r="W11" i="68" a="1"/>
  <c r="V10" i="68" a="1"/>
  <c r="W9" i="68" a="1"/>
  <c r="V8" i="68" a="1"/>
  <c r="W8" i="68" a="1"/>
  <c r="T10" i="68" a="1"/>
  <c r="Q7" i="68" a="1"/>
  <c r="V7" i="68" a="1"/>
  <c r="V6" i="68" a="1"/>
  <c r="U6" i="68" a="1"/>
  <c r="P6" i="68" a="1"/>
  <c r="T5" i="68" a="1"/>
  <c r="U10" i="68" a="1"/>
  <c r="T7" i="68" a="1"/>
  <c r="Y7" i="68" a="1"/>
  <c r="U5" i="68" a="1"/>
  <c r="X4" i="68" a="1"/>
  <c r="V4" i="68" a="1"/>
  <c r="N4" i="68" a="1"/>
  <c r="O6" i="68" a="1"/>
  <c r="X5" i="68" a="1"/>
  <c r="T4" i="68" a="1"/>
  <c r="X12" i="68" a="1"/>
  <c r="L5" i="68" a="1"/>
  <c r="M11" i="68" a="1"/>
  <c r="Y11" i="68" a="1"/>
  <c r="U11" i="68" a="1"/>
  <c r="Q12" i="68" a="1"/>
  <c r="W6" i="68" a="1"/>
  <c r="N5" i="68" a="1"/>
  <c r="P5" i="68" a="1"/>
  <c r="O12" i="68" a="1"/>
  <c r="Y5" i="68" a="1"/>
  <c r="Y12" i="68" a="1"/>
  <c r="V5" i="68" a="1"/>
  <c r="V9" i="68" l="1"/>
  <c r="W15" i="77"/>
  <c r="M12" i="68"/>
  <c r="N15" i="75"/>
  <c r="P12" i="68"/>
  <c r="L12" i="68"/>
  <c r="Q12" i="68"/>
  <c r="O12" i="68"/>
  <c r="Q15" i="75"/>
  <c r="M15" i="75"/>
  <c r="R2" i="75"/>
  <c r="P15" i="75"/>
  <c r="U12" i="68"/>
  <c r="T12" i="68"/>
  <c r="Y12" i="68"/>
  <c r="V12" i="68"/>
  <c r="X12" i="68"/>
  <c r="V15" i="75"/>
  <c r="U15" i="75"/>
  <c r="W15" i="75"/>
  <c r="Q11" i="68"/>
  <c r="P11" i="68"/>
  <c r="M11" i="68"/>
  <c r="R2" i="74"/>
  <c r="N15" i="74"/>
  <c r="L11" i="68"/>
  <c r="X7" i="68"/>
  <c r="V7" i="68"/>
  <c r="M15" i="74"/>
  <c r="Y15" i="72"/>
  <c r="U11" i="68"/>
  <c r="W9" i="68"/>
  <c r="Y11" i="68"/>
  <c r="X11" i="68"/>
  <c r="X9" i="68"/>
  <c r="T9" i="68"/>
  <c r="V11" i="68"/>
  <c r="W11" i="68"/>
  <c r="X15" i="77"/>
  <c r="Y15" i="77"/>
  <c r="U15" i="77"/>
  <c r="Q9" i="68"/>
  <c r="R2" i="77"/>
  <c r="Y9" i="68"/>
  <c r="Z15" i="77"/>
  <c r="O9" i="68"/>
  <c r="U8" i="68"/>
  <c r="P2" i="77"/>
  <c r="P15" i="77"/>
  <c r="U7" i="68"/>
  <c r="T7" i="68"/>
  <c r="V15" i="72"/>
  <c r="U15" i="72"/>
  <c r="W8" i="68"/>
  <c r="T8" i="68"/>
  <c r="V8" i="68"/>
  <c r="X8" i="68"/>
  <c r="U15" i="76"/>
  <c r="W15" i="76"/>
  <c r="Y8" i="68"/>
  <c r="Z15" i="76"/>
  <c r="P7" i="68"/>
  <c r="N7" i="68"/>
  <c r="O7" i="68"/>
  <c r="L7" i="68"/>
  <c r="Q15" i="72"/>
  <c r="O15" i="72"/>
  <c r="P2" i="72"/>
  <c r="M15" i="72"/>
  <c r="Q7" i="68"/>
  <c r="R2" i="72"/>
  <c r="R15" i="72"/>
  <c r="Y7" i="68"/>
  <c r="Z15" i="72"/>
  <c r="Y6" i="68"/>
  <c r="V6" i="68"/>
  <c r="P6" i="68"/>
  <c r="Q6" i="68"/>
  <c r="U6" i="68"/>
  <c r="W6" i="68"/>
  <c r="T6" i="68"/>
  <c r="Q15" i="71"/>
  <c r="R15" i="71"/>
  <c r="Z15" i="71"/>
  <c r="W15" i="71"/>
  <c r="N6" i="68"/>
  <c r="O6" i="68"/>
  <c r="L6" i="68"/>
  <c r="P2" i="71"/>
  <c r="M15" i="71"/>
  <c r="M6" i="68"/>
  <c r="N15" i="71"/>
  <c r="Y4" i="68"/>
  <c r="V4" i="68"/>
  <c r="W4" i="68"/>
  <c r="U4" i="68"/>
  <c r="T4" i="68"/>
  <c r="X15" i="69"/>
  <c r="U15" i="69"/>
  <c r="N4" i="68"/>
  <c r="O15" i="69"/>
  <c r="X4" i="68"/>
  <c r="Y15" i="69"/>
  <c r="Y10" i="68"/>
  <c r="W10" i="68"/>
  <c r="T10" i="68"/>
  <c r="V10" i="68"/>
  <c r="X15" i="73"/>
  <c r="U15" i="73"/>
  <c r="Z15" i="73"/>
  <c r="W15" i="73"/>
  <c r="U10" i="68"/>
  <c r="V15" i="73"/>
  <c r="P10" i="68"/>
  <c r="Q15" i="73"/>
  <c r="X10" i="68"/>
  <c r="Y15" i="73"/>
  <c r="W5" i="68"/>
  <c r="X15" i="70"/>
  <c r="N5" i="68"/>
  <c r="L5" i="68"/>
  <c r="O15" i="70"/>
  <c r="Y5" i="68"/>
  <c r="T5" i="68"/>
  <c r="O5" i="68"/>
  <c r="P5" i="68"/>
  <c r="U15" i="70"/>
  <c r="P15" i="70"/>
  <c r="P2" i="70"/>
  <c r="V5" i="68"/>
  <c r="U5" i="68"/>
  <c r="V15" i="70"/>
  <c r="Q5" i="68"/>
  <c r="X5" i="68"/>
  <c r="R2" i="70"/>
  <c r="R15" i="70"/>
  <c r="Y15" i="70"/>
  <c r="S3" i="68"/>
  <c r="S13" i="68" s="1"/>
  <c r="E18" i="68" s="1"/>
  <c r="V14" i="63"/>
  <c r="D14" i="63"/>
  <c r="K14" i="63" s="1"/>
  <c r="L14" i="63"/>
  <c r="U14" i="63"/>
  <c r="W14" i="63"/>
  <c r="Z14" i="63"/>
  <c r="X14" i="63"/>
  <c r="AA14" i="63"/>
  <c r="Y14" i="63"/>
  <c r="H4" i="23"/>
  <c r="I4" i="23"/>
  <c r="F8" i="23" a="1"/>
  <c r="F4" i="23" a="1"/>
  <c r="D12" i="23" a="1"/>
  <c r="F11" i="23" a="1"/>
  <c r="D5" i="23" a="1"/>
  <c r="D11" i="23" a="1"/>
  <c r="G9" i="23" a="1"/>
  <c r="G11" i="23" a="1"/>
  <c r="G8" i="23" a="1"/>
  <c r="D9" i="23" a="1"/>
  <c r="G12" i="23" a="1"/>
  <c r="D10" i="23" a="1"/>
  <c r="F10" i="23" a="1"/>
  <c r="E4" i="23" a="1"/>
  <c r="D4" i="23" a="1"/>
  <c r="U3" i="68" a="1"/>
  <c r="K3" i="68" a="1"/>
  <c r="D8" i="23" a="1"/>
  <c r="F12" i="23" a="1"/>
  <c r="E11" i="23" a="1"/>
  <c r="E10" i="23" a="1"/>
  <c r="F7" i="23" a="1"/>
  <c r="Y3" i="68" a="1"/>
  <c r="W3" i="68" a="1"/>
  <c r="X3" i="68" a="1"/>
  <c r="G6" i="23" a="1"/>
  <c r="G7" i="23" a="1"/>
  <c r="E9" i="23" a="1"/>
  <c r="T3" i="68" a="1"/>
  <c r="G4" i="23" a="1"/>
  <c r="F6" i="23" a="1"/>
  <c r="D7" i="23" a="1"/>
  <c r="F13" i="23" a="1"/>
  <c r="E5" i="23" a="1"/>
  <c r="E7" i="23" a="1"/>
  <c r="E8" i="23" a="1"/>
  <c r="D6" i="23" a="1"/>
  <c r="E13" i="23" a="1"/>
  <c r="G13" i="23" a="1"/>
  <c r="D13" i="23" a="1"/>
  <c r="F5" i="23" a="1"/>
  <c r="E12" i="23" a="1"/>
  <c r="G10" i="23" a="1"/>
  <c r="F9" i="23" a="1"/>
  <c r="E6" i="23" a="1"/>
  <c r="V3" i="68" a="1"/>
  <c r="G5" i="23" a="1"/>
  <c r="S14" i="68" l="1"/>
  <c r="T3" i="68"/>
  <c r="T13" i="68" s="1"/>
  <c r="X3" i="68"/>
  <c r="X13" i="68" s="1"/>
  <c r="V3" i="68"/>
  <c r="V13" i="68" s="1"/>
  <c r="K3" i="68"/>
  <c r="K13" i="68" s="1"/>
  <c r="D18" i="68" s="1"/>
  <c r="W3" i="68"/>
  <c r="W13" i="68" s="1"/>
  <c r="U3" i="68"/>
  <c r="U13" i="68" s="1"/>
  <c r="Y3" i="68"/>
  <c r="Y13" i="68" s="1"/>
  <c r="N14" i="63"/>
  <c r="Z13" i="68"/>
  <c r="M14" i="63"/>
  <c r="Q14" i="63"/>
  <c r="R14" i="63"/>
  <c r="P14" i="63"/>
  <c r="S14" i="63"/>
  <c r="O14" i="63"/>
  <c r="F14" i="63"/>
  <c r="J14" i="63"/>
  <c r="G14" i="63"/>
  <c r="H14" i="63"/>
  <c r="E14" i="63"/>
  <c r="I14" i="63"/>
  <c r="T15" i="63"/>
  <c r="L15" i="63"/>
  <c r="V15" i="63"/>
  <c r="X15" i="63"/>
  <c r="W15" i="63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D3" i="68" a="1"/>
  <c r="M3" i="68" a="1"/>
  <c r="O3" i="68" a="1"/>
  <c r="P3" i="68" a="1"/>
  <c r="Q3" i="68" a="1"/>
  <c r="N3" i="68" a="1"/>
  <c r="L3" i="68" a="1"/>
  <c r="D3" i="68" l="1"/>
  <c r="D13" i="68" s="1"/>
  <c r="T14" i="68" s="1"/>
  <c r="X14" i="68"/>
  <c r="E21" i="68"/>
  <c r="Y14" i="68"/>
  <c r="E23" i="68"/>
  <c r="W14" i="68"/>
  <c r="E22" i="68"/>
  <c r="V14" i="68"/>
  <c r="E20" i="68"/>
  <c r="U14" i="68"/>
  <c r="E19" i="68"/>
  <c r="N3" i="68"/>
  <c r="N13" i="68" s="1"/>
  <c r="Q3" i="68"/>
  <c r="Q13" i="68" s="1"/>
  <c r="P3" i="68"/>
  <c r="P13" i="68" s="1"/>
  <c r="O3" i="68"/>
  <c r="O13" i="68" s="1"/>
  <c r="L3" i="68"/>
  <c r="L13" i="68" s="1"/>
  <c r="M3" i="68"/>
  <c r="M13" i="68" s="1"/>
  <c r="O15" i="63"/>
  <c r="R2" i="63"/>
  <c r="R13" i="68"/>
  <c r="K14" i="68"/>
  <c r="P2" i="63"/>
  <c r="N15" i="63"/>
  <c r="Q15" i="63"/>
  <c r="M15" i="63"/>
  <c r="P15" i="63"/>
  <c r="U15" i="63"/>
  <c r="R15" i="63"/>
  <c r="Z15" i="63"/>
  <c r="Y15" i="63"/>
  <c r="L14" i="68" l="1"/>
  <c r="Q14" i="68"/>
  <c r="D23" i="68"/>
  <c r="N14" i="68"/>
  <c r="D20" i="68"/>
  <c r="M14" i="68"/>
  <c r="D19" i="68"/>
  <c r="O14" i="68"/>
  <c r="D22" i="68"/>
  <c r="P14" i="68"/>
  <c r="D21" i="6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<sst xmlns="http://schemas.openxmlformats.org/spreadsheetml/2006/main" count="662" uniqueCount="27">
  <si>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</si>
  <si>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</si>
  <si>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</si>
  <si>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</si>
  <si>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</si>
  <si>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</si>
  <si>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</si>
  <si>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</si>
  <si>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</si>
  <si>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</si>
  <si>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</si>
  <si>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</si>
  <si>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</si>
  <si>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</si>
  <si>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</si>
  <si>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</si>
  <si>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</si>
  <si>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</si>
  <si>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</si>
  <si>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-50%</t>
  </si>
  <si>
    <t>+50%</t>
  </si>
  <si>
    <t>Changes in total cost</t>
  </si>
  <si>
    <t>Changes in # of batches</t>
  </si>
  <si>
    <t>Acceptance rate</t>
  </si>
  <si>
    <t>Average batch utilization</t>
  </si>
  <si>
    <t>Average tardiness</t>
  </si>
  <si>
    <t>average completion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</si>
</sst>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49" fontId="5" fillId="0" borderId="0" xfId="0" applyNumberFormat="1" applyFont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CB7B-A94E-4263-BFCA-D4E84F62D125}">
  <dimension ref="B1:Z23"/>
  <sheetViews>
    <sheetView tabSelected="1" zoomScale="85" zoomScaleNormal="85" workbookViewId="0">
      <selection activeCell="E18" sqref="E18:E23"/>
    </sheetView>
  </sheetViews>
  <sheetFormatPr baseColWidth="10" defaultColWidth="11.5" defaultRowHeight="16" x14ac:dyDescent="0.2"/>
  <cols>
    <col min="1" max="1" width="3.5" customWidth="1"/>
    <col min="2" max="2" width="11.5" style="1"/>
    <col min="3" max="3" width="21.1640625" bestFit="1" customWidth="1"/>
    <col min="4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6640625" bestFit="1" customWidth="1"/>
    <col min="9" max="9" width="18" bestFit="1" customWidth="1"/>
    <col min="11" max="11" width="8" bestFit="1" customWidth="1"/>
    <col min="12" max="12" width="9.1640625" bestFit="1" customWidth="1"/>
    <col min="13" max="13" width="8.6640625" bestFit="1" customWidth="1"/>
    <col min="14" max="14" width="17.6640625" bestFit="1" customWidth="1"/>
    <col min="15" max="15" width="12.1640625" bestFit="1" customWidth="1"/>
    <col min="16" max="16" width="23.66406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6640625" bestFit="1" customWidth="1"/>
    <col min="22" max="22" width="17.6640625" bestFit="1" customWidth="1"/>
    <col min="23" max="23" width="12.1640625" bestFit="1" customWidth="1"/>
    <col min="24" max="24" width="23.66406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47">
        <v>0</v>
      </c>
      <c r="K1" s="48">
        <v>-0.5</v>
      </c>
      <c r="S1" s="48">
        <v>0.5</v>
      </c>
    </row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45</v>
      </c>
      <c r="C3" s="5" cm="1">
        <f t="array" aca="1" ref="C3" ca="1">INDIRECT("'results" &amp; $B3 &amp; "'!D$14")</f>
        <v>1109491.730596958</v>
      </c>
      <c r="D3" s="33" cm="1">
        <f t="array" aca="1" ref="D3" ca="1">INDIRECT("'results" &amp; $B3 &amp; "'!E$14")</f>
        <v>175.83051161536085</v>
      </c>
      <c r="E3" s="5" cm="1">
        <f t="array" aca="1" ref="E3" ca="1">INDIRECT("'results" &amp; $B3 &amp; "'!F$14")</f>
        <v>11</v>
      </c>
      <c r="F3" s="5" cm="1">
        <f t="array" aca="1" ref="F3" ca="1">INDIRECT("'results" &amp; $B3 &amp; "'!G$14")</f>
        <v>96</v>
      </c>
      <c r="G3" s="5" cm="1">
        <f t="array" aca="1" ref="G3" ca="1">INDIRECT("'results" &amp; $B3 &amp; "'!H$14")</f>
        <v>419.06882453373214</v>
      </c>
      <c r="H3" s="33" cm="1">
        <f t="array" aca="1" ref="H3" ca="1">INDIRECT("'results" &amp; $B3 &amp; "'!I$14")</f>
        <v>49.007721434937274</v>
      </c>
      <c r="I3" s="5" cm="1">
        <f t="array" aca="1" ref="I3" ca="1">INDIRECT("'results" &amp; $B3 &amp; "'!J$14")</f>
        <v>5556.5358758104085</v>
      </c>
      <c r="J3" s="5"/>
      <c r="K3" s="5" cm="1">
        <f t="array" aca="1" ref="K3" ca="1">INDIRECT("'results" &amp; $B3 &amp; "'!L$14")</f>
        <v>1663293.5488086969</v>
      </c>
      <c r="L3" s="5" cm="1">
        <f t="array" aca="1" ref="L3" ca="1">INDIRECT("'results" &amp; $B3 &amp; "'!M$14")</f>
        <v>265.4323678461011</v>
      </c>
      <c r="M3" s="5" cm="1">
        <f t="array" aca="1" ref="M3" ca="1">INDIRECT("'results" &amp; $B3 &amp; "'!N$14")</f>
        <v>10</v>
      </c>
      <c r="N3" s="5" cm="1">
        <f t="array" aca="1" ref="N3" ca="1">INDIRECT("'results" &amp; $B3 &amp; "'!O$14")</f>
        <v>61.333333333333343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28.455105249463333</v>
      </c>
      <c r="Q3" s="5" cm="1">
        <f t="array" aca="1" ref="Q3" ca="1">INDIRECT("'results" &amp; $B3 &amp; "'!R$14")</f>
        <v>3820.8328316136499</v>
      </c>
      <c r="R3" s="5"/>
      <c r="S3" s="5" cm="1">
        <f t="array" aca="1" ref="S3" ca="1">INDIRECT("'results" &amp; $B3 &amp; "'!T$14")</f>
        <v>1064691.1836555221</v>
      </c>
      <c r="T3" s="5" cm="1">
        <f t="array" aca="1" ref="T3" ca="1">INDIRECT("'results" &amp; $B3 &amp; "'!U$14")</f>
        <v>177.93008961535699</v>
      </c>
      <c r="U3" s="5" cm="1">
        <f t="array" aca="1" ref="U3" ca="1">INDIRECT("'results" &amp; $B3 &amp; "'!V$14")</f>
        <v>13</v>
      </c>
      <c r="V3" s="5" cm="1">
        <f t="array" aca="1" ref="V3" ca="1">INDIRECT("'results" &amp; $B3 &amp; "'!W$14")</f>
        <v>100</v>
      </c>
      <c r="W3" s="5" cm="1">
        <f t="array" aca="1" ref="W3" ca="1">INDIRECT("'results" &amp; $B3 &amp; "'!X$14")</f>
        <v>474.12079170161536</v>
      </c>
      <c r="X3" s="5" cm="1">
        <f t="array" aca="1" ref="X3" ca="1">INDIRECT("'results" &amp; $B3 &amp; "'!Y$14")</f>
        <v>43.524373507443457</v>
      </c>
      <c r="Y3" s="5" cm="1">
        <f t="array" aca="1" ref="Y3" ca="1">INDIRECT("'results" &amp; $B3 &amp; "'!Z$14")</f>
        <v>5511.7596937638509</v>
      </c>
      <c r="Z3" s="5"/>
    </row>
    <row r="4" spans="2:26" x14ac:dyDescent="0.2">
      <c r="B4" s="4">
        <v>229</v>
      </c>
      <c r="C4" s="5" cm="1">
        <f t="array" aca="1" ref="C4" ca="1">INDIRECT("'results" &amp; $B4 &amp; "'!D$14")</f>
        <v>968127.96556841256</v>
      </c>
      <c r="D4" s="33" cm="1">
        <f t="array" aca="1" ref="D4" ca="1">INDIRECT("'results" &amp; $B4 &amp; "'!E$14")</f>
        <v>110.66876407685831</v>
      </c>
      <c r="E4" s="5" cm="1">
        <f t="array" aca="1" ref="E4" ca="1">INDIRECT("'results" &amp; $B4 &amp; "'!F$14")</f>
        <v>11</v>
      </c>
      <c r="F4" s="5" cm="1">
        <f t="array" aca="1" ref="F4" ca="1">INDIRECT("'results" &amp; $B4 &amp; "'!G$14")</f>
        <v>96</v>
      </c>
      <c r="G4" s="5" cm="1">
        <f t="array" aca="1" ref="G4" ca="1">INDIRECT("'results" &amp; $B4 &amp; "'!H$14")</f>
        <v>148.27568864938823</v>
      </c>
      <c r="H4" s="33" cm="1">
        <f t="array" aca="1" ref="H4" ca="1">INDIRECT("'results" &amp; $B4 &amp; "'!I$14")</f>
        <v>41.044499047729481</v>
      </c>
      <c r="I4" s="5" cm="1">
        <f t="array" aca="1" ref="I4" ca="1">INDIRECT("'results" &amp; $B4 &amp; "'!J$14")</f>
        <v>4730.6926525659665</v>
      </c>
      <c r="J4" s="5"/>
      <c r="K4" s="5" cm="1">
        <f t="array" aca="1" ref="K4" ca="1">INDIRECT("'results" &amp; $B4 &amp; "'!L$14")</f>
        <v>1617424.802002168</v>
      </c>
      <c r="L4" s="5" cm="1">
        <f t="array" aca="1" ref="L4" ca="1">INDIRECT("'results" &amp; $B4 &amp; "'!M$14")</f>
        <v>253.98094530763606</v>
      </c>
      <c r="M4" s="5" cm="1">
        <f t="array" aca="1" ref="M4" ca="1">INDIRECT("'results" &amp; $B4 &amp; "'!N$14")</f>
        <v>10</v>
      </c>
      <c r="N4" s="5" cm="1">
        <f t="array" aca="1" ref="N4" ca="1">INDIRECT("'results" &amp; $B4 &amp; "'!O$14")</f>
        <v>62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23.160036944472957</v>
      </c>
      <c r="Q4" s="5" cm="1">
        <f t="array" aca="1" ref="Q4" ca="1">INDIRECT("'results" &amp; $B4 &amp; "'!R$14")</f>
        <v>3444.5373225067488</v>
      </c>
      <c r="R4" s="5"/>
      <c r="S4" s="5" cm="1">
        <f t="array" aca="1" ref="S4" ca="1">INDIRECT("'results" &amp; $B4 &amp; "'!T$14")</f>
        <v>903318.01995560667</v>
      </c>
      <c r="T4" s="5" cm="1">
        <f t="array" aca="1" ref="T4" ca="1">INDIRECT("'results" &amp; $B4 &amp; "'!U$14")</f>
        <v>138.62031399997738</v>
      </c>
      <c r="U4" s="5" cm="1">
        <f t="array" aca="1" ref="U4" ca="1">INDIRECT("'results" &amp; $B4 &amp; "'!V$14")</f>
        <v>12</v>
      </c>
      <c r="V4" s="5" cm="1">
        <f t="array" aca="1" ref="V4" ca="1">INDIRECT("'results" &amp; $B4 &amp; "'!W$14")</f>
        <v>100</v>
      </c>
      <c r="W4" s="5" cm="1">
        <f t="array" aca="1" ref="W4" ca="1">INDIRECT("'results" &amp; $B4 &amp; "'!X$14")</f>
        <v>127.13380584361585</v>
      </c>
      <c r="X4" s="5" cm="1">
        <f t="array" aca="1" ref="X4" ca="1">INDIRECT("'results" &amp; $B4 &amp; "'!Y$14")</f>
        <v>40.056487338090449</v>
      </c>
      <c r="Y4" s="5" cm="1">
        <f t="array" aca="1" ref="Y4" ca="1">INDIRECT("'results" &amp; $B4 &amp; "'!Z$14")</f>
        <v>4786.6881762947623</v>
      </c>
      <c r="Z4" s="5"/>
    </row>
    <row r="5" spans="2:26" x14ac:dyDescent="0.2">
      <c r="B5" s="4">
        <v>268</v>
      </c>
      <c r="C5" s="5" cm="1">
        <f t="array" aca="1" ref="C5" ca="1">INDIRECT("'results" &amp; $B5 &amp; "'!D$14")</f>
        <v>1171722.7209426111</v>
      </c>
      <c r="D5" s="33" cm="1">
        <f t="array" aca="1" ref="D5" ca="1">INDIRECT("'results" &amp; $B5 &amp; "'!E$14")</f>
        <v>274.61161923075383</v>
      </c>
      <c r="E5" s="5" cm="1">
        <f t="array" aca="1" ref="E5" ca="1">INDIRECT("'results" &amp; $B5 &amp; "'!F$14")</f>
        <v>16</v>
      </c>
      <c r="F5" s="5" cm="1">
        <f t="array" aca="1" ref="F5" ca="1">INDIRECT("'results" &amp; $B5 &amp; "'!G$14")</f>
        <v>97.333333333333329</v>
      </c>
      <c r="G5" s="5" cm="1">
        <f t="array" aca="1" ref="G5" ca="1">INDIRECT("'results" &amp; $B5 &amp; "'!H$14")</f>
        <v>552.87315230917284</v>
      </c>
      <c r="H5" s="33" cm="1">
        <f t="array" aca="1" ref="H5" ca="1">INDIRECT("'results" &amp; $B5 &amp; "'!I$14")</f>
        <v>39.68895058554655</v>
      </c>
      <c r="I5" s="5" cm="1">
        <f t="array" aca="1" ref="I5" ca="1">INDIRECT("'results" &amp; $B5 &amp; "'!J$14")</f>
        <v>5498.4921850503042</v>
      </c>
      <c r="J5" s="5"/>
      <c r="K5" s="5" cm="1">
        <f t="array" aca="1" ref="K5" ca="1">INDIRECT("'results" &amp; $B5 &amp; "'!L$14")</f>
        <v>1694663.374621457</v>
      </c>
      <c r="L5" s="5" cm="1">
        <f t="array" aca="1" ref="L5" ca="1">INDIRECT("'results" &amp; $B5 &amp; "'!M$14")</f>
        <v>85.695166153779539</v>
      </c>
      <c r="M5" s="5" cm="1">
        <f t="array" aca="1" ref="M5" ca="1">INDIRECT("'results" &amp; $B5 &amp; "'!N$14")</f>
        <v>10</v>
      </c>
      <c r="N5" s="5" cm="1">
        <f t="array" aca="1" ref="N5" ca="1">INDIRECT("'results" &amp; $B5 &amp; "'!O$14")</f>
        <v>62.666666666666657</v>
      </c>
      <c r="O5" s="5" cm="1">
        <f t="array" aca="1" ref="O5" ca="1">INDIRECT("'results" &amp; $B5 &amp; "'!P$14")</f>
        <v>172.68960074552098</v>
      </c>
      <c r="P5" s="5" cm="1">
        <f t="array" aca="1" ref="P5" ca="1">INDIRECT("'results" &amp; $B5 &amp; "'!Q$14")</f>
        <v>33.969785289549911</v>
      </c>
      <c r="Q5" s="5" cm="1">
        <f t="array" aca="1" ref="Q5" ca="1">INDIRECT("'results" &amp; $B5 &amp; "'!R$14")</f>
        <v>4388.3557709215474</v>
      </c>
      <c r="R5" s="5"/>
      <c r="S5" s="5" cm="1">
        <f t="array" aca="1" ref="S5" ca="1">INDIRECT("'results" &amp; $B5 &amp; "'!T$14")</f>
        <v>1138300.3642712</v>
      </c>
      <c r="T5" s="5" cm="1">
        <f t="array" aca="1" ref="T5" ca="1">INDIRECT("'results" &amp; $B5 &amp; "'!U$14")</f>
        <v>96.437591769231076</v>
      </c>
      <c r="U5" s="5" cm="1">
        <f t="array" aca="1" ref="U5" ca="1">INDIRECT("'results" &amp; $B5 &amp; "'!V$14")</f>
        <v>16</v>
      </c>
      <c r="V5" s="5" cm="1">
        <f t="array" aca="1" ref="V5" ca="1">INDIRECT("'results" &amp; $B5 &amp; "'!W$14")</f>
        <v>100</v>
      </c>
      <c r="W5" s="5" cm="1">
        <f t="array" aca="1" ref="W5" ca="1">INDIRECT("'results" &amp; $B5 &amp; "'!X$14")</f>
        <v>593.51098546139235</v>
      </c>
      <c r="X5" s="5" cm="1">
        <f t="array" aca="1" ref="X5" ca="1">INDIRECT("'results" &amp; $B5 &amp; "'!Y$14")</f>
        <v>41.105936340165478</v>
      </c>
      <c r="Y5" s="5" cm="1">
        <f t="array" aca="1" ref="Y5" ca="1">INDIRECT("'results" &amp; $B5 &amp; "'!Z$14")</f>
        <v>5624.9003793069814</v>
      </c>
      <c r="Z5" s="5"/>
    </row>
    <row r="6" spans="2:26" x14ac:dyDescent="0.2">
      <c r="B6" s="4">
        <v>346</v>
      </c>
      <c r="C6" s="5" cm="1">
        <f t="array" aca="1" ref="C6" ca="1">INDIRECT("'results" &amp; $B6 &amp; "'!D$14")</f>
        <v>1141726.937281823</v>
      </c>
      <c r="D6" s="33" cm="1">
        <f t="array" aca="1" ref="D6" ca="1">INDIRECT("'results" &amp; $B6 &amp; "'!E$14")</f>
        <v>371.94766284620312</v>
      </c>
      <c r="E6" s="5" cm="1">
        <f t="array" aca="1" ref="E6" ca="1">INDIRECT("'results" &amp; $B6 &amp; "'!F$14")</f>
        <v>14</v>
      </c>
      <c r="F6" s="5" cm="1">
        <f t="array" aca="1" ref="F6" ca="1">INDIRECT("'results" &amp; $B6 &amp; "'!G$14")</f>
        <v>94</v>
      </c>
      <c r="G6" s="5" cm="1">
        <f t="array" aca="1" ref="G6" ca="1">INDIRECT("'results" &amp; $B6 &amp; "'!H$14")</f>
        <v>284.12843424466513</v>
      </c>
      <c r="H6" s="33" cm="1">
        <f t="array" aca="1" ref="H6" ca="1">INDIRECT("'results" &amp; $B6 &amp; "'!I$14")</f>
        <v>38.423322876589999</v>
      </c>
      <c r="I6" s="5" cm="1">
        <f t="array" aca="1" ref="I6" ca="1">INDIRECT("'results" &amp; $B6 &amp; "'!J$14")</f>
        <v>5202.2457846926009</v>
      </c>
      <c r="J6" s="5"/>
      <c r="K6" s="5" cm="1">
        <f t="array" aca="1" ref="K6" ca="1">INDIRECT("'results" &amp; $B6 &amp; "'!L$14")</f>
        <v>1717439.0051659821</v>
      </c>
      <c r="L6" s="5" cm="1">
        <f t="array" aca="1" ref="L6" ca="1">INDIRECT("'results" &amp; $B6 &amp; "'!M$14")</f>
        <v>80.198619615358226</v>
      </c>
      <c r="M6" s="5" cm="1">
        <f t="array" aca="1" ref="M6" ca="1">INDIRECT("'results" &amp; $B6 &amp; "'!N$14")</f>
        <v>10</v>
      </c>
      <c r="N6" s="5" cm="1">
        <f t="array" aca="1" ref="N6" ca="1">INDIRECT("'results" &amp; $B6 &amp; "'!O$14")</f>
        <v>58.666666666666657</v>
      </c>
      <c r="O6" s="5" cm="1">
        <f t="array" aca="1" ref="O6" ca="1">INDIRECT("'results" &amp; $B6 &amp; "'!P$14")</f>
        <v>1.6730554430169127</v>
      </c>
      <c r="P6" s="5" cm="1">
        <f t="array" aca="1" ref="P6" ca="1">INDIRECT("'results" &amp; $B6 &amp; "'!Q$14")</f>
        <v>28.166939364993617</v>
      </c>
      <c r="Q6" s="5" cm="1">
        <f t="array" aca="1" ref="Q6" ca="1">INDIRECT("'results" &amp; $B6 &amp; "'!R$14")</f>
        <v>3741.3977367771963</v>
      </c>
      <c r="R6" s="5"/>
      <c r="S6" s="5" cm="1">
        <f t="array" aca="1" ref="S6" ca="1">INDIRECT("'results" &amp; $B6 &amp; "'!T$14")</f>
        <v>1079193.2063390489</v>
      </c>
      <c r="T6" s="5" cm="1">
        <f t="array" aca="1" ref="T6" ca="1">INDIRECT("'results" &amp; $B6 &amp; "'!U$14")</f>
        <v>168.40510476917882</v>
      </c>
      <c r="U6" s="5" cm="1">
        <f t="array" aca="1" ref="U6" ca="1">INDIRECT("'results" &amp; $B6 &amp; "'!V$14")</f>
        <v>15</v>
      </c>
      <c r="V6" s="5" cm="1">
        <f t="array" aca="1" ref="V6" ca="1">INDIRECT("'results" &amp; $B6 &amp; "'!W$14")</f>
        <v>100</v>
      </c>
      <c r="W6" s="5" cm="1">
        <f t="array" aca="1" ref="W6" ca="1">INDIRECT("'results" &amp; $B6 &amp; "'!X$14")</f>
        <v>403.29516319245795</v>
      </c>
      <c r="X6" s="5" cm="1">
        <f t="array" aca="1" ref="X6" ca="1">INDIRECT("'results" &amp; $B6 &amp; "'!Y$14")</f>
        <v>39.161637772635842</v>
      </c>
      <c r="Y6" s="5" cm="1">
        <f t="array" aca="1" ref="Y6" ca="1">INDIRECT("'results" &amp; $B6 &amp; "'!Z$14")</f>
        <v>5445.2411753242459</v>
      </c>
      <c r="Z6" s="5"/>
    </row>
    <row r="7" spans="2:26" x14ac:dyDescent="0.2">
      <c r="B7" s="4">
        <v>418</v>
      </c>
      <c r="C7" s="5" cm="1">
        <f t="array" aca="1" ref="C7" ca="1">INDIRECT("'results" &amp; $B7 &amp; "'!D$14")</f>
        <v>1155075.914594016</v>
      </c>
      <c r="D7" s="33" cm="1">
        <f t="array" aca="1" ref="D7" ca="1">INDIRECT("'results" &amp; $B7 &amp; "'!E$14")</f>
        <v>124.98730038462853</v>
      </c>
      <c r="E7" s="5" cm="1">
        <f t="array" aca="1" ref="E7" ca="1">INDIRECT("'results" &amp; $B7 &amp; "'!F$14")</f>
        <v>13</v>
      </c>
      <c r="F7" s="5" cm="1">
        <f t="array" aca="1" ref="F7" ca="1">INDIRECT("'results" &amp; $B7 &amp; "'!G$14")</f>
        <v>94</v>
      </c>
      <c r="G7" s="5" cm="1">
        <f t="array" aca="1" ref="G7" ca="1">INDIRECT("'results" &amp; $B7 &amp; "'!H$14")</f>
        <v>315.4818009440686</v>
      </c>
      <c r="H7" s="33" cm="1">
        <f t="array" aca="1" ref="H7" ca="1">INDIRECT("'results" &amp; $B7 &amp; "'!I$14")</f>
        <v>43.565165325317544</v>
      </c>
      <c r="I7" s="5" cm="1">
        <f t="array" aca="1" ref="I7" ca="1">INDIRECT("'results" &amp; $B7 &amp; "'!J$14")</f>
        <v>5346.775780707324</v>
      </c>
      <c r="J7" s="5"/>
      <c r="K7" s="5" cm="1">
        <f t="array" aca="1" ref="K7" ca="1">INDIRECT("'results" &amp; $B7 &amp; "'!L$14")</f>
        <v>1678702.3444485799</v>
      </c>
      <c r="L7" s="5" cm="1">
        <f t="array" aca="1" ref="L7" ca="1">INDIRECT("'results" &amp; $B7 &amp; "'!M$14")</f>
        <v>201.45803361531131</v>
      </c>
      <c r="M7" s="5" cm="1">
        <f t="array" aca="1" ref="M7" ca="1">INDIRECT("'results" &amp; $B7 &amp; "'!N$14")</f>
        <v>10</v>
      </c>
      <c r="N7" s="5" cm="1">
        <f t="array" aca="1" ref="N7" ca="1">INDIRECT("'results" &amp; $B7 &amp; "'!O$14")</f>
        <v>60.666666666666657</v>
      </c>
      <c r="O7" s="5" cm="1">
        <f t="array" aca="1" ref="O7" ca="1">INDIRECT("'results" &amp; $B7 &amp; "'!P$14")</f>
        <v>9.1106589838595085</v>
      </c>
      <c r="P7" s="5" cm="1">
        <f t="array" aca="1" ref="P7" ca="1">INDIRECT("'results" &amp; $B7 &amp; "'!Q$14")</f>
        <v>28.234518778797252</v>
      </c>
      <c r="Q7" s="5" cm="1">
        <f t="array" aca="1" ref="Q7" ca="1">INDIRECT("'results" &amp; $B7 &amp; "'!R$14")</f>
        <v>3746.0971325210321</v>
      </c>
      <c r="R7" s="5"/>
      <c r="S7" s="5" cm="1">
        <f t="array" aca="1" ref="S7" ca="1">INDIRECT("'results" &amp; $B7 &amp; "'!T$14")</f>
        <v>1093687.4217609791</v>
      </c>
      <c r="T7" s="5" cm="1">
        <f t="array" aca="1" ref="T7" ca="1">INDIRECT("'results" &amp; $B7 &amp; "'!U$14")</f>
        <v>123.68377223082531</v>
      </c>
      <c r="U7" s="5" cm="1">
        <f t="array" aca="1" ref="U7" ca="1">INDIRECT("'results" &amp; $B7 &amp; "'!V$14")</f>
        <v>13</v>
      </c>
      <c r="V7" s="5" cm="1">
        <f t="array" aca="1" ref="V7" ca="1">INDIRECT("'results" &amp; $B7 &amp; "'!W$14")</f>
        <v>100</v>
      </c>
      <c r="W7" s="5" cm="1">
        <f t="array" aca="1" ref="W7" ca="1">INDIRECT("'results" &amp; $B7 &amp; "'!X$14")</f>
        <v>484.11052320889661</v>
      </c>
      <c r="X7" s="5" cm="1">
        <f t="array" aca="1" ref="X7" ca="1">INDIRECT("'results" &amp; $B7 &amp; "'!Y$14")</f>
        <v>48.664254237085046</v>
      </c>
      <c r="Y7" s="5" cm="1">
        <f t="array" aca="1" ref="Y7" ca="1">INDIRECT("'results" &amp; $B7 &amp; "'!Z$14")</f>
        <v>5699.1437001487511</v>
      </c>
      <c r="Z7" s="5"/>
    </row>
    <row r="8" spans="2:26" x14ac:dyDescent="0.2">
      <c r="B8" s="4">
        <v>464</v>
      </c>
      <c r="C8" s="5" cm="1">
        <f t="array" aca="1" ref="C8" ca="1">INDIRECT("'results" &amp; $B8 &amp; "'!D$14")</f>
        <v>1109461.4547045201</v>
      </c>
      <c r="D8" s="33" cm="1">
        <f t="array" aca="1" ref="D8" ca="1">INDIRECT("'results" &amp; $B8 &amp; "'!E$14")</f>
        <v>267.75269992309256</v>
      </c>
      <c r="E8" s="5" cm="1">
        <f t="array" aca="1" ref="E8" ca="1">INDIRECT("'results" &amp; $B8 &amp; "'!F$14")</f>
        <v>13</v>
      </c>
      <c r="F8" s="5" cm="1">
        <f t="array" aca="1" ref="F8" ca="1">INDIRECT("'results" &amp; $B8 &amp; "'!G$14")</f>
        <v>98.666666666666671</v>
      </c>
      <c r="G8" s="5" cm="1">
        <f t="array" aca="1" ref="G8" ca="1">INDIRECT("'results" &amp; $B8 &amp; "'!H$14")</f>
        <v>556.1484043778413</v>
      </c>
      <c r="H8" s="33" cm="1">
        <f t="array" aca="1" ref="H8" ca="1">INDIRECT("'results" &amp; $B8 &amp; "'!I$14")</f>
        <v>46.079268944698597</v>
      </c>
      <c r="I8" s="5" cm="1">
        <f t="array" aca="1" ref="I8" ca="1">INDIRECT("'results" &amp; $B8 &amp; "'!J$14")</f>
        <v>5662.791341137412</v>
      </c>
      <c r="J8" s="5"/>
      <c r="K8" s="5" cm="1">
        <f t="array" aca="1" ref="K8" ca="1">INDIRECT("'results" &amp; $B8 &amp; "'!L$14")</f>
        <v>1609628.218413895</v>
      </c>
      <c r="L8" s="5" cm="1">
        <f t="array" aca="1" ref="L8" ca="1">INDIRECT("'results" &amp; $B8 &amp; "'!M$14")</f>
        <v>226.7571656154289</v>
      </c>
      <c r="M8" s="5" cm="1">
        <f t="array" aca="1" ref="M8" ca="1">INDIRECT("'results" &amp; $B8 &amp; "'!N$14")</f>
        <v>11</v>
      </c>
      <c r="N8" s="5" cm="1">
        <f t="array" aca="1" ref="N8" ca="1">INDIRECT("'results" &amp; $B8 &amp; "'!O$14")</f>
        <v>64.666666666666671</v>
      </c>
      <c r="O8" s="5" cm="1">
        <f t="array" aca="1" ref="O8" ca="1">INDIRECT("'results" &amp; $B8 &amp; "'!P$14")</f>
        <v>101.58435735776401</v>
      </c>
      <c r="P8" s="5" cm="1">
        <f t="array" aca="1" ref="P8" ca="1">INDIRECT("'results" &amp; $B8 &amp; "'!Q$14")</f>
        <v>29.216281641487843</v>
      </c>
      <c r="Q8" s="5" cm="1">
        <f t="array" aca="1" ref="Q8" ca="1">INDIRECT("'results" &amp; $B8 &amp; "'!R$14")</f>
        <v>3943.6253667877554</v>
      </c>
      <c r="R8" s="5"/>
      <c r="S8" s="5" cm="1">
        <f t="array" aca="1" ref="S8" ca="1">INDIRECT("'results" &amp; $B8 &amp; "'!T$14")</f>
        <v>1116503.235220033</v>
      </c>
      <c r="T8" s="5" cm="1">
        <f t="array" aca="1" ref="T8" ca="1">INDIRECT("'results" &amp; $B8 &amp; "'!U$14")</f>
        <v>134.51249200000001</v>
      </c>
      <c r="U8" s="5" cm="1">
        <f t="array" aca="1" ref="U8" ca="1">INDIRECT("'results" &amp; $B8 &amp; "'!V$14")</f>
        <v>12</v>
      </c>
      <c r="V8" s="5" cm="1">
        <f t="array" aca="1" ref="V8" ca="1">INDIRECT("'results" &amp; $B8 &amp; "'!W$14")</f>
        <v>98.666666666666671</v>
      </c>
      <c r="W8" s="5" cm="1">
        <f t="array" aca="1" ref="W8" ca="1">INDIRECT("'results" &amp; $B8 &amp; "'!X$14")</f>
        <v>646.00261110608176</v>
      </c>
      <c r="X8" s="5" cm="1">
        <f t="array" aca="1" ref="X8" ca="1">INDIRECT("'results" &amp; $B8 &amp; "'!Y$14")</f>
        <v>50.340570708082502</v>
      </c>
      <c r="Y8" s="5" cm="1">
        <f t="array" aca="1" ref="Y8" ca="1">INDIRECT("'results" &amp; $B8 &amp; "'!Z$14")</f>
        <v>5812.6751888718454</v>
      </c>
      <c r="Z8" s="5"/>
    </row>
    <row r="9" spans="2:26" x14ac:dyDescent="0.2">
      <c r="B9" s="4">
        <v>658</v>
      </c>
      <c r="C9" s="5" cm="1">
        <f t="array" aca="1" ref="C9" ca="1">INDIRECT("'results" &amp; $B9 &amp; "'!D$14")</f>
        <v>1046045.483747479</v>
      </c>
      <c r="D9" s="33" cm="1">
        <f t="array" aca="1" ref="D9" ca="1">INDIRECT("'results" &amp; $B9 &amp; "'!E$14")</f>
        <v>205.49383246160752</v>
      </c>
      <c r="E9" s="5" cm="1">
        <f t="array" aca="1" ref="E9" ca="1">INDIRECT("'results" &amp; $B9 &amp; "'!F$14")</f>
        <v>14</v>
      </c>
      <c r="F9" s="5" cm="1">
        <f t="array" aca="1" ref="F9" ca="1">INDIRECT("'results" &amp; $B9 &amp; "'!G$14")</f>
        <v>96.666666666666671</v>
      </c>
      <c r="G9" s="5" cm="1">
        <f t="array" aca="1" ref="G9" ca="1">INDIRECT("'results" &amp; $B9 &amp; "'!H$14")</f>
        <v>351.38906290061749</v>
      </c>
      <c r="H9" s="33" cm="1">
        <f t="array" aca="1" ref="H9" ca="1">INDIRECT("'results" &amp; $B9 &amp; "'!I$14")</f>
        <v>37.424531203822959</v>
      </c>
      <c r="I9" s="5" cm="1">
        <f t="array" aca="1" ref="I9" ca="1">INDIRECT("'results" &amp; $B9 &amp; "'!J$14")</f>
        <v>4871.4040777261835</v>
      </c>
      <c r="J9" s="5"/>
      <c r="K9" s="5" cm="1">
        <f t="array" aca="1" ref="K9" ca="1">INDIRECT("'results" &amp; $B9 &amp; "'!L$14")</f>
        <v>1631454.498651491</v>
      </c>
      <c r="L9" s="5" cm="1">
        <f t="array" aca="1" ref="L9" ca="1">INDIRECT("'results" &amp; $B9 &amp; "'!M$14")</f>
        <v>167.32021984617367</v>
      </c>
      <c r="M9" s="5" cm="1">
        <f t="array" aca="1" ref="M9" ca="1">INDIRECT("'results" &amp; $B9 &amp; "'!N$14")</f>
        <v>11</v>
      </c>
      <c r="N9" s="5" cm="1">
        <f t="array" aca="1" ref="N9" ca="1">INDIRECT("'results" &amp; $B9 &amp; "'!O$14")</f>
        <v>64</v>
      </c>
      <c r="O9" s="5" cm="1">
        <f t="array" aca="1" ref="O9" ca="1">INDIRECT("'results" &amp; $B9 &amp; "'!P$14")</f>
        <v>18.635120723540116</v>
      </c>
      <c r="P9" s="5" cm="1">
        <f t="array" aca="1" ref="P9" ca="1">INDIRECT("'results" &amp; $B9 &amp; "'!Q$14")</f>
        <v>24.735056780871354</v>
      </c>
      <c r="Q9" s="5" cm="1">
        <f t="array" aca="1" ref="Q9" ca="1">INDIRECT("'results" &amp; $B9 &amp; "'!R$14")</f>
        <v>3850.4032430719399</v>
      </c>
      <c r="R9" s="5"/>
      <c r="S9" s="5" cm="1">
        <f t="array" aca="1" ref="S9" ca="1">INDIRECT("'results" &amp; $B9 &amp; "'!T$14")</f>
        <v>1000404.5747731701</v>
      </c>
      <c r="T9" s="5" cm="1">
        <f t="array" aca="1" ref="T9" ca="1">INDIRECT("'results" &amp; $B9 &amp; "'!U$14")</f>
        <v>235.70173323073854</v>
      </c>
      <c r="U9" s="5" cm="1">
        <f t="array" aca="1" ref="U9" ca="1">INDIRECT("'results" &amp; $B9 &amp; "'!V$14")</f>
        <v>14</v>
      </c>
      <c r="V9" s="5" cm="1">
        <f t="array" aca="1" ref="V9" ca="1">INDIRECT("'results" &amp; $B9 &amp; "'!W$14")</f>
        <v>100</v>
      </c>
      <c r="W9" s="5" cm="1">
        <f t="array" aca="1" ref="W9" ca="1">INDIRECT("'results" &amp; $B9 &amp; "'!X$14")</f>
        <v>412.79795462226673</v>
      </c>
      <c r="X9" s="5" cm="1">
        <f t="array" aca="1" ref="X9" ca="1">INDIRECT("'results" &amp; $B9 &amp; "'!Y$14")</f>
        <v>39.917737358036277</v>
      </c>
      <c r="Y9" s="5" cm="1">
        <f t="array" aca="1" ref="Y9" ca="1">INDIRECT("'results" &amp; $B9 &amp; "'!Z$14")</f>
        <v>5030.2723623049969</v>
      </c>
      <c r="Z9" s="5"/>
    </row>
    <row r="10" spans="2:26" x14ac:dyDescent="0.2">
      <c r="B10" s="4">
        <v>720</v>
      </c>
      <c r="C10" s="5" cm="1">
        <f t="array" aca="1" ref="C10" ca="1">INDIRECT("'results" &amp; $B10 &amp; "'!D$14")</f>
        <v>1298314.612475632</v>
      </c>
      <c r="D10" s="33" cm="1">
        <f t="array" aca="1" ref="D10" ca="1">INDIRECT("'results" &amp; $B10 &amp; "'!E$14")</f>
        <v>222.78767107690396</v>
      </c>
      <c r="E10" s="5" cm="1">
        <f t="array" aca="1" ref="E10" ca="1">INDIRECT("'results" &amp; $B10 &amp; "'!F$14")</f>
        <v>15</v>
      </c>
      <c r="F10" s="5" cm="1">
        <f t="array" aca="1" ref="F10" ca="1">INDIRECT("'results" &amp; $B10 &amp; "'!G$14")</f>
        <v>93.333333333333329</v>
      </c>
      <c r="G10" s="5" cm="1">
        <f t="array" aca="1" ref="G10" ca="1">INDIRECT("'results" &amp; $B10 &amp; "'!H$14")</f>
        <v>557.2158028380004</v>
      </c>
      <c r="H10" s="33" cm="1">
        <f t="array" aca="1" ref="H10" ca="1">INDIRECT("'results" &amp; $B10 &amp; "'!I$14")</f>
        <v>34.54691388475625</v>
      </c>
      <c r="I10" s="5" cm="1">
        <f t="array" aca="1" ref="I10" ca="1">INDIRECT("'results" &amp; $B10 &amp; "'!J$14")</f>
        <v>5750.2115391621046</v>
      </c>
      <c r="J10" s="5"/>
      <c r="K10" s="5" cm="1">
        <f t="array" aca="1" ref="K10" ca="1">INDIRECT("'results" &amp; $B10 &amp; "'!L$14")</f>
        <v>1768346.976421254</v>
      </c>
      <c r="L10" s="5" cm="1">
        <f t="array" aca="1" ref="L10" ca="1">INDIRECT("'results" &amp; $B10 &amp; "'!M$14")</f>
        <v>87.849674923076776</v>
      </c>
      <c r="M10" s="5" cm="1">
        <f t="array" aca="1" ref="M10" ca="1">INDIRECT("'results" &amp; $B10 &amp; "'!N$14")</f>
        <v>10</v>
      </c>
      <c r="N10" s="5" cm="1">
        <f t="array" aca="1" ref="N10" ca="1">INDIRECT("'results" &amp; $B10 &amp; "'!O$14")</f>
        <v>60</v>
      </c>
      <c r="O10" s="5" cm="1">
        <f t="array" aca="1" ref="O10" ca="1">INDIRECT("'results" &amp; $B10 &amp; "'!P$14")</f>
        <v>69.217475200196262</v>
      </c>
      <c r="P10" s="5" cm="1">
        <f t="array" aca="1" ref="P10" ca="1">INDIRECT("'results" &amp; $B10 &amp; "'!Q$14")</f>
        <v>27.373495102419827</v>
      </c>
      <c r="Q10" s="5" cm="1">
        <f t="array" aca="1" ref="Q10" ca="1">INDIRECT("'results" &amp; $B10 &amp; "'!R$14")</f>
        <v>4442.5687169531648</v>
      </c>
      <c r="R10" s="5"/>
      <c r="S10" s="5" cm="1">
        <f t="array" aca="1" ref="S10" ca="1">INDIRECT("'results" &amp; $B10 &amp; "'!T$14")</f>
        <v>1237320.195907227</v>
      </c>
      <c r="T10" s="5" cm="1">
        <f t="array" aca="1" ref="T10" ca="1">INDIRECT("'results" &amp; $B10 &amp; "'!U$14")</f>
        <v>277.84621207688292</v>
      </c>
      <c r="U10" s="5" cm="1">
        <f t="array" aca="1" ref="U10" ca="1">INDIRECT("'results" &amp; $B10 &amp; "'!V$14")</f>
        <v>17</v>
      </c>
      <c r="V10" s="5" cm="1">
        <f t="array" aca="1" ref="V10" ca="1">INDIRECT("'results" &amp; $B10 &amp; "'!W$14")</f>
        <v>100</v>
      </c>
      <c r="W10" s="5" cm="1">
        <f t="array" aca="1" ref="W10" ca="1">INDIRECT("'results" &amp; $B10 &amp; "'!X$14")</f>
        <v>762.43223277883885</v>
      </c>
      <c r="X10" s="5" cm="1">
        <f t="array" aca="1" ref="X10" ca="1">INDIRECT("'results" &amp; $B10 &amp; "'!Y$14")</f>
        <v>33.426848368532589</v>
      </c>
      <c r="Y10" s="5" cm="1">
        <f t="array" aca="1" ref="Y10" ca="1">INDIRECT("'results" &amp; $B10 &amp; "'!Z$14")</f>
        <v>5856.9850203553096</v>
      </c>
      <c r="Z10" s="5"/>
    </row>
    <row r="11" spans="2:26" x14ac:dyDescent="0.2">
      <c r="B11" s="4">
        <v>846</v>
      </c>
      <c r="C11" s="5" cm="1">
        <f t="array" aca="1" ref="C11" ca="1">INDIRECT("'results" &amp; $B11 &amp; "'!D$14")</f>
        <v>1168643.226288683</v>
      </c>
      <c r="D11" s="33" cm="1">
        <f t="array" aca="1" ref="D11" ca="1">INDIRECT("'results" &amp; $B11 &amp; "'!E$14")</f>
        <v>309.76703292314107</v>
      </c>
      <c r="E11" s="5" cm="1">
        <f t="array" aca="1" ref="E11" ca="1">INDIRECT("'results" &amp; $B11 &amp; "'!F$14")</f>
        <v>13</v>
      </c>
      <c r="F11" s="5" cm="1">
        <f t="array" aca="1" ref="F11" ca="1">INDIRECT("'results" &amp; $B11 &amp; "'!G$14")</f>
        <v>94</v>
      </c>
      <c r="G11" s="5" cm="1">
        <f t="array" aca="1" ref="G11" ca="1">INDIRECT("'results" &amp; $B11 &amp; "'!H$14")</f>
        <v>362.73205147026351</v>
      </c>
      <c r="H11" s="33" cm="1">
        <f t="array" aca="1" ref="H11" ca="1">INDIRECT("'results" &amp; $B11 &amp; "'!I$14")</f>
        <v>40.263651627371402</v>
      </c>
      <c r="I11" s="5" cm="1">
        <f t="array" aca="1" ref="I11" ca="1">INDIRECT("'results" &amp; $B11 &amp; "'!J$14")</f>
        <v>5415.5349556114834</v>
      </c>
      <c r="J11" s="5"/>
      <c r="K11" s="5" cm="1">
        <f t="array" aca="1" ref="K11" ca="1">INDIRECT("'results" &amp; $B11 &amp; "'!L$14")</f>
        <v>1675849.374213475</v>
      </c>
      <c r="L11" s="5" cm="1">
        <f t="array" aca="1" ref="L11" ca="1">INDIRECT("'results" &amp; $B11 &amp; "'!M$14")</f>
        <v>412.52375053841837</v>
      </c>
      <c r="M11" s="5" cm="1">
        <f t="array" aca="1" ref="M11" ca="1">INDIRECT("'results" &amp; $B11 &amp; "'!N$14")</f>
        <v>10</v>
      </c>
      <c r="N11" s="5" cm="1">
        <f t="array" aca="1" ref="N11" ca="1">INDIRECT("'results" &amp; $B11 &amp; "'!O$14")</f>
        <v>62</v>
      </c>
      <c r="O11" s="5" cm="1">
        <f t="array" aca="1" ref="O11" ca="1">INDIRECT("'results" &amp; $B11 &amp; "'!P$14")</f>
        <v>18.213643716439506</v>
      </c>
      <c r="P11" s="5" cm="1">
        <f t="array" aca="1" ref="P11" ca="1">INDIRECT("'results" &amp; $B11 &amp; "'!Q$14")</f>
        <v>27.492190133003572</v>
      </c>
      <c r="Q11" s="5" cm="1">
        <f t="array" aca="1" ref="Q11" ca="1">INDIRECT("'results" &amp; $B11 &amp; "'!R$14")</f>
        <v>4057.96315316248</v>
      </c>
      <c r="R11" s="5"/>
      <c r="S11" s="5" cm="1">
        <f t="array" aca="1" ref="S11" ca="1">INDIRECT("'results" &amp; $B11 &amp; "'!T$14")</f>
        <v>1103183.8551875721</v>
      </c>
      <c r="T11" s="5" cm="1">
        <f t="array" aca="1" ref="T11" ca="1">INDIRECT("'results" &amp; $B11 &amp; "'!U$14")</f>
        <v>214.35631392299771</v>
      </c>
      <c r="U11" s="5" cm="1">
        <f t="array" aca="1" ref="U11" ca="1">INDIRECT("'results" &amp; $B11 &amp; "'!V$14")</f>
        <v>14</v>
      </c>
      <c r="V11" s="5" cm="1">
        <f t="array" aca="1" ref="V11" ca="1">INDIRECT("'results" &amp; $B11 &amp; "'!W$14")</f>
        <v>100</v>
      </c>
      <c r="W11" s="5" cm="1">
        <f t="array" aca="1" ref="W11" ca="1">INDIRECT("'results" &amp; $B11 &amp; "'!X$14")</f>
        <v>517.19554557621086</v>
      </c>
      <c r="X11" s="5" cm="1">
        <f t="array" aca="1" ref="X11" ca="1">INDIRECT("'results" &amp; $B11 &amp; "'!Y$14")</f>
        <v>40.600716776349273</v>
      </c>
      <c r="Y11" s="5" cm="1">
        <f t="array" aca="1" ref="Y11" ca="1">INDIRECT("'results" &amp; $B11 &amp; "'!Z$14")</f>
        <v>5570.0700949575121</v>
      </c>
      <c r="Z11" s="5"/>
    </row>
    <row r="12" spans="2:26" x14ac:dyDescent="0.2">
      <c r="B12" s="4">
        <v>910</v>
      </c>
      <c r="C12" s="5" cm="1">
        <f t="array" aca="1" ref="C12" ca="1">INDIRECT("'results" &amp; $B12 &amp; "'!D$14")</f>
        <v>1204846.1049447469</v>
      </c>
      <c r="D12" s="33" cm="1">
        <f t="array" aca="1" ref="D12" ca="1">INDIRECT("'results" &amp; $B12 &amp; "'!E$14")</f>
        <v>167.72226484617792</v>
      </c>
      <c r="E12" s="5" cm="1">
        <f t="array" aca="1" ref="E12" ca="1">INDIRECT("'results" &amp; $B12 &amp; "'!F$14")</f>
        <v>12</v>
      </c>
      <c r="F12" s="5" cm="1">
        <f t="array" aca="1" ref="F12" ca="1">INDIRECT("'results" &amp; $B12 &amp; "'!G$14")</f>
        <v>92.666666666666671</v>
      </c>
      <c r="G12" s="5" cm="1">
        <f t="array" aca="1" ref="G12" ca="1">INDIRECT("'results" &amp; $B12 &amp; "'!H$14")</f>
        <v>381.05739905978987</v>
      </c>
      <c r="H12" s="33" cm="1">
        <f t="array" aca="1" ref="H12" ca="1">INDIRECT("'results" &amp; $B12 &amp; "'!I$14")</f>
        <v>38.403845039915126</v>
      </c>
      <c r="I12" s="5" cm="1">
        <f t="array" aca="1" ref="I12" ca="1">INDIRECT("'results" &amp; $B12 &amp; "'!J$14")</f>
        <v>5454.0471054728532</v>
      </c>
      <c r="J12" s="5"/>
      <c r="K12" s="5" cm="1">
        <f t="array" aca="1" ref="K12" ca="1">INDIRECT("'results" &amp; $B12 &amp; "'!L$14")</f>
        <v>1735517.010884179</v>
      </c>
      <c r="L12" s="5" cm="1">
        <f t="array" aca="1" ref="L12" ca="1">INDIRECT("'results" &amp; $B12 &amp; "'!M$14")</f>
        <v>154.22566038466846</v>
      </c>
      <c r="M12" s="5" cm="1">
        <f t="array" aca="1" ref="M12" ca="1">INDIRECT("'results" &amp; $B12 &amp; "'!N$14")</f>
        <v>10</v>
      </c>
      <c r="N12" s="5" cm="1">
        <f t="array" aca="1" ref="N12" ca="1">INDIRECT("'results" &amp; $B12 &amp; "'!O$14")</f>
        <v>59.333333333333343</v>
      </c>
      <c r="O12" s="5" cm="1">
        <f t="array" aca="1" ref="O12" ca="1">INDIRECT("'results" &amp; $B12 &amp; "'!P$14")</f>
        <v>5.6734628548544777</v>
      </c>
      <c r="P12" s="5" cm="1">
        <f t="array" aca="1" ref="P12" ca="1">INDIRECT("'results" &amp; $B12 &amp; "'!Q$14")</f>
        <v>24.082982132708448</v>
      </c>
      <c r="Q12" s="5" cm="1">
        <f t="array" aca="1" ref="Q12" ca="1">INDIRECT("'results" &amp; $B12 &amp; "'!R$14")</f>
        <v>3893.3830046838489</v>
      </c>
      <c r="R12" s="5"/>
      <c r="S12" s="5" cm="1">
        <f t="array" aca="1" ref="S12" ca="1">INDIRECT("'results" &amp; $B12 &amp; "'!T$14")</f>
        <v>1131580.078214861</v>
      </c>
      <c r="T12" s="5" cm="1">
        <f t="array" aca="1" ref="T12" ca="1">INDIRECT("'results" &amp; $B12 &amp; "'!U$14")</f>
        <v>97.182659461574929</v>
      </c>
      <c r="U12" s="5" cm="1">
        <f t="array" aca="1" ref="U12" ca="1">INDIRECT("'results" &amp; $B12 &amp; "'!V$14")</f>
        <v>14</v>
      </c>
      <c r="V12" s="5" cm="1">
        <f t="array" aca="1" ref="V12" ca="1">INDIRECT("'results" &amp; $B12 &amp; "'!W$14")</f>
        <v>100</v>
      </c>
      <c r="W12" s="5" cm="1">
        <f t="array" aca="1" ref="W12" ca="1">INDIRECT("'results" &amp; $B12 &amp; "'!X$14")</f>
        <v>528.72756020395195</v>
      </c>
      <c r="X12" s="5" cm="1">
        <f t="array" aca="1" ref="X12" ca="1">INDIRECT("'results" &amp; $B12 &amp; "'!Y$14")</f>
        <v>36.814599580723787</v>
      </c>
      <c r="Y12" s="5" cm="1">
        <f t="array" aca="1" ref="Y12" ca="1">INDIRECT("'results" &amp; $B12 &amp; "'!Z$14")</f>
        <v>5638.2360706200143</v>
      </c>
      <c r="Z12" s="5"/>
    </row>
    <row r="13" spans="2:26" x14ac:dyDescent="0.2">
      <c r="B13" s="8" t="s">
        <v>3</v>
      </c>
      <c r="C13" s="9">
        <f ca="1">AVERAGE(C3:C12)</f>
        <v>1137345.6151144882</v>
      </c>
      <c r="D13" s="10">
        <f t="shared" ref="D13:I13" ca="1" si="0">AVERAGE(D3:D12)</f>
        <v>223.15693593847277</v>
      </c>
      <c r="E13" s="9">
        <f t="shared" ca="1" si="0"/>
        <v>13.2</v>
      </c>
      <c r="F13" s="9">
        <f t="shared" ca="1" si="0"/>
        <v>95.266666666666666</v>
      </c>
      <c r="G13" s="9">
        <f t="shared" ca="1" si="0"/>
        <v>392.83706213275394</v>
      </c>
      <c r="H13" s="10">
        <f t="shared" ca="1" si="0"/>
        <v>40.84478699706851</v>
      </c>
      <c r="I13" s="9">
        <f t="shared" ca="1" si="0"/>
        <v>5348.8731297936638</v>
      </c>
      <c r="J13" s="32" t="e">
        <f ca="1">(C13-$D$15)/$D$15</f>
        <v>#DIV/0!</v>
      </c>
      <c r="K13" s="16">
        <f ca="1">AVERAGE(K3:K12)</f>
        <v>1679231.9153631181</v>
      </c>
      <c r="L13" s="42">
        <f t="shared" ref="L13:Q13" ca="1" si="1">AVERAGE(L3:L12)</f>
        <v>193.54416038459522</v>
      </c>
      <c r="M13" s="16">
        <f t="shared" ca="1" si="1"/>
        <v>10.199999999999999</v>
      </c>
      <c r="N13" s="16">
        <f ca="1">AVERAGE(N3:N12)</f>
        <v>61.533333333333339</v>
      </c>
      <c r="O13" s="16">
        <f t="shared" ca="1" si="1"/>
        <v>39.679737502519174</v>
      </c>
      <c r="P13" s="42">
        <f t="shared" ca="1" si="1"/>
        <v>27.488639141776815</v>
      </c>
      <c r="Q13" s="16">
        <f t="shared" ca="1" si="1"/>
        <v>3932.9164278999356</v>
      </c>
      <c r="R13" s="43" t="e">
        <f ca="1">(K13-$D$15)/$D$15</f>
        <v>#DIV/0!</v>
      </c>
      <c r="S13" s="38">
        <f ca="1">AVERAGE(S3:S12)</f>
        <v>1086818.2135285221</v>
      </c>
      <c r="T13" s="44">
        <f t="shared" ref="T13:Y13" ca="1" si="2">AVERAGE(T3:T12)</f>
        <v>166.46762830767636</v>
      </c>
      <c r="U13" s="38">
        <f t="shared" ca="1" si="2"/>
        <v>14</v>
      </c>
      <c r="V13" s="38">
        <f t="shared" ca="1" si="2"/>
        <v>99.86666666666666</v>
      </c>
      <c r="W13" s="38">
        <f t="shared" ca="1" si="2"/>
        <v>494.93271736953284</v>
      </c>
      <c r="X13" s="44">
        <f t="shared" ca="1" si="2"/>
        <v>41.361316198714476</v>
      </c>
      <c r="Y13" s="38">
        <f t="shared" ca="1" si="2"/>
        <v>5497.5971861948256</v>
      </c>
      <c r="Z13" s="45" t="e">
        <f ca="1">(S13-$D$15)/$D$15</f>
        <v>#DIV/0!</v>
      </c>
    </row>
    <row r="14" spans="2:26" x14ac:dyDescent="0.2">
      <c r="K14" s="46">
        <f ca="1">(K13-C13)/C13</f>
        <v>0.47644822562935912</v>
      </c>
      <c r="L14" s="46">
        <f t="shared" ref="L14:Q14" ca="1" si="3">(L13-D13)/D13</f>
        <v>-0.13269932852117211</v>
      </c>
      <c r="M14" s="46">
        <f t="shared" ca="1" si="3"/>
        <v>-0.22727272727272729</v>
      </c>
      <c r="N14" s="46">
        <f t="shared" ca="1" si="3"/>
        <v>-0.35409377186843943</v>
      </c>
      <c r="O14" s="46">
        <f t="shared" ca="1" si="3"/>
        <v>-0.89899186882445947</v>
      </c>
      <c r="P14" s="46">
        <f t="shared" ca="1" si="3"/>
        <v>-0.32699761309197878</v>
      </c>
      <c r="Q14" s="46">
        <f t="shared" ca="1" si="3"/>
        <v>-0.26472056216976486</v>
      </c>
      <c r="S14" s="46">
        <f ca="1">(S13-C13)/C13</f>
        <v>-4.4425723293336737E-2</v>
      </c>
      <c r="T14" s="46">
        <f t="shared" ref="T14:Y14" ca="1" si="4">(T13-D13)/D13</f>
        <v>-0.25403336621554246</v>
      </c>
      <c r="U14" s="46">
        <f t="shared" ca="1" si="4"/>
        <v>6.0606060606060663E-2</v>
      </c>
      <c r="V14" s="46">
        <f ca="1">(V13-F13)/F13</f>
        <v>4.828551434569623E-2</v>
      </c>
      <c r="W14" s="46">
        <f t="shared" ca="1" si="4"/>
        <v>0.25989313401971492</v>
      </c>
      <c r="X14" s="46">
        <f t="shared" ca="1" si="4"/>
        <v>1.2646147516524887E-2</v>
      </c>
      <c r="Y14" s="46">
        <f t="shared" ca="1" si="4"/>
        <v>2.7804745558976995E-2</v>
      </c>
    </row>
    <row r="17" spans="3:5" ht="22" x14ac:dyDescent="0.2">
      <c r="C17" s="1"/>
      <c r="D17" s="49" t="s">
        <v>19</v>
      </c>
      <c r="E17" s="49" t="s">
        <v>20</v>
      </c>
    </row>
    <row r="18" spans="3:5" x14ac:dyDescent="0.2">
      <c r="C18" t="s">
        <v>21</v>
      </c>
      <c r="D18" s="41">
        <f ca="1">(K13-C13)/C13</f>
        <v>0.47644822562935912</v>
      </c>
      <c r="E18" s="41">
        <f ca="1">(S13-C13)/C13</f>
        <v>-4.4425723293336737E-2</v>
      </c>
    </row>
    <row r="19" spans="3:5" x14ac:dyDescent="0.2">
      <c r="C19" t="s">
        <v>22</v>
      </c>
      <c r="D19" s="41">
        <f ca="1">(M13-E13)/E13</f>
        <v>-0.22727272727272729</v>
      </c>
      <c r="E19" s="41">
        <f ca="1">(U13-E13)/E13</f>
        <v>6.0606060606060663E-2</v>
      </c>
    </row>
    <row r="20" spans="3:5" x14ac:dyDescent="0.2">
      <c r="C20" t="s">
        <v>23</v>
      </c>
      <c r="D20" s="41">
        <f ca="1">(N13-F13)/F13</f>
        <v>-0.35409377186843943</v>
      </c>
      <c r="E20" s="41">
        <f ca="1">(V13-F13)/F13</f>
        <v>4.828551434569623E-2</v>
      </c>
    </row>
    <row r="21" spans="3:5" x14ac:dyDescent="0.2">
      <c r="C21" t="s">
        <v>24</v>
      </c>
      <c r="D21" s="41">
        <f ca="1">(P13-H13)/H13</f>
        <v>-0.32699761309197878</v>
      </c>
      <c r="E21" s="41">
        <f ca="1">(X13-H13)/H13</f>
        <v>1.2646147516524887E-2</v>
      </c>
    </row>
    <row r="22" spans="3:5" x14ac:dyDescent="0.2">
      <c r="C22" t="s">
        <v>25</v>
      </c>
      <c r="D22" s="41">
        <f ca="1">(O13-G13)/G13</f>
        <v>-0.89899186882445947</v>
      </c>
      <c r="E22" s="41">
        <f ca="1">(W13-G13)/G13</f>
        <v>0.25989313401971492</v>
      </c>
    </row>
    <row r="23" spans="3:5" x14ac:dyDescent="0.2">
      <c r="C23" t="s">
        <v>26</v>
      </c>
      <c r="D23" s="41">
        <f ca="1">(Q13-I13)/I13</f>
        <v>-0.26472056216976486</v>
      </c>
      <c r="E23" s="41">
        <f ca="1">(Y13-I13)/I13</f>
        <v>2.7804745558976995E-2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729E-4C33-4A98-9174-69ED4C08C4CA}">
  <dimension ref="B1:AA35"/>
  <sheetViews>
    <sheetView zoomScale="90" zoomScaleNormal="90" workbookViewId="0">
      <selection activeCell="U20" sqref="U20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10.664062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-1</v>
      </c>
      <c r="R2" s="1">
        <f>(R14-J14)/J14</f>
        <v>-0.31237142762865905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97</v>
      </c>
      <c r="D4" s="23">
        <v>1122021.9334757749</v>
      </c>
      <c r="E4" s="33">
        <v>183.73735515382853</v>
      </c>
      <c r="F4" s="5">
        <v>12</v>
      </c>
      <c r="G4" s="23">
        <v>96</v>
      </c>
      <c r="H4" s="33">
        <v>425.75936971036424</v>
      </c>
      <c r="I4" s="23">
        <v>44.97897523428793</v>
      </c>
      <c r="J4" s="5">
        <v>5517.0558625535232</v>
      </c>
      <c r="K4" s="31"/>
      <c r="L4" s="23">
        <v>1673988.0658159379</v>
      </c>
      <c r="M4" s="33">
        <v>113.46206269226968</v>
      </c>
      <c r="N4" s="5">
        <v>10</v>
      </c>
      <c r="O4" s="23">
        <v>61.333333333333343</v>
      </c>
      <c r="P4" s="33">
        <v>81.804843642834882</v>
      </c>
      <c r="Q4" s="23">
        <v>28.615997478181519</v>
      </c>
      <c r="R4" s="5">
        <v>3896.8582017621552</v>
      </c>
      <c r="S4" s="35"/>
      <c r="T4" s="23">
        <v>1133231.6368344191</v>
      </c>
      <c r="U4" s="33">
        <v>154.77917753840583</v>
      </c>
      <c r="V4" s="5">
        <v>12</v>
      </c>
      <c r="W4" s="23">
        <v>98.666666666666671</v>
      </c>
      <c r="X4" s="33">
        <v>560.19930171354838</v>
      </c>
      <c r="Y4" s="23">
        <v>46.693984188660373</v>
      </c>
      <c r="Z4" s="5">
        <v>5834.3958476890602</v>
      </c>
      <c r="AA4" s="35"/>
    </row>
    <row r="5" spans="2:27" x14ac:dyDescent="0.2">
      <c r="B5" s="4">
        <v>2</v>
      </c>
      <c r="C5" s="4">
        <v>106</v>
      </c>
      <c r="D5" s="23">
        <v>1126682.9916717601</v>
      </c>
      <c r="E5" s="33">
        <v>271.11431015386745</v>
      </c>
      <c r="F5" s="5">
        <v>11</v>
      </c>
      <c r="G5" s="23">
        <v>94.666666666666671</v>
      </c>
      <c r="H5" s="33">
        <v>336.77922459537626</v>
      </c>
      <c r="I5" s="23">
        <v>48.507401519347461</v>
      </c>
      <c r="J5" s="5">
        <v>5529.4543143216943</v>
      </c>
      <c r="K5" s="31"/>
      <c r="L5" s="23">
        <v>1663686.5592155659</v>
      </c>
      <c r="M5" s="33">
        <v>172.60187307686115</v>
      </c>
      <c r="N5" s="5">
        <v>10</v>
      </c>
      <c r="O5" s="23">
        <v>61.333333333333343</v>
      </c>
      <c r="P5" s="33">
        <v>6.3537923338175171</v>
      </c>
      <c r="Q5" s="23">
        <v>28.599063904722396</v>
      </c>
      <c r="R5" s="5">
        <v>3840.5521925728845</v>
      </c>
      <c r="S5" s="35"/>
      <c r="T5" s="23">
        <v>1092076.5056976031</v>
      </c>
      <c r="U5" s="33">
        <v>120.07625569231239</v>
      </c>
      <c r="V5" s="5">
        <v>11</v>
      </c>
      <c r="W5" s="23">
        <v>98.666666666666671</v>
      </c>
      <c r="X5" s="33">
        <v>476.51112220618529</v>
      </c>
      <c r="Y5" s="23">
        <v>50.255147627371983</v>
      </c>
      <c r="Z5" s="5">
        <v>5750.4767701470146</v>
      </c>
      <c r="AA5" s="35"/>
    </row>
    <row r="6" spans="2:27" x14ac:dyDescent="0.2">
      <c r="B6" s="4">
        <v>3</v>
      </c>
      <c r="C6" s="4">
        <v>235</v>
      </c>
      <c r="D6" s="23">
        <v>1132146.432679648</v>
      </c>
      <c r="E6" s="33">
        <v>194.98045776916953</v>
      </c>
      <c r="F6" s="5">
        <v>13</v>
      </c>
      <c r="G6" s="23">
        <v>96</v>
      </c>
      <c r="H6" s="33">
        <v>428.84100424297549</v>
      </c>
      <c r="I6" s="23">
        <v>41.453548363962604</v>
      </c>
      <c r="J6" s="5">
        <v>5450.5331439472538</v>
      </c>
      <c r="K6" s="31"/>
      <c r="L6" s="23">
        <v>1663735.1543283809</v>
      </c>
      <c r="M6" s="33">
        <v>153.64506061538123</v>
      </c>
      <c r="N6" s="5">
        <v>10</v>
      </c>
      <c r="O6" s="23">
        <v>61.333333333333343</v>
      </c>
      <c r="P6" s="33">
        <v>9.2167412941199736</v>
      </c>
      <c r="Q6" s="23">
        <v>28.268978343426539</v>
      </c>
      <c r="R6" s="5">
        <v>3849.9137491454344</v>
      </c>
      <c r="S6" s="35"/>
      <c r="T6" s="23">
        <v>1087033.0712874341</v>
      </c>
      <c r="U6" s="33">
        <v>168.3418246153563</v>
      </c>
      <c r="V6" s="5">
        <v>12</v>
      </c>
      <c r="W6" s="23">
        <v>99.333333333333329</v>
      </c>
      <c r="X6" s="33">
        <v>463.03173359850297</v>
      </c>
      <c r="Y6" s="23">
        <v>47.216208594836672</v>
      </c>
      <c r="Z6" s="5">
        <v>5703.6204117354855</v>
      </c>
      <c r="AA6" s="35"/>
    </row>
    <row r="7" spans="2:27" x14ac:dyDescent="0.2">
      <c r="B7" s="4">
        <v>4</v>
      </c>
      <c r="C7" s="4">
        <v>242</v>
      </c>
      <c r="D7" s="23">
        <v>1116068.431941214</v>
      </c>
      <c r="E7" s="33">
        <v>189.84986530769115</v>
      </c>
      <c r="F7" s="5">
        <v>12</v>
      </c>
      <c r="G7" s="23">
        <v>95.333333333333329</v>
      </c>
      <c r="H7" s="33">
        <v>371.89828653282825</v>
      </c>
      <c r="I7" s="23">
        <v>44.595960762261143</v>
      </c>
      <c r="J7" s="5">
        <v>5398.2298200767509</v>
      </c>
      <c r="K7" s="31"/>
      <c r="L7" s="23">
        <v>1668704.265624925</v>
      </c>
      <c r="M7" s="33">
        <v>128.96008123079528</v>
      </c>
      <c r="N7" s="5">
        <v>10</v>
      </c>
      <c r="O7" s="23">
        <v>61.333333333333343</v>
      </c>
      <c r="P7" s="33">
        <v>51.843728999334374</v>
      </c>
      <c r="Q7" s="23">
        <v>27.941576346868366</v>
      </c>
      <c r="R7" s="5">
        <v>3864.7123125794724</v>
      </c>
      <c r="S7" s="35"/>
      <c r="T7" s="23">
        <v>1064691.1836555221</v>
      </c>
      <c r="U7" s="33">
        <v>177.93008961535699</v>
      </c>
      <c r="V7" s="5">
        <v>13</v>
      </c>
      <c r="W7" s="23">
        <v>100</v>
      </c>
      <c r="X7" s="33">
        <v>474.12079170161536</v>
      </c>
      <c r="Y7" s="23">
        <v>43.524373507443457</v>
      </c>
      <c r="Z7" s="5">
        <v>5511.7596937638509</v>
      </c>
      <c r="AA7" s="35"/>
    </row>
    <row r="8" spans="2:27" x14ac:dyDescent="0.2">
      <c r="B8" s="4">
        <v>5</v>
      </c>
      <c r="C8" s="4">
        <v>406</v>
      </c>
      <c r="D8" s="23">
        <v>1127029.214867082</v>
      </c>
      <c r="E8" s="33">
        <v>225.84214153842851</v>
      </c>
      <c r="F8" s="5">
        <v>11</v>
      </c>
      <c r="G8" s="23">
        <v>95.333333333333329</v>
      </c>
      <c r="H8" s="33">
        <v>395.7552910647305</v>
      </c>
      <c r="I8" s="23">
        <v>48.773796022884063</v>
      </c>
      <c r="J8" s="5">
        <v>5589.4329330435912</v>
      </c>
      <c r="K8" s="31"/>
      <c r="L8" s="23">
        <v>1668363.5100639791</v>
      </c>
      <c r="M8" s="33">
        <v>174.89966684621047</v>
      </c>
      <c r="N8" s="5">
        <v>10</v>
      </c>
      <c r="O8" s="23">
        <v>61.333333333333343</v>
      </c>
      <c r="P8" s="33">
        <v>47.818376625746346</v>
      </c>
      <c r="Q8" s="23">
        <v>28.195603627928385</v>
      </c>
      <c r="R8" s="5">
        <v>3853.8521824159402</v>
      </c>
      <c r="S8" s="35"/>
      <c r="T8" s="23">
        <v>1137694.54840899</v>
      </c>
      <c r="U8" s="33">
        <v>359.12699384614825</v>
      </c>
      <c r="V8" s="5">
        <v>13</v>
      </c>
      <c r="W8" s="23">
        <v>99.333333333333329</v>
      </c>
      <c r="X8" s="33">
        <v>579.88224834510106</v>
      </c>
      <c r="Y8" s="23">
        <v>43.719739582262484</v>
      </c>
      <c r="Z8" s="5">
        <v>5833.5612002912003</v>
      </c>
      <c r="AA8" s="35"/>
    </row>
    <row r="9" spans="2:27" x14ac:dyDescent="0.2">
      <c r="B9" s="4">
        <v>6</v>
      </c>
      <c r="C9" s="4">
        <v>652</v>
      </c>
      <c r="D9" s="23">
        <v>1133790.4513554031</v>
      </c>
      <c r="E9" s="33">
        <v>189.7263022308023</v>
      </c>
      <c r="F9" s="5">
        <v>12</v>
      </c>
      <c r="G9" s="23">
        <v>95.333333333333329</v>
      </c>
      <c r="H9" s="33">
        <v>383.45350194676695</v>
      </c>
      <c r="I9" s="23">
        <v>44.447138327421811</v>
      </c>
      <c r="J9" s="5">
        <v>5490.5588842943616</v>
      </c>
      <c r="K9" s="31"/>
      <c r="L9" s="23">
        <v>1673616.627980761</v>
      </c>
      <c r="M9" s="33">
        <v>266.41049138458379</v>
      </c>
      <c r="N9" s="5">
        <v>10</v>
      </c>
      <c r="O9" s="23">
        <v>61.333333333333343</v>
      </c>
      <c r="P9" s="33">
        <v>79.157834331199865</v>
      </c>
      <c r="Q9" s="23">
        <v>28.289437540256493</v>
      </c>
      <c r="R9" s="5">
        <v>3864.6312134772288</v>
      </c>
      <c r="S9" s="35"/>
      <c r="T9" s="23">
        <v>1070671.5967742279</v>
      </c>
      <c r="U9" s="33">
        <v>119.61812661530877</v>
      </c>
      <c r="V9" s="5">
        <v>12</v>
      </c>
      <c r="W9" s="23">
        <v>99.333333333333329</v>
      </c>
      <c r="X9" s="33">
        <v>488.66569824743971</v>
      </c>
      <c r="Y9" s="23">
        <v>46.584191408737098</v>
      </c>
      <c r="Z9" s="5">
        <v>5566.0604398301139</v>
      </c>
      <c r="AA9" s="35"/>
    </row>
    <row r="10" spans="2:27" x14ac:dyDescent="0.2">
      <c r="B10" s="4">
        <v>7</v>
      </c>
      <c r="C10" s="4">
        <v>716</v>
      </c>
      <c r="D10" s="23">
        <v>1140031.934616267</v>
      </c>
      <c r="E10" s="33">
        <v>217.64429946152421</v>
      </c>
      <c r="F10" s="5">
        <v>13</v>
      </c>
      <c r="G10" s="23">
        <v>96</v>
      </c>
      <c r="H10" s="33">
        <v>428.80407814808723</v>
      </c>
      <c r="I10" s="23">
        <v>40.948950980188506</v>
      </c>
      <c r="J10" s="5">
        <v>5479.1543091261265</v>
      </c>
      <c r="K10" s="31"/>
      <c r="L10" s="23">
        <v>1663293.5488086969</v>
      </c>
      <c r="M10" s="33">
        <v>265.4323678461011</v>
      </c>
      <c r="N10" s="5">
        <v>10</v>
      </c>
      <c r="O10" s="23">
        <v>61.333333333333343</v>
      </c>
      <c r="P10" s="33">
        <v>0</v>
      </c>
      <c r="Q10" s="23">
        <v>28.455105249463333</v>
      </c>
      <c r="R10" s="5">
        <v>3820.8328316136499</v>
      </c>
      <c r="S10" s="35"/>
      <c r="T10" s="23">
        <v>1074595.3790939299</v>
      </c>
      <c r="U10" s="33">
        <v>107.37038153841591</v>
      </c>
      <c r="V10" s="5">
        <v>12</v>
      </c>
      <c r="W10" s="23">
        <v>99.333333333333329</v>
      </c>
      <c r="X10" s="33">
        <v>490.77042187983295</v>
      </c>
      <c r="Y10" s="23">
        <v>46.610890647553354</v>
      </c>
      <c r="Z10" s="5">
        <v>5602.4290041106342</v>
      </c>
      <c r="AA10" s="35"/>
    </row>
    <row r="11" spans="2:27" x14ac:dyDescent="0.2">
      <c r="B11" s="4">
        <v>8</v>
      </c>
      <c r="C11" s="4">
        <v>719</v>
      </c>
      <c r="D11" s="23">
        <v>1113987.924892782</v>
      </c>
      <c r="E11" s="33">
        <v>406.53136184609207</v>
      </c>
      <c r="F11" s="5">
        <v>13</v>
      </c>
      <c r="G11" s="23">
        <v>96</v>
      </c>
      <c r="H11" s="33">
        <v>383.75046607843046</v>
      </c>
      <c r="I11" s="23">
        <v>40.972053977201611</v>
      </c>
      <c r="J11" s="5">
        <v>5328.7818705660438</v>
      </c>
      <c r="K11" s="31"/>
      <c r="L11" s="23">
        <v>1705039.840191537</v>
      </c>
      <c r="M11" s="33">
        <v>266.46257715380324</v>
      </c>
      <c r="N11" s="5">
        <v>11</v>
      </c>
      <c r="O11" s="23">
        <v>61.333333333333343</v>
      </c>
      <c r="P11" s="33">
        <v>85.231851401516138</v>
      </c>
      <c r="Q11" s="23">
        <v>25.701608540983049</v>
      </c>
      <c r="R11" s="5">
        <v>4000.1285674351629</v>
      </c>
      <c r="S11" s="35"/>
      <c r="T11" s="23">
        <v>1070671.5967742279</v>
      </c>
      <c r="U11" s="33">
        <v>119.54121861535191</v>
      </c>
      <c r="V11" s="5">
        <v>12</v>
      </c>
      <c r="W11" s="23">
        <v>99.333333333333329</v>
      </c>
      <c r="X11" s="33">
        <v>488.66569824743971</v>
      </c>
      <c r="Y11" s="23">
        <v>46.584191408737098</v>
      </c>
      <c r="Z11" s="5">
        <v>5566.0604398301139</v>
      </c>
      <c r="AA11" s="35"/>
    </row>
    <row r="12" spans="2:27" x14ac:dyDescent="0.2">
      <c r="B12" s="4">
        <v>9</v>
      </c>
      <c r="C12" s="4">
        <v>851</v>
      </c>
      <c r="D12" s="23">
        <v>1109491.730596958</v>
      </c>
      <c r="E12" s="33">
        <v>175.83051161536085</v>
      </c>
      <c r="F12" s="5">
        <v>11</v>
      </c>
      <c r="G12" s="23">
        <v>96</v>
      </c>
      <c r="H12" s="33">
        <v>419.06882453373214</v>
      </c>
      <c r="I12" s="23">
        <v>49.007721434937274</v>
      </c>
      <c r="J12" s="5">
        <v>5556.5358758104085</v>
      </c>
      <c r="K12" s="31"/>
      <c r="L12" s="23">
        <v>1668730.823264664</v>
      </c>
      <c r="M12" s="33">
        <v>97.210782153907999</v>
      </c>
      <c r="N12" s="5">
        <v>10</v>
      </c>
      <c r="O12" s="23">
        <v>61.333333333333343</v>
      </c>
      <c r="P12" s="33">
        <v>55.870744806720218</v>
      </c>
      <c r="Q12" s="23">
        <v>28.90495918897988</v>
      </c>
      <c r="R12" s="5">
        <v>3839.9460052297977</v>
      </c>
      <c r="S12" s="35"/>
      <c r="T12" s="23">
        <v>1085435.875076503</v>
      </c>
      <c r="U12" s="33">
        <v>120.56936692303192</v>
      </c>
      <c r="V12" s="5">
        <v>12</v>
      </c>
      <c r="W12" s="23">
        <v>99.333333333333329</v>
      </c>
      <c r="X12" s="33">
        <v>601.82164773856039</v>
      </c>
      <c r="Y12" s="23">
        <v>47.113612208782371</v>
      </c>
      <c r="Z12" s="5">
        <v>5613.0789697300143</v>
      </c>
      <c r="AA12" s="35"/>
    </row>
    <row r="13" spans="2:27" x14ac:dyDescent="0.2">
      <c r="B13" s="4">
        <v>10</v>
      </c>
      <c r="C13" s="4">
        <v>949</v>
      </c>
      <c r="D13" s="23">
        <v>1126167.2428744051</v>
      </c>
      <c r="E13" s="33">
        <v>141.45905299998745</v>
      </c>
      <c r="F13" s="5">
        <v>12</v>
      </c>
      <c r="G13" s="23">
        <v>96</v>
      </c>
      <c r="H13" s="33">
        <v>400.44745439680673</v>
      </c>
      <c r="I13" s="23">
        <v>44.619990142235828</v>
      </c>
      <c r="J13" s="5">
        <v>5525.3048096473231</v>
      </c>
      <c r="K13" s="31"/>
      <c r="L13" s="23">
        <v>1663923.2522571059</v>
      </c>
      <c r="M13" s="33">
        <v>107.31009723081323</v>
      </c>
      <c r="N13" s="5">
        <v>10</v>
      </c>
      <c r="O13" s="23">
        <v>61.333333333333343</v>
      </c>
      <c r="P13" s="33">
        <v>0</v>
      </c>
      <c r="Q13" s="23">
        <v>28.400236875166087</v>
      </c>
      <c r="R13" s="5">
        <v>3826.1125647021022</v>
      </c>
      <c r="S13" s="35"/>
      <c r="T13" s="23">
        <v>1090914.229730353</v>
      </c>
      <c r="U13" s="33">
        <v>121.19712807685853</v>
      </c>
      <c r="V13" s="5">
        <v>12</v>
      </c>
      <c r="W13" s="23">
        <v>99.333333333333329</v>
      </c>
      <c r="X13" s="33">
        <v>452.41873735928755</v>
      </c>
      <c r="Y13" s="23">
        <v>46.990309861384624</v>
      </c>
      <c r="Z13" s="5">
        <v>5726.8294537350057</v>
      </c>
      <c r="AA13" s="35"/>
    </row>
    <row r="14" spans="2:27" x14ac:dyDescent="0.2">
      <c r="B14" s="50" t="s">
        <v>3</v>
      </c>
      <c r="C14" s="51"/>
      <c r="D14" s="9">
        <f>MIN(D4:D13)</f>
        <v>1109491.730596958</v>
      </c>
      <c r="E14" s="22">
        <f>INDEX(E4:E13, MATCH($D$14, D4:D13, 0))</f>
        <v>175.83051161536085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419.06882453373214</v>
      </c>
      <c r="I14" s="22">
        <f>INDEX(I4:I13, MATCH($D$14, D4:D13, 0))</f>
        <v>49.007721434937274</v>
      </c>
      <c r="J14" s="22">
        <f>INDEX(J4:J13, MATCH($D$14, D4:D13, 0))</f>
        <v>5556.5358758104085</v>
      </c>
      <c r="K14" s="32" t="e">
        <f>(D14-$D$15)/$D$15</f>
        <v>#DIV/0!</v>
      </c>
      <c r="L14" s="16">
        <f>MIN(L4:L13)</f>
        <v>1663293.5488086969</v>
      </c>
      <c r="M14" s="21">
        <f>INDEX(M4:M13, MATCH($L$14, L4:L13, 0))</f>
        <v>265.4323678461011</v>
      </c>
      <c r="N14" s="16">
        <f>INDEX(N4:N13, MATCH($L$14, L4:L13, 0))</f>
        <v>10</v>
      </c>
      <c r="O14" s="16">
        <f>INDEX(O4:O13, MATCH($L$14, L4:L13, 0))</f>
        <v>61.333333333333343</v>
      </c>
      <c r="P14" s="21">
        <f>INDEX(P4:P13, MATCH($L$14, L4:L13, 0))</f>
        <v>0</v>
      </c>
      <c r="Q14" s="21">
        <f>INDEX(Q4:Q13, MATCH($L$14, L4:L13, 0))</f>
        <v>28.455105249463333</v>
      </c>
      <c r="R14" s="21">
        <f>INDEX(R4:R13, MATCH($L$14, L4:L13, 0))</f>
        <v>3820.8328316136499</v>
      </c>
      <c r="S14" s="36" t="e">
        <f>(L14-$D$15)/$D$15</f>
        <v>#DIV/0!</v>
      </c>
      <c r="T14" s="38">
        <f>MIN(T4:T13)</f>
        <v>1064691.1836555221</v>
      </c>
      <c r="U14" s="39">
        <f>INDEX(U4:U13, MATCH($T$14, T4:T13, 0))</f>
        <v>177.93008961535699</v>
      </c>
      <c r="V14" s="38">
        <f>INDEX(V4:V13, MATCH($T$14, T4:T13, 0))</f>
        <v>13</v>
      </c>
      <c r="W14" s="38">
        <f>INDEX(W4:W13, MATCH($T$14, T4:T13, 0))</f>
        <v>100</v>
      </c>
      <c r="X14" s="39">
        <f>INDEX(X4:X13, MATCH($T$14, T4:T13, 0))</f>
        <v>474.12079170161536</v>
      </c>
      <c r="Y14" s="39">
        <f>INDEX(Y4:Y13, MATCH($T$14, T4:T13, 0))</f>
        <v>43.524373507443457</v>
      </c>
      <c r="Z14" s="39">
        <f>INDEX(Z4:Z13, MATCH($T$14, T4:T13, 0))</f>
        <v>5511.7596937638509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0.49914911750966173</v>
      </c>
      <c r="M15" s="41">
        <f t="shared" ref="M15:R15" si="0">(M14-E14)/E14</f>
        <v>0.50959219425323266</v>
      </c>
      <c r="N15" s="41">
        <f t="shared" si="0"/>
        <v>-9.0909090909090912E-2</v>
      </c>
      <c r="O15" s="41">
        <f t="shared" si="0"/>
        <v>-0.36111111111111099</v>
      </c>
      <c r="P15" s="41">
        <f t="shared" si="0"/>
        <v>-1</v>
      </c>
      <c r="Q15" s="41">
        <f t="shared" si="0"/>
        <v>-0.41937506139230785</v>
      </c>
      <c r="R15" s="41">
        <f t="shared" si="0"/>
        <v>-0.31237142762865905</v>
      </c>
      <c r="T15" s="41">
        <f>(T14-D14)/D14</f>
        <v>-4.0379342816129982E-2</v>
      </c>
      <c r="U15" s="41">
        <f t="shared" ref="U15:Z15" si="1">(U14-E14)/E14</f>
        <v>1.1940919586181311E-2</v>
      </c>
      <c r="V15" s="41">
        <f t="shared" si="1"/>
        <v>0.18181818181818182</v>
      </c>
      <c r="W15" s="41">
        <f t="shared" si="1"/>
        <v>4.1666666666666664E-2</v>
      </c>
      <c r="X15" s="41">
        <f t="shared" si="1"/>
        <v>0.13136736484546566</v>
      </c>
      <c r="Y15" s="41">
        <f t="shared" si="1"/>
        <v>-0.11188742848968235</v>
      </c>
      <c r="Z15" s="41">
        <f t="shared" si="1"/>
        <v>-8.0582908213522597E-3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</sheetData>
  <mergeCells count="1">
    <mergeCell ref="B14:C14"/>
  </mergeCells>
  <conditionalFormatting sqref="C1 C16:C1048576 C3">
    <cfRule type="duplicateValues" dxfId="149" priority="11"/>
    <cfRule type="duplicateValues" dxfId="148" priority="12"/>
  </conditionalFormatting>
  <conditionalFormatting sqref="C2">
    <cfRule type="duplicateValues" dxfId="147" priority="1"/>
    <cfRule type="duplicateValues" dxfId="146" priority="2"/>
  </conditionalFormatting>
  <conditionalFormatting sqref="C4:C13">
    <cfRule type="duplicateValues" dxfId="145" priority="3"/>
    <cfRule type="duplicateValues" dxfId="144" priority="4"/>
  </conditionalFormatting>
  <conditionalFormatting sqref="C14">
    <cfRule type="duplicateValues" dxfId="143" priority="9"/>
    <cfRule type="duplicateValues" dxfId="142" priority="10"/>
  </conditionalFormatting>
  <conditionalFormatting sqref="C15">
    <cfRule type="duplicateValues" dxfId="141" priority="7"/>
    <cfRule type="duplicateValues" dxfId="140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C949-B9EE-4AA8-8502-293CCF2F0118}">
  <dimension ref="B1:AA35"/>
  <sheetViews>
    <sheetView zoomScale="90" zoomScaleNormal="90" workbookViewId="0">
      <selection activeCell="U20" sqref="U20:U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-1</v>
      </c>
      <c r="R2" s="1">
        <f>(R14-J14)/J14</f>
        <v>-0.27187463327629124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34</v>
      </c>
      <c r="D4" s="23">
        <v>968127.96556841256</v>
      </c>
      <c r="E4" s="33">
        <v>110.66876407685831</v>
      </c>
      <c r="F4" s="5">
        <v>11</v>
      </c>
      <c r="G4" s="23">
        <v>96</v>
      </c>
      <c r="H4" s="33">
        <v>148.27568864938823</v>
      </c>
      <c r="I4" s="23">
        <v>41.044499047729481</v>
      </c>
      <c r="J4" s="5">
        <v>4730.6926525659665</v>
      </c>
      <c r="K4" s="31"/>
      <c r="L4" s="23">
        <v>1634394.2583174489</v>
      </c>
      <c r="M4" s="33">
        <v>74.302850846165356</v>
      </c>
      <c r="N4" s="5">
        <v>10</v>
      </c>
      <c r="O4" s="23">
        <v>62</v>
      </c>
      <c r="P4" s="33">
        <v>0.76743503645376487</v>
      </c>
      <c r="Q4" s="23">
        <v>22.895970799222443</v>
      </c>
      <c r="R4" s="5">
        <v>3608.6995406963879</v>
      </c>
      <c r="S4" s="35"/>
      <c r="T4" s="23">
        <v>933854.02546042437</v>
      </c>
      <c r="U4" s="33">
        <v>70.931488307676489</v>
      </c>
      <c r="V4" s="5">
        <v>11</v>
      </c>
      <c r="W4" s="23">
        <v>100</v>
      </c>
      <c r="X4" s="33">
        <v>229.37378633177732</v>
      </c>
      <c r="Y4" s="23">
        <v>43.041994054945086</v>
      </c>
      <c r="Z4" s="5">
        <v>5027.8127781789417</v>
      </c>
      <c r="AA4" s="35"/>
    </row>
    <row r="5" spans="2:27" x14ac:dyDescent="0.2">
      <c r="B5" s="4">
        <v>2</v>
      </c>
      <c r="C5" s="4">
        <v>148</v>
      </c>
      <c r="D5" s="23">
        <v>986432.44844475493</v>
      </c>
      <c r="E5" s="33">
        <v>99.406090000053311</v>
      </c>
      <c r="F5" s="5">
        <v>10</v>
      </c>
      <c r="G5" s="23">
        <v>96</v>
      </c>
      <c r="H5" s="33">
        <v>200.44797504472541</v>
      </c>
      <c r="I5" s="23">
        <v>44.573430423460422</v>
      </c>
      <c r="J5" s="5">
        <v>4927.9575088772144</v>
      </c>
      <c r="K5" s="31"/>
      <c r="L5" s="23">
        <v>1617731.986416457</v>
      </c>
      <c r="M5" s="33">
        <v>146.547133153788</v>
      </c>
      <c r="N5" s="5">
        <v>10</v>
      </c>
      <c r="O5" s="23">
        <v>62</v>
      </c>
      <c r="P5" s="33">
        <v>0</v>
      </c>
      <c r="Q5" s="23">
        <v>23.07599021321975</v>
      </c>
      <c r="R5" s="5">
        <v>3429.0548988016703</v>
      </c>
      <c r="S5" s="35"/>
      <c r="T5" s="23">
        <v>911716.17759466905</v>
      </c>
      <c r="U5" s="33">
        <v>80.433217461507454</v>
      </c>
      <c r="V5" s="5">
        <v>11</v>
      </c>
      <c r="W5" s="23">
        <v>100</v>
      </c>
      <c r="X5" s="33">
        <v>195.2505038279503</v>
      </c>
      <c r="Y5" s="23">
        <v>43.565192717710545</v>
      </c>
      <c r="Z5" s="5">
        <v>4920.6767000271066</v>
      </c>
      <c r="AA5" s="35"/>
    </row>
    <row r="6" spans="2:27" x14ac:dyDescent="0.2">
      <c r="B6" s="4">
        <v>3</v>
      </c>
      <c r="C6" s="4">
        <v>199</v>
      </c>
      <c r="D6" s="23">
        <v>968127.96556841256</v>
      </c>
      <c r="E6" s="33">
        <v>94.729488923017385</v>
      </c>
      <c r="F6" s="5">
        <v>11</v>
      </c>
      <c r="G6" s="23">
        <v>96</v>
      </c>
      <c r="H6" s="33">
        <v>148.27568864938823</v>
      </c>
      <c r="I6" s="23">
        <v>41.044499047729481</v>
      </c>
      <c r="J6" s="5">
        <v>4730.6926525659665</v>
      </c>
      <c r="K6" s="31"/>
      <c r="L6" s="23">
        <v>1634386.9360065709</v>
      </c>
      <c r="M6" s="33">
        <v>135.63303623079824</v>
      </c>
      <c r="N6" s="5">
        <v>10</v>
      </c>
      <c r="O6" s="23">
        <v>62</v>
      </c>
      <c r="P6" s="33">
        <v>0.62480975749251655</v>
      </c>
      <c r="Q6" s="23">
        <v>22.692243089238161</v>
      </c>
      <c r="R6" s="5">
        <v>3591.8889422130919</v>
      </c>
      <c r="S6" s="35"/>
      <c r="T6" s="23">
        <v>911716.17759466905</v>
      </c>
      <c r="U6" s="33">
        <v>96.208343307684686</v>
      </c>
      <c r="V6" s="5">
        <v>11</v>
      </c>
      <c r="W6" s="23">
        <v>100</v>
      </c>
      <c r="X6" s="33">
        <v>195.2505038279503</v>
      </c>
      <c r="Y6" s="23">
        <v>43.565192717710545</v>
      </c>
      <c r="Z6" s="5">
        <v>4920.6767000271066</v>
      </c>
      <c r="AA6" s="35"/>
    </row>
    <row r="7" spans="2:27" x14ac:dyDescent="0.2">
      <c r="B7" s="4">
        <v>4</v>
      </c>
      <c r="C7" s="4">
        <v>229</v>
      </c>
      <c r="D7" s="23">
        <v>968127.96556841256</v>
      </c>
      <c r="E7" s="33">
        <v>165.76878069237307</v>
      </c>
      <c r="F7" s="5">
        <v>11</v>
      </c>
      <c r="G7" s="23">
        <v>96</v>
      </c>
      <c r="H7" s="33">
        <v>148.27568864938823</v>
      </c>
      <c r="I7" s="23">
        <v>41.044499047729481</v>
      </c>
      <c r="J7" s="5">
        <v>4730.6926525659665</v>
      </c>
      <c r="K7" s="31"/>
      <c r="L7" s="23">
        <v>1617424.802002168</v>
      </c>
      <c r="M7" s="33">
        <v>253.98094530763606</v>
      </c>
      <c r="N7" s="5">
        <v>10</v>
      </c>
      <c r="O7" s="23">
        <v>62</v>
      </c>
      <c r="P7" s="33">
        <v>0</v>
      </c>
      <c r="Q7" s="23">
        <v>23.160036944472957</v>
      </c>
      <c r="R7" s="5">
        <v>3444.5373225067488</v>
      </c>
      <c r="S7" s="35"/>
      <c r="T7" s="23">
        <v>911716.17759466905</v>
      </c>
      <c r="U7" s="33">
        <v>96.602388230743458</v>
      </c>
      <c r="V7" s="5">
        <v>11</v>
      </c>
      <c r="W7" s="23">
        <v>100</v>
      </c>
      <c r="X7" s="33">
        <v>195.2505038279503</v>
      </c>
      <c r="Y7" s="23">
        <v>43.565192717710545</v>
      </c>
      <c r="Z7" s="5">
        <v>4920.6767000271066</v>
      </c>
      <c r="AA7" s="35"/>
    </row>
    <row r="8" spans="2:27" x14ac:dyDescent="0.2">
      <c r="B8" s="4">
        <v>5</v>
      </c>
      <c r="C8" s="4">
        <v>472</v>
      </c>
      <c r="D8" s="23">
        <v>1029035.6278008739</v>
      </c>
      <c r="E8" s="33">
        <v>197.36991199996106</v>
      </c>
      <c r="F8" s="5">
        <v>12</v>
      </c>
      <c r="G8" s="23">
        <v>96</v>
      </c>
      <c r="H8" s="33">
        <v>231.88850890096572</v>
      </c>
      <c r="I8" s="23">
        <v>37.458197806659051</v>
      </c>
      <c r="J8" s="5">
        <v>4944.0919529934436</v>
      </c>
      <c r="K8" s="31"/>
      <c r="L8" s="23">
        <v>1633907.0234811369</v>
      </c>
      <c r="M8" s="33">
        <v>147.11836592303231</v>
      </c>
      <c r="N8" s="5">
        <v>10</v>
      </c>
      <c r="O8" s="23">
        <v>62</v>
      </c>
      <c r="P8" s="33">
        <v>0.62480975749251655</v>
      </c>
      <c r="Q8" s="23">
        <v>22.862523606407091</v>
      </c>
      <c r="R8" s="5">
        <v>3595.0017782782465</v>
      </c>
      <c r="S8" s="35"/>
      <c r="T8" s="23">
        <v>911716.17759466905</v>
      </c>
      <c r="U8" s="33">
        <v>115.96086684614421</v>
      </c>
      <c r="V8" s="5">
        <v>11</v>
      </c>
      <c r="W8" s="23">
        <v>100</v>
      </c>
      <c r="X8" s="33">
        <v>195.2505038279503</v>
      </c>
      <c r="Y8" s="23">
        <v>43.565192717710545</v>
      </c>
      <c r="Z8" s="5">
        <v>4920.6767000271066</v>
      </c>
      <c r="AA8" s="35"/>
    </row>
    <row r="9" spans="2:27" x14ac:dyDescent="0.2">
      <c r="B9" s="4">
        <v>6</v>
      </c>
      <c r="C9" s="4">
        <v>634</v>
      </c>
      <c r="D9" s="23">
        <v>968127.96556841256</v>
      </c>
      <c r="E9" s="33">
        <v>269.12330561541376</v>
      </c>
      <c r="F9" s="5">
        <v>11</v>
      </c>
      <c r="G9" s="23">
        <v>96</v>
      </c>
      <c r="H9" s="33">
        <v>148.27568864938823</v>
      </c>
      <c r="I9" s="23">
        <v>41.044499047729481</v>
      </c>
      <c r="J9" s="5">
        <v>4730.6926525659665</v>
      </c>
      <c r="K9" s="31"/>
      <c r="L9" s="23">
        <v>1638936.5959322869</v>
      </c>
      <c r="M9" s="33">
        <v>179.82897699998622</v>
      </c>
      <c r="N9" s="5">
        <v>10</v>
      </c>
      <c r="O9" s="23">
        <v>62</v>
      </c>
      <c r="P9" s="33">
        <v>3.0938243733175783</v>
      </c>
      <c r="Q9" s="23">
        <v>23.853830713495473</v>
      </c>
      <c r="R9" s="5">
        <v>3697.8535069085606</v>
      </c>
      <c r="S9" s="35"/>
      <c r="T9" s="23">
        <v>903666.85992505995</v>
      </c>
      <c r="U9" s="33">
        <v>122.08312546153769</v>
      </c>
      <c r="V9" s="5">
        <v>12</v>
      </c>
      <c r="W9" s="23">
        <v>100</v>
      </c>
      <c r="X9" s="33">
        <v>123.82245991829205</v>
      </c>
      <c r="Y9" s="23">
        <v>40.016118557065731</v>
      </c>
      <c r="Z9" s="5">
        <v>4791.6319568062218</v>
      </c>
      <c r="AA9" s="35"/>
    </row>
    <row r="10" spans="2:27" x14ac:dyDescent="0.2">
      <c r="B10" s="4">
        <v>7</v>
      </c>
      <c r="C10" s="4">
        <v>748</v>
      </c>
      <c r="D10" s="23">
        <v>986432.44844475493</v>
      </c>
      <c r="E10" s="33">
        <v>122.43891207689344</v>
      </c>
      <c r="F10" s="5">
        <v>10</v>
      </c>
      <c r="G10" s="23">
        <v>96</v>
      </c>
      <c r="H10" s="33">
        <v>200.44797504472541</v>
      </c>
      <c r="I10" s="23">
        <v>44.573430423460422</v>
      </c>
      <c r="J10" s="5">
        <v>4927.9575088772144</v>
      </c>
      <c r="K10" s="31"/>
      <c r="L10" s="23">
        <v>1643804.443320418</v>
      </c>
      <c r="M10" s="33">
        <v>118.09019869229255</v>
      </c>
      <c r="N10" s="5">
        <v>10</v>
      </c>
      <c r="O10" s="23">
        <v>62</v>
      </c>
      <c r="P10" s="33">
        <v>4.6881371567680459</v>
      </c>
      <c r="Q10" s="23">
        <v>22.746239090600167</v>
      </c>
      <c r="R10" s="5">
        <v>3692.3954863430631</v>
      </c>
      <c r="S10" s="35"/>
      <c r="T10" s="23">
        <v>911716.17759466905</v>
      </c>
      <c r="U10" s="33">
        <v>95.701720615436997</v>
      </c>
      <c r="V10" s="5">
        <v>11</v>
      </c>
      <c r="W10" s="23">
        <v>100</v>
      </c>
      <c r="X10" s="33">
        <v>195.2505038279503</v>
      </c>
      <c r="Y10" s="23">
        <v>43.565192717710545</v>
      </c>
      <c r="Z10" s="5">
        <v>4920.6767000271066</v>
      </c>
      <c r="AA10" s="35"/>
    </row>
    <row r="11" spans="2:27" x14ac:dyDescent="0.2">
      <c r="B11" s="4">
        <v>8</v>
      </c>
      <c r="C11" s="4">
        <v>767</v>
      </c>
      <c r="D11" s="23">
        <v>1031992.629923077</v>
      </c>
      <c r="E11" s="33">
        <v>117.32684092309614</v>
      </c>
      <c r="F11" s="5">
        <v>12</v>
      </c>
      <c r="G11" s="23">
        <v>96</v>
      </c>
      <c r="H11" s="33">
        <v>226.19872059087209</v>
      </c>
      <c r="I11" s="23">
        <v>37.458197806659051</v>
      </c>
      <c r="J11" s="5">
        <v>4975.6345834017447</v>
      </c>
      <c r="K11" s="31"/>
      <c r="L11" s="23">
        <v>1617803.2705675061</v>
      </c>
      <c r="M11" s="33">
        <v>122.16545784613115</v>
      </c>
      <c r="N11" s="5">
        <v>10</v>
      </c>
      <c r="O11" s="23">
        <v>62</v>
      </c>
      <c r="P11" s="33">
        <v>0</v>
      </c>
      <c r="Q11" s="23">
        <v>23.102300866842942</v>
      </c>
      <c r="R11" s="5">
        <v>3430.858380680299</v>
      </c>
      <c r="S11" s="35"/>
      <c r="T11" s="23">
        <v>966781.66901239008</v>
      </c>
      <c r="U11" s="33">
        <v>118.519678615356</v>
      </c>
      <c r="V11" s="5">
        <v>12</v>
      </c>
      <c r="W11" s="23">
        <v>100</v>
      </c>
      <c r="X11" s="33">
        <v>253.01785946847721</v>
      </c>
      <c r="Y11" s="23">
        <v>40.155713598065383</v>
      </c>
      <c r="Z11" s="5">
        <v>5099.0269899136492</v>
      </c>
      <c r="AA11" s="35"/>
    </row>
    <row r="12" spans="2:27" x14ac:dyDescent="0.2">
      <c r="B12" s="4">
        <v>9</v>
      </c>
      <c r="C12" s="4">
        <v>930</v>
      </c>
      <c r="D12" s="23">
        <v>1040196.868565167</v>
      </c>
      <c r="E12" s="33">
        <v>144.2765249230433</v>
      </c>
      <c r="F12" s="5">
        <v>12</v>
      </c>
      <c r="G12" s="23">
        <v>96</v>
      </c>
      <c r="H12" s="33">
        <v>220.20657769523217</v>
      </c>
      <c r="I12" s="23">
        <v>37.686447129986611</v>
      </c>
      <c r="J12" s="5">
        <v>5016.5383587650103</v>
      </c>
      <c r="K12" s="31"/>
      <c r="L12" s="23">
        <v>1618279.463380221</v>
      </c>
      <c r="M12" s="33">
        <v>130.96031107689038</v>
      </c>
      <c r="N12" s="5">
        <v>10</v>
      </c>
      <c r="O12" s="23">
        <v>62</v>
      </c>
      <c r="P12" s="33">
        <v>1.5142027664369966</v>
      </c>
      <c r="Q12" s="23">
        <v>23.728895146027757</v>
      </c>
      <c r="R12" s="5">
        <v>3475.0213383042637</v>
      </c>
      <c r="S12" s="35"/>
      <c r="T12" s="23">
        <v>903318.01995560667</v>
      </c>
      <c r="U12" s="33">
        <v>138.62031399997738</v>
      </c>
      <c r="V12" s="5">
        <v>12</v>
      </c>
      <c r="W12" s="23">
        <v>100</v>
      </c>
      <c r="X12" s="33">
        <v>127.13380584361585</v>
      </c>
      <c r="Y12" s="23">
        <v>40.056487338090449</v>
      </c>
      <c r="Z12" s="5">
        <v>4786.6881762947623</v>
      </c>
      <c r="AA12" s="35"/>
    </row>
    <row r="13" spans="2:27" x14ac:dyDescent="0.2">
      <c r="B13" s="4">
        <v>10</v>
      </c>
      <c r="C13" s="4">
        <v>996</v>
      </c>
      <c r="D13" s="23">
        <v>1065543.2000822199</v>
      </c>
      <c r="E13" s="33">
        <v>112.03921823081777</v>
      </c>
      <c r="F13" s="5">
        <v>11</v>
      </c>
      <c r="G13" s="23">
        <v>96</v>
      </c>
      <c r="H13" s="33">
        <v>290.95749174819258</v>
      </c>
      <c r="I13" s="23">
        <v>41.369414160292223</v>
      </c>
      <c r="J13" s="5">
        <v>5268.3047633131764</v>
      </c>
      <c r="K13" s="31"/>
      <c r="L13" s="23">
        <v>1630383.6950342651</v>
      </c>
      <c r="M13" s="33">
        <v>481.12974469227572</v>
      </c>
      <c r="N13" s="5">
        <v>10</v>
      </c>
      <c r="O13" s="23">
        <v>62</v>
      </c>
      <c r="P13" s="33">
        <v>44.882758650525432</v>
      </c>
      <c r="Q13" s="23">
        <v>23.79854449307151</v>
      </c>
      <c r="R13" s="5">
        <v>3573.5418106139941</v>
      </c>
      <c r="S13" s="35"/>
      <c r="T13" s="23">
        <v>911716.17759466905</v>
      </c>
      <c r="U13" s="33">
        <v>128.03054561534037</v>
      </c>
      <c r="V13" s="5">
        <v>11</v>
      </c>
      <c r="W13" s="23">
        <v>100</v>
      </c>
      <c r="X13" s="33">
        <v>195.2505038279503</v>
      </c>
      <c r="Y13" s="23">
        <v>43.565192717710545</v>
      </c>
      <c r="Z13" s="5">
        <v>4920.6767000271066</v>
      </c>
      <c r="AA13" s="35"/>
    </row>
    <row r="14" spans="2:27" x14ac:dyDescent="0.2">
      <c r="B14" s="50" t="s">
        <v>3</v>
      </c>
      <c r="C14" s="51"/>
      <c r="D14" s="9">
        <f>MIN(D4:D13)</f>
        <v>968127.96556841256</v>
      </c>
      <c r="E14" s="22">
        <f>INDEX(E4:E13, MATCH($D$14, D4:D13, 0))</f>
        <v>110.66876407685831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148.27568864938823</v>
      </c>
      <c r="I14" s="22">
        <f>INDEX(I4:I13, MATCH($D$14, D4:D13, 0))</f>
        <v>41.044499047729481</v>
      </c>
      <c r="J14" s="22">
        <f>INDEX(J4:J13, MATCH($D$14, D4:D13, 0))</f>
        <v>4730.6926525659665</v>
      </c>
      <c r="K14" s="32" t="e">
        <f>(D14-$D$15)/$D$15</f>
        <v>#DIV/0!</v>
      </c>
      <c r="L14" s="16">
        <f>MIN(L4:L13)</f>
        <v>1617424.802002168</v>
      </c>
      <c r="M14" s="21">
        <f>INDEX(M4:M13, MATCH($L$14, L4:L13, 0))</f>
        <v>253.98094530763606</v>
      </c>
      <c r="N14" s="16">
        <f>INDEX(N4:N13, MATCH($L$14, L4:L13, 0))</f>
        <v>10</v>
      </c>
      <c r="O14" s="16">
        <f>INDEX(O4:O13, MATCH($L$14, L4:L13, 0))</f>
        <v>62</v>
      </c>
      <c r="P14" s="21">
        <f>INDEX(P4:P13, MATCH($L$14, L4:L13, 0))</f>
        <v>0</v>
      </c>
      <c r="Q14" s="21">
        <f>INDEX(Q4:Q13, MATCH($L$14, L4:L13, 0))</f>
        <v>23.160036944472957</v>
      </c>
      <c r="R14" s="21">
        <f>INDEX(R4:R13, MATCH($L$14, L4:L13, 0))</f>
        <v>3444.5373225067488</v>
      </c>
      <c r="S14" s="36" t="e">
        <f>(L14-$D$15)/$D$15</f>
        <v>#DIV/0!</v>
      </c>
      <c r="T14" s="38">
        <f>MIN(T4:T13)</f>
        <v>903318.01995560667</v>
      </c>
      <c r="U14" s="39">
        <f>INDEX(U4:U13, MATCH($T$14, T4:T13, 0))</f>
        <v>138.62031399997738</v>
      </c>
      <c r="V14" s="38">
        <f>INDEX(V4:V13, MATCH($T$14, T4:T13, 0))</f>
        <v>12</v>
      </c>
      <c r="W14" s="38">
        <f>INDEX(W4:W13, MATCH($T$14, T4:T13, 0))</f>
        <v>100</v>
      </c>
      <c r="X14" s="39">
        <f>INDEX(X4:X13, MATCH($T$14, T4:T13, 0))</f>
        <v>127.13380584361585</v>
      </c>
      <c r="Y14" s="39">
        <f>INDEX(Y4:Y13, MATCH($T$14, T4:T13, 0))</f>
        <v>40.056487338090449</v>
      </c>
      <c r="Z14" s="39">
        <f>INDEX(Z4:Z13, MATCH($T$14, T4:T13, 0))</f>
        <v>4786.6881762947623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0.67067253454716269</v>
      </c>
      <c r="M15" s="41">
        <f t="shared" ref="M15:R15" si="0">(M14-E14)/E14</f>
        <v>1.2949650466074505</v>
      </c>
      <c r="N15" s="41">
        <f t="shared" si="0"/>
        <v>-9.0909090909090912E-2</v>
      </c>
      <c r="O15" s="41">
        <f t="shared" si="0"/>
        <v>-0.35416666666666669</v>
      </c>
      <c r="P15" s="41">
        <f t="shared" si="0"/>
        <v>-1</v>
      </c>
      <c r="Q15" s="41">
        <f t="shared" si="0"/>
        <v>-0.43573347265023732</v>
      </c>
      <c r="R15" s="41">
        <f t="shared" si="0"/>
        <v>-0.27187463327629124</v>
      </c>
      <c r="T15" s="41">
        <f>(T14-D14)/D14</f>
        <v>-6.6943573492120254E-2</v>
      </c>
      <c r="U15" s="41">
        <f t="shared" ref="U15:Z15" si="1">(U14-E14)/E14</f>
        <v>0.25256945947012666</v>
      </c>
      <c r="V15" s="41">
        <f t="shared" si="1"/>
        <v>9.0909090909090912E-2</v>
      </c>
      <c r="W15" s="41">
        <f t="shared" si="1"/>
        <v>4.1666666666666664E-2</v>
      </c>
      <c r="X15" s="41">
        <f t="shared" si="1"/>
        <v>-0.1425849577793184</v>
      </c>
      <c r="Y15" s="41">
        <f t="shared" si="1"/>
        <v>-2.4071720512171473E-2</v>
      </c>
      <c r="Z15" s="41">
        <f t="shared" si="1"/>
        <v>1.1836643773174201E-2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</sheetData>
  <mergeCells count="1">
    <mergeCell ref="B14:C14"/>
  </mergeCells>
  <conditionalFormatting sqref="C1 C16 C3 C36:C1048576">
    <cfRule type="duplicateValues" dxfId="139" priority="11"/>
    <cfRule type="duplicateValues" dxfId="138" priority="12"/>
  </conditionalFormatting>
  <conditionalFormatting sqref="C2">
    <cfRule type="duplicateValues" dxfId="137" priority="3"/>
    <cfRule type="duplicateValues" dxfId="136" priority="4"/>
  </conditionalFormatting>
  <conditionalFormatting sqref="C4:C13">
    <cfRule type="duplicateValues" dxfId="135" priority="5"/>
    <cfRule type="duplicateValues" dxfId="134" priority="6"/>
  </conditionalFormatting>
  <conditionalFormatting sqref="C14">
    <cfRule type="duplicateValues" dxfId="133" priority="9"/>
    <cfRule type="duplicateValues" dxfId="132" priority="10"/>
  </conditionalFormatting>
  <conditionalFormatting sqref="C15">
    <cfRule type="duplicateValues" dxfId="131" priority="7"/>
    <cfRule type="duplicateValues" dxfId="130" priority="8"/>
  </conditionalFormatting>
  <conditionalFormatting sqref="C17:C35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96A0-5A68-4696-AC9B-FD4AB17AC7C4}">
  <dimension ref="B1:AA17"/>
  <sheetViews>
    <sheetView zoomScale="90" zoomScaleNormal="90" workbookViewId="0">
      <selection activeCell="U20" sqref="U20:U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-0.68765059394862593</v>
      </c>
      <c r="R2" s="1">
        <f>(R14-J14)/J14</f>
        <v>-0.20189833444650071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57</v>
      </c>
      <c r="D4" s="23">
        <v>1280681.1210966869</v>
      </c>
      <c r="E4" s="33">
        <v>114.18495884612915</v>
      </c>
      <c r="F4" s="5">
        <v>16</v>
      </c>
      <c r="G4" s="23">
        <v>95.333333333333329</v>
      </c>
      <c r="H4" s="33">
        <v>733.30132009796887</v>
      </c>
      <c r="I4" s="23">
        <v>38.904873232268478</v>
      </c>
      <c r="J4" s="5">
        <v>5761.4627707720665</v>
      </c>
      <c r="K4" s="31"/>
      <c r="L4" s="23">
        <v>1721075.69478515</v>
      </c>
      <c r="M4" s="33">
        <v>67.866686076875055</v>
      </c>
      <c r="N4" s="5">
        <v>10</v>
      </c>
      <c r="O4" s="23">
        <v>62.666666666666657</v>
      </c>
      <c r="P4" s="33">
        <v>201.74508831404185</v>
      </c>
      <c r="Q4" s="23">
        <v>33.187982611848582</v>
      </c>
      <c r="R4" s="5">
        <v>4639.2430027801847</v>
      </c>
      <c r="S4" s="35"/>
      <c r="T4" s="23">
        <v>1212148.1384152321</v>
      </c>
      <c r="U4" s="33">
        <v>542.62663492306058</v>
      </c>
      <c r="V4" s="5">
        <v>16</v>
      </c>
      <c r="W4" s="23">
        <v>97.333333333333329</v>
      </c>
      <c r="X4" s="33">
        <v>624.11036693631661</v>
      </c>
      <c r="Y4" s="23">
        <v>40.293353235597067</v>
      </c>
      <c r="Z4" s="5">
        <v>5720.3343064375385</v>
      </c>
      <c r="AA4" s="35"/>
    </row>
    <row r="5" spans="2:27" x14ac:dyDescent="0.2">
      <c r="B5" s="4">
        <v>2</v>
      </c>
      <c r="C5" s="4">
        <v>107</v>
      </c>
      <c r="D5" s="23">
        <v>1252153.704625743</v>
      </c>
      <c r="E5" s="33">
        <v>318.13966623077596</v>
      </c>
      <c r="F5" s="5">
        <v>17</v>
      </c>
      <c r="G5" s="23">
        <v>96</v>
      </c>
      <c r="H5" s="33">
        <v>724.07302818045559</v>
      </c>
      <c r="I5" s="23">
        <v>37.032955137792513</v>
      </c>
      <c r="J5" s="5">
        <v>5564.572901666852</v>
      </c>
      <c r="K5" s="31"/>
      <c r="L5" s="23">
        <v>1743124.4380666451</v>
      </c>
      <c r="M5" s="33">
        <v>195.51083353840599</v>
      </c>
      <c r="N5" s="5">
        <v>10</v>
      </c>
      <c r="O5" s="23">
        <v>62.666666666666657</v>
      </c>
      <c r="P5" s="33">
        <v>159.84721150140385</v>
      </c>
      <c r="Q5" s="23">
        <v>33.820686704370537</v>
      </c>
      <c r="R5" s="5">
        <v>4856.5790455802498</v>
      </c>
      <c r="S5" s="35"/>
      <c r="T5" s="23">
        <v>1167593.190240643</v>
      </c>
      <c r="U5" s="33">
        <v>238.05034692300697</v>
      </c>
      <c r="V5" s="5">
        <v>16</v>
      </c>
      <c r="W5" s="23">
        <v>98.666666666666671</v>
      </c>
      <c r="X5" s="33">
        <v>670.11285925790912</v>
      </c>
      <c r="Y5" s="23">
        <v>40.646386831227687</v>
      </c>
      <c r="Z5" s="5">
        <v>5569.6739367196224</v>
      </c>
      <c r="AA5" s="35"/>
    </row>
    <row r="6" spans="2:27" x14ac:dyDescent="0.2">
      <c r="B6" s="4">
        <v>3</v>
      </c>
      <c r="C6" s="4">
        <v>186</v>
      </c>
      <c r="D6" s="23">
        <v>1200025.2317240629</v>
      </c>
      <c r="E6" s="33">
        <v>173.91398946154644</v>
      </c>
      <c r="F6" s="5">
        <v>16</v>
      </c>
      <c r="G6" s="23">
        <v>96.666666666666671</v>
      </c>
      <c r="H6" s="33">
        <v>611.0755950545755</v>
      </c>
      <c r="I6" s="23">
        <v>40.088398618390023</v>
      </c>
      <c r="J6" s="5">
        <v>5525.7668774636077</v>
      </c>
      <c r="K6" s="31"/>
      <c r="L6" s="23">
        <v>1705388.90833952</v>
      </c>
      <c r="M6" s="33">
        <v>106.13752215384292</v>
      </c>
      <c r="N6" s="5">
        <v>10</v>
      </c>
      <c r="O6" s="23">
        <v>62.666666666666657</v>
      </c>
      <c r="P6" s="33">
        <v>164.73463816561031</v>
      </c>
      <c r="Q6" s="23">
        <v>34.260512311824741</v>
      </c>
      <c r="R6" s="5">
        <v>4504.5433409076295</v>
      </c>
      <c r="S6" s="35"/>
      <c r="T6" s="23">
        <v>1167864.308786355</v>
      </c>
      <c r="U6" s="33">
        <v>116.3062132307543</v>
      </c>
      <c r="V6" s="5">
        <v>15</v>
      </c>
      <c r="W6" s="23">
        <v>100</v>
      </c>
      <c r="X6" s="33">
        <v>724.38127855959783</v>
      </c>
      <c r="Y6" s="23">
        <v>44.64084130125395</v>
      </c>
      <c r="Z6" s="5">
        <v>5883.057537842581</v>
      </c>
      <c r="AA6" s="35"/>
    </row>
    <row r="7" spans="2:27" x14ac:dyDescent="0.2">
      <c r="B7" s="4">
        <v>4</v>
      </c>
      <c r="C7" s="4">
        <v>202</v>
      </c>
      <c r="D7" s="23">
        <v>1195874.55149322</v>
      </c>
      <c r="E7" s="33">
        <v>269.5518566154015</v>
      </c>
      <c r="F7" s="5">
        <v>15</v>
      </c>
      <c r="G7" s="23">
        <v>97.333333333333329</v>
      </c>
      <c r="H7" s="33">
        <v>687.63202542082661</v>
      </c>
      <c r="I7" s="23">
        <v>43.238451192275349</v>
      </c>
      <c r="J7" s="5">
        <v>5716.7130826593011</v>
      </c>
      <c r="K7" s="31"/>
      <c r="L7" s="23">
        <v>1715682.542138854</v>
      </c>
      <c r="M7" s="33">
        <v>93.730344076891612</v>
      </c>
      <c r="N7" s="5">
        <v>11</v>
      </c>
      <c r="O7" s="23">
        <v>61.333333333333343</v>
      </c>
      <c r="P7" s="33">
        <v>73.172377531878041</v>
      </c>
      <c r="Q7" s="23">
        <v>30.233981156268189</v>
      </c>
      <c r="R7" s="5">
        <v>4195.1518620636289</v>
      </c>
      <c r="S7" s="35"/>
      <c r="T7" s="23">
        <v>1138300.3642712</v>
      </c>
      <c r="U7" s="33">
        <v>96.437591769231076</v>
      </c>
      <c r="V7" s="5">
        <v>16</v>
      </c>
      <c r="W7" s="23">
        <v>100</v>
      </c>
      <c r="X7" s="33">
        <v>593.51098546139235</v>
      </c>
      <c r="Y7" s="23">
        <v>41.105936340165478</v>
      </c>
      <c r="Z7" s="5">
        <v>5624.9003793069814</v>
      </c>
      <c r="AA7" s="35"/>
    </row>
    <row r="8" spans="2:27" x14ac:dyDescent="0.2">
      <c r="B8" s="4">
        <v>5</v>
      </c>
      <c r="C8" s="4">
        <v>232</v>
      </c>
      <c r="D8" s="23">
        <v>1269617.101655937</v>
      </c>
      <c r="E8" s="33">
        <v>176.94212353842045</v>
      </c>
      <c r="F8" s="5">
        <v>15</v>
      </c>
      <c r="G8" s="23">
        <v>97.333333333333329</v>
      </c>
      <c r="H8" s="33">
        <v>886.87303099481744</v>
      </c>
      <c r="I8" s="23">
        <v>42.143685035860436</v>
      </c>
      <c r="J8" s="5">
        <v>6045.4754456061328</v>
      </c>
      <c r="K8" s="31"/>
      <c r="L8" s="23">
        <v>1694663.374621457</v>
      </c>
      <c r="M8" s="33">
        <v>85.695166153779539</v>
      </c>
      <c r="N8" s="5">
        <v>10</v>
      </c>
      <c r="O8" s="23">
        <v>62.666666666666657</v>
      </c>
      <c r="P8" s="33">
        <v>172.68960074552098</v>
      </c>
      <c r="Q8" s="23">
        <v>33.969785289549911</v>
      </c>
      <c r="R8" s="5">
        <v>4388.3557709215474</v>
      </c>
      <c r="S8" s="35"/>
      <c r="T8" s="23">
        <v>1195682.161359892</v>
      </c>
      <c r="U8" s="33">
        <v>222.15108192310882</v>
      </c>
      <c r="V8" s="5">
        <v>15</v>
      </c>
      <c r="W8" s="23">
        <v>100</v>
      </c>
      <c r="X8" s="33">
        <v>817.87372823362568</v>
      </c>
      <c r="Y8" s="23">
        <v>44.209480523150361</v>
      </c>
      <c r="Z8" s="5">
        <v>5980.8977859404113</v>
      </c>
      <c r="AA8" s="35"/>
    </row>
    <row r="9" spans="2:27" x14ac:dyDescent="0.2">
      <c r="B9" s="4">
        <v>6</v>
      </c>
      <c r="C9" s="4">
        <v>234</v>
      </c>
      <c r="D9" s="23">
        <v>1171722.7209426111</v>
      </c>
      <c r="E9" s="33">
        <v>274.61161923075383</v>
      </c>
      <c r="F9" s="5">
        <v>16</v>
      </c>
      <c r="G9" s="23">
        <v>97.333333333333329</v>
      </c>
      <c r="H9" s="33">
        <v>552.87315230917284</v>
      </c>
      <c r="I9" s="23">
        <v>39.68895058554655</v>
      </c>
      <c r="J9" s="5">
        <v>5498.4921850503042</v>
      </c>
      <c r="K9" s="31"/>
      <c r="L9" s="23">
        <v>1702486.2764175341</v>
      </c>
      <c r="M9" s="33">
        <v>113.79743784621283</v>
      </c>
      <c r="N9" s="5">
        <v>10</v>
      </c>
      <c r="O9" s="23">
        <v>62.666666666666657</v>
      </c>
      <c r="P9" s="33">
        <v>134.42945770199489</v>
      </c>
      <c r="Q9" s="23">
        <v>33.993192758683065</v>
      </c>
      <c r="R9" s="5">
        <v>4498.618815987752</v>
      </c>
      <c r="S9" s="35"/>
      <c r="T9" s="23">
        <v>1208651.8083069669</v>
      </c>
      <c r="U9" s="33">
        <v>232.766379230799</v>
      </c>
      <c r="V9" s="5">
        <v>16</v>
      </c>
      <c r="W9" s="23">
        <v>98</v>
      </c>
      <c r="X9" s="33">
        <v>808.17295013450428</v>
      </c>
      <c r="Y9" s="23">
        <v>39.861920333383608</v>
      </c>
      <c r="Z9" s="5">
        <v>5651.6496026872564</v>
      </c>
      <c r="AA9" s="35"/>
    </row>
    <row r="10" spans="2:27" x14ac:dyDescent="0.2">
      <c r="B10" s="4">
        <v>7</v>
      </c>
      <c r="C10" s="4">
        <v>385</v>
      </c>
      <c r="D10" s="23">
        <v>1199176.476264515</v>
      </c>
      <c r="E10" s="33">
        <v>210.84975484615339</v>
      </c>
      <c r="F10" s="5">
        <v>15</v>
      </c>
      <c r="G10" s="23">
        <v>97.333333333333329</v>
      </c>
      <c r="H10" s="33">
        <v>684.88362185811638</v>
      </c>
      <c r="I10" s="23">
        <v>42.229938727119269</v>
      </c>
      <c r="J10" s="5">
        <v>5700.5202672705091</v>
      </c>
      <c r="K10" s="31"/>
      <c r="L10" s="23">
        <v>1729902.298237575</v>
      </c>
      <c r="M10" s="33">
        <v>88.855953769256843</v>
      </c>
      <c r="N10" s="5">
        <v>11</v>
      </c>
      <c r="O10" s="23">
        <v>62.666666666666657</v>
      </c>
      <c r="P10" s="33">
        <v>150.01566563586769</v>
      </c>
      <c r="Q10" s="23">
        <v>30.068225881602515</v>
      </c>
      <c r="R10" s="5">
        <v>4548.3594917586679</v>
      </c>
      <c r="S10" s="35"/>
      <c r="T10" s="23">
        <v>1148188.334694871</v>
      </c>
      <c r="U10" s="33">
        <v>250.06722400000743</v>
      </c>
      <c r="V10" s="5">
        <v>15</v>
      </c>
      <c r="W10" s="23">
        <v>98.666666666666671</v>
      </c>
      <c r="X10" s="33">
        <v>567.28920352396358</v>
      </c>
      <c r="Y10" s="23">
        <v>43.384678876630154</v>
      </c>
      <c r="Z10" s="5">
        <v>5613.9932533449946</v>
      </c>
      <c r="AA10" s="35"/>
    </row>
    <row r="11" spans="2:27" x14ac:dyDescent="0.2">
      <c r="B11" s="4">
        <v>8</v>
      </c>
      <c r="C11" s="4">
        <v>576</v>
      </c>
      <c r="D11" s="23">
        <v>1228006.3899969719</v>
      </c>
      <c r="E11" s="33">
        <v>263.00417484617077</v>
      </c>
      <c r="F11" s="5">
        <v>14</v>
      </c>
      <c r="G11" s="23">
        <v>96</v>
      </c>
      <c r="H11" s="33">
        <v>728.9454375853295</v>
      </c>
      <c r="I11" s="23">
        <v>43.905044641544769</v>
      </c>
      <c r="J11" s="5">
        <v>5806.2910518564559</v>
      </c>
      <c r="K11" s="31"/>
      <c r="L11" s="23">
        <v>1705050.6440267549</v>
      </c>
      <c r="M11" s="33">
        <v>101.53024238462631</v>
      </c>
      <c r="N11" s="5">
        <v>10</v>
      </c>
      <c r="O11" s="23">
        <v>62.666666666666657</v>
      </c>
      <c r="P11" s="33">
        <v>146.50809924453549</v>
      </c>
      <c r="Q11" s="23">
        <v>33.549298209844089</v>
      </c>
      <c r="R11" s="5">
        <v>4520.8883946385649</v>
      </c>
      <c r="S11" s="35"/>
      <c r="T11" s="23">
        <v>1189719.620611618</v>
      </c>
      <c r="U11" s="33">
        <v>142.32724946153422</v>
      </c>
      <c r="V11" s="5">
        <v>16</v>
      </c>
      <c r="W11" s="23">
        <v>100</v>
      </c>
      <c r="X11" s="33">
        <v>737.05797204528744</v>
      </c>
      <c r="Y11" s="23">
        <v>40.85455686076169</v>
      </c>
      <c r="Z11" s="5">
        <v>5820.4697359848915</v>
      </c>
      <c r="AA11" s="35"/>
    </row>
    <row r="12" spans="2:27" x14ac:dyDescent="0.2">
      <c r="B12" s="4">
        <v>9</v>
      </c>
      <c r="C12" s="4">
        <v>594</v>
      </c>
      <c r="D12" s="23">
        <v>1185839.3651102521</v>
      </c>
      <c r="E12" s="33">
        <v>262.34278969224897</v>
      </c>
      <c r="F12" s="5">
        <v>15</v>
      </c>
      <c r="G12" s="23">
        <v>96.666666666666671</v>
      </c>
      <c r="H12" s="33">
        <v>633.10958565160763</v>
      </c>
      <c r="I12" s="23">
        <v>42.066728622129048</v>
      </c>
      <c r="J12" s="5">
        <v>5564.7176633644267</v>
      </c>
      <c r="K12" s="31"/>
      <c r="L12" s="23">
        <v>1710408.696023423</v>
      </c>
      <c r="M12" s="33">
        <v>143.13292707692693</v>
      </c>
      <c r="N12" s="5">
        <v>10</v>
      </c>
      <c r="O12" s="23">
        <v>62.666666666666657</v>
      </c>
      <c r="P12" s="33">
        <v>114.02019473323115</v>
      </c>
      <c r="Q12" s="23">
        <v>34.079186319771019</v>
      </c>
      <c r="R12" s="5">
        <v>4612.6678133085061</v>
      </c>
      <c r="S12" s="35"/>
      <c r="T12" s="23">
        <v>1150546.3931213941</v>
      </c>
      <c r="U12" s="33">
        <v>269.50073284616406</v>
      </c>
      <c r="V12" s="5">
        <v>14</v>
      </c>
      <c r="W12" s="23">
        <v>98.666666666666671</v>
      </c>
      <c r="X12" s="33">
        <v>679.83849792549563</v>
      </c>
      <c r="Y12" s="23">
        <v>46.579568634901555</v>
      </c>
      <c r="Z12" s="5">
        <v>5721.7316587168898</v>
      </c>
      <c r="AA12" s="35"/>
    </row>
    <row r="13" spans="2:27" x14ac:dyDescent="0.2">
      <c r="B13" s="4">
        <v>10</v>
      </c>
      <c r="C13" s="4">
        <v>912</v>
      </c>
      <c r="D13" s="23">
        <v>1261692.9026187391</v>
      </c>
      <c r="E13" s="33">
        <v>118.11249299995747</v>
      </c>
      <c r="F13" s="5">
        <v>16</v>
      </c>
      <c r="G13" s="23">
        <v>96.666666666666671</v>
      </c>
      <c r="H13" s="33">
        <v>807.19655192424</v>
      </c>
      <c r="I13" s="23">
        <v>40.074748015964047</v>
      </c>
      <c r="J13" s="5">
        <v>5813.0611014275755</v>
      </c>
      <c r="K13" s="31"/>
      <c r="L13" s="23">
        <v>1721799.036508752</v>
      </c>
      <c r="M13" s="33">
        <v>150.20508153838676</v>
      </c>
      <c r="N13" s="5">
        <v>11</v>
      </c>
      <c r="O13" s="23">
        <v>62.666666666666657</v>
      </c>
      <c r="P13" s="33">
        <v>154.93269857909814</v>
      </c>
      <c r="Q13" s="23">
        <v>31.25804432848124</v>
      </c>
      <c r="R13" s="5">
        <v>4492.7927549406222</v>
      </c>
      <c r="S13" s="35"/>
      <c r="T13" s="23">
        <v>1153769.6056616539</v>
      </c>
      <c r="U13" s="33">
        <v>356.19089523079589</v>
      </c>
      <c r="V13" s="5">
        <v>16</v>
      </c>
      <c r="W13" s="23">
        <v>100</v>
      </c>
      <c r="X13" s="33">
        <v>649.35075314488824</v>
      </c>
      <c r="Y13" s="23">
        <v>41.065868635225151</v>
      </c>
      <c r="Z13" s="5">
        <v>5690.8824860739805</v>
      </c>
      <c r="AA13" s="35"/>
    </row>
    <row r="14" spans="2:27" x14ac:dyDescent="0.2">
      <c r="B14" s="50" t="s">
        <v>3</v>
      </c>
      <c r="C14" s="51"/>
      <c r="D14" s="9">
        <f>MIN(D4:D13)</f>
        <v>1171722.7209426111</v>
      </c>
      <c r="E14" s="22">
        <f>INDEX(E4:E13, MATCH($D$14, D4:D13, 0))</f>
        <v>274.61161923075383</v>
      </c>
      <c r="F14" s="9">
        <f>INDEX(F4:F13, MATCH($D$14, D4:D13, 0))</f>
        <v>16</v>
      </c>
      <c r="G14" s="9">
        <f>INDEX(G4:G13, MATCH($D$14, D4:D13, 0))</f>
        <v>97.333333333333329</v>
      </c>
      <c r="H14" s="22">
        <f>INDEX(H4:H13, MATCH($D$14, D4:D13, 0))</f>
        <v>552.87315230917284</v>
      </c>
      <c r="I14" s="22">
        <f>INDEX(I4:I13, MATCH($D$14, D4:D13, 0))</f>
        <v>39.68895058554655</v>
      </c>
      <c r="J14" s="22">
        <f>INDEX(J4:J13, MATCH($D$14, D4:D13, 0))</f>
        <v>5498.4921850503042</v>
      </c>
      <c r="K14" s="32" t="e">
        <f>(D14-$D$15)/$D$15</f>
        <v>#DIV/0!</v>
      </c>
      <c r="L14" s="16">
        <f>MIN(L4:L13)</f>
        <v>1694663.374621457</v>
      </c>
      <c r="M14" s="21">
        <f>INDEX(M4:M13, MATCH($L$14, L4:L13, 0))</f>
        <v>85.695166153779539</v>
      </c>
      <c r="N14" s="16">
        <f>INDEX(N4:N13, MATCH($L$14, L4:L13, 0))</f>
        <v>10</v>
      </c>
      <c r="O14" s="16">
        <f>INDEX(O4:O13, MATCH($L$14, L4:L13, 0))</f>
        <v>62.666666666666657</v>
      </c>
      <c r="P14" s="21">
        <f>INDEX(P4:P13, MATCH($L$14, L4:L13, 0))</f>
        <v>172.68960074552098</v>
      </c>
      <c r="Q14" s="21">
        <f>INDEX(Q4:Q13, MATCH($L$14, L4:L13, 0))</f>
        <v>33.969785289549911</v>
      </c>
      <c r="R14" s="21">
        <f>INDEX(R4:R13, MATCH($L$14, L4:L13, 0))</f>
        <v>4388.3557709215474</v>
      </c>
      <c r="S14" s="36" t="e">
        <f>(L14-$D$15)/$D$15</f>
        <v>#DIV/0!</v>
      </c>
      <c r="T14" s="38">
        <f>MIN(T4:T13)</f>
        <v>1138300.3642712</v>
      </c>
      <c r="U14" s="39">
        <f>INDEX(U4:U13, MATCH($T$14, T4:T13, 0))</f>
        <v>96.437591769231076</v>
      </c>
      <c r="V14" s="38">
        <f>INDEX(V4:V13, MATCH($T$14, T4:T13, 0))</f>
        <v>16</v>
      </c>
      <c r="W14" s="38">
        <f>INDEX(W4:W13, MATCH($T$14, T4:T13, 0))</f>
        <v>100</v>
      </c>
      <c r="X14" s="39">
        <f>INDEX(X4:X13, MATCH($T$14, T4:T13, 0))</f>
        <v>593.51098546139235</v>
      </c>
      <c r="Y14" s="39">
        <f>INDEX(Y4:Y13, MATCH($T$14, T4:T13, 0))</f>
        <v>41.105936340165478</v>
      </c>
      <c r="Z14" s="39">
        <f>INDEX(Z4:Z13, MATCH($T$14, T4:T13, 0))</f>
        <v>5624.9003793069814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0.44630068559066421</v>
      </c>
      <c r="M15" s="41">
        <f t="shared" ref="M15:R15" si="0">(M14-E14)/E14</f>
        <v>-0.68794049431036408</v>
      </c>
      <c r="N15" s="41">
        <f t="shared" si="0"/>
        <v>-0.375</v>
      </c>
      <c r="O15" s="41">
        <f t="shared" si="0"/>
        <v>-0.35616438356164393</v>
      </c>
      <c r="P15" s="41">
        <f t="shared" si="0"/>
        <v>-0.68765059394862593</v>
      </c>
      <c r="Q15" s="41">
        <f t="shared" si="0"/>
        <v>-0.14409968546962229</v>
      </c>
      <c r="R15" s="41">
        <f t="shared" si="0"/>
        <v>-0.20189833444650071</v>
      </c>
      <c r="T15" s="41">
        <f>(T14-D14)/D14</f>
        <v>-2.8524117586901387E-2</v>
      </c>
      <c r="U15" s="41">
        <f t="shared" ref="U15:Z15" si="1">(U14-E14)/E14</f>
        <v>-0.64882188146527275</v>
      </c>
      <c r="V15" s="41">
        <f t="shared" si="1"/>
        <v>0</v>
      </c>
      <c r="W15" s="41">
        <f t="shared" si="1"/>
        <v>2.7397260273972653E-2</v>
      </c>
      <c r="X15" s="41">
        <f t="shared" si="1"/>
        <v>7.3502996089588352E-2</v>
      </c>
      <c r="Y15" s="41">
        <f t="shared" si="1"/>
        <v>3.5702273144378592E-2</v>
      </c>
      <c r="Z15" s="41">
        <f t="shared" si="1"/>
        <v>2.2989610606406776E-2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6:C1048576">
    <cfRule type="duplicateValues" dxfId="129" priority="11"/>
    <cfRule type="duplicateValues" dxfId="128" priority="12"/>
  </conditionalFormatting>
  <conditionalFormatting sqref="C2">
    <cfRule type="duplicateValues" dxfId="127" priority="3"/>
    <cfRule type="duplicateValues" dxfId="126" priority="4"/>
  </conditionalFormatting>
  <conditionalFormatting sqref="C4:C13">
    <cfRule type="duplicateValues" dxfId="125" priority="5"/>
    <cfRule type="duplicateValues" dxfId="124" priority="6"/>
  </conditionalFormatting>
  <conditionalFormatting sqref="C14">
    <cfRule type="duplicateValues" dxfId="123" priority="9"/>
    <cfRule type="duplicateValues" dxfId="122" priority="10"/>
  </conditionalFormatting>
  <conditionalFormatting sqref="C15">
    <cfRule type="duplicateValues" dxfId="121" priority="7"/>
    <cfRule type="duplicateValues" dxfId="120" priority="8"/>
  </conditionalFormatting>
  <conditionalFormatting sqref="C17:C35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0BAC-9010-4EB7-A509-C645931A7C55}">
  <dimension ref="B1:AA17"/>
  <sheetViews>
    <sheetView zoomScale="90" zoomScaleNormal="90" workbookViewId="0">
      <selection activeCell="U20" sqref="U20:U29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-0.99411162262775776</v>
      </c>
      <c r="R2" s="1">
        <f>(R14-J14)/J14</f>
        <v>-0.28081103976553573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41</v>
      </c>
      <c r="D4" s="23">
        <v>1170325.1112011869</v>
      </c>
      <c r="E4" s="33">
        <v>164.01283223083462</v>
      </c>
      <c r="F4" s="5">
        <v>14</v>
      </c>
      <c r="G4" s="23">
        <v>94</v>
      </c>
      <c r="H4" s="33">
        <v>305.01396819264107</v>
      </c>
      <c r="I4" s="23">
        <v>37.38867361217094</v>
      </c>
      <c r="J4" s="5">
        <v>5359.7381602944406</v>
      </c>
      <c r="K4" s="31"/>
      <c r="L4" s="23">
        <v>1731820.204196352</v>
      </c>
      <c r="M4" s="33">
        <v>123.99980730771161</v>
      </c>
      <c r="N4" s="5">
        <v>10</v>
      </c>
      <c r="O4" s="23">
        <v>58.666666666666657</v>
      </c>
      <c r="P4" s="33">
        <v>3.9432129290584967</v>
      </c>
      <c r="Q4" s="23">
        <v>28.218784056116625</v>
      </c>
      <c r="R4" s="5">
        <v>3908.557549781443</v>
      </c>
      <c r="S4" s="35"/>
      <c r="T4" s="23">
        <v>1111470.4114833481</v>
      </c>
      <c r="U4" s="33">
        <v>397.74536746151097</v>
      </c>
      <c r="V4" s="5">
        <v>15</v>
      </c>
      <c r="W4" s="23">
        <v>100</v>
      </c>
      <c r="X4" s="33">
        <v>448.8048103280409</v>
      </c>
      <c r="Y4" s="23">
        <v>38.081839535942756</v>
      </c>
      <c r="Z4" s="5">
        <v>5588.5861899722922</v>
      </c>
      <c r="AA4" s="35"/>
    </row>
    <row r="5" spans="2:27" x14ac:dyDescent="0.2">
      <c r="B5" s="4">
        <v>2</v>
      </c>
      <c r="C5" s="4">
        <v>171</v>
      </c>
      <c r="D5" s="23">
        <v>1148316.5899994089</v>
      </c>
      <c r="E5" s="33">
        <v>126.27732507696446</v>
      </c>
      <c r="F5" s="5">
        <v>13</v>
      </c>
      <c r="G5" s="23">
        <v>94</v>
      </c>
      <c r="H5" s="33">
        <v>328.83944130422299</v>
      </c>
      <c r="I5" s="23">
        <v>41.467997513292097</v>
      </c>
      <c r="J5" s="5">
        <v>5347.5358915945953</v>
      </c>
      <c r="K5" s="31"/>
      <c r="L5" s="23">
        <v>1727915.335197764</v>
      </c>
      <c r="M5" s="33">
        <v>117.70452546152785</v>
      </c>
      <c r="N5" s="5">
        <v>10</v>
      </c>
      <c r="O5" s="23">
        <v>58.666666666666657</v>
      </c>
      <c r="P5" s="33">
        <v>10.892266156141311</v>
      </c>
      <c r="Q5" s="23">
        <v>27.822611219408451</v>
      </c>
      <c r="R5" s="5">
        <v>3851.1487934833863</v>
      </c>
      <c r="S5" s="35"/>
      <c r="T5" s="23">
        <v>1079951.4375866931</v>
      </c>
      <c r="U5" s="33">
        <v>147.53021099998685</v>
      </c>
      <c r="V5" s="5">
        <v>15</v>
      </c>
      <c r="W5" s="23">
        <v>100</v>
      </c>
      <c r="X5" s="33">
        <v>458.36575746308915</v>
      </c>
      <c r="Y5" s="23">
        <v>38.23808499760888</v>
      </c>
      <c r="Z5" s="5">
        <v>5381.7302499110729</v>
      </c>
      <c r="AA5" s="35"/>
    </row>
    <row r="6" spans="2:27" x14ac:dyDescent="0.2">
      <c r="B6" s="4">
        <v>3</v>
      </c>
      <c r="C6" s="4">
        <v>263</v>
      </c>
      <c r="D6" s="23">
        <v>1141726.937281823</v>
      </c>
      <c r="E6" s="33">
        <v>371.94766284620312</v>
      </c>
      <c r="F6" s="5">
        <v>14</v>
      </c>
      <c r="G6" s="23">
        <v>94</v>
      </c>
      <c r="H6" s="33">
        <v>284.12843424466513</v>
      </c>
      <c r="I6" s="23">
        <v>38.423322876589999</v>
      </c>
      <c r="J6" s="5">
        <v>5202.2457846926009</v>
      </c>
      <c r="K6" s="31"/>
      <c r="L6" s="23">
        <v>1738083.5238509281</v>
      </c>
      <c r="M6" s="33">
        <v>261.43635761539019</v>
      </c>
      <c r="N6" s="5">
        <v>10</v>
      </c>
      <c r="O6" s="23">
        <v>58.666666666666657</v>
      </c>
      <c r="P6" s="33">
        <v>12.24183264589472</v>
      </c>
      <c r="Q6" s="23">
        <v>27.148097024240741</v>
      </c>
      <c r="R6" s="5">
        <v>3953.3265982714352</v>
      </c>
      <c r="S6" s="35"/>
      <c r="T6" s="23">
        <v>1102419.008627794</v>
      </c>
      <c r="U6" s="33">
        <v>101.82763446158229</v>
      </c>
      <c r="V6" s="5">
        <v>14</v>
      </c>
      <c r="W6" s="23">
        <v>100</v>
      </c>
      <c r="X6" s="33">
        <v>526.37783188640367</v>
      </c>
      <c r="Y6" s="23">
        <v>41.846094491138665</v>
      </c>
      <c r="Z6" s="5">
        <v>5624.752838238619</v>
      </c>
      <c r="AA6" s="35"/>
    </row>
    <row r="7" spans="2:27" x14ac:dyDescent="0.2">
      <c r="B7" s="4">
        <v>4</v>
      </c>
      <c r="C7" s="4">
        <v>299</v>
      </c>
      <c r="D7" s="23">
        <v>1145072.824623574</v>
      </c>
      <c r="E7" s="33">
        <v>307.01109215384344</v>
      </c>
      <c r="F7" s="5">
        <v>13</v>
      </c>
      <c r="G7" s="23">
        <v>94</v>
      </c>
      <c r="H7" s="33">
        <v>308.6668186090148</v>
      </c>
      <c r="I7" s="23">
        <v>41.432112602581164</v>
      </c>
      <c r="J7" s="5">
        <v>5340.9985116472035</v>
      </c>
      <c r="K7" s="31"/>
      <c r="L7" s="23">
        <v>1724060.698401459</v>
      </c>
      <c r="M7" s="33">
        <v>155.06416884609138</v>
      </c>
      <c r="N7" s="5">
        <v>10</v>
      </c>
      <c r="O7" s="23">
        <v>58.666666666666657</v>
      </c>
      <c r="P7" s="33">
        <v>10.892266156141311</v>
      </c>
      <c r="Q7" s="23">
        <v>27.658893252704349</v>
      </c>
      <c r="R7" s="5">
        <v>3800.3144968653414</v>
      </c>
      <c r="S7" s="35"/>
      <c r="T7" s="23">
        <v>1079193.2063390489</v>
      </c>
      <c r="U7" s="33">
        <v>168.40510476917882</v>
      </c>
      <c r="V7" s="5">
        <v>15</v>
      </c>
      <c r="W7" s="23">
        <v>100</v>
      </c>
      <c r="X7" s="33">
        <v>403.29516319245795</v>
      </c>
      <c r="Y7" s="23">
        <v>39.161637772635842</v>
      </c>
      <c r="Z7" s="5">
        <v>5445.2411753242459</v>
      </c>
      <c r="AA7" s="35"/>
    </row>
    <row r="8" spans="2:27" x14ac:dyDescent="0.2">
      <c r="B8" s="4">
        <v>5</v>
      </c>
      <c r="C8" s="4">
        <v>407</v>
      </c>
      <c r="D8" s="23">
        <v>1158613.468585192</v>
      </c>
      <c r="E8" s="33">
        <v>113.97056346150261</v>
      </c>
      <c r="F8" s="5">
        <v>13</v>
      </c>
      <c r="G8" s="23">
        <v>94</v>
      </c>
      <c r="H8" s="33">
        <v>276.99255887922419</v>
      </c>
      <c r="I8" s="23">
        <v>40.910058745666142</v>
      </c>
      <c r="J8" s="5">
        <v>5439.6005044727408</v>
      </c>
      <c r="K8" s="31"/>
      <c r="L8" s="23">
        <v>1717489.0513418131</v>
      </c>
      <c r="M8" s="33">
        <v>246.25952230766416</v>
      </c>
      <c r="N8" s="5">
        <v>10</v>
      </c>
      <c r="O8" s="23">
        <v>58.666666666666657</v>
      </c>
      <c r="P8" s="33">
        <v>1.3495664897534114</v>
      </c>
      <c r="Q8" s="23">
        <v>28.330715690597394</v>
      </c>
      <c r="R8" s="5">
        <v>3728.5838232164651</v>
      </c>
      <c r="S8" s="35"/>
      <c r="T8" s="23">
        <v>1151888.721450831</v>
      </c>
      <c r="U8" s="33">
        <v>130.40736930767216</v>
      </c>
      <c r="V8" s="5">
        <v>14</v>
      </c>
      <c r="W8" s="23">
        <v>98.666666666666671</v>
      </c>
      <c r="X8" s="33">
        <v>561.77245769036472</v>
      </c>
      <c r="Y8" s="23">
        <v>40.247472369038647</v>
      </c>
      <c r="Z8" s="5">
        <v>5709.1477616915236</v>
      </c>
      <c r="AA8" s="35"/>
    </row>
    <row r="9" spans="2:27" x14ac:dyDescent="0.2">
      <c r="B9" s="4">
        <v>6</v>
      </c>
      <c r="C9" s="4">
        <v>501</v>
      </c>
      <c r="D9" s="23">
        <v>1179523.9750385331</v>
      </c>
      <c r="E9" s="33">
        <v>190.68499353839653</v>
      </c>
      <c r="F9" s="5">
        <v>15</v>
      </c>
      <c r="G9" s="23">
        <v>94</v>
      </c>
      <c r="H9" s="33">
        <v>358.06900163112118</v>
      </c>
      <c r="I9" s="23">
        <v>36.081197209071505</v>
      </c>
      <c r="J9" s="5">
        <v>5274.6486469221954</v>
      </c>
      <c r="K9" s="31"/>
      <c r="L9" s="23">
        <v>1725307.0992621791</v>
      </c>
      <c r="M9" s="33">
        <v>120.35810284621007</v>
      </c>
      <c r="N9" s="5">
        <v>10</v>
      </c>
      <c r="O9" s="23">
        <v>58.666666666666657</v>
      </c>
      <c r="P9" s="33">
        <v>10.892266156141311</v>
      </c>
      <c r="Q9" s="23">
        <v>27.717389884477235</v>
      </c>
      <c r="R9" s="5">
        <v>3772.4953423966058</v>
      </c>
      <c r="S9" s="35"/>
      <c r="T9" s="23">
        <v>1156911.328238012</v>
      </c>
      <c r="U9" s="33">
        <v>131.08195607693722</v>
      </c>
      <c r="V9" s="5">
        <v>15</v>
      </c>
      <c r="W9" s="23">
        <v>100</v>
      </c>
      <c r="X9" s="33">
        <v>541.69298745910851</v>
      </c>
      <c r="Y9" s="23">
        <v>39.004318446044209</v>
      </c>
      <c r="Z9" s="5">
        <v>5822.3146258977104</v>
      </c>
      <c r="AA9" s="35"/>
    </row>
    <row r="10" spans="2:27" x14ac:dyDescent="0.2">
      <c r="B10" s="4">
        <v>7</v>
      </c>
      <c r="C10" s="4">
        <v>503</v>
      </c>
      <c r="D10" s="23">
        <v>1154877.678065887</v>
      </c>
      <c r="E10" s="33">
        <v>101.398167923057</v>
      </c>
      <c r="F10" s="5">
        <v>13</v>
      </c>
      <c r="G10" s="23">
        <v>94</v>
      </c>
      <c r="H10" s="33">
        <v>338.97353268411445</v>
      </c>
      <c r="I10" s="23">
        <v>41.849561469790942</v>
      </c>
      <c r="J10" s="5">
        <v>5392.7221290743882</v>
      </c>
      <c r="K10" s="31"/>
      <c r="L10" s="23">
        <v>1728089.815522315</v>
      </c>
      <c r="M10" s="33">
        <v>135.83454984616347</v>
      </c>
      <c r="N10" s="5">
        <v>10</v>
      </c>
      <c r="O10" s="23">
        <v>58.666666666666657</v>
      </c>
      <c r="P10" s="33">
        <v>12.427999334786529</v>
      </c>
      <c r="Q10" s="23">
        <v>27.568682836060628</v>
      </c>
      <c r="R10" s="5">
        <v>3802.217088313359</v>
      </c>
      <c r="S10" s="35"/>
      <c r="T10" s="23">
        <v>1107796.274346337</v>
      </c>
      <c r="U10" s="33">
        <v>108.99280607691392</v>
      </c>
      <c r="V10" s="5">
        <v>14</v>
      </c>
      <c r="W10" s="23">
        <v>100</v>
      </c>
      <c r="X10" s="33">
        <v>512.13838458847044</v>
      </c>
      <c r="Y10" s="23">
        <v>42.104307002120329</v>
      </c>
      <c r="Z10" s="5">
        <v>5673.8915623981338</v>
      </c>
      <c r="AA10" s="35"/>
    </row>
    <row r="11" spans="2:27" x14ac:dyDescent="0.2">
      <c r="B11" s="4">
        <v>8</v>
      </c>
      <c r="C11" s="4">
        <v>599</v>
      </c>
      <c r="D11" s="23">
        <v>1174685.3457871131</v>
      </c>
      <c r="E11" s="33">
        <v>296.92075176916728</v>
      </c>
      <c r="F11" s="5">
        <v>14</v>
      </c>
      <c r="G11" s="23">
        <v>94</v>
      </c>
      <c r="H11" s="33">
        <v>429.42313508461041</v>
      </c>
      <c r="I11" s="23">
        <v>37.882386142464846</v>
      </c>
      <c r="J11" s="5">
        <v>5298.07573068689</v>
      </c>
      <c r="K11" s="31"/>
      <c r="L11" s="23">
        <v>1736917.5674803129</v>
      </c>
      <c r="M11" s="33">
        <v>217.9234178461887</v>
      </c>
      <c r="N11" s="5">
        <v>10</v>
      </c>
      <c r="O11" s="23">
        <v>58.666666666666657</v>
      </c>
      <c r="P11" s="33">
        <v>41.742817500077599</v>
      </c>
      <c r="Q11" s="23">
        <v>27.839739062837822</v>
      </c>
      <c r="R11" s="5">
        <v>3913.7185753628146</v>
      </c>
      <c r="S11" s="35"/>
      <c r="T11" s="23">
        <v>1083167.2808577151</v>
      </c>
      <c r="U11" s="33">
        <v>367.7095378461616</v>
      </c>
      <c r="V11" s="5">
        <v>14</v>
      </c>
      <c r="W11" s="23">
        <v>100</v>
      </c>
      <c r="X11" s="33">
        <v>511.71654524168036</v>
      </c>
      <c r="Y11" s="23">
        <v>41.778798894658898</v>
      </c>
      <c r="Z11" s="5">
        <v>5507.0618079532387</v>
      </c>
      <c r="AA11" s="35"/>
    </row>
    <row r="12" spans="2:27" x14ac:dyDescent="0.2">
      <c r="B12" s="4">
        <v>9</v>
      </c>
      <c r="C12" s="4">
        <v>663</v>
      </c>
      <c r="D12" s="23">
        <v>1201901.4673412519</v>
      </c>
      <c r="E12" s="33">
        <v>337.01970092307494</v>
      </c>
      <c r="F12" s="5">
        <v>14</v>
      </c>
      <c r="G12" s="23">
        <v>94</v>
      </c>
      <c r="H12" s="33">
        <v>479.43363229327366</v>
      </c>
      <c r="I12" s="23">
        <v>37.805822536630714</v>
      </c>
      <c r="J12" s="5">
        <v>5435.3960991830681</v>
      </c>
      <c r="K12" s="31"/>
      <c r="L12" s="23">
        <v>1717439.0051659821</v>
      </c>
      <c r="M12" s="33">
        <v>80.198619615358226</v>
      </c>
      <c r="N12" s="5">
        <v>10</v>
      </c>
      <c r="O12" s="23">
        <v>58.666666666666657</v>
      </c>
      <c r="P12" s="33">
        <v>1.6730554430169127</v>
      </c>
      <c r="Q12" s="23">
        <v>28.166939364993617</v>
      </c>
      <c r="R12" s="5">
        <v>3741.3977367771963</v>
      </c>
      <c r="S12" s="35"/>
      <c r="T12" s="23">
        <v>1117033.641870514</v>
      </c>
      <c r="U12" s="33">
        <v>297.44468538457744</v>
      </c>
      <c r="V12" s="5">
        <v>15</v>
      </c>
      <c r="W12" s="23">
        <v>100</v>
      </c>
      <c r="X12" s="33">
        <v>456.30927460139424</v>
      </c>
      <c r="Y12" s="23">
        <v>39.200231446347708</v>
      </c>
      <c r="Z12" s="5">
        <v>5637.6481147779268</v>
      </c>
      <c r="AA12" s="35"/>
    </row>
    <row r="13" spans="2:27" x14ac:dyDescent="0.2">
      <c r="B13" s="4">
        <v>10</v>
      </c>
      <c r="C13" s="4">
        <v>731</v>
      </c>
      <c r="D13" s="23">
        <v>1183377.9090020419</v>
      </c>
      <c r="E13" s="33">
        <v>94.942989307634832</v>
      </c>
      <c r="F13" s="5">
        <v>14</v>
      </c>
      <c r="G13" s="23">
        <v>94</v>
      </c>
      <c r="H13" s="33">
        <v>422.50210120117367</v>
      </c>
      <c r="I13" s="23">
        <v>37.633366425991447</v>
      </c>
      <c r="J13" s="5">
        <v>5369.8627720996546</v>
      </c>
      <c r="K13" s="31"/>
      <c r="L13" s="23">
        <v>1727935.8928650271</v>
      </c>
      <c r="M13" s="33">
        <v>367.14350161536669</v>
      </c>
      <c r="N13" s="5">
        <v>10</v>
      </c>
      <c r="O13" s="23">
        <v>58.666666666666657</v>
      </c>
      <c r="P13" s="33">
        <v>15.239473565986744</v>
      </c>
      <c r="Q13" s="23">
        <v>27.4531399937514</v>
      </c>
      <c r="R13" s="5">
        <v>3806.9740365966486</v>
      </c>
      <c r="S13" s="35"/>
      <c r="T13" s="23">
        <v>1097133.583917706</v>
      </c>
      <c r="U13" s="33">
        <v>161.02052776922037</v>
      </c>
      <c r="V13" s="5">
        <v>15</v>
      </c>
      <c r="W13" s="23">
        <v>100</v>
      </c>
      <c r="X13" s="33">
        <v>523.01240760763528</v>
      </c>
      <c r="Y13" s="23">
        <v>39.676961415402936</v>
      </c>
      <c r="Z13" s="5">
        <v>5483.4495112056393</v>
      </c>
      <c r="AA13" s="35"/>
    </row>
    <row r="14" spans="2:27" x14ac:dyDescent="0.2">
      <c r="B14" s="50" t="s">
        <v>3</v>
      </c>
      <c r="C14" s="51"/>
      <c r="D14" s="9">
        <f>MIN(D4:D13)</f>
        <v>1141726.937281823</v>
      </c>
      <c r="E14" s="22">
        <f>INDEX(E4:E13, MATCH($D$14, D4:D13, 0))</f>
        <v>371.94766284620312</v>
      </c>
      <c r="F14" s="9">
        <f>INDEX(F4:F13, MATCH($D$14, D4:D13, 0))</f>
        <v>14</v>
      </c>
      <c r="G14" s="9">
        <f>INDEX(G4:G13, MATCH($D$14, D4:D13, 0))</f>
        <v>94</v>
      </c>
      <c r="H14" s="22">
        <f>INDEX(H4:H13, MATCH($D$14, D4:D13, 0))</f>
        <v>284.12843424466513</v>
      </c>
      <c r="I14" s="22">
        <f>INDEX(I4:I13, MATCH($D$14, D4:D13, 0))</f>
        <v>38.423322876589999</v>
      </c>
      <c r="J14" s="22">
        <f>INDEX(J4:J13, MATCH($D$14, D4:D13, 0))</f>
        <v>5202.2457846926009</v>
      </c>
      <c r="K14" s="32" t="e">
        <f>(D14-$D$15)/$D$15</f>
        <v>#DIV/0!</v>
      </c>
      <c r="L14" s="16">
        <f>MIN(L4:L13)</f>
        <v>1717439.0051659821</v>
      </c>
      <c r="M14" s="21">
        <f>INDEX(M4:M13, MATCH($L$14, L4:L13, 0))</f>
        <v>80.198619615358226</v>
      </c>
      <c r="N14" s="16">
        <f>INDEX(N4:N13, MATCH($L$14, L4:L13, 0))</f>
        <v>10</v>
      </c>
      <c r="O14" s="16">
        <f>INDEX(O4:O13, MATCH($L$14, L4:L13, 0))</f>
        <v>58.666666666666657</v>
      </c>
      <c r="P14" s="21">
        <f>INDEX(P4:P13, MATCH($L$14, L4:L13, 0))</f>
        <v>1.6730554430169127</v>
      </c>
      <c r="Q14" s="21">
        <f>INDEX(Q4:Q13, MATCH($L$14, L4:L13, 0))</f>
        <v>28.166939364993617</v>
      </c>
      <c r="R14" s="21">
        <f>INDEX(R4:R13, MATCH($L$14, L4:L13, 0))</f>
        <v>3741.3977367771963</v>
      </c>
      <c r="S14" s="36" t="e">
        <f>(L14-$D$15)/$D$15</f>
        <v>#DIV/0!</v>
      </c>
      <c r="T14" s="38">
        <f>MIN(T4:T13)</f>
        <v>1079193.2063390489</v>
      </c>
      <c r="U14" s="39">
        <f>INDEX(U4:U13, MATCH($T$14, T4:T13, 0))</f>
        <v>168.40510476917882</v>
      </c>
      <c r="V14" s="38">
        <f>INDEX(V4:V13, MATCH($T$14, T4:T13, 0))</f>
        <v>15</v>
      </c>
      <c r="W14" s="38">
        <f>INDEX(W4:W13, MATCH($T$14, T4:T13, 0))</f>
        <v>100</v>
      </c>
      <c r="X14" s="39">
        <f>INDEX(X4:X13, MATCH($T$14, T4:T13, 0))</f>
        <v>403.29516319245795</v>
      </c>
      <c r="Y14" s="39">
        <f>INDEX(Y4:Y13, MATCH($T$14, T4:T13, 0))</f>
        <v>39.161637772635842</v>
      </c>
      <c r="Z14" s="39">
        <f>INDEX(Z4:Z13, MATCH($T$14, T4:T13, 0))</f>
        <v>5445.2411753242459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0.50424672405014015</v>
      </c>
      <c r="M15" s="41">
        <f t="shared" ref="M15:R15" si="0">(M14-E14)/E14</f>
        <v>-0.78438197728770354</v>
      </c>
      <c r="N15" s="41">
        <f t="shared" si="0"/>
        <v>-0.2857142857142857</v>
      </c>
      <c r="O15" s="41">
        <f t="shared" si="0"/>
        <v>-0.37588652482269513</v>
      </c>
      <c r="P15" s="41">
        <f t="shared" si="0"/>
        <v>-0.99411162262775776</v>
      </c>
      <c r="Q15" s="41">
        <f t="shared" si="0"/>
        <v>-0.26693119552773614</v>
      </c>
      <c r="R15" s="41">
        <f t="shared" si="0"/>
        <v>-0.28081103976553573</v>
      </c>
      <c r="T15" s="41">
        <f>(T14-D14)/D14</f>
        <v>-5.4771179430741869E-2</v>
      </c>
      <c r="U15" s="41">
        <f t="shared" ref="U15:Z15" si="1">(U14-E14)/E14</f>
        <v>-0.5472344052910133</v>
      </c>
      <c r="V15" s="41">
        <f t="shared" si="1"/>
        <v>7.1428571428571425E-2</v>
      </c>
      <c r="W15" s="41">
        <f t="shared" si="1"/>
        <v>6.3829787234042548E-2</v>
      </c>
      <c r="X15" s="41">
        <f t="shared" si="1"/>
        <v>0.4194114864448148</v>
      </c>
      <c r="Y15" s="41">
        <f t="shared" si="1"/>
        <v>1.9215279699186884E-2</v>
      </c>
      <c r="Z15" s="41">
        <f t="shared" si="1"/>
        <v>4.6709709746250203E-2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6:C1048576">
    <cfRule type="duplicateValues" dxfId="119" priority="11"/>
    <cfRule type="duplicateValues" dxfId="118" priority="12"/>
  </conditionalFormatting>
  <conditionalFormatting sqref="C2">
    <cfRule type="duplicateValues" dxfId="117" priority="3"/>
    <cfRule type="duplicateValues" dxfId="116" priority="4"/>
  </conditionalFormatting>
  <conditionalFormatting sqref="C4:C13">
    <cfRule type="duplicateValues" dxfId="115" priority="5"/>
    <cfRule type="duplicateValues" dxfId="114" priority="6"/>
  </conditionalFormatting>
  <conditionalFormatting sqref="C14">
    <cfRule type="duplicateValues" dxfId="113" priority="9"/>
    <cfRule type="duplicateValues" dxfId="112" priority="10"/>
  </conditionalFormatting>
  <conditionalFormatting sqref="C15">
    <cfRule type="duplicateValues" dxfId="111" priority="7"/>
    <cfRule type="duplicateValues" dxfId="110" priority="8"/>
  </conditionalFormatting>
  <conditionalFormatting sqref="C17:C35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5481-6863-4A2C-ACE5-11B06FC7399E}">
  <dimension ref="B1:AA17"/>
  <sheetViews>
    <sheetView zoomScale="90" zoomScaleNormal="90" workbookViewId="0">
      <selection activeCell="U20" sqref="U20:U3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-0.97112144359327179</v>
      </c>
      <c r="R2" s="1">
        <f>(R14-J14)/J14</f>
        <v>-0.2993726899792567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88</v>
      </c>
      <c r="D4" s="23">
        <v>1165811.7722223699</v>
      </c>
      <c r="E4" s="33">
        <v>146.44345992307461</v>
      </c>
      <c r="F4" s="5">
        <v>12</v>
      </c>
      <c r="G4" s="23">
        <v>93.333333333333329</v>
      </c>
      <c r="H4" s="33">
        <v>333.17399140428307</v>
      </c>
      <c r="I4" s="23">
        <v>46.56837742252381</v>
      </c>
      <c r="J4" s="5">
        <v>5421.3436955217421</v>
      </c>
      <c r="K4" s="31"/>
      <c r="L4" s="23">
        <v>1678702.3444485799</v>
      </c>
      <c r="M4" s="33">
        <v>201.45803361531131</v>
      </c>
      <c r="N4" s="5">
        <v>10</v>
      </c>
      <c r="O4" s="23">
        <v>60.666666666666657</v>
      </c>
      <c r="P4" s="33">
        <v>9.1106589838595085</v>
      </c>
      <c r="Q4" s="23">
        <v>28.234518778797252</v>
      </c>
      <c r="R4" s="5">
        <v>3746.0971325210321</v>
      </c>
      <c r="S4" s="35"/>
      <c r="T4" s="23">
        <v>1121491.0143358221</v>
      </c>
      <c r="U4" s="33">
        <v>346.47395900002891</v>
      </c>
      <c r="V4" s="5">
        <v>14</v>
      </c>
      <c r="W4" s="23">
        <v>100</v>
      </c>
      <c r="X4" s="33">
        <v>573.93993225737722</v>
      </c>
      <c r="Y4" s="23">
        <v>44.638438990565007</v>
      </c>
      <c r="Z4" s="5">
        <v>5703.2001389524848</v>
      </c>
      <c r="AA4" s="35"/>
    </row>
    <row r="5" spans="2:27" x14ac:dyDescent="0.2">
      <c r="B5" s="4">
        <v>2</v>
      </c>
      <c r="C5" s="4">
        <v>199</v>
      </c>
      <c r="D5" s="23">
        <v>1177420.745513577</v>
      </c>
      <c r="E5" s="33">
        <v>181.57157261533524</v>
      </c>
      <c r="F5" s="5">
        <v>13</v>
      </c>
      <c r="G5" s="23">
        <v>94</v>
      </c>
      <c r="H5" s="33">
        <v>373.33237715219161</v>
      </c>
      <c r="I5" s="23">
        <v>43.243950924027288</v>
      </c>
      <c r="J5" s="5">
        <v>5436.530931383867</v>
      </c>
      <c r="K5" s="31"/>
      <c r="L5" s="23">
        <v>1695662.660022804</v>
      </c>
      <c r="M5" s="33">
        <v>132.71351323068998</v>
      </c>
      <c r="N5" s="5">
        <v>10</v>
      </c>
      <c r="O5" s="23">
        <v>60.666666666666657</v>
      </c>
      <c r="P5" s="33">
        <v>82.073740818184703</v>
      </c>
      <c r="Q5" s="23">
        <v>29.407135515153023</v>
      </c>
      <c r="R5" s="5">
        <v>3904.9272710902533</v>
      </c>
      <c r="S5" s="35"/>
      <c r="T5" s="23">
        <v>1093687.4217609791</v>
      </c>
      <c r="U5" s="33">
        <v>123.68377223082531</v>
      </c>
      <c r="V5" s="5">
        <v>13</v>
      </c>
      <c r="W5" s="23">
        <v>100</v>
      </c>
      <c r="X5" s="33">
        <v>484.11052320889661</v>
      </c>
      <c r="Y5" s="23">
        <v>48.664254237085046</v>
      </c>
      <c r="Z5" s="5">
        <v>5699.1437001487511</v>
      </c>
      <c r="AA5" s="35"/>
    </row>
    <row r="6" spans="2:27" x14ac:dyDescent="0.2">
      <c r="B6" s="4">
        <v>3</v>
      </c>
      <c r="C6" s="4">
        <v>221</v>
      </c>
      <c r="D6" s="23">
        <v>1181428.0970732439</v>
      </c>
      <c r="E6" s="33">
        <v>221.80821776927377</v>
      </c>
      <c r="F6" s="5">
        <v>12</v>
      </c>
      <c r="G6" s="23">
        <v>94</v>
      </c>
      <c r="H6" s="33">
        <v>323.89224579221337</v>
      </c>
      <c r="I6" s="23">
        <v>46.327004582394245</v>
      </c>
      <c r="J6" s="5">
        <v>5606.299673098998</v>
      </c>
      <c r="K6" s="31"/>
      <c r="L6" s="23">
        <v>1691627.054798037</v>
      </c>
      <c r="M6" s="33">
        <v>162.56641469224215</v>
      </c>
      <c r="N6" s="5">
        <v>10</v>
      </c>
      <c r="O6" s="23">
        <v>60.666666666666657</v>
      </c>
      <c r="P6" s="33">
        <v>82.073740818184703</v>
      </c>
      <c r="Q6" s="23">
        <v>28.881468601752015</v>
      </c>
      <c r="R6" s="5">
        <v>3856.5926803767943</v>
      </c>
      <c r="S6" s="35"/>
      <c r="T6" s="23">
        <v>1094888.921317589</v>
      </c>
      <c r="U6" s="33">
        <v>164.45094276927054</v>
      </c>
      <c r="V6" s="5">
        <v>13</v>
      </c>
      <c r="W6" s="23">
        <v>100</v>
      </c>
      <c r="X6" s="33">
        <v>479.40572003099243</v>
      </c>
      <c r="Y6" s="23">
        <v>48.7695621514317</v>
      </c>
      <c r="Z6" s="5">
        <v>5706.3594847492495</v>
      </c>
      <c r="AA6" s="35"/>
    </row>
    <row r="7" spans="2:27" x14ac:dyDescent="0.2">
      <c r="B7" s="4">
        <v>4</v>
      </c>
      <c r="C7" s="4">
        <v>254</v>
      </c>
      <c r="D7" s="23">
        <v>1174184.5602595841</v>
      </c>
      <c r="E7" s="33">
        <v>154.33890084619631</v>
      </c>
      <c r="F7" s="5">
        <v>14</v>
      </c>
      <c r="G7" s="23">
        <v>94</v>
      </c>
      <c r="H7" s="33">
        <v>349.88343846988687</v>
      </c>
      <c r="I7" s="23">
        <v>40.279638286506497</v>
      </c>
      <c r="J7" s="5">
        <v>5312.0648531790848</v>
      </c>
      <c r="K7" s="31"/>
      <c r="L7" s="23">
        <v>1703828.312437813</v>
      </c>
      <c r="M7" s="33">
        <v>107.74513092312893</v>
      </c>
      <c r="N7" s="5">
        <v>10</v>
      </c>
      <c r="O7" s="23">
        <v>60.666666666666657</v>
      </c>
      <c r="P7" s="33">
        <v>12.032249485585822</v>
      </c>
      <c r="Q7" s="23">
        <v>27.309077938955362</v>
      </c>
      <c r="R7" s="5">
        <v>3977.0266912004163</v>
      </c>
      <c r="S7" s="35"/>
      <c r="T7" s="23">
        <v>1126618.664380654</v>
      </c>
      <c r="U7" s="33">
        <v>145.56766561536975</v>
      </c>
      <c r="V7" s="5">
        <v>12</v>
      </c>
      <c r="W7" s="23">
        <v>100</v>
      </c>
      <c r="X7" s="33">
        <v>643.64455962834631</v>
      </c>
      <c r="Y7" s="23">
        <v>53.018959322851096</v>
      </c>
      <c r="Z7" s="5">
        <v>5920.9994807224957</v>
      </c>
      <c r="AA7" s="35"/>
    </row>
    <row r="8" spans="2:27" x14ac:dyDescent="0.2">
      <c r="B8" s="4">
        <v>5</v>
      </c>
      <c r="C8" s="4">
        <v>322</v>
      </c>
      <c r="D8" s="23">
        <v>1183868.953052948</v>
      </c>
      <c r="E8" s="33">
        <v>120.23267007692576</v>
      </c>
      <c r="F8" s="5">
        <v>12</v>
      </c>
      <c r="G8" s="23">
        <v>94</v>
      </c>
      <c r="H8" s="33">
        <v>521.56548228476356</v>
      </c>
      <c r="I8" s="23">
        <v>47.834075658752916</v>
      </c>
      <c r="J8" s="5">
        <v>5524.5107805118623</v>
      </c>
      <c r="K8" s="31"/>
      <c r="L8" s="23">
        <v>1705052.7071048811</v>
      </c>
      <c r="M8" s="33">
        <v>125.65899515381224</v>
      </c>
      <c r="N8" s="5">
        <v>10</v>
      </c>
      <c r="O8" s="23">
        <v>60.666666666666657</v>
      </c>
      <c r="P8" s="33">
        <v>11.994633255661897</v>
      </c>
      <c r="Q8" s="23">
        <v>27.627290256100604</v>
      </c>
      <c r="R8" s="5">
        <v>3995.6961486382334</v>
      </c>
      <c r="S8" s="35"/>
      <c r="T8" s="23">
        <v>1124301.0699112001</v>
      </c>
      <c r="U8" s="33">
        <v>132.87226715384838</v>
      </c>
      <c r="V8" s="5">
        <v>13</v>
      </c>
      <c r="W8" s="23">
        <v>100</v>
      </c>
      <c r="X8" s="33">
        <v>606.4746114954927</v>
      </c>
      <c r="Y8" s="23">
        <v>48.132146485639161</v>
      </c>
      <c r="Z8" s="5">
        <v>5817.1152613031209</v>
      </c>
      <c r="AA8" s="35"/>
    </row>
    <row r="9" spans="2:27" x14ac:dyDescent="0.2">
      <c r="B9" s="4">
        <v>6</v>
      </c>
      <c r="C9" s="4">
        <v>333</v>
      </c>
      <c r="D9" s="23">
        <v>1155075.914594016</v>
      </c>
      <c r="E9" s="33">
        <v>124.98730038462853</v>
      </c>
      <c r="F9" s="5">
        <v>13</v>
      </c>
      <c r="G9" s="23">
        <v>94</v>
      </c>
      <c r="H9" s="33">
        <v>315.4818009440686</v>
      </c>
      <c r="I9" s="23">
        <v>43.565165325317544</v>
      </c>
      <c r="J9" s="5">
        <v>5346.775780707324</v>
      </c>
      <c r="K9" s="31"/>
      <c r="L9" s="23">
        <v>1731152.6137661559</v>
      </c>
      <c r="M9" s="33">
        <v>104.44283469230869</v>
      </c>
      <c r="N9" s="5">
        <v>11</v>
      </c>
      <c r="O9" s="23">
        <v>60.666666666666657</v>
      </c>
      <c r="P9" s="33">
        <v>36.350820575255391</v>
      </c>
      <c r="Q9" s="23">
        <v>25.156303919092124</v>
      </c>
      <c r="R9" s="5">
        <v>4021.8027341299085</v>
      </c>
      <c r="S9" s="35"/>
      <c r="T9" s="23">
        <v>1152355.333625305</v>
      </c>
      <c r="U9" s="33">
        <v>348.65639546151777</v>
      </c>
      <c r="V9" s="5">
        <v>15</v>
      </c>
      <c r="W9" s="23">
        <v>100</v>
      </c>
      <c r="X9" s="33">
        <v>607.17443170453441</v>
      </c>
      <c r="Y9" s="23">
        <v>42.12593932001419</v>
      </c>
      <c r="Z9" s="5">
        <v>5773.9176861420719</v>
      </c>
      <c r="AA9" s="35"/>
    </row>
    <row r="10" spans="2:27" x14ac:dyDescent="0.2">
      <c r="B10" s="4">
        <v>7</v>
      </c>
      <c r="C10" s="4">
        <v>475</v>
      </c>
      <c r="D10" s="23">
        <v>1183868.953052948</v>
      </c>
      <c r="E10" s="33">
        <v>177.72703538460729</v>
      </c>
      <c r="F10" s="5">
        <v>12</v>
      </c>
      <c r="G10" s="23">
        <v>94</v>
      </c>
      <c r="H10" s="33">
        <v>521.56548228476356</v>
      </c>
      <c r="I10" s="23">
        <v>47.834075658752916</v>
      </c>
      <c r="J10" s="5">
        <v>5524.5107805118623</v>
      </c>
      <c r="K10" s="31"/>
      <c r="L10" s="23">
        <v>1718891.45569081</v>
      </c>
      <c r="M10" s="33">
        <v>126.70948930774237</v>
      </c>
      <c r="N10" s="5">
        <v>11</v>
      </c>
      <c r="O10" s="23">
        <v>60.666666666666657</v>
      </c>
      <c r="P10" s="33">
        <v>115.12680710998329</v>
      </c>
      <c r="Q10" s="23">
        <v>25.972276062196592</v>
      </c>
      <c r="R10" s="5">
        <v>3937.4984905084161</v>
      </c>
      <c r="S10" s="35"/>
      <c r="T10" s="23">
        <v>1133010.070676652</v>
      </c>
      <c r="U10" s="33">
        <v>343.73759307692615</v>
      </c>
      <c r="V10" s="5">
        <v>13</v>
      </c>
      <c r="W10" s="23">
        <v>100</v>
      </c>
      <c r="X10" s="33">
        <v>615.5319732980256</v>
      </c>
      <c r="Y10" s="23">
        <v>48.81031975045893</v>
      </c>
      <c r="Z10" s="5">
        <v>5867.2886173563193</v>
      </c>
      <c r="AA10" s="35"/>
    </row>
    <row r="11" spans="2:27" x14ac:dyDescent="0.2">
      <c r="B11" s="4">
        <v>8</v>
      </c>
      <c r="C11" s="4">
        <v>637</v>
      </c>
      <c r="D11" s="23">
        <v>1183868.953052948</v>
      </c>
      <c r="E11" s="33">
        <v>188.87606300001676</v>
      </c>
      <c r="F11" s="5">
        <v>12</v>
      </c>
      <c r="G11" s="23">
        <v>94</v>
      </c>
      <c r="H11" s="33">
        <v>521.56548228476356</v>
      </c>
      <c r="I11" s="23">
        <v>47.834075658752916</v>
      </c>
      <c r="J11" s="5">
        <v>5524.5107805118623</v>
      </c>
      <c r="K11" s="31"/>
      <c r="L11" s="23">
        <v>1707625.0577784809</v>
      </c>
      <c r="M11" s="33">
        <v>226.52522669236461</v>
      </c>
      <c r="N11" s="5">
        <v>10</v>
      </c>
      <c r="O11" s="23">
        <v>60.666666666666657</v>
      </c>
      <c r="P11" s="33">
        <v>42.25350193830981</v>
      </c>
      <c r="Q11" s="23">
        <v>27.472076653549454</v>
      </c>
      <c r="R11" s="5">
        <v>4049.9576808500633</v>
      </c>
      <c r="S11" s="35"/>
      <c r="T11" s="23">
        <v>1134877.1304276669</v>
      </c>
      <c r="U11" s="33">
        <v>91.380416923023461</v>
      </c>
      <c r="V11" s="5">
        <v>13</v>
      </c>
      <c r="W11" s="23">
        <v>100</v>
      </c>
      <c r="X11" s="33">
        <v>651.72689758297315</v>
      </c>
      <c r="Y11" s="23">
        <v>49.15401429909361</v>
      </c>
      <c r="Z11" s="5">
        <v>5852.9898387991079</v>
      </c>
      <c r="AA11" s="35"/>
    </row>
    <row r="12" spans="2:27" x14ac:dyDescent="0.2">
      <c r="B12" s="4">
        <v>9</v>
      </c>
      <c r="C12" s="4">
        <v>903</v>
      </c>
      <c r="D12" s="23">
        <v>1175236.7998209151</v>
      </c>
      <c r="E12" s="33">
        <v>169.29325138460484</v>
      </c>
      <c r="F12" s="5">
        <v>13</v>
      </c>
      <c r="G12" s="23">
        <v>94</v>
      </c>
      <c r="H12" s="33">
        <v>385.7997171012762</v>
      </c>
      <c r="I12" s="23">
        <v>43.97680808942669</v>
      </c>
      <c r="J12" s="5">
        <v>5432.5516405024864</v>
      </c>
      <c r="K12" s="31"/>
      <c r="L12" s="23">
        <v>1688335.3973074739</v>
      </c>
      <c r="M12" s="33">
        <v>340.19816176921051</v>
      </c>
      <c r="N12" s="5">
        <v>10</v>
      </c>
      <c r="O12" s="23">
        <v>60.666666666666657</v>
      </c>
      <c r="P12" s="33">
        <v>82.940022115608429</v>
      </c>
      <c r="Q12" s="23">
        <v>29.041843072630428</v>
      </c>
      <c r="R12" s="5">
        <v>3856.1301398253909</v>
      </c>
      <c r="S12" s="35"/>
      <c r="T12" s="23">
        <v>1128150.399238036</v>
      </c>
      <c r="U12" s="33">
        <v>241.29251830763397</v>
      </c>
      <c r="V12" s="5">
        <v>14</v>
      </c>
      <c r="W12" s="23">
        <v>100</v>
      </c>
      <c r="X12" s="33">
        <v>563.28546751597912</v>
      </c>
      <c r="Y12" s="23">
        <v>45.386565529485118</v>
      </c>
      <c r="Z12" s="5">
        <v>5745.2901733606732</v>
      </c>
      <c r="AA12" s="35"/>
    </row>
    <row r="13" spans="2:27" x14ac:dyDescent="0.2">
      <c r="B13" s="4">
        <v>10</v>
      </c>
      <c r="C13" s="4">
        <v>998</v>
      </c>
      <c r="D13" s="23">
        <v>1157102.776712934</v>
      </c>
      <c r="E13" s="33">
        <v>180.61401653846798</v>
      </c>
      <c r="F13" s="5">
        <v>13</v>
      </c>
      <c r="G13" s="23">
        <v>94</v>
      </c>
      <c r="H13" s="33">
        <v>310.69270707462476</v>
      </c>
      <c r="I13" s="23">
        <v>43.500701755209576</v>
      </c>
      <c r="J13" s="5">
        <v>5348.9870947343234</v>
      </c>
      <c r="K13" s="31"/>
      <c r="L13" s="23">
        <v>1699429.628442039</v>
      </c>
      <c r="M13" s="33">
        <v>140.71531830767452</v>
      </c>
      <c r="N13" s="5">
        <v>10</v>
      </c>
      <c r="O13" s="23">
        <v>60.666666666666657</v>
      </c>
      <c r="P13" s="33">
        <v>12.053393555431255</v>
      </c>
      <c r="Q13" s="23">
        <v>27.391310529141986</v>
      </c>
      <c r="R13" s="5">
        <v>3965.881976852851</v>
      </c>
      <c r="S13" s="35"/>
      <c r="T13" s="23">
        <v>1099357.924005721</v>
      </c>
      <c r="U13" s="33">
        <v>142.34384084612915</v>
      </c>
      <c r="V13" s="5">
        <v>13</v>
      </c>
      <c r="W13" s="23">
        <v>99.333333333333329</v>
      </c>
      <c r="X13" s="33">
        <v>424.27218593069523</v>
      </c>
      <c r="Y13" s="23">
        <v>47.574925675696505</v>
      </c>
      <c r="Z13" s="5">
        <v>5694.914211788443</v>
      </c>
      <c r="AA13" s="35"/>
    </row>
    <row r="14" spans="2:27" x14ac:dyDescent="0.2">
      <c r="B14" s="50" t="s">
        <v>3</v>
      </c>
      <c r="C14" s="51"/>
      <c r="D14" s="9">
        <f>MIN(D4:D13)</f>
        <v>1155075.914594016</v>
      </c>
      <c r="E14" s="22">
        <f>INDEX(E4:E13, MATCH($D$14, D4:D13, 0))</f>
        <v>124.98730038462853</v>
      </c>
      <c r="F14" s="9">
        <f>INDEX(F4:F13, MATCH($D$14, D4:D13, 0))</f>
        <v>13</v>
      </c>
      <c r="G14" s="9">
        <f>INDEX(G4:G13, MATCH($D$14, D4:D13, 0))</f>
        <v>94</v>
      </c>
      <c r="H14" s="22">
        <f>INDEX(H4:H13, MATCH($D$14, D4:D13, 0))</f>
        <v>315.4818009440686</v>
      </c>
      <c r="I14" s="22">
        <f>INDEX(I4:I13, MATCH($D$14, D4:D13, 0))</f>
        <v>43.565165325317544</v>
      </c>
      <c r="J14" s="22">
        <f>INDEX(J4:J13, MATCH($D$14, D4:D13, 0))</f>
        <v>5346.775780707324</v>
      </c>
      <c r="K14" s="32" t="e">
        <f>(D14-$D$15)/$D$15</f>
        <v>#DIV/0!</v>
      </c>
      <c r="L14" s="16">
        <f>MIN(L4:L13)</f>
        <v>1678702.3444485799</v>
      </c>
      <c r="M14" s="21">
        <f>INDEX(M4:M13, MATCH($L$14, L4:L13, 0))</f>
        <v>201.45803361531131</v>
      </c>
      <c r="N14" s="16">
        <f>INDEX(N4:N13, MATCH($L$14, L4:L13, 0))</f>
        <v>10</v>
      </c>
      <c r="O14" s="16">
        <f>INDEX(O4:O13, MATCH($L$14, L4:L13, 0))</f>
        <v>60.666666666666657</v>
      </c>
      <c r="P14" s="21">
        <f>INDEX(P4:P13, MATCH($L$14, L4:L13, 0))</f>
        <v>9.1106589838595085</v>
      </c>
      <c r="Q14" s="21">
        <f>INDEX(Q4:Q13, MATCH($L$14, L4:L13, 0))</f>
        <v>28.234518778797252</v>
      </c>
      <c r="R14" s="21">
        <f>INDEX(R4:R13, MATCH($L$14, L4:L13, 0))</f>
        <v>3746.0971325210321</v>
      </c>
      <c r="S14" s="36" t="e">
        <f>(L14-$D$15)/$D$15</f>
        <v>#DIV/0!</v>
      </c>
      <c r="T14" s="38">
        <f>MIN(T4:T13)</f>
        <v>1093687.4217609791</v>
      </c>
      <c r="U14" s="39">
        <f>INDEX(U4:U13, MATCH($T$14, T4:T13, 0))</f>
        <v>123.68377223082531</v>
      </c>
      <c r="V14" s="38">
        <f>INDEX(V4:V13, MATCH($T$14, T4:T13, 0))</f>
        <v>13</v>
      </c>
      <c r="W14" s="38">
        <f>INDEX(W4:W13, MATCH($T$14, T4:T13, 0))</f>
        <v>100</v>
      </c>
      <c r="X14" s="39">
        <f>INDEX(X4:X13, MATCH($T$14, T4:T13, 0))</f>
        <v>484.11052320889661</v>
      </c>
      <c r="Y14" s="39">
        <f>INDEX(Y4:Y13, MATCH($T$14, T4:T13, 0))</f>
        <v>48.664254237085046</v>
      </c>
      <c r="Z14" s="39">
        <f>INDEX(Z4:Z13, MATCH($T$14, T4:T13, 0))</f>
        <v>5699.1437001487511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0.45332642057436301</v>
      </c>
      <c r="M15" s="41">
        <f t="shared" ref="M15:R15" si="0">(M14-E14)/E14</f>
        <v>0.61182802569026029</v>
      </c>
      <c r="N15" s="41">
        <f t="shared" si="0"/>
        <v>-0.23076923076923078</v>
      </c>
      <c r="O15" s="41">
        <f t="shared" si="0"/>
        <v>-0.35460992907801431</v>
      </c>
      <c r="P15" s="41">
        <f t="shared" si="0"/>
        <v>-0.97112144359327179</v>
      </c>
      <c r="Q15" s="41">
        <f t="shared" si="0"/>
        <v>-0.35190148900022677</v>
      </c>
      <c r="R15" s="41">
        <f t="shared" si="0"/>
        <v>-0.2993726899792567</v>
      </c>
      <c r="T15" s="41">
        <f>(T14-D14)/D14</f>
        <v>-5.3146717074967008E-2</v>
      </c>
      <c r="U15" s="41">
        <f t="shared" ref="U15:Z15" si="1">(U14-E14)/E14</f>
        <v>-1.0429284813671575E-2</v>
      </c>
      <c r="V15" s="41">
        <f t="shared" si="1"/>
        <v>0</v>
      </c>
      <c r="W15" s="41">
        <f t="shared" si="1"/>
        <v>6.3829787234042548E-2</v>
      </c>
      <c r="X15" s="41">
        <f t="shared" si="1"/>
        <v>0.53451172701630423</v>
      </c>
      <c r="Y15" s="41">
        <f t="shared" si="1"/>
        <v>0.11704509494433636</v>
      </c>
      <c r="Z15" s="41">
        <f t="shared" si="1"/>
        <v>6.5902879397499711E-2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6:C1048576">
    <cfRule type="duplicateValues" dxfId="109" priority="11"/>
    <cfRule type="duplicateValues" dxfId="108" priority="12"/>
  </conditionalFormatting>
  <conditionalFormatting sqref="C2">
    <cfRule type="duplicateValues" dxfId="107" priority="3"/>
    <cfRule type="duplicateValues" dxfId="106" priority="4"/>
  </conditionalFormatting>
  <conditionalFormatting sqref="C4:C13">
    <cfRule type="duplicateValues" dxfId="105" priority="5"/>
    <cfRule type="duplicateValues" dxfId="104" priority="6"/>
  </conditionalFormatting>
  <conditionalFormatting sqref="C14">
    <cfRule type="duplicateValues" dxfId="103" priority="9"/>
    <cfRule type="duplicateValues" dxfId="102" priority="10"/>
  </conditionalFormatting>
  <conditionalFormatting sqref="C15">
    <cfRule type="duplicateValues" dxfId="101" priority="7"/>
    <cfRule type="duplicateValues" dxfId="100" priority="8"/>
  </conditionalFormatting>
  <conditionalFormatting sqref="C17:C35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9C41-71D6-43C7-8DDF-0A8890644F1D}">
  <dimension ref="B1:AA17"/>
  <sheetViews>
    <sheetView zoomScale="90" zoomScaleNormal="90" workbookViewId="0">
      <selection activeCell="U20" sqref="U20:U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-0.81734307505313153</v>
      </c>
      <c r="R2" s="1">
        <f>(R14-J14)/J14</f>
        <v>-0.30358985009049438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38</v>
      </c>
      <c r="D4" s="23">
        <v>1121786.2826260659</v>
      </c>
      <c r="E4" s="33">
        <v>323.91321707696005</v>
      </c>
      <c r="F4" s="5">
        <v>13</v>
      </c>
      <c r="G4" s="23">
        <v>98.666666666666671</v>
      </c>
      <c r="H4" s="33">
        <v>619.0229855192207</v>
      </c>
      <c r="I4" s="23">
        <v>45.072103264841239</v>
      </c>
      <c r="J4" s="5">
        <v>5694.8610713517592</v>
      </c>
      <c r="K4" s="31"/>
      <c r="L4" s="23">
        <v>1618265.7775754279</v>
      </c>
      <c r="M4" s="33">
        <v>107.02962592306831</v>
      </c>
      <c r="N4" s="5">
        <v>11</v>
      </c>
      <c r="O4" s="23">
        <v>64.666666666666671</v>
      </c>
      <c r="P4" s="33">
        <v>58.321445798944637</v>
      </c>
      <c r="Q4" s="23">
        <v>28.642364711415052</v>
      </c>
      <c r="R4" s="5">
        <v>4035.3740931123816</v>
      </c>
      <c r="S4" s="35"/>
      <c r="T4" s="23">
        <v>1167370.8102257829</v>
      </c>
      <c r="U4" s="33">
        <v>232.85756746154775</v>
      </c>
      <c r="V4" s="5">
        <v>14</v>
      </c>
      <c r="W4" s="23">
        <v>99.333333333333329</v>
      </c>
      <c r="X4" s="33">
        <v>696.80851525220419</v>
      </c>
      <c r="Y4" s="23">
        <v>41.924946365080721</v>
      </c>
      <c r="Z4" s="5">
        <v>5916.7969455226794</v>
      </c>
      <c r="AA4" s="35"/>
    </row>
    <row r="5" spans="2:27" x14ac:dyDescent="0.2">
      <c r="B5" s="4">
        <v>2</v>
      </c>
      <c r="C5" s="4">
        <v>43</v>
      </c>
      <c r="D5" s="23">
        <v>1121786.2826260659</v>
      </c>
      <c r="E5" s="33">
        <v>208.6951060769542</v>
      </c>
      <c r="F5" s="5">
        <v>13</v>
      </c>
      <c r="G5" s="23">
        <v>98.666666666666671</v>
      </c>
      <c r="H5" s="33">
        <v>619.0229855192207</v>
      </c>
      <c r="I5" s="23">
        <v>45.072103264841239</v>
      </c>
      <c r="J5" s="5">
        <v>5694.8610713517592</v>
      </c>
      <c r="K5" s="31"/>
      <c r="L5" s="23">
        <v>1673056.9770376631</v>
      </c>
      <c r="M5" s="33">
        <v>98.968393846164219</v>
      </c>
      <c r="N5" s="5">
        <v>11</v>
      </c>
      <c r="O5" s="23">
        <v>64.666666666666671</v>
      </c>
      <c r="P5" s="33">
        <v>170.48462912409835</v>
      </c>
      <c r="Q5" s="23">
        <v>27.553995118076578</v>
      </c>
      <c r="R5" s="5">
        <v>4486.5910215365211</v>
      </c>
      <c r="S5" s="35"/>
      <c r="T5" s="23">
        <v>1179758.869796573</v>
      </c>
      <c r="U5" s="33">
        <v>113.23821207687544</v>
      </c>
      <c r="V5" s="5">
        <v>13</v>
      </c>
      <c r="W5" s="23">
        <v>98</v>
      </c>
      <c r="X5" s="33">
        <v>667.88478165281197</v>
      </c>
      <c r="Y5" s="23">
        <v>43.726176159338337</v>
      </c>
      <c r="Z5" s="5">
        <v>5936.8948934017708</v>
      </c>
      <c r="AA5" s="35"/>
    </row>
    <row r="6" spans="2:27" x14ac:dyDescent="0.2">
      <c r="B6" s="4">
        <v>3</v>
      </c>
      <c r="C6" s="4">
        <v>165</v>
      </c>
      <c r="D6" s="23">
        <v>1146239.0879266439</v>
      </c>
      <c r="E6" s="33">
        <v>145.33956584610183</v>
      </c>
      <c r="F6" s="5">
        <v>14</v>
      </c>
      <c r="G6" s="23">
        <v>98.666666666666671</v>
      </c>
      <c r="H6" s="33">
        <v>647.95799584527902</v>
      </c>
      <c r="I6" s="23">
        <v>42.327934779083762</v>
      </c>
      <c r="J6" s="5">
        <v>5712.7035541894957</v>
      </c>
      <c r="K6" s="31"/>
      <c r="L6" s="23">
        <v>1609628.218413895</v>
      </c>
      <c r="M6" s="33">
        <v>226.7571656154289</v>
      </c>
      <c r="N6" s="5">
        <v>11</v>
      </c>
      <c r="O6" s="23">
        <v>64.666666666666671</v>
      </c>
      <c r="P6" s="33">
        <v>101.58435735776401</v>
      </c>
      <c r="Q6" s="23">
        <v>29.216281641487843</v>
      </c>
      <c r="R6" s="5">
        <v>3943.6253667877554</v>
      </c>
      <c r="S6" s="35"/>
      <c r="T6" s="23">
        <v>1126718.235174095</v>
      </c>
      <c r="U6" s="33">
        <v>215.6890728461664</v>
      </c>
      <c r="V6" s="5">
        <v>13</v>
      </c>
      <c r="W6" s="23">
        <v>100</v>
      </c>
      <c r="X6" s="33">
        <v>662.97935901862047</v>
      </c>
      <c r="Y6" s="23">
        <v>45.02501013271894</v>
      </c>
      <c r="Z6" s="5">
        <v>5864.079524327808</v>
      </c>
      <c r="AA6" s="35"/>
    </row>
    <row r="7" spans="2:27" x14ac:dyDescent="0.2">
      <c r="B7" s="4">
        <v>4</v>
      </c>
      <c r="C7" s="4">
        <v>242</v>
      </c>
      <c r="D7" s="23">
        <v>1130331.2847810029</v>
      </c>
      <c r="E7" s="33">
        <v>333.8130008461527</v>
      </c>
      <c r="F7" s="5">
        <v>14</v>
      </c>
      <c r="G7" s="23">
        <v>98.666666666666671</v>
      </c>
      <c r="H7" s="33">
        <v>539.58555323621454</v>
      </c>
      <c r="I7" s="23">
        <v>42.186819433527738</v>
      </c>
      <c r="J7" s="5">
        <v>5683.283563563481</v>
      </c>
      <c r="K7" s="31"/>
      <c r="L7" s="23">
        <v>1644910.029721038</v>
      </c>
      <c r="M7" s="33">
        <v>125.834577846108</v>
      </c>
      <c r="N7" s="5">
        <v>11</v>
      </c>
      <c r="O7" s="23">
        <v>64.666666666666671</v>
      </c>
      <c r="P7" s="33">
        <v>93.141436259551327</v>
      </c>
      <c r="Q7" s="23">
        <v>28.778191572880505</v>
      </c>
      <c r="R7" s="5">
        <v>4278.6224144821663</v>
      </c>
      <c r="S7" s="35"/>
      <c r="T7" s="23">
        <v>1180559.8557152769</v>
      </c>
      <c r="U7" s="33">
        <v>179.04095276921561</v>
      </c>
      <c r="V7" s="5">
        <v>14</v>
      </c>
      <c r="W7" s="23">
        <v>99.333333333333329</v>
      </c>
      <c r="X7" s="33">
        <v>681.82321888307945</v>
      </c>
      <c r="Y7" s="23">
        <v>42.026610543582763</v>
      </c>
      <c r="Z7" s="5">
        <v>5990.724190869093</v>
      </c>
      <c r="AA7" s="35"/>
    </row>
    <row r="8" spans="2:27" x14ac:dyDescent="0.2">
      <c r="B8" s="4">
        <v>5</v>
      </c>
      <c r="C8" s="4">
        <v>358</v>
      </c>
      <c r="D8" s="23">
        <v>1134322.89888199</v>
      </c>
      <c r="E8" s="33">
        <v>145.86066753845299</v>
      </c>
      <c r="F8" s="5">
        <v>13</v>
      </c>
      <c r="G8" s="23">
        <v>98.666666666666671</v>
      </c>
      <c r="H8" s="33">
        <v>601.82548601251983</v>
      </c>
      <c r="I8" s="23">
        <v>43.954983973877411</v>
      </c>
      <c r="J8" s="5">
        <v>5755.0234233203137</v>
      </c>
      <c r="K8" s="31"/>
      <c r="L8" s="23">
        <v>1619813.1037585081</v>
      </c>
      <c r="M8" s="33">
        <v>101.30846323078285</v>
      </c>
      <c r="N8" s="5">
        <v>11</v>
      </c>
      <c r="O8" s="23">
        <v>64.666666666666671</v>
      </c>
      <c r="P8" s="33">
        <v>37.998680391481379</v>
      </c>
      <c r="Q8" s="23">
        <v>27.826245006879414</v>
      </c>
      <c r="R8" s="5">
        <v>4058.4655257234213</v>
      </c>
      <c r="S8" s="35"/>
      <c r="T8" s="23">
        <v>1116503.235220033</v>
      </c>
      <c r="U8" s="33">
        <v>134.51249200000001</v>
      </c>
      <c r="V8" s="5">
        <v>12</v>
      </c>
      <c r="W8" s="23">
        <v>98.666666666666671</v>
      </c>
      <c r="X8" s="33">
        <v>646.00261110608176</v>
      </c>
      <c r="Y8" s="23">
        <v>50.340570708082502</v>
      </c>
      <c r="Z8" s="5">
        <v>5812.6751888718454</v>
      </c>
      <c r="AA8" s="35"/>
    </row>
    <row r="9" spans="2:27" x14ac:dyDescent="0.2">
      <c r="B9" s="4">
        <v>6</v>
      </c>
      <c r="C9" s="4">
        <v>479</v>
      </c>
      <c r="D9" s="23">
        <v>1120670.5772736871</v>
      </c>
      <c r="E9" s="33">
        <v>230.17353484613031</v>
      </c>
      <c r="F9" s="5">
        <v>13</v>
      </c>
      <c r="G9" s="23">
        <v>98.666666666666671</v>
      </c>
      <c r="H9" s="33">
        <v>598.59378458235756</v>
      </c>
      <c r="I9" s="23">
        <v>43.835182209102499</v>
      </c>
      <c r="J9" s="5">
        <v>5690.5646683356308</v>
      </c>
      <c r="K9" s="31"/>
      <c r="L9" s="23">
        <v>1643363.0296972389</v>
      </c>
      <c r="M9" s="33">
        <v>313.75871684608194</v>
      </c>
      <c r="N9" s="5">
        <v>11</v>
      </c>
      <c r="O9" s="23">
        <v>64.666666666666671</v>
      </c>
      <c r="P9" s="33">
        <v>85.513220371012551</v>
      </c>
      <c r="Q9" s="23">
        <v>28.346744681794291</v>
      </c>
      <c r="R9" s="5">
        <v>4296.2898020213397</v>
      </c>
      <c r="S9" s="35"/>
      <c r="T9" s="23">
        <v>1119552.1298876391</v>
      </c>
      <c r="U9" s="33">
        <v>187.54201084617168</v>
      </c>
      <c r="V9" s="5">
        <v>13</v>
      </c>
      <c r="W9" s="23">
        <v>99.333333333333329</v>
      </c>
      <c r="X9" s="33">
        <v>595.52685460817713</v>
      </c>
      <c r="Y9" s="23">
        <v>44.221082565612051</v>
      </c>
      <c r="Z9" s="5">
        <v>5763.0068700460724</v>
      </c>
      <c r="AA9" s="35"/>
    </row>
    <row r="10" spans="2:27" x14ac:dyDescent="0.2">
      <c r="B10" s="4">
        <v>7</v>
      </c>
      <c r="C10" s="4">
        <v>517</v>
      </c>
      <c r="D10" s="23">
        <v>1109461.4547045201</v>
      </c>
      <c r="E10" s="33">
        <v>267.75269992309256</v>
      </c>
      <c r="F10" s="5">
        <v>13</v>
      </c>
      <c r="G10" s="23">
        <v>98.666666666666671</v>
      </c>
      <c r="H10" s="33">
        <v>556.1484043778413</v>
      </c>
      <c r="I10" s="23">
        <v>46.079268944698597</v>
      </c>
      <c r="J10" s="5">
        <v>5662.791341137412</v>
      </c>
      <c r="K10" s="31"/>
      <c r="L10" s="23">
        <v>1638609.924888527</v>
      </c>
      <c r="M10" s="33">
        <v>186.85195892305967</v>
      </c>
      <c r="N10" s="5">
        <v>11</v>
      </c>
      <c r="O10" s="23">
        <v>64.666666666666671</v>
      </c>
      <c r="P10" s="33">
        <v>39.190300629675072</v>
      </c>
      <c r="Q10" s="23">
        <v>27.519008467123726</v>
      </c>
      <c r="R10" s="5">
        <v>4209.5123092456588</v>
      </c>
      <c r="S10" s="35"/>
      <c r="T10" s="23">
        <v>1131862.049549486</v>
      </c>
      <c r="U10" s="33">
        <v>164.66688761541332</v>
      </c>
      <c r="V10" s="5">
        <v>14</v>
      </c>
      <c r="W10" s="23">
        <v>100</v>
      </c>
      <c r="X10" s="33">
        <v>632.79783599471534</v>
      </c>
      <c r="Y10" s="23">
        <v>43.281992037743358</v>
      </c>
      <c r="Z10" s="5">
        <v>5817.243071322172</v>
      </c>
      <c r="AA10" s="35"/>
    </row>
    <row r="11" spans="2:27" x14ac:dyDescent="0.2">
      <c r="B11" s="4">
        <v>8</v>
      </c>
      <c r="C11" s="4">
        <v>583</v>
      </c>
      <c r="D11" s="23">
        <v>1208164.084242699</v>
      </c>
      <c r="E11" s="33">
        <v>135.39227392309562</v>
      </c>
      <c r="F11" s="5">
        <v>13</v>
      </c>
      <c r="G11" s="23">
        <v>97.333333333333329</v>
      </c>
      <c r="H11" s="33">
        <v>788.31076836414411</v>
      </c>
      <c r="I11" s="23">
        <v>45.564296915079552</v>
      </c>
      <c r="J11" s="5">
        <v>5997.4604940281197</v>
      </c>
      <c r="K11" s="31"/>
      <c r="L11" s="23">
        <v>1622613.893312949</v>
      </c>
      <c r="M11" s="33">
        <v>135.33905392306715</v>
      </c>
      <c r="N11" s="5">
        <v>11</v>
      </c>
      <c r="O11" s="23">
        <v>64.666666666666671</v>
      </c>
      <c r="P11" s="33">
        <v>65.409345593915802</v>
      </c>
      <c r="Q11" s="23">
        <v>29.007181490598203</v>
      </c>
      <c r="R11" s="5">
        <v>4066.3351989576577</v>
      </c>
      <c r="S11" s="35"/>
      <c r="T11" s="23">
        <v>1130884.4117259539</v>
      </c>
      <c r="U11" s="33">
        <v>133.82216923073148</v>
      </c>
      <c r="V11" s="5">
        <v>13</v>
      </c>
      <c r="W11" s="23">
        <v>99.333333333333329</v>
      </c>
      <c r="X11" s="33">
        <v>679.10709722158037</v>
      </c>
      <c r="Y11" s="23">
        <v>44.665730429572996</v>
      </c>
      <c r="Z11" s="5">
        <v>5796.9911803742325</v>
      </c>
      <c r="AA11" s="35"/>
    </row>
    <row r="12" spans="2:27" x14ac:dyDescent="0.2">
      <c r="B12" s="4">
        <v>9</v>
      </c>
      <c r="C12" s="4">
        <v>614</v>
      </c>
      <c r="D12" s="23">
        <v>1158688.9487574219</v>
      </c>
      <c r="E12" s="33">
        <v>130.9993118461436</v>
      </c>
      <c r="F12" s="5">
        <v>13</v>
      </c>
      <c r="G12" s="23">
        <v>98</v>
      </c>
      <c r="H12" s="33">
        <v>600.50049892048003</v>
      </c>
      <c r="I12" s="23">
        <v>44.082311528140231</v>
      </c>
      <c r="J12" s="5">
        <v>5867.9866836457422</v>
      </c>
      <c r="K12" s="31"/>
      <c r="L12" s="23">
        <v>1622869.02064716</v>
      </c>
      <c r="M12" s="33">
        <v>179.91561138465138</v>
      </c>
      <c r="N12" s="5">
        <v>11</v>
      </c>
      <c r="O12" s="23">
        <v>64.666666666666671</v>
      </c>
      <c r="P12" s="33">
        <v>112.15194921449063</v>
      </c>
      <c r="Q12" s="23">
        <v>28.807602149855338</v>
      </c>
      <c r="R12" s="5">
        <v>4059.8576518536979</v>
      </c>
      <c r="S12" s="35"/>
      <c r="T12" s="23">
        <v>1119718.6835990909</v>
      </c>
      <c r="U12" s="33">
        <v>173.90264307695006</v>
      </c>
      <c r="V12" s="5">
        <v>13</v>
      </c>
      <c r="W12" s="23">
        <v>99.333333333333329</v>
      </c>
      <c r="X12" s="33">
        <v>663.63162830630836</v>
      </c>
      <c r="Y12" s="23">
        <v>45.843071483413915</v>
      </c>
      <c r="Z12" s="5">
        <v>5750.4073375390062</v>
      </c>
      <c r="AA12" s="35"/>
    </row>
    <row r="13" spans="2:27" x14ac:dyDescent="0.2">
      <c r="B13" s="4">
        <v>10</v>
      </c>
      <c r="C13" s="4">
        <v>945</v>
      </c>
      <c r="D13" s="23">
        <v>1148819.2570402501</v>
      </c>
      <c r="E13" s="33">
        <v>155.96661746152677</v>
      </c>
      <c r="F13" s="5">
        <v>14</v>
      </c>
      <c r="G13" s="23">
        <v>98.666666666666671</v>
      </c>
      <c r="H13" s="33">
        <v>613.47811460885009</v>
      </c>
      <c r="I13" s="23">
        <v>41.600870935938474</v>
      </c>
      <c r="J13" s="5">
        <v>5742.8782596553647</v>
      </c>
      <c r="K13" s="31"/>
      <c r="L13" s="23">
        <v>1653140.9997375291</v>
      </c>
      <c r="M13" s="33">
        <v>148.17552123075492</v>
      </c>
      <c r="N13" s="5">
        <v>11</v>
      </c>
      <c r="O13" s="23">
        <v>64.666666666666671</v>
      </c>
      <c r="P13" s="33">
        <v>72.456591152022625</v>
      </c>
      <c r="Q13" s="23">
        <v>27.78786371407476</v>
      </c>
      <c r="R13" s="5">
        <v>4383.1880915902584</v>
      </c>
      <c r="S13" s="35"/>
      <c r="T13" s="23">
        <v>1187471.8451170479</v>
      </c>
      <c r="U13" s="33">
        <v>226.56860792301953</v>
      </c>
      <c r="V13" s="5">
        <v>14</v>
      </c>
      <c r="W13" s="23">
        <v>99.333333333333329</v>
      </c>
      <c r="X13" s="33">
        <v>716.6113837144278</v>
      </c>
      <c r="Y13" s="23">
        <v>42.329905452317639</v>
      </c>
      <c r="Z13" s="5">
        <v>6031.5781062746792</v>
      </c>
      <c r="AA13" s="35"/>
    </row>
    <row r="14" spans="2:27" x14ac:dyDescent="0.2">
      <c r="B14" s="50" t="s">
        <v>3</v>
      </c>
      <c r="C14" s="51"/>
      <c r="D14" s="9">
        <f>MIN(D4:D13)</f>
        <v>1109461.4547045201</v>
      </c>
      <c r="E14" s="22">
        <f>INDEX(E4:E13, MATCH($D$14, D4:D13, 0))</f>
        <v>267.75269992309256</v>
      </c>
      <c r="F14" s="9">
        <f>INDEX(F4:F13, MATCH($D$14, D4:D13, 0))</f>
        <v>13</v>
      </c>
      <c r="G14" s="9">
        <f>INDEX(G4:G13, MATCH($D$14, D4:D13, 0))</f>
        <v>98.666666666666671</v>
      </c>
      <c r="H14" s="22">
        <f>INDEX(H4:H13, MATCH($D$14, D4:D13, 0))</f>
        <v>556.1484043778413</v>
      </c>
      <c r="I14" s="22">
        <f>INDEX(I4:I13, MATCH($D$14, D4:D13, 0))</f>
        <v>46.079268944698597</v>
      </c>
      <c r="J14" s="22">
        <f>INDEX(J4:J13, MATCH($D$14, D4:D13, 0))</f>
        <v>5662.791341137412</v>
      </c>
      <c r="K14" s="32" t="e">
        <f>(D14-$D$15)/$D$15</f>
        <v>#DIV/0!</v>
      </c>
      <c r="L14" s="16">
        <f>MIN(L4:L13)</f>
        <v>1609628.218413895</v>
      </c>
      <c r="M14" s="21">
        <f>INDEX(M4:M13, MATCH($L$14, L4:L13, 0))</f>
        <v>226.7571656154289</v>
      </c>
      <c r="N14" s="16">
        <f>INDEX(N4:N13, MATCH($L$14, L4:L13, 0))</f>
        <v>11</v>
      </c>
      <c r="O14" s="16">
        <f>INDEX(O4:O13, MATCH($L$14, L4:L13, 0))</f>
        <v>64.666666666666671</v>
      </c>
      <c r="P14" s="21">
        <f>INDEX(P4:P13, MATCH($L$14, L4:L13, 0))</f>
        <v>101.58435735776401</v>
      </c>
      <c r="Q14" s="21">
        <f>INDEX(Q4:Q13, MATCH($L$14, L4:L13, 0))</f>
        <v>29.216281641487843</v>
      </c>
      <c r="R14" s="21">
        <f>INDEX(R4:R13, MATCH($L$14, L4:L13, 0))</f>
        <v>3943.6253667877554</v>
      </c>
      <c r="S14" s="36" t="e">
        <f>(L14-$D$15)/$D$15</f>
        <v>#DIV/0!</v>
      </c>
      <c r="T14" s="38">
        <f>MIN(T4:T13)</f>
        <v>1116503.235220033</v>
      </c>
      <c r="U14" s="39">
        <f>INDEX(U4:U13, MATCH($T$14, T4:T13, 0))</f>
        <v>134.51249200000001</v>
      </c>
      <c r="V14" s="38">
        <f>INDEX(V4:V13, MATCH($T$14, T4:T13, 0))</f>
        <v>12</v>
      </c>
      <c r="W14" s="38">
        <f>INDEX(W4:W13, MATCH($T$14, T4:T13, 0))</f>
        <v>98.666666666666671</v>
      </c>
      <c r="X14" s="39">
        <f>INDEX(X4:X13, MATCH($T$14, T4:T13, 0))</f>
        <v>646.00261110608176</v>
      </c>
      <c r="Y14" s="39">
        <f>INDEX(Y4:Y13, MATCH($T$14, T4:T13, 0))</f>
        <v>50.340570708082502</v>
      </c>
      <c r="Z14" s="39">
        <f>INDEX(Z4:Z13, MATCH($T$14, T4:T13, 0))</f>
        <v>5812.6751888718454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0.45081941476063542</v>
      </c>
      <c r="M15" s="41">
        <f t="shared" ref="M15:R15" si="0">(M14-E14)/E14</f>
        <v>-0.15310969532497315</v>
      </c>
      <c r="N15" s="41">
        <f t="shared" si="0"/>
        <v>-0.15384615384615385</v>
      </c>
      <c r="O15" s="41">
        <f t="shared" si="0"/>
        <v>-0.34459459459459457</v>
      </c>
      <c r="P15" s="41">
        <f t="shared" si="0"/>
        <v>-0.81734307505313153</v>
      </c>
      <c r="Q15" s="41">
        <f t="shared" si="0"/>
        <v>-0.36595605115716218</v>
      </c>
      <c r="R15" s="41">
        <f t="shared" si="0"/>
        <v>-0.30358985009049438</v>
      </c>
      <c r="T15" s="41">
        <f>(T14-D14)/D14</f>
        <v>6.3470258346094016E-3</v>
      </c>
      <c r="U15" s="41">
        <f t="shared" ref="U15:Z15" si="1">(U14-E14)/E14</f>
        <v>-0.49762414332839056</v>
      </c>
      <c r="V15" s="41">
        <f t="shared" si="1"/>
        <v>-7.6923076923076927E-2</v>
      </c>
      <c r="W15" s="41">
        <f t="shared" si="1"/>
        <v>0</v>
      </c>
      <c r="X15" s="41">
        <f t="shared" si="1"/>
        <v>0.16156516142262356</v>
      </c>
      <c r="Y15" s="41">
        <f t="shared" si="1"/>
        <v>9.2477633889939695E-2</v>
      </c>
      <c r="Z15" s="41">
        <f t="shared" si="1"/>
        <v>2.6468191869546822E-2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6:C1048576">
    <cfRule type="duplicateValues" dxfId="99" priority="11"/>
    <cfRule type="duplicateValues" dxfId="98" priority="12"/>
  </conditionalFormatting>
  <conditionalFormatting sqref="C2">
    <cfRule type="duplicateValues" dxfId="97" priority="3"/>
    <cfRule type="duplicateValues" dxfId="96" priority="4"/>
  </conditionalFormatting>
  <conditionalFormatting sqref="C4:C13">
    <cfRule type="duplicateValues" dxfId="95" priority="5"/>
    <cfRule type="duplicateValues" dxfId="94" priority="6"/>
  </conditionalFormatting>
  <conditionalFormatting sqref="C14">
    <cfRule type="duplicateValues" dxfId="93" priority="9"/>
    <cfRule type="duplicateValues" dxfId="92" priority="10"/>
  </conditionalFormatting>
  <conditionalFormatting sqref="C15">
    <cfRule type="duplicateValues" dxfId="91" priority="7"/>
    <cfRule type="duplicateValues" dxfId="90" priority="8"/>
  </conditionalFormatting>
  <conditionalFormatting sqref="C17:C35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E562-5A4A-4199-8EFE-21B684C6C986}">
  <dimension ref="B1:AA17"/>
  <sheetViews>
    <sheetView zoomScale="90" zoomScaleNormal="90" workbookViewId="0">
      <selection activeCell="U19" sqref="U19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-0.94696727163414685</v>
      </c>
      <c r="R2" s="1">
        <f>(R14-J14)/J14</f>
        <v>-0.20959066798063986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16</v>
      </c>
      <c r="D4" s="23">
        <v>1140190.0234291479</v>
      </c>
      <c r="E4" s="33">
        <v>126.30827415376331</v>
      </c>
      <c r="F4" s="5">
        <v>12</v>
      </c>
      <c r="G4" s="23">
        <v>96.666666666666671</v>
      </c>
      <c r="H4" s="33">
        <v>564.16082997875378</v>
      </c>
      <c r="I4" s="23">
        <v>44.547633874464715</v>
      </c>
      <c r="J4" s="5">
        <v>5610.9785466450712</v>
      </c>
      <c r="K4" s="31"/>
      <c r="L4" s="23">
        <v>1632962.878750755</v>
      </c>
      <c r="M4" s="33">
        <v>190.86069446155582</v>
      </c>
      <c r="N4" s="5">
        <v>11</v>
      </c>
      <c r="O4" s="23">
        <v>64</v>
      </c>
      <c r="P4" s="33">
        <v>38.163801991700268</v>
      </c>
      <c r="Q4" s="23">
        <v>25.16090735492401</v>
      </c>
      <c r="R4" s="5">
        <v>3856.8297249996049</v>
      </c>
      <c r="S4" s="35"/>
      <c r="T4" s="23">
        <v>1039298.314191052</v>
      </c>
      <c r="U4" s="33">
        <v>229.37817200006415</v>
      </c>
      <c r="V4" s="5">
        <v>15</v>
      </c>
      <c r="W4" s="23">
        <v>100</v>
      </c>
      <c r="X4" s="33">
        <v>387.55699486194186</v>
      </c>
      <c r="Y4" s="23">
        <v>38.196994296878628</v>
      </c>
      <c r="Z4" s="5">
        <v>5193.2478476546066</v>
      </c>
      <c r="AA4" s="35"/>
    </row>
    <row r="5" spans="2:27" x14ac:dyDescent="0.2">
      <c r="B5" s="4">
        <v>2</v>
      </c>
      <c r="C5" s="4">
        <v>80</v>
      </c>
      <c r="D5" s="23">
        <v>1082711.424619141</v>
      </c>
      <c r="E5" s="33">
        <v>196.92162207685985</v>
      </c>
      <c r="F5" s="5">
        <v>14</v>
      </c>
      <c r="G5" s="23">
        <v>96.666666666666671</v>
      </c>
      <c r="H5" s="33">
        <v>341.23408527907327</v>
      </c>
      <c r="I5" s="23">
        <v>37.728680826147844</v>
      </c>
      <c r="J5" s="5">
        <v>5124.14575974318</v>
      </c>
      <c r="K5" s="31"/>
      <c r="L5" s="23">
        <v>1655240.430722479</v>
      </c>
      <c r="M5" s="33">
        <v>147.63637969234532</v>
      </c>
      <c r="N5" s="5">
        <v>10</v>
      </c>
      <c r="O5" s="23">
        <v>64</v>
      </c>
      <c r="P5" s="33">
        <v>118.17388579358646</v>
      </c>
      <c r="Q5" s="23">
        <v>27.466130578377726</v>
      </c>
      <c r="R5" s="5">
        <v>4195.9458448171736</v>
      </c>
      <c r="S5" s="35"/>
      <c r="T5" s="23">
        <v>1031083.947967411</v>
      </c>
      <c r="U5" s="33">
        <v>377.56179792313975</v>
      </c>
      <c r="V5" s="5">
        <v>15</v>
      </c>
      <c r="W5" s="23">
        <v>100</v>
      </c>
      <c r="X5" s="33">
        <v>300.58404813098366</v>
      </c>
      <c r="Y5" s="23">
        <v>37.065956591392478</v>
      </c>
      <c r="Z5" s="5">
        <v>5176.9544907650579</v>
      </c>
      <c r="AA5" s="35"/>
    </row>
    <row r="6" spans="2:27" x14ac:dyDescent="0.2">
      <c r="B6" s="4">
        <v>3</v>
      </c>
      <c r="C6" s="4">
        <v>183</v>
      </c>
      <c r="D6" s="23">
        <v>1050417.709782372</v>
      </c>
      <c r="E6" s="33">
        <v>217.86547646150356</v>
      </c>
      <c r="F6" s="5">
        <v>14</v>
      </c>
      <c r="G6" s="23">
        <v>96.666666666666671</v>
      </c>
      <c r="H6" s="33">
        <v>371.24558506965866</v>
      </c>
      <c r="I6" s="23">
        <v>37.439649434799328</v>
      </c>
      <c r="J6" s="5">
        <v>4893.5953189958855</v>
      </c>
      <c r="K6" s="31"/>
      <c r="L6" s="23">
        <v>1660974.4935896411</v>
      </c>
      <c r="M6" s="33">
        <v>250.44571446156343</v>
      </c>
      <c r="N6" s="5">
        <v>10</v>
      </c>
      <c r="O6" s="23">
        <v>64</v>
      </c>
      <c r="P6" s="33">
        <v>131.82289619013747</v>
      </c>
      <c r="Q6" s="23">
        <v>27.467420563311492</v>
      </c>
      <c r="R6" s="5">
        <v>4218.5324876509712</v>
      </c>
      <c r="S6" s="35"/>
      <c r="T6" s="23">
        <v>1028704.566222412</v>
      </c>
      <c r="U6" s="33">
        <v>178.38081992311905</v>
      </c>
      <c r="V6" s="5">
        <v>14</v>
      </c>
      <c r="W6" s="23">
        <v>100</v>
      </c>
      <c r="X6" s="33">
        <v>384.33836014168151</v>
      </c>
      <c r="Y6" s="23">
        <v>39.478014381042264</v>
      </c>
      <c r="Z6" s="5">
        <v>5209.1578584155786</v>
      </c>
      <c r="AA6" s="35"/>
    </row>
    <row r="7" spans="2:27" x14ac:dyDescent="0.2">
      <c r="B7" s="4">
        <v>4</v>
      </c>
      <c r="C7" s="4">
        <v>194</v>
      </c>
      <c r="D7" s="23">
        <v>1093225.2305004499</v>
      </c>
      <c r="E7" s="33">
        <v>174.32775238457208</v>
      </c>
      <c r="F7" s="5">
        <v>14</v>
      </c>
      <c r="G7" s="23">
        <v>96.666666666666671</v>
      </c>
      <c r="H7" s="33">
        <v>390.90742838215931</v>
      </c>
      <c r="I7" s="23">
        <v>37.483494527445018</v>
      </c>
      <c r="J7" s="5">
        <v>5159.4165147039748</v>
      </c>
      <c r="K7" s="31"/>
      <c r="L7" s="23">
        <v>1644340.091597484</v>
      </c>
      <c r="M7" s="33">
        <v>246.53377907699908</v>
      </c>
      <c r="N7" s="5">
        <v>10</v>
      </c>
      <c r="O7" s="23">
        <v>64</v>
      </c>
      <c r="P7" s="33">
        <v>137.72876589124272</v>
      </c>
      <c r="Q7" s="23">
        <v>28.39621838767804</v>
      </c>
      <c r="R7" s="5">
        <v>4099.6082978981385</v>
      </c>
      <c r="S7" s="35"/>
      <c r="T7" s="23">
        <v>1060350.1481672211</v>
      </c>
      <c r="U7" s="33">
        <v>105.31262115387315</v>
      </c>
      <c r="V7" s="5">
        <v>14</v>
      </c>
      <c r="W7" s="23">
        <v>100</v>
      </c>
      <c r="X7" s="33">
        <v>459.95865607547324</v>
      </c>
      <c r="Y7" s="23">
        <v>39.727051791095541</v>
      </c>
      <c r="Z7" s="5">
        <v>5355.7649355402727</v>
      </c>
      <c r="AA7" s="35"/>
    </row>
    <row r="8" spans="2:27" x14ac:dyDescent="0.2">
      <c r="B8" s="4">
        <v>5</v>
      </c>
      <c r="C8" s="4">
        <v>323</v>
      </c>
      <c r="D8" s="23">
        <v>1129378.7609582299</v>
      </c>
      <c r="E8" s="33">
        <v>338.10159884617087</v>
      </c>
      <c r="F8" s="5">
        <v>15</v>
      </c>
      <c r="G8" s="23">
        <v>96.666666666666671</v>
      </c>
      <c r="H8" s="33">
        <v>386.83742233253872</v>
      </c>
      <c r="I8" s="23">
        <v>34.229361819244104</v>
      </c>
      <c r="J8" s="5">
        <v>5229.5433522831599</v>
      </c>
      <c r="K8" s="31"/>
      <c r="L8" s="23">
        <v>1638012.5459577041</v>
      </c>
      <c r="M8" s="33">
        <v>462.38051846148801</v>
      </c>
      <c r="N8" s="5">
        <v>10</v>
      </c>
      <c r="O8" s="23">
        <v>64</v>
      </c>
      <c r="P8" s="33">
        <v>100.71634973080722</v>
      </c>
      <c r="Q8" s="23">
        <v>28.971935912923232</v>
      </c>
      <c r="R8" s="5">
        <v>4075.5139063177471</v>
      </c>
      <c r="S8" s="35"/>
      <c r="T8" s="23">
        <v>1000456.424928857</v>
      </c>
      <c r="U8" s="33">
        <v>205.93380630768544</v>
      </c>
      <c r="V8" s="5">
        <v>14</v>
      </c>
      <c r="W8" s="23">
        <v>100</v>
      </c>
      <c r="X8" s="33">
        <v>410.20979809716141</v>
      </c>
      <c r="Y8" s="23">
        <v>39.992215438771133</v>
      </c>
      <c r="Z8" s="5">
        <v>5030.1003977261189</v>
      </c>
      <c r="AA8" s="35"/>
    </row>
    <row r="9" spans="2:27" x14ac:dyDescent="0.2">
      <c r="B9" s="4">
        <v>6</v>
      </c>
      <c r="C9" s="4">
        <v>356</v>
      </c>
      <c r="D9" s="23">
        <v>1046045.483747479</v>
      </c>
      <c r="E9" s="33">
        <v>205.49383246160752</v>
      </c>
      <c r="F9" s="5">
        <v>14</v>
      </c>
      <c r="G9" s="23">
        <v>96.666666666666671</v>
      </c>
      <c r="H9" s="33">
        <v>351.38906290061749</v>
      </c>
      <c r="I9" s="23">
        <v>37.424531203822959</v>
      </c>
      <c r="J9" s="5">
        <v>4871.4040777261835</v>
      </c>
      <c r="K9" s="31"/>
      <c r="L9" s="23">
        <v>1668216.696601988</v>
      </c>
      <c r="M9" s="33">
        <v>135.06113046153376</v>
      </c>
      <c r="N9" s="5">
        <v>10</v>
      </c>
      <c r="O9" s="23">
        <v>64</v>
      </c>
      <c r="P9" s="33">
        <v>70.126740979743474</v>
      </c>
      <c r="Q9" s="23">
        <v>28.070504916051068</v>
      </c>
      <c r="R9" s="5">
        <v>4351.0619146639292</v>
      </c>
      <c r="S9" s="35"/>
      <c r="T9" s="23">
        <v>1000404.5747731701</v>
      </c>
      <c r="U9" s="33">
        <v>235.70173323073854</v>
      </c>
      <c r="V9" s="5">
        <v>14</v>
      </c>
      <c r="W9" s="23">
        <v>100</v>
      </c>
      <c r="X9" s="33">
        <v>412.79795462226673</v>
      </c>
      <c r="Y9" s="23">
        <v>39.917737358036277</v>
      </c>
      <c r="Z9" s="5">
        <v>5030.2723623049969</v>
      </c>
      <c r="AA9" s="35"/>
    </row>
    <row r="10" spans="2:27" x14ac:dyDescent="0.2">
      <c r="B10" s="4">
        <v>7</v>
      </c>
      <c r="C10" s="4">
        <v>435</v>
      </c>
      <c r="D10" s="23">
        <v>1106261.1965489159</v>
      </c>
      <c r="E10" s="33">
        <v>163.43257253846298</v>
      </c>
      <c r="F10" s="5">
        <v>14</v>
      </c>
      <c r="G10" s="23">
        <v>96.666666666666671</v>
      </c>
      <c r="H10" s="33">
        <v>458.61522459470422</v>
      </c>
      <c r="I10" s="23">
        <v>38.401762948415197</v>
      </c>
      <c r="J10" s="5">
        <v>5223.9263487252529</v>
      </c>
      <c r="K10" s="31"/>
      <c r="L10" s="23">
        <v>1657284.4129083899</v>
      </c>
      <c r="M10" s="33">
        <v>98.878647384609835</v>
      </c>
      <c r="N10" s="5">
        <v>10</v>
      </c>
      <c r="O10" s="23">
        <v>64</v>
      </c>
      <c r="P10" s="33">
        <v>114.78303591699704</v>
      </c>
      <c r="Q10" s="23">
        <v>27.531026039560299</v>
      </c>
      <c r="R10" s="5">
        <v>4210.4882679984521</v>
      </c>
      <c r="S10" s="35"/>
      <c r="T10" s="23">
        <v>1090129.523394132</v>
      </c>
      <c r="U10" s="33">
        <v>158.21691423072477</v>
      </c>
      <c r="V10" s="5">
        <v>15</v>
      </c>
      <c r="W10" s="23">
        <v>100</v>
      </c>
      <c r="X10" s="33">
        <v>457.5477099631857</v>
      </c>
      <c r="Y10" s="23">
        <v>36.977781843025149</v>
      </c>
      <c r="Z10" s="5">
        <v>5429.9161455425565</v>
      </c>
      <c r="AA10" s="35"/>
    </row>
    <row r="11" spans="2:27" x14ac:dyDescent="0.2">
      <c r="B11" s="4">
        <v>8</v>
      </c>
      <c r="C11" s="4">
        <v>785</v>
      </c>
      <c r="D11" s="23">
        <v>1134999.855652645</v>
      </c>
      <c r="E11" s="33">
        <v>165.99049976919423</v>
      </c>
      <c r="F11" s="5">
        <v>12</v>
      </c>
      <c r="G11" s="23">
        <v>96.666666666666671</v>
      </c>
      <c r="H11" s="33">
        <v>529.03309148890014</v>
      </c>
      <c r="I11" s="23">
        <v>43.737179051491232</v>
      </c>
      <c r="J11" s="5">
        <v>5587.2704326917628</v>
      </c>
      <c r="K11" s="31"/>
      <c r="L11" s="23">
        <v>1637522.507898303</v>
      </c>
      <c r="M11" s="33">
        <v>168.09260615380484</v>
      </c>
      <c r="N11" s="5">
        <v>11</v>
      </c>
      <c r="O11" s="23">
        <v>64</v>
      </c>
      <c r="P11" s="33">
        <v>79.927020546970951</v>
      </c>
      <c r="Q11" s="23">
        <v>25.348458935803379</v>
      </c>
      <c r="R11" s="5">
        <v>3878.0375186634792</v>
      </c>
      <c r="S11" s="35"/>
      <c r="T11" s="23">
        <v>1031516.487477882</v>
      </c>
      <c r="U11" s="33">
        <v>180.91664769230053</v>
      </c>
      <c r="V11" s="5">
        <v>15</v>
      </c>
      <c r="W11" s="23">
        <v>100</v>
      </c>
      <c r="X11" s="33">
        <v>308.02514307775999</v>
      </c>
      <c r="Y11" s="23">
        <v>37.023653569757137</v>
      </c>
      <c r="Z11" s="5">
        <v>5169.6312126769626</v>
      </c>
      <c r="AA11" s="35"/>
    </row>
    <row r="12" spans="2:27" x14ac:dyDescent="0.2">
      <c r="B12" s="4">
        <v>9</v>
      </c>
      <c r="C12" s="4">
        <v>800</v>
      </c>
      <c r="D12" s="23">
        <v>1088715.929915909</v>
      </c>
      <c r="E12" s="33">
        <v>133.22303138467336</v>
      </c>
      <c r="F12" s="5">
        <v>14</v>
      </c>
      <c r="G12" s="23">
        <v>96.666666666666671</v>
      </c>
      <c r="H12" s="33">
        <v>321.74700318718203</v>
      </c>
      <c r="I12" s="23">
        <v>37.137340567116851</v>
      </c>
      <c r="J12" s="5">
        <v>5173.6222561572185</v>
      </c>
      <c r="K12" s="31"/>
      <c r="L12" s="23">
        <v>1648175.4883879139</v>
      </c>
      <c r="M12" s="33">
        <v>98.572163846200453</v>
      </c>
      <c r="N12" s="5">
        <v>10</v>
      </c>
      <c r="O12" s="23">
        <v>64</v>
      </c>
      <c r="P12" s="33">
        <v>67.352299235628564</v>
      </c>
      <c r="Q12" s="23">
        <v>27.530639074142233</v>
      </c>
      <c r="R12" s="5">
        <v>4182.9049097635461</v>
      </c>
      <c r="S12" s="35"/>
      <c r="T12" s="23">
        <v>1000761.712784636</v>
      </c>
      <c r="U12" s="33">
        <v>159.04991738462394</v>
      </c>
      <c r="V12" s="5">
        <v>14</v>
      </c>
      <c r="W12" s="23">
        <v>100</v>
      </c>
      <c r="X12" s="33">
        <v>414.38684351115552</v>
      </c>
      <c r="Y12" s="23">
        <v>39.92514534908581</v>
      </c>
      <c r="Z12" s="5">
        <v>5033.099769712403</v>
      </c>
      <c r="AA12" s="35"/>
    </row>
    <row r="13" spans="2:27" x14ac:dyDescent="0.2">
      <c r="B13" s="4">
        <v>10</v>
      </c>
      <c r="C13" s="4">
        <v>876</v>
      </c>
      <c r="D13" s="23">
        <v>1078172.497278759</v>
      </c>
      <c r="E13" s="33">
        <v>146.12448830766462</v>
      </c>
      <c r="F13" s="5">
        <v>13</v>
      </c>
      <c r="G13" s="23">
        <v>96.666666666666671</v>
      </c>
      <c r="H13" s="33">
        <v>443.58333674363513</v>
      </c>
      <c r="I13" s="23">
        <v>40.349749483757215</v>
      </c>
      <c r="J13" s="5">
        <v>5150.676543416781</v>
      </c>
      <c r="K13" s="31"/>
      <c r="L13" s="23">
        <v>1631454.498651491</v>
      </c>
      <c r="M13" s="33">
        <v>167.32021984617367</v>
      </c>
      <c r="N13" s="5">
        <v>11</v>
      </c>
      <c r="O13" s="23">
        <v>64</v>
      </c>
      <c r="P13" s="33">
        <v>18.635120723540116</v>
      </c>
      <c r="Q13" s="23">
        <v>24.735056780871354</v>
      </c>
      <c r="R13" s="5">
        <v>3850.4032430719399</v>
      </c>
      <c r="S13" s="35"/>
      <c r="T13" s="23">
        <v>1030622.277619825</v>
      </c>
      <c r="U13" s="33">
        <v>109.33234676924677</v>
      </c>
      <c r="V13" s="5">
        <v>15</v>
      </c>
      <c r="W13" s="23">
        <v>100</v>
      </c>
      <c r="X13" s="33">
        <v>340.17816371121791</v>
      </c>
      <c r="Y13" s="23">
        <v>37.107590039208247</v>
      </c>
      <c r="Z13" s="5">
        <v>5140.7362031169869</v>
      </c>
      <c r="AA13" s="35"/>
    </row>
    <row r="14" spans="2:27" x14ac:dyDescent="0.2">
      <c r="B14" s="50" t="s">
        <v>3</v>
      </c>
      <c r="C14" s="51"/>
      <c r="D14" s="9">
        <f>MIN(D4:D13)</f>
        <v>1046045.483747479</v>
      </c>
      <c r="E14" s="22">
        <f>INDEX(E4:E13, MATCH($D$14, D4:D13, 0))</f>
        <v>205.49383246160752</v>
      </c>
      <c r="F14" s="9">
        <f>INDEX(F4:F13, MATCH($D$14, D4:D13, 0))</f>
        <v>14</v>
      </c>
      <c r="G14" s="9">
        <f>INDEX(G4:G13, MATCH($D$14, D4:D13, 0))</f>
        <v>96.666666666666671</v>
      </c>
      <c r="H14" s="22">
        <f>INDEX(H4:H13, MATCH($D$14, D4:D13, 0))</f>
        <v>351.38906290061749</v>
      </c>
      <c r="I14" s="22">
        <f>INDEX(I4:I13, MATCH($D$14, D4:D13, 0))</f>
        <v>37.424531203822959</v>
      </c>
      <c r="J14" s="22">
        <f>INDEX(J4:J13, MATCH($D$14, D4:D13, 0))</f>
        <v>4871.4040777261835</v>
      </c>
      <c r="K14" s="32" t="e">
        <f>(D14-$D$15)/$D$15</f>
        <v>#DIV/0!</v>
      </c>
      <c r="L14" s="16">
        <f>MIN(L4:L13)</f>
        <v>1631454.498651491</v>
      </c>
      <c r="M14" s="21">
        <f>INDEX(M4:M13, MATCH($L$14, L4:L13, 0))</f>
        <v>167.32021984617367</v>
      </c>
      <c r="N14" s="16">
        <f>INDEX(N4:N13, MATCH($L$14, L4:L13, 0))</f>
        <v>11</v>
      </c>
      <c r="O14" s="16">
        <f>INDEX(O4:O13, MATCH($L$14, L4:L13, 0))</f>
        <v>64</v>
      </c>
      <c r="P14" s="21">
        <f>INDEX(P4:P13, MATCH($L$14, L4:L13, 0))</f>
        <v>18.635120723540116</v>
      </c>
      <c r="Q14" s="21">
        <f>INDEX(Q4:Q13, MATCH($L$14, L4:L13, 0))</f>
        <v>24.735056780871354</v>
      </c>
      <c r="R14" s="21">
        <f>INDEX(R4:R13, MATCH($L$14, L4:L13, 0))</f>
        <v>3850.4032430719399</v>
      </c>
      <c r="S14" s="36" t="e">
        <f>(L14-$D$15)/$D$15</f>
        <v>#DIV/0!</v>
      </c>
      <c r="T14" s="38">
        <f>MIN(T4:T13)</f>
        <v>1000404.5747731701</v>
      </c>
      <c r="U14" s="39">
        <f>INDEX(U4:U13, MATCH($T$14, T4:T13, 0))</f>
        <v>235.70173323073854</v>
      </c>
      <c r="V14" s="38">
        <f>INDEX(V4:V13, MATCH($T$14, T4:T13, 0))</f>
        <v>14</v>
      </c>
      <c r="W14" s="38">
        <f>INDEX(W4:W13, MATCH($T$14, T4:T13, 0))</f>
        <v>100</v>
      </c>
      <c r="X14" s="39">
        <f>INDEX(X4:X13, MATCH($T$14, T4:T13, 0))</f>
        <v>412.79795462226673</v>
      </c>
      <c r="Y14" s="39">
        <f>INDEX(Y4:Y13, MATCH($T$14, T4:T13, 0))</f>
        <v>39.917737358036277</v>
      </c>
      <c r="Z14" s="39">
        <f>INDEX(Z4:Z13, MATCH($T$14, T4:T13, 0))</f>
        <v>5030.2723623049969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0.5596401150806295</v>
      </c>
      <c r="M15" s="41">
        <f t="shared" ref="M15:R15" si="0">(M14-E14)/E14</f>
        <v>-0.18576524734661243</v>
      </c>
      <c r="N15" s="41">
        <f t="shared" si="0"/>
        <v>-0.21428571428571427</v>
      </c>
      <c r="O15" s="41">
        <f t="shared" si="0"/>
        <v>-0.33793103448275863</v>
      </c>
      <c r="P15" s="41">
        <f t="shared" si="0"/>
        <v>-0.94696727163414685</v>
      </c>
      <c r="Q15" s="41">
        <f t="shared" si="0"/>
        <v>-0.33906836010427727</v>
      </c>
      <c r="R15" s="41">
        <f t="shared" si="0"/>
        <v>-0.20959066798063986</v>
      </c>
      <c r="T15" s="41">
        <f>(T14-D14)/D14</f>
        <v>-4.3631858923380187E-2</v>
      </c>
      <c r="U15" s="41">
        <f t="shared" ref="U15:Z15" si="1">(U14-E14)/E14</f>
        <v>0.14700149589538053</v>
      </c>
      <c r="V15" s="41">
        <f t="shared" si="1"/>
        <v>0</v>
      </c>
      <c r="W15" s="41">
        <f t="shared" si="1"/>
        <v>3.4482758620689606E-2</v>
      </c>
      <c r="X15" s="41">
        <f t="shared" si="1"/>
        <v>0.17476039582659797</v>
      </c>
      <c r="Y15" s="41">
        <f t="shared" si="1"/>
        <v>6.6619569411162982E-2</v>
      </c>
      <c r="Z15" s="41">
        <f t="shared" si="1"/>
        <v>3.2612421807752832E-2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6:C1048576">
    <cfRule type="duplicateValues" dxfId="89" priority="11"/>
    <cfRule type="duplicateValues" dxfId="88" priority="12"/>
  </conditionalFormatting>
  <conditionalFormatting sqref="C2">
    <cfRule type="duplicateValues" dxfId="87" priority="3"/>
    <cfRule type="duplicateValues" dxfId="86" priority="4"/>
  </conditionalFormatting>
  <conditionalFormatting sqref="C4:C13">
    <cfRule type="duplicateValues" dxfId="85" priority="5"/>
    <cfRule type="duplicateValues" dxfId="84" priority="6"/>
  </conditionalFormatting>
  <conditionalFormatting sqref="C14">
    <cfRule type="duplicateValues" dxfId="83" priority="9"/>
    <cfRule type="duplicateValues" dxfId="82" priority="10"/>
  </conditionalFormatting>
  <conditionalFormatting sqref="C15">
    <cfRule type="duplicateValues" dxfId="81" priority="7"/>
    <cfRule type="duplicateValues" dxfId="80" priority="8"/>
  </conditionalFormatting>
  <conditionalFormatting sqref="C17:C35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DEAD-C54D-4644-92BB-97A76528F3AE}">
  <dimension ref="B1:AA17"/>
  <sheetViews>
    <sheetView zoomScale="90" zoomScaleNormal="90" workbookViewId="0">
      <selection activeCell="U29" sqref="U29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-0.87577976997841911</v>
      </c>
      <c r="R2" s="1">
        <f>(R14-J14)/J14</f>
        <v>-0.22740777679276192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69</v>
      </c>
      <c r="D4" s="23">
        <v>1318656.474301717</v>
      </c>
      <c r="E4" s="33">
        <v>439.80038330764864</v>
      </c>
      <c r="F4" s="5">
        <v>15</v>
      </c>
      <c r="G4" s="23">
        <v>93.333333333333329</v>
      </c>
      <c r="H4" s="33">
        <v>611.49334131411842</v>
      </c>
      <c r="I4" s="23">
        <v>33.981339648843765</v>
      </c>
      <c r="J4" s="5">
        <v>5812.7765925569047</v>
      </c>
      <c r="K4" s="31"/>
      <c r="L4" s="23">
        <v>1768346.976421254</v>
      </c>
      <c r="M4" s="33">
        <v>87.849674923076776</v>
      </c>
      <c r="N4" s="5">
        <v>10</v>
      </c>
      <c r="O4" s="23">
        <v>60</v>
      </c>
      <c r="P4" s="33">
        <v>69.217475200196262</v>
      </c>
      <c r="Q4" s="23">
        <v>27.373495102419827</v>
      </c>
      <c r="R4" s="5">
        <v>4442.5687169531648</v>
      </c>
      <c r="S4" s="35"/>
      <c r="T4" s="23">
        <v>1248915.407613826</v>
      </c>
      <c r="U4" s="33">
        <v>338.72856599995151</v>
      </c>
      <c r="V4" s="5">
        <v>16</v>
      </c>
      <c r="W4" s="23">
        <v>100</v>
      </c>
      <c r="X4" s="33">
        <v>804.3430225454465</v>
      </c>
      <c r="Y4" s="23">
        <v>35.552166674356883</v>
      </c>
      <c r="Z4" s="5">
        <v>6001.6266430420383</v>
      </c>
      <c r="AA4" s="35"/>
    </row>
    <row r="5" spans="2:27" x14ac:dyDescent="0.2">
      <c r="B5" s="4">
        <v>2</v>
      </c>
      <c r="C5" s="4">
        <v>114</v>
      </c>
      <c r="D5" s="23">
        <v>1331858.0465048731</v>
      </c>
      <c r="E5" s="33">
        <v>212.70075661533221</v>
      </c>
      <c r="F5" s="5">
        <v>15</v>
      </c>
      <c r="G5" s="23">
        <v>93.333333333333329</v>
      </c>
      <c r="H5" s="33">
        <v>618.58717806284756</v>
      </c>
      <c r="I5" s="23">
        <v>34.525110804306841</v>
      </c>
      <c r="J5" s="5">
        <v>5927.1238187888921</v>
      </c>
      <c r="K5" s="31"/>
      <c r="L5" s="23">
        <v>1799340.6142314179</v>
      </c>
      <c r="M5" s="33">
        <v>160.56146169224607</v>
      </c>
      <c r="N5" s="5">
        <v>10</v>
      </c>
      <c r="O5" s="23">
        <v>60</v>
      </c>
      <c r="P5" s="33">
        <v>100.70012906690694</v>
      </c>
      <c r="Q5" s="23">
        <v>27.150757534920906</v>
      </c>
      <c r="R5" s="5">
        <v>4703.4588281491115</v>
      </c>
      <c r="S5" s="35"/>
      <c r="T5" s="23">
        <v>1252658.748909662</v>
      </c>
      <c r="U5" s="33">
        <v>494.35005284621951</v>
      </c>
      <c r="V5" s="5">
        <v>16</v>
      </c>
      <c r="W5" s="23">
        <v>98</v>
      </c>
      <c r="X5" s="33">
        <v>685.66688757030192</v>
      </c>
      <c r="Y5" s="23">
        <v>33.952882337311188</v>
      </c>
      <c r="Z5" s="5">
        <v>5880.319611960198</v>
      </c>
      <c r="AA5" s="35"/>
    </row>
    <row r="6" spans="2:27" x14ac:dyDescent="0.2">
      <c r="B6" s="4">
        <v>3</v>
      </c>
      <c r="C6" s="4">
        <v>155</v>
      </c>
      <c r="D6" s="23">
        <v>1298314.612475632</v>
      </c>
      <c r="E6" s="33">
        <v>222.78767107690396</v>
      </c>
      <c r="F6" s="5">
        <v>15</v>
      </c>
      <c r="G6" s="23">
        <v>93.333333333333329</v>
      </c>
      <c r="H6" s="33">
        <v>557.2158028380004</v>
      </c>
      <c r="I6" s="23">
        <v>34.54691388475625</v>
      </c>
      <c r="J6" s="5">
        <v>5750.2115391621046</v>
      </c>
      <c r="K6" s="31"/>
      <c r="L6" s="23">
        <v>1804062.729500107</v>
      </c>
      <c r="M6" s="33">
        <v>106.88120038463515</v>
      </c>
      <c r="N6" s="5">
        <v>10</v>
      </c>
      <c r="O6" s="23">
        <v>60</v>
      </c>
      <c r="P6" s="33">
        <v>87.750382203947026</v>
      </c>
      <c r="Q6" s="23">
        <v>27.219033582612468</v>
      </c>
      <c r="R6" s="5">
        <v>4767.7755465062473</v>
      </c>
      <c r="S6" s="35"/>
      <c r="T6" s="23">
        <v>1274728.0509347729</v>
      </c>
      <c r="U6" s="33">
        <v>337.09066807695376</v>
      </c>
      <c r="V6" s="5">
        <v>15</v>
      </c>
      <c r="W6" s="23">
        <v>99.333333333333329</v>
      </c>
      <c r="X6" s="33">
        <v>892.26701115558785</v>
      </c>
      <c r="Y6" s="23">
        <v>37.456614648450561</v>
      </c>
      <c r="Z6" s="5">
        <v>6149.9186524769739</v>
      </c>
      <c r="AA6" s="35"/>
    </row>
    <row r="7" spans="2:27" x14ac:dyDescent="0.2">
      <c r="B7" s="4">
        <v>4</v>
      </c>
      <c r="C7" s="4">
        <v>270</v>
      </c>
      <c r="D7" s="23">
        <v>1352309.5085820509</v>
      </c>
      <c r="E7" s="33">
        <v>295.05281261535578</v>
      </c>
      <c r="F7" s="5">
        <v>15</v>
      </c>
      <c r="G7" s="23">
        <v>93.333333333333329</v>
      </c>
      <c r="H7" s="33">
        <v>798.17551819688629</v>
      </c>
      <c r="I7" s="23">
        <v>34.087832887533501</v>
      </c>
      <c r="J7" s="5">
        <v>5904.2385145919625</v>
      </c>
      <c r="K7" s="31"/>
      <c r="L7" s="23">
        <v>1783161.7654555661</v>
      </c>
      <c r="M7" s="33">
        <v>179.36086999995706</v>
      </c>
      <c r="N7" s="5">
        <v>11</v>
      </c>
      <c r="O7" s="23">
        <v>60</v>
      </c>
      <c r="P7" s="33">
        <v>80.192839904730846</v>
      </c>
      <c r="Q7" s="23">
        <v>24.471232443530667</v>
      </c>
      <c r="R7" s="5">
        <v>4347.7175794949608</v>
      </c>
      <c r="S7" s="35"/>
      <c r="T7" s="23">
        <v>1261839.690208341</v>
      </c>
      <c r="U7" s="33">
        <v>258.35274799995551</v>
      </c>
      <c r="V7" s="5">
        <v>15</v>
      </c>
      <c r="W7" s="23">
        <v>99.333333333333329</v>
      </c>
      <c r="X7" s="33">
        <v>884.56882697037315</v>
      </c>
      <c r="Y7" s="23">
        <v>37.812620484387502</v>
      </c>
      <c r="Z7" s="5">
        <v>6091.7690908556242</v>
      </c>
      <c r="AA7" s="35"/>
    </row>
    <row r="8" spans="2:27" x14ac:dyDescent="0.2">
      <c r="B8" s="4">
        <v>5</v>
      </c>
      <c r="C8" s="4">
        <v>272</v>
      </c>
      <c r="D8" s="23">
        <v>1330395.726383463</v>
      </c>
      <c r="E8" s="33">
        <v>346.17247461538329</v>
      </c>
      <c r="F8" s="5">
        <v>15</v>
      </c>
      <c r="G8" s="23">
        <v>93.333333333333329</v>
      </c>
      <c r="H8" s="33">
        <v>769.00489567171348</v>
      </c>
      <c r="I8" s="23">
        <v>34.446184128575169</v>
      </c>
      <c r="J8" s="5">
        <v>5825.6334466884691</v>
      </c>
      <c r="K8" s="31"/>
      <c r="L8" s="23">
        <v>1771647.949139752</v>
      </c>
      <c r="M8" s="33">
        <v>95.592640000037306</v>
      </c>
      <c r="N8" s="5">
        <v>10</v>
      </c>
      <c r="O8" s="23">
        <v>60</v>
      </c>
      <c r="P8" s="33">
        <v>77.882306402077887</v>
      </c>
      <c r="Q8" s="23">
        <v>27.120670202485279</v>
      </c>
      <c r="R8" s="5">
        <v>4447.8621263144923</v>
      </c>
      <c r="S8" s="35"/>
      <c r="T8" s="23">
        <v>1237320.195907227</v>
      </c>
      <c r="U8" s="33">
        <v>277.84621207688292</v>
      </c>
      <c r="V8" s="5">
        <v>17</v>
      </c>
      <c r="W8" s="23">
        <v>100</v>
      </c>
      <c r="X8" s="33">
        <v>762.43223277883885</v>
      </c>
      <c r="Y8" s="23">
        <v>33.426848368532589</v>
      </c>
      <c r="Z8" s="5">
        <v>5856.9850203553096</v>
      </c>
      <c r="AA8" s="35"/>
    </row>
    <row r="9" spans="2:27" x14ac:dyDescent="0.2">
      <c r="B9" s="4">
        <v>6</v>
      </c>
      <c r="C9" s="4">
        <v>483</v>
      </c>
      <c r="D9" s="23">
        <v>1323385.3430637461</v>
      </c>
      <c r="E9" s="33">
        <v>244.84482315386859</v>
      </c>
      <c r="F9" s="5">
        <v>15</v>
      </c>
      <c r="G9" s="23">
        <v>93.333333333333329</v>
      </c>
      <c r="H9" s="33">
        <v>624.66099323344724</v>
      </c>
      <c r="I9" s="23">
        <v>34.677709108612028</v>
      </c>
      <c r="J9" s="5">
        <v>5870.1829840585997</v>
      </c>
      <c r="K9" s="31"/>
      <c r="L9" s="23">
        <v>1799701.053341554</v>
      </c>
      <c r="M9" s="33">
        <v>190.80462607689415</v>
      </c>
      <c r="N9" s="5">
        <v>11</v>
      </c>
      <c r="O9" s="23">
        <v>60</v>
      </c>
      <c r="P9" s="33">
        <v>132.22571921128377</v>
      </c>
      <c r="Q9" s="23">
        <v>24.55618792210149</v>
      </c>
      <c r="R9" s="5">
        <v>4504.2582733715453</v>
      </c>
      <c r="S9" s="35"/>
      <c r="T9" s="23">
        <v>1264626.301900791</v>
      </c>
      <c r="U9" s="33">
        <v>127.04652738461915</v>
      </c>
      <c r="V9" s="5">
        <v>15</v>
      </c>
      <c r="W9" s="23">
        <v>97.333333333333329</v>
      </c>
      <c r="X9" s="33">
        <v>738.32444667610048</v>
      </c>
      <c r="Y9" s="23">
        <v>35.774099555055287</v>
      </c>
      <c r="Z9" s="5">
        <v>5936.4438554929256</v>
      </c>
      <c r="AA9" s="35"/>
    </row>
    <row r="10" spans="2:27" x14ac:dyDescent="0.2">
      <c r="B10" s="4">
        <v>7</v>
      </c>
      <c r="C10" s="4">
        <v>530</v>
      </c>
      <c r="D10" s="23">
        <v>1317647.020910942</v>
      </c>
      <c r="E10" s="33">
        <v>190.8173417692216</v>
      </c>
      <c r="F10" s="5">
        <v>14</v>
      </c>
      <c r="G10" s="23">
        <v>93.333333333333329</v>
      </c>
      <c r="H10" s="33">
        <v>664.29440446850401</v>
      </c>
      <c r="I10" s="23">
        <v>37.190397721197243</v>
      </c>
      <c r="J10" s="5">
        <v>5945.0812900184528</v>
      </c>
      <c r="K10" s="31"/>
      <c r="L10" s="23">
        <v>1783750.4400057041</v>
      </c>
      <c r="M10" s="33">
        <v>231.09373384612039</v>
      </c>
      <c r="N10" s="5">
        <v>11</v>
      </c>
      <c r="O10" s="23">
        <v>60</v>
      </c>
      <c r="P10" s="33">
        <v>90.715885665604702</v>
      </c>
      <c r="Q10" s="23">
        <v>24.096463887097059</v>
      </c>
      <c r="R10" s="5">
        <v>4339.7823617274498</v>
      </c>
      <c r="S10" s="35"/>
      <c r="T10" s="23">
        <v>1269162.7634689391</v>
      </c>
      <c r="U10" s="33">
        <v>254.91405830772305</v>
      </c>
      <c r="V10" s="5">
        <v>15</v>
      </c>
      <c r="W10" s="23">
        <v>98</v>
      </c>
      <c r="X10" s="33">
        <v>740.62538181970592</v>
      </c>
      <c r="Y10" s="23">
        <v>36.496664014540293</v>
      </c>
      <c r="Z10" s="5">
        <v>6045.6598350368322</v>
      </c>
      <c r="AA10" s="35"/>
    </row>
    <row r="11" spans="2:27" x14ac:dyDescent="0.2">
      <c r="B11" s="4">
        <v>8</v>
      </c>
      <c r="C11" s="4">
        <v>552</v>
      </c>
      <c r="D11" s="23">
        <v>1311506.1473503071</v>
      </c>
      <c r="E11" s="33">
        <v>208.09396546154932</v>
      </c>
      <c r="F11" s="5">
        <v>13</v>
      </c>
      <c r="G11" s="23">
        <v>92.666666666666671</v>
      </c>
      <c r="H11" s="33">
        <v>583.33842659823233</v>
      </c>
      <c r="I11" s="23">
        <v>38.564171508025964</v>
      </c>
      <c r="J11" s="5">
        <v>5966.8106890680565</v>
      </c>
      <c r="K11" s="31"/>
      <c r="L11" s="23">
        <v>1801069.2502206441</v>
      </c>
      <c r="M11" s="33">
        <v>155.29218869230061</v>
      </c>
      <c r="N11" s="5">
        <v>11</v>
      </c>
      <c r="O11" s="23">
        <v>60</v>
      </c>
      <c r="P11" s="33">
        <v>131.22792507788989</v>
      </c>
      <c r="Q11" s="23">
        <v>24.173064322987987</v>
      </c>
      <c r="R11" s="5">
        <v>4481.6614158883694</v>
      </c>
      <c r="S11" s="35"/>
      <c r="T11" s="23">
        <v>1383170.944001975</v>
      </c>
      <c r="U11" s="33">
        <v>150.22392638466462</v>
      </c>
      <c r="V11" s="5">
        <v>12</v>
      </c>
      <c r="W11" s="23">
        <v>92.666666666666671</v>
      </c>
      <c r="X11" s="33">
        <v>934.79356840220987</v>
      </c>
      <c r="Y11" s="23">
        <v>41.306889237477385</v>
      </c>
      <c r="Z11" s="5">
        <v>6358.7852391127271</v>
      </c>
      <c r="AA11" s="35"/>
    </row>
    <row r="12" spans="2:27" x14ac:dyDescent="0.2">
      <c r="B12" s="4">
        <v>9</v>
      </c>
      <c r="C12" s="4">
        <v>603</v>
      </c>
      <c r="D12" s="23">
        <v>1329535.156040655</v>
      </c>
      <c r="E12" s="33">
        <v>491.55465099996383</v>
      </c>
      <c r="F12" s="5">
        <v>15</v>
      </c>
      <c r="G12" s="23">
        <v>93.333333333333329</v>
      </c>
      <c r="H12" s="33">
        <v>755.46045363842416</v>
      </c>
      <c r="I12" s="23">
        <v>34.456092298980067</v>
      </c>
      <c r="J12" s="5">
        <v>5826.6500093091863</v>
      </c>
      <c r="K12" s="31"/>
      <c r="L12" s="23">
        <v>1786102.180948037</v>
      </c>
      <c r="M12" s="33">
        <v>128.27169607688961</v>
      </c>
      <c r="N12" s="5">
        <v>11</v>
      </c>
      <c r="O12" s="23">
        <v>60</v>
      </c>
      <c r="P12" s="33">
        <v>98.617871245109882</v>
      </c>
      <c r="Q12" s="23">
        <v>25.132666633414704</v>
      </c>
      <c r="R12" s="5">
        <v>4426.7804513496994</v>
      </c>
      <c r="S12" s="35"/>
      <c r="T12" s="23">
        <v>1341393.7337522979</v>
      </c>
      <c r="U12" s="33">
        <v>302.47179676921888</v>
      </c>
      <c r="V12" s="5">
        <v>16</v>
      </c>
      <c r="W12" s="23">
        <v>98.666666666666671</v>
      </c>
      <c r="X12" s="33">
        <v>960.93958153278936</v>
      </c>
      <c r="Y12" s="23">
        <v>34.337331178972093</v>
      </c>
      <c r="Z12" s="5">
        <v>6287.0843973807478</v>
      </c>
      <c r="AA12" s="35"/>
    </row>
    <row r="13" spans="2:27" x14ac:dyDescent="0.2">
      <c r="B13" s="4">
        <v>10</v>
      </c>
      <c r="C13" s="4">
        <v>884</v>
      </c>
      <c r="D13" s="23">
        <v>1329961.296754769</v>
      </c>
      <c r="E13" s="33">
        <v>126.39722792306337</v>
      </c>
      <c r="F13" s="5">
        <v>14</v>
      </c>
      <c r="G13" s="23">
        <v>91.333333333333329</v>
      </c>
      <c r="H13" s="33">
        <v>562.03464641089442</v>
      </c>
      <c r="I13" s="23">
        <v>35.258811173301211</v>
      </c>
      <c r="J13" s="5">
        <v>5787.7386323284072</v>
      </c>
      <c r="K13" s="31"/>
      <c r="L13" s="23">
        <v>1787281.9465113799</v>
      </c>
      <c r="M13" s="33">
        <v>202.90432969233595</v>
      </c>
      <c r="N13" s="5">
        <v>10</v>
      </c>
      <c r="O13" s="23">
        <v>60</v>
      </c>
      <c r="P13" s="33">
        <v>117.17518201178093</v>
      </c>
      <c r="Q13" s="23">
        <v>27.580278949402476</v>
      </c>
      <c r="R13" s="5">
        <v>4609.6984516957236</v>
      </c>
      <c r="S13" s="35"/>
      <c r="T13" s="23">
        <v>1253181.3224309669</v>
      </c>
      <c r="U13" s="33">
        <v>130.13100699996215</v>
      </c>
      <c r="V13" s="5">
        <v>15</v>
      </c>
      <c r="W13" s="23">
        <v>100</v>
      </c>
      <c r="X13" s="33">
        <v>861.84308842857615</v>
      </c>
      <c r="Y13" s="23">
        <v>37.813191031630659</v>
      </c>
      <c r="Z13" s="5">
        <v>6129.2607254324212</v>
      </c>
      <c r="AA13" s="35"/>
    </row>
    <row r="14" spans="2:27" x14ac:dyDescent="0.2">
      <c r="B14" s="50" t="s">
        <v>3</v>
      </c>
      <c r="C14" s="51"/>
      <c r="D14" s="9">
        <f>MIN(D4:D13)</f>
        <v>1298314.612475632</v>
      </c>
      <c r="E14" s="22">
        <f>INDEX(E4:E13, MATCH($D$14, D4:D13, 0))</f>
        <v>222.78767107690396</v>
      </c>
      <c r="F14" s="9">
        <f>INDEX(F4:F13, MATCH($D$14, D4:D13, 0))</f>
        <v>15</v>
      </c>
      <c r="G14" s="9">
        <f>INDEX(G4:G13, MATCH($D$14, D4:D13, 0))</f>
        <v>93.333333333333329</v>
      </c>
      <c r="H14" s="22">
        <f>INDEX(H4:H13, MATCH($D$14, D4:D13, 0))</f>
        <v>557.2158028380004</v>
      </c>
      <c r="I14" s="22">
        <f>INDEX(I4:I13, MATCH($D$14, D4:D13, 0))</f>
        <v>34.54691388475625</v>
      </c>
      <c r="J14" s="22">
        <f>INDEX(J4:J13, MATCH($D$14, D4:D13, 0))</f>
        <v>5750.2115391621046</v>
      </c>
      <c r="K14" s="32" t="e">
        <f>(D14-$D$15)/$D$15</f>
        <v>#DIV/0!</v>
      </c>
      <c r="L14" s="16">
        <f>MIN(L4:L13)</f>
        <v>1768346.976421254</v>
      </c>
      <c r="M14" s="21">
        <f>INDEX(M4:M13, MATCH($L$14, L4:L13, 0))</f>
        <v>87.849674923076776</v>
      </c>
      <c r="N14" s="16">
        <f>INDEX(N4:N13, MATCH($L$14, L4:L13, 0))</f>
        <v>10</v>
      </c>
      <c r="O14" s="16">
        <f>INDEX(O4:O13, MATCH($L$14, L4:L13, 0))</f>
        <v>60</v>
      </c>
      <c r="P14" s="21">
        <f>INDEX(P4:P13, MATCH($L$14, L4:L13, 0))</f>
        <v>69.217475200196262</v>
      </c>
      <c r="Q14" s="21">
        <f>INDEX(Q4:Q13, MATCH($L$14, L4:L13, 0))</f>
        <v>27.373495102419827</v>
      </c>
      <c r="R14" s="21">
        <f>INDEX(R4:R13, MATCH($L$14, L4:L13, 0))</f>
        <v>4442.5687169531648</v>
      </c>
      <c r="S14" s="36" t="e">
        <f>(L14-$D$15)/$D$15</f>
        <v>#DIV/0!</v>
      </c>
      <c r="T14" s="38">
        <f>MIN(T4:T13)</f>
        <v>1237320.195907227</v>
      </c>
      <c r="U14" s="39">
        <f>INDEX(U4:U13, MATCH($T$14, T4:T13, 0))</f>
        <v>277.84621207688292</v>
      </c>
      <c r="V14" s="38">
        <f>INDEX(V4:V13, MATCH($T$14, T4:T13, 0))</f>
        <v>17</v>
      </c>
      <c r="W14" s="38">
        <f>INDEX(W4:W13, MATCH($T$14, T4:T13, 0))</f>
        <v>100</v>
      </c>
      <c r="X14" s="39">
        <f>INDEX(X4:X13, MATCH($T$14, T4:T13, 0))</f>
        <v>762.43223277883885</v>
      </c>
      <c r="Y14" s="39">
        <f>INDEX(Y4:Y13, MATCH($T$14, T4:T13, 0))</f>
        <v>33.426848368532589</v>
      </c>
      <c r="Z14" s="39">
        <f>INDEX(Z4:Z13, MATCH($T$14, T4:T13, 0))</f>
        <v>5856.9850203553096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0.36203271489747946</v>
      </c>
      <c r="M15" s="41">
        <f t="shared" ref="M15:R15" si="0">(M14-E14)/E14</f>
        <v>-0.60567981837400686</v>
      </c>
      <c r="N15" s="41">
        <f t="shared" si="0"/>
        <v>-0.33333333333333331</v>
      </c>
      <c r="O15" s="41">
        <f t="shared" si="0"/>
        <v>-0.3571428571428571</v>
      </c>
      <c r="P15" s="41">
        <f t="shared" si="0"/>
        <v>-0.87577976997841911</v>
      </c>
      <c r="Q15" s="41">
        <f t="shared" si="0"/>
        <v>-0.2076428246605749</v>
      </c>
      <c r="R15" s="41">
        <f t="shared" si="0"/>
        <v>-0.22740777679276192</v>
      </c>
      <c r="T15" s="41">
        <f>(T14-D14)/D14</f>
        <v>-4.697968888457673E-2</v>
      </c>
      <c r="U15" s="41">
        <f t="shared" ref="U15:Z15" si="1">(U14-E14)/E14</f>
        <v>0.24713459561670864</v>
      </c>
      <c r="V15" s="41">
        <f t="shared" si="1"/>
        <v>0.13333333333333333</v>
      </c>
      <c r="W15" s="41">
        <f t="shared" si="1"/>
        <v>7.142857142857148E-2</v>
      </c>
      <c r="X15" s="41">
        <f t="shared" si="1"/>
        <v>0.36828896254491389</v>
      </c>
      <c r="Y15" s="41">
        <f t="shared" si="1"/>
        <v>-3.2421579535585894E-2</v>
      </c>
      <c r="Z15" s="41">
        <f t="shared" si="1"/>
        <v>1.8568617948403966E-2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6:C1048576">
    <cfRule type="duplicateValues" dxfId="79" priority="11"/>
    <cfRule type="duplicateValues" dxfId="78" priority="12"/>
  </conditionalFormatting>
  <conditionalFormatting sqref="C2">
    <cfRule type="duplicateValues" dxfId="77" priority="3"/>
    <cfRule type="duplicateValues" dxfId="76" priority="4"/>
  </conditionalFormatting>
  <conditionalFormatting sqref="C4:C13">
    <cfRule type="duplicateValues" dxfId="75" priority="5"/>
    <cfRule type="duplicateValues" dxfId="74" priority="6"/>
  </conditionalFormatting>
  <conditionalFormatting sqref="C14">
    <cfRule type="duplicateValues" dxfId="73" priority="9"/>
    <cfRule type="duplicateValues" dxfId="72" priority="10"/>
  </conditionalFormatting>
  <conditionalFormatting sqref="C15">
    <cfRule type="duplicateValues" dxfId="71" priority="7"/>
    <cfRule type="duplicateValues" dxfId="70" priority="8"/>
  </conditionalFormatting>
  <conditionalFormatting sqref="C17:C35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6D35-3901-4478-9CED-E4E71666CB2D}">
  <dimension ref="B1:AA17"/>
  <sheetViews>
    <sheetView zoomScale="90" zoomScaleNormal="90" workbookViewId="0">
      <selection activeCell="U19" sqref="U19:U3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-0.94978760866977696</v>
      </c>
      <c r="R2" s="1">
        <f>(R14-J14)/J14</f>
        <v>-0.25068101555550132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51</v>
      </c>
      <c r="D4" s="23">
        <v>1168643.226288683</v>
      </c>
      <c r="E4" s="33">
        <v>309.76703292314107</v>
      </c>
      <c r="F4" s="5">
        <v>13</v>
      </c>
      <c r="G4" s="23">
        <v>94</v>
      </c>
      <c r="H4" s="33">
        <v>362.73205147026351</v>
      </c>
      <c r="I4" s="23">
        <v>40.263651627371402</v>
      </c>
      <c r="J4" s="5">
        <v>5415.5349556114834</v>
      </c>
      <c r="K4" s="31"/>
      <c r="L4" s="23">
        <v>1690214.529340585</v>
      </c>
      <c r="M4" s="33">
        <v>116.87938392305598</v>
      </c>
      <c r="N4" s="5">
        <v>10</v>
      </c>
      <c r="O4" s="23">
        <v>62</v>
      </c>
      <c r="P4" s="33">
        <v>28.06183948421242</v>
      </c>
      <c r="Q4" s="23">
        <v>27.207713288254723</v>
      </c>
      <c r="R4" s="5">
        <v>4209.0789601880897</v>
      </c>
      <c r="S4" s="35"/>
      <c r="T4" s="23">
        <v>1119048.7630503089</v>
      </c>
      <c r="U4" s="33">
        <v>177.44991630772483</v>
      </c>
      <c r="V4" s="5">
        <v>12</v>
      </c>
      <c r="W4" s="23">
        <v>98</v>
      </c>
      <c r="X4" s="33">
        <v>431.97208171508868</v>
      </c>
      <c r="Y4" s="23">
        <v>45.841947295266458</v>
      </c>
      <c r="Z4" s="5">
        <v>5729.3238755387893</v>
      </c>
      <c r="AA4" s="35"/>
    </row>
    <row r="5" spans="2:27" x14ac:dyDescent="0.2">
      <c r="B5" s="4">
        <v>2</v>
      </c>
      <c r="C5" s="4">
        <v>157</v>
      </c>
      <c r="D5" s="23">
        <v>1179422.3932702451</v>
      </c>
      <c r="E5" s="33">
        <v>98.198421076925143</v>
      </c>
      <c r="F5" s="5">
        <v>12</v>
      </c>
      <c r="G5" s="23">
        <v>94.666666666666671</v>
      </c>
      <c r="H5" s="33">
        <v>438.2960408125968</v>
      </c>
      <c r="I5" s="23">
        <v>43.915001104564055</v>
      </c>
      <c r="J5" s="5">
        <v>5646.406472561328</v>
      </c>
      <c r="K5" s="31"/>
      <c r="L5" s="23">
        <v>1676342.059995071</v>
      </c>
      <c r="M5" s="33">
        <v>203.18549392306099</v>
      </c>
      <c r="N5" s="5">
        <v>10</v>
      </c>
      <c r="O5" s="23">
        <v>62</v>
      </c>
      <c r="P5" s="33">
        <v>18.568236181349647</v>
      </c>
      <c r="Q5" s="23">
        <v>27.433005078787772</v>
      </c>
      <c r="R5" s="5">
        <v>4051.3310251166426</v>
      </c>
      <c r="S5" s="35"/>
      <c r="T5" s="23">
        <v>1125340.9344105481</v>
      </c>
      <c r="U5" s="33">
        <v>312.96447576919138</v>
      </c>
      <c r="V5" s="5">
        <v>13</v>
      </c>
      <c r="W5" s="23">
        <v>98</v>
      </c>
      <c r="X5" s="33">
        <v>412.91080047042578</v>
      </c>
      <c r="Y5" s="23">
        <v>42.079022275110965</v>
      </c>
      <c r="Z5" s="5">
        <v>5651.237714964408</v>
      </c>
      <c r="AA5" s="35"/>
    </row>
    <row r="6" spans="2:27" x14ac:dyDescent="0.2">
      <c r="B6" s="4">
        <v>3</v>
      </c>
      <c r="C6" s="4">
        <v>204</v>
      </c>
      <c r="D6" s="23">
        <v>1168814.8782724959</v>
      </c>
      <c r="E6" s="33">
        <v>230.17236007690931</v>
      </c>
      <c r="F6" s="5">
        <v>13</v>
      </c>
      <c r="G6" s="23">
        <v>94</v>
      </c>
      <c r="H6" s="33">
        <v>361.64317955181463</v>
      </c>
      <c r="I6" s="23">
        <v>40.120958464931775</v>
      </c>
      <c r="J6" s="5">
        <v>5405.6134102949354</v>
      </c>
      <c r="K6" s="31"/>
      <c r="L6" s="23">
        <v>1700470.663444537</v>
      </c>
      <c r="M6" s="33">
        <v>132.02959107691777</v>
      </c>
      <c r="N6" s="5">
        <v>10</v>
      </c>
      <c r="O6" s="23">
        <v>62</v>
      </c>
      <c r="P6" s="33">
        <v>24.910180774679716</v>
      </c>
      <c r="Q6" s="23">
        <v>26.817013181076067</v>
      </c>
      <c r="R6" s="5">
        <v>4306.1528767982509</v>
      </c>
      <c r="S6" s="35"/>
      <c r="T6" s="23">
        <v>1135986.820701909</v>
      </c>
      <c r="U6" s="33">
        <v>133.65357099996444</v>
      </c>
      <c r="V6" s="5">
        <v>13</v>
      </c>
      <c r="W6" s="23">
        <v>98.666666666666671</v>
      </c>
      <c r="X6" s="33">
        <v>478.76759664100274</v>
      </c>
      <c r="Y6" s="23">
        <v>42.89520511628421</v>
      </c>
      <c r="Z6" s="5">
        <v>5764.2953186615105</v>
      </c>
      <c r="AA6" s="35"/>
    </row>
    <row r="7" spans="2:27" x14ac:dyDescent="0.2">
      <c r="B7" s="4">
        <v>4</v>
      </c>
      <c r="C7" s="4">
        <v>223</v>
      </c>
      <c r="D7" s="23">
        <v>1209864.3907835791</v>
      </c>
      <c r="E7" s="33">
        <v>179.55091323076678</v>
      </c>
      <c r="F7" s="5">
        <v>13</v>
      </c>
      <c r="G7" s="23">
        <v>94</v>
      </c>
      <c r="H7" s="33">
        <v>433.02601265982452</v>
      </c>
      <c r="I7" s="23">
        <v>39.336379694786949</v>
      </c>
      <c r="J7" s="5">
        <v>5647.4674768098557</v>
      </c>
      <c r="K7" s="31"/>
      <c r="L7" s="23">
        <v>1675849.374213475</v>
      </c>
      <c r="M7" s="33">
        <v>412.52375053841837</v>
      </c>
      <c r="N7" s="5">
        <v>10</v>
      </c>
      <c r="O7" s="23">
        <v>62</v>
      </c>
      <c r="P7" s="33">
        <v>18.213643716439506</v>
      </c>
      <c r="Q7" s="23">
        <v>27.492190133003572</v>
      </c>
      <c r="R7" s="5">
        <v>4057.96315316248</v>
      </c>
      <c r="S7" s="35"/>
      <c r="T7" s="23">
        <v>1109421.911857967</v>
      </c>
      <c r="U7" s="33">
        <v>290.70000453852117</v>
      </c>
      <c r="V7" s="5">
        <v>13</v>
      </c>
      <c r="W7" s="23">
        <v>98</v>
      </c>
      <c r="X7" s="33">
        <v>479.69914594719387</v>
      </c>
      <c r="Y7" s="23">
        <v>41.93662273205355</v>
      </c>
      <c r="Z7" s="5">
        <v>5505.8751446678152</v>
      </c>
      <c r="AA7" s="35"/>
    </row>
    <row r="8" spans="2:27" x14ac:dyDescent="0.2">
      <c r="B8" s="4">
        <v>5</v>
      </c>
      <c r="C8" s="4">
        <v>237</v>
      </c>
      <c r="D8" s="23">
        <v>1243711.955503087</v>
      </c>
      <c r="E8" s="33">
        <v>141.27079630772084</v>
      </c>
      <c r="F8" s="5">
        <v>13</v>
      </c>
      <c r="G8" s="23">
        <v>94.666666666666671</v>
      </c>
      <c r="H8" s="33">
        <v>623.91760614343332</v>
      </c>
      <c r="I8" s="23">
        <v>40.118266863383056</v>
      </c>
      <c r="J8" s="5">
        <v>5811.4492872780693</v>
      </c>
      <c r="K8" s="31"/>
      <c r="L8" s="23">
        <v>1694161.1748692631</v>
      </c>
      <c r="M8" s="33">
        <v>201.41205799998716</v>
      </c>
      <c r="N8" s="5">
        <v>10</v>
      </c>
      <c r="O8" s="23">
        <v>62</v>
      </c>
      <c r="P8" s="33">
        <v>28.220432154212745</v>
      </c>
      <c r="Q8" s="23">
        <v>27.392590265545017</v>
      </c>
      <c r="R8" s="5">
        <v>4247.1496284754039</v>
      </c>
      <c r="S8" s="35"/>
      <c r="T8" s="23">
        <v>1121605.9068249851</v>
      </c>
      <c r="U8" s="33">
        <v>182.02628261535071</v>
      </c>
      <c r="V8" s="5">
        <v>13</v>
      </c>
      <c r="W8" s="23">
        <v>98</v>
      </c>
      <c r="X8" s="33">
        <v>375.44402506449495</v>
      </c>
      <c r="Y8" s="23">
        <v>42.495358968359675</v>
      </c>
      <c r="Z8" s="5">
        <v>5649.0111360309984</v>
      </c>
      <c r="AA8" s="35"/>
    </row>
    <row r="9" spans="2:27" x14ac:dyDescent="0.2">
      <c r="B9" s="4">
        <v>6</v>
      </c>
      <c r="C9" s="4">
        <v>363</v>
      </c>
      <c r="D9" s="23">
        <v>1190772.751406092</v>
      </c>
      <c r="E9" s="33">
        <v>171.87102507692398</v>
      </c>
      <c r="F9" s="5">
        <v>13</v>
      </c>
      <c r="G9" s="23">
        <v>94.666666666666671</v>
      </c>
      <c r="H9" s="33">
        <v>460.59135454137476</v>
      </c>
      <c r="I9" s="23">
        <v>40.837244570789089</v>
      </c>
      <c r="J9" s="5">
        <v>5567.9654675734828</v>
      </c>
      <c r="K9" s="31"/>
      <c r="L9" s="23">
        <v>1692432.4707172811</v>
      </c>
      <c r="M9" s="33">
        <v>125.05673015382716</v>
      </c>
      <c r="N9" s="5">
        <v>10</v>
      </c>
      <c r="O9" s="23">
        <v>61.333333333333343</v>
      </c>
      <c r="P9" s="33">
        <v>60.43174005735181</v>
      </c>
      <c r="Q9" s="23">
        <v>28.107465760996444</v>
      </c>
      <c r="R9" s="5">
        <v>4060.8723676425429</v>
      </c>
      <c r="S9" s="35"/>
      <c r="T9" s="23">
        <v>1123372.3017083539</v>
      </c>
      <c r="U9" s="33">
        <v>160.70063000007607</v>
      </c>
      <c r="V9" s="5">
        <v>12</v>
      </c>
      <c r="W9" s="23">
        <v>98.666666666666671</v>
      </c>
      <c r="X9" s="33">
        <v>476.27615919998249</v>
      </c>
      <c r="Y9" s="23">
        <v>46.496926535427399</v>
      </c>
      <c r="Z9" s="5">
        <v>5809.9697778631735</v>
      </c>
      <c r="AA9" s="35"/>
    </row>
    <row r="10" spans="2:27" x14ac:dyDescent="0.2">
      <c r="B10" s="4">
        <v>7</v>
      </c>
      <c r="C10" s="4">
        <v>434</v>
      </c>
      <c r="D10" s="23">
        <v>1211151.1259381061</v>
      </c>
      <c r="E10" s="33">
        <v>215.50041484619629</v>
      </c>
      <c r="F10" s="5">
        <v>14</v>
      </c>
      <c r="G10" s="23">
        <v>94.666666666666671</v>
      </c>
      <c r="H10" s="33">
        <v>520.73937083825979</v>
      </c>
      <c r="I10" s="23">
        <v>37.974113345284842</v>
      </c>
      <c r="J10" s="5">
        <v>5556.6362525577761</v>
      </c>
      <c r="K10" s="31"/>
      <c r="L10" s="23">
        <v>1682338.284380059</v>
      </c>
      <c r="M10" s="33">
        <v>134.14553676919937</v>
      </c>
      <c r="N10" s="5">
        <v>10</v>
      </c>
      <c r="O10" s="23">
        <v>61.333333333333343</v>
      </c>
      <c r="P10" s="33">
        <v>9.7058743047484661</v>
      </c>
      <c r="Q10" s="23">
        <v>27.232861274027748</v>
      </c>
      <c r="R10" s="5">
        <v>3954.4919737709556</v>
      </c>
      <c r="S10" s="35"/>
      <c r="T10" s="23">
        <v>1175435.2427941931</v>
      </c>
      <c r="U10" s="33">
        <v>210.48708223075107</v>
      </c>
      <c r="V10" s="5">
        <v>14</v>
      </c>
      <c r="W10" s="23">
        <v>98</v>
      </c>
      <c r="X10" s="33">
        <v>597.57323083125596</v>
      </c>
      <c r="Y10" s="23">
        <v>39.965969966556621</v>
      </c>
      <c r="Z10" s="5">
        <v>5730.0937515397845</v>
      </c>
      <c r="AA10" s="35"/>
    </row>
    <row r="11" spans="2:27" x14ac:dyDescent="0.2">
      <c r="B11" s="4">
        <v>8</v>
      </c>
      <c r="C11" s="4">
        <v>486</v>
      </c>
      <c r="D11" s="23">
        <v>1221464.7729007881</v>
      </c>
      <c r="E11" s="33">
        <v>148.57329807691991</v>
      </c>
      <c r="F11" s="5">
        <v>12</v>
      </c>
      <c r="G11" s="23">
        <v>93.333333333333329</v>
      </c>
      <c r="H11" s="33">
        <v>497.96427611527832</v>
      </c>
      <c r="I11" s="23">
        <v>43.330760313874919</v>
      </c>
      <c r="J11" s="5">
        <v>5702.8304282870968</v>
      </c>
      <c r="K11" s="31"/>
      <c r="L11" s="23">
        <v>1676453.334345012</v>
      </c>
      <c r="M11" s="33">
        <v>176.27927323068991</v>
      </c>
      <c r="N11" s="5">
        <v>10</v>
      </c>
      <c r="O11" s="23">
        <v>62</v>
      </c>
      <c r="P11" s="33">
        <v>18.213643716439506</v>
      </c>
      <c r="Q11" s="23">
        <v>27.52306734915943</v>
      </c>
      <c r="R11" s="5">
        <v>4059.9824430309554</v>
      </c>
      <c r="S11" s="35"/>
      <c r="T11" s="23">
        <v>1137127.659167985</v>
      </c>
      <c r="U11" s="33">
        <v>100.1358276154273</v>
      </c>
      <c r="V11" s="5">
        <v>12</v>
      </c>
      <c r="W11" s="23">
        <v>98</v>
      </c>
      <c r="X11" s="33">
        <v>462.32399993532175</v>
      </c>
      <c r="Y11" s="23">
        <v>46.105067562489488</v>
      </c>
      <c r="Z11" s="5">
        <v>5822.5774071321239</v>
      </c>
      <c r="AA11" s="35"/>
    </row>
    <row r="12" spans="2:27" x14ac:dyDescent="0.2">
      <c r="B12" s="4">
        <v>9</v>
      </c>
      <c r="C12" s="4">
        <v>603</v>
      </c>
      <c r="D12" s="23">
        <v>1171192.273408608</v>
      </c>
      <c r="E12" s="33">
        <v>178.29719907693706</v>
      </c>
      <c r="F12" s="5">
        <v>14</v>
      </c>
      <c r="G12" s="23">
        <v>94.666666666666671</v>
      </c>
      <c r="H12" s="33">
        <v>407.82753733113157</v>
      </c>
      <c r="I12" s="23">
        <v>38.041275864139564</v>
      </c>
      <c r="J12" s="5">
        <v>5383.0256376659336</v>
      </c>
      <c r="K12" s="31"/>
      <c r="L12" s="23">
        <v>1695989.2581610279</v>
      </c>
      <c r="M12" s="33">
        <v>94.627721923081069</v>
      </c>
      <c r="N12" s="5">
        <v>10</v>
      </c>
      <c r="O12" s="23">
        <v>61.333333333333343</v>
      </c>
      <c r="P12" s="33">
        <v>18.591197669118234</v>
      </c>
      <c r="Q12" s="23">
        <v>27.147300190004785</v>
      </c>
      <c r="R12" s="5">
        <v>4138.8771392328499</v>
      </c>
      <c r="S12" s="35"/>
      <c r="T12" s="23">
        <v>1150852.8763474601</v>
      </c>
      <c r="U12" s="33">
        <v>134.02026938462561</v>
      </c>
      <c r="V12" s="5">
        <v>13</v>
      </c>
      <c r="W12" s="23">
        <v>98</v>
      </c>
      <c r="X12" s="33">
        <v>587.65947218126655</v>
      </c>
      <c r="Y12" s="23">
        <v>42.995172236633998</v>
      </c>
      <c r="Z12" s="5">
        <v>5684.8124529807665</v>
      </c>
      <c r="AA12" s="35"/>
    </row>
    <row r="13" spans="2:27" x14ac:dyDescent="0.2">
      <c r="B13" s="4">
        <v>10</v>
      </c>
      <c r="C13" s="4">
        <v>817</v>
      </c>
      <c r="D13" s="23">
        <v>1171164.502807962</v>
      </c>
      <c r="E13" s="33">
        <v>126.49336761544245</v>
      </c>
      <c r="F13" s="5">
        <v>13</v>
      </c>
      <c r="G13" s="23">
        <v>94</v>
      </c>
      <c r="H13" s="33">
        <v>335.11944124890414</v>
      </c>
      <c r="I13" s="23">
        <v>40.259183073031487</v>
      </c>
      <c r="J13" s="5">
        <v>5454.0835218996663</v>
      </c>
      <c r="K13" s="31"/>
      <c r="L13" s="23">
        <v>1708177.8202504341</v>
      </c>
      <c r="M13" s="33">
        <v>94.534558153782925</v>
      </c>
      <c r="N13" s="5">
        <v>10</v>
      </c>
      <c r="O13" s="23">
        <v>61.333333333333343</v>
      </c>
      <c r="P13" s="33">
        <v>50.58094572777258</v>
      </c>
      <c r="Q13" s="23">
        <v>27.696197714291213</v>
      </c>
      <c r="R13" s="5">
        <v>4244.0439790908576</v>
      </c>
      <c r="S13" s="35"/>
      <c r="T13" s="23">
        <v>1103183.8551875721</v>
      </c>
      <c r="U13" s="33">
        <v>214.35631392299771</v>
      </c>
      <c r="V13" s="5">
        <v>14</v>
      </c>
      <c r="W13" s="23">
        <v>100</v>
      </c>
      <c r="X13" s="33">
        <v>517.19554557621086</v>
      </c>
      <c r="Y13" s="23">
        <v>40.600716776349273</v>
      </c>
      <c r="Z13" s="5">
        <v>5570.0700949575121</v>
      </c>
      <c r="AA13" s="35"/>
    </row>
    <row r="14" spans="2:27" x14ac:dyDescent="0.2">
      <c r="B14" s="50" t="s">
        <v>3</v>
      </c>
      <c r="C14" s="51"/>
      <c r="D14" s="9">
        <f>MIN(D4:D13)</f>
        <v>1168643.226288683</v>
      </c>
      <c r="E14" s="22">
        <f>INDEX(E4:E13, MATCH($D$14, D4:D13, 0))</f>
        <v>309.76703292314107</v>
      </c>
      <c r="F14" s="9">
        <f>INDEX(F4:F13, MATCH($D$14, D4:D13, 0))</f>
        <v>13</v>
      </c>
      <c r="G14" s="9">
        <f>INDEX(G4:G13, MATCH($D$14, D4:D13, 0))</f>
        <v>94</v>
      </c>
      <c r="H14" s="22">
        <f>INDEX(H4:H13, MATCH($D$14, D4:D13, 0))</f>
        <v>362.73205147026351</v>
      </c>
      <c r="I14" s="22">
        <f>INDEX(I4:I13, MATCH($D$14, D4:D13, 0))</f>
        <v>40.263651627371402</v>
      </c>
      <c r="J14" s="22">
        <f>INDEX(J4:J13, MATCH($D$14, D4:D13, 0))</f>
        <v>5415.5349556114834</v>
      </c>
      <c r="K14" s="32" t="e">
        <f>(D14-$D$15)/$D$15</f>
        <v>#DIV/0!</v>
      </c>
      <c r="L14" s="16">
        <f>MIN(L4:L13)</f>
        <v>1675849.374213475</v>
      </c>
      <c r="M14" s="21">
        <f>INDEX(M4:M13, MATCH($L$14, L4:L13, 0))</f>
        <v>412.52375053841837</v>
      </c>
      <c r="N14" s="16">
        <f>INDEX(N4:N13, MATCH($L$14, L4:L13, 0))</f>
        <v>10</v>
      </c>
      <c r="O14" s="16">
        <f>INDEX(O4:O13, MATCH($L$14, L4:L13, 0))</f>
        <v>62</v>
      </c>
      <c r="P14" s="21">
        <f>INDEX(P4:P13, MATCH($L$14, L4:L13, 0))</f>
        <v>18.213643716439506</v>
      </c>
      <c r="Q14" s="21">
        <f>INDEX(Q4:Q13, MATCH($L$14, L4:L13, 0))</f>
        <v>27.492190133003572</v>
      </c>
      <c r="R14" s="21">
        <f>INDEX(R4:R13, MATCH($L$14, L4:L13, 0))</f>
        <v>4057.96315316248</v>
      </c>
      <c r="S14" s="36" t="e">
        <f>(L14-$D$15)/$D$15</f>
        <v>#DIV/0!</v>
      </c>
      <c r="T14" s="38">
        <f>MIN(T4:T13)</f>
        <v>1103183.8551875721</v>
      </c>
      <c r="U14" s="39">
        <f>INDEX(U4:U13, MATCH($T$14, T4:T13, 0))</f>
        <v>214.35631392299771</v>
      </c>
      <c r="V14" s="38">
        <f>INDEX(V4:V13, MATCH($T$14, T4:T13, 0))</f>
        <v>14</v>
      </c>
      <c r="W14" s="38">
        <f>INDEX(W4:W13, MATCH($T$14, T4:T13, 0))</f>
        <v>100</v>
      </c>
      <c r="X14" s="39">
        <f>INDEX(X4:X13, MATCH($T$14, T4:T13, 0))</f>
        <v>517.19554557621086</v>
      </c>
      <c r="Y14" s="39">
        <f>INDEX(Y4:Y13, MATCH($T$14, T4:T13, 0))</f>
        <v>40.600716776349273</v>
      </c>
      <c r="Z14" s="39">
        <f>INDEX(Z4:Z13, MATCH($T$14, T4:T13, 0))</f>
        <v>5570.0700949575121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0.43401282488544529</v>
      </c>
      <c r="M15" s="41">
        <f t="shared" ref="M15:R15" si="0">(M14-E14)/E14</f>
        <v>0.33172257436695379</v>
      </c>
      <c r="N15" s="41">
        <f t="shared" si="0"/>
        <v>-0.23076923076923078</v>
      </c>
      <c r="O15" s="41">
        <f t="shared" si="0"/>
        <v>-0.34042553191489361</v>
      </c>
      <c r="P15" s="41">
        <f t="shared" si="0"/>
        <v>-0.94978760866977696</v>
      </c>
      <c r="Q15" s="41">
        <f t="shared" si="0"/>
        <v>-0.31719580758754967</v>
      </c>
      <c r="R15" s="41">
        <f t="shared" si="0"/>
        <v>-0.25068101555550132</v>
      </c>
      <c r="T15" s="41">
        <f>(T14-D14)/D14</f>
        <v>-5.6013135256851178E-2</v>
      </c>
      <c r="U15" s="41">
        <f t="shared" ref="U15:Z15" si="1">(U14-E14)/E14</f>
        <v>-0.30800798296640081</v>
      </c>
      <c r="V15" s="41">
        <f t="shared" si="1"/>
        <v>7.6923076923076927E-2</v>
      </c>
      <c r="W15" s="41">
        <f t="shared" si="1"/>
        <v>6.3829787234042548E-2</v>
      </c>
      <c r="X15" s="41">
        <f t="shared" si="1"/>
        <v>0.42583359667241905</v>
      </c>
      <c r="Y15" s="41">
        <f t="shared" si="1"/>
        <v>8.371450063628421E-3</v>
      </c>
      <c r="Z15" s="41">
        <f t="shared" si="1"/>
        <v>2.853552615072719E-2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6:C1048576">
    <cfRule type="duplicateValues" dxfId="69" priority="11"/>
    <cfRule type="duplicateValues" dxfId="68" priority="12"/>
  </conditionalFormatting>
  <conditionalFormatting sqref="C2">
    <cfRule type="duplicateValues" dxfId="67" priority="3"/>
    <cfRule type="duplicateValues" dxfId="66" priority="4"/>
  </conditionalFormatting>
  <conditionalFormatting sqref="C4:C13">
    <cfRule type="duplicateValues" dxfId="65" priority="5"/>
    <cfRule type="duplicateValues" dxfId="64" priority="6"/>
  </conditionalFormatting>
  <conditionalFormatting sqref="C14">
    <cfRule type="duplicateValues" dxfId="63" priority="9"/>
    <cfRule type="duplicateValues" dxfId="62" priority="10"/>
  </conditionalFormatting>
  <conditionalFormatting sqref="C15">
    <cfRule type="duplicateValues" dxfId="61" priority="7"/>
    <cfRule type="duplicateValues" dxfId="60" priority="8"/>
  </conditionalFormatting>
  <conditionalFormatting sqref="C17:C35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1086-73B8-4522-A718-A32ADBBE88D5}">
  <dimension ref="B1:AA17"/>
  <sheetViews>
    <sheetView zoomScale="90" zoomScaleNormal="90" workbookViewId="0">
      <selection activeCell="U20" sqref="U20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-0.98511126442144137</v>
      </c>
      <c r="R2" s="1">
        <f>(R14-J14)/J14</f>
        <v>-0.28614789542667479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</v>
      </c>
      <c r="D4" s="23">
        <v>1281702.7336423241</v>
      </c>
      <c r="E4" s="33">
        <v>144.5523972307833</v>
      </c>
      <c r="F4" s="5">
        <v>11</v>
      </c>
      <c r="G4" s="23">
        <v>92</v>
      </c>
      <c r="H4" s="33">
        <v>592.76653159283774</v>
      </c>
      <c r="I4" s="23">
        <v>41.443088648347867</v>
      </c>
      <c r="J4" s="5">
        <v>5860.5421444969725</v>
      </c>
      <c r="K4" s="31"/>
      <c r="L4" s="23">
        <v>1746555.253810524</v>
      </c>
      <c r="M4" s="33">
        <v>306.21497800000583</v>
      </c>
      <c r="N4" s="5">
        <v>10</v>
      </c>
      <c r="O4" s="23">
        <v>59.333333333333343</v>
      </c>
      <c r="P4" s="33">
        <v>7.7253306385084253</v>
      </c>
      <c r="Q4" s="23">
        <v>24.301506339756283</v>
      </c>
      <c r="R4" s="5">
        <v>4077.0680163206944</v>
      </c>
      <c r="S4" s="35"/>
      <c r="T4" s="23">
        <v>1201229.7056104981</v>
      </c>
      <c r="U4" s="33">
        <v>126.15547507696854</v>
      </c>
      <c r="V4" s="5">
        <v>14</v>
      </c>
      <c r="W4" s="23">
        <v>97.333333333333329</v>
      </c>
      <c r="X4" s="33">
        <v>605.68116713203369</v>
      </c>
      <c r="Y4" s="23">
        <v>35.613250015446567</v>
      </c>
      <c r="Z4" s="5">
        <v>5675.3049250989989</v>
      </c>
      <c r="AA4" s="35"/>
    </row>
    <row r="5" spans="2:27" x14ac:dyDescent="0.2">
      <c r="B5" s="4">
        <v>2</v>
      </c>
      <c r="C5" s="4">
        <v>48</v>
      </c>
      <c r="D5" s="23">
        <v>1239485.4862941881</v>
      </c>
      <c r="E5" s="33">
        <v>177.19669053841454</v>
      </c>
      <c r="F5" s="5">
        <v>12</v>
      </c>
      <c r="G5" s="23">
        <v>92</v>
      </c>
      <c r="H5" s="33">
        <v>488.76502468408506</v>
      </c>
      <c r="I5" s="23">
        <v>38.605788126454136</v>
      </c>
      <c r="J5" s="5">
        <v>5528.7049505883151</v>
      </c>
      <c r="K5" s="31"/>
      <c r="L5" s="23">
        <v>1760813.739864436</v>
      </c>
      <c r="M5" s="33">
        <v>113.26234476918424</v>
      </c>
      <c r="N5" s="5">
        <v>10</v>
      </c>
      <c r="O5" s="23">
        <v>59.333333333333343</v>
      </c>
      <c r="P5" s="33">
        <v>21.845504763113077</v>
      </c>
      <c r="Q5" s="23">
        <v>24.146051749976365</v>
      </c>
      <c r="R5" s="5">
        <v>4189.179964852874</v>
      </c>
      <c r="S5" s="35"/>
      <c r="T5" s="23">
        <v>1139900.93923348</v>
      </c>
      <c r="U5" s="33">
        <v>130.6181889230636</v>
      </c>
      <c r="V5" s="5">
        <v>13</v>
      </c>
      <c r="W5" s="23">
        <v>100</v>
      </c>
      <c r="X5" s="33">
        <v>607.20719275985755</v>
      </c>
      <c r="Y5" s="23">
        <v>39.793747845871088</v>
      </c>
      <c r="Z5" s="5">
        <v>5778.8030536100887</v>
      </c>
      <c r="AA5" s="35"/>
    </row>
    <row r="6" spans="2:27" x14ac:dyDescent="0.2">
      <c r="B6" s="4">
        <v>3</v>
      </c>
      <c r="C6" s="4">
        <v>445</v>
      </c>
      <c r="D6" s="23">
        <v>1210876.1857202931</v>
      </c>
      <c r="E6" s="33">
        <v>111.06697430762532</v>
      </c>
      <c r="F6" s="5">
        <v>12</v>
      </c>
      <c r="G6" s="23">
        <v>92.666666666666671</v>
      </c>
      <c r="H6" s="33">
        <v>395.7095551113469</v>
      </c>
      <c r="I6" s="23">
        <v>38.858003489073702</v>
      </c>
      <c r="J6" s="5">
        <v>5502.549474089722</v>
      </c>
      <c r="K6" s="31"/>
      <c r="L6" s="23">
        <v>1759597.071665664</v>
      </c>
      <c r="M6" s="33">
        <v>188.24182915375923</v>
      </c>
      <c r="N6" s="5">
        <v>10</v>
      </c>
      <c r="O6" s="23">
        <v>59.333333333333343</v>
      </c>
      <c r="P6" s="33">
        <v>25.200172391061091</v>
      </c>
      <c r="Q6" s="23">
        <v>24.324456987873411</v>
      </c>
      <c r="R6" s="5">
        <v>4181.8683396704837</v>
      </c>
      <c r="S6" s="35"/>
      <c r="T6" s="23">
        <v>1241308.4617679301</v>
      </c>
      <c r="U6" s="33">
        <v>257.99845723077084</v>
      </c>
      <c r="V6" s="5">
        <v>15</v>
      </c>
      <c r="W6" s="23">
        <v>98.666666666666671</v>
      </c>
      <c r="X6" s="33">
        <v>722.46302785710009</v>
      </c>
      <c r="Y6" s="23">
        <v>33.626295247235412</v>
      </c>
      <c r="Z6" s="5">
        <v>5891.4267350698819</v>
      </c>
      <c r="AA6" s="35"/>
    </row>
    <row r="7" spans="2:27" x14ac:dyDescent="0.2">
      <c r="B7" s="4">
        <v>4</v>
      </c>
      <c r="C7" s="4">
        <v>568</v>
      </c>
      <c r="D7" s="23">
        <v>1254769.981569526</v>
      </c>
      <c r="E7" s="33">
        <v>226.45354630765863</v>
      </c>
      <c r="F7" s="5">
        <v>13</v>
      </c>
      <c r="G7" s="23">
        <v>92.666666666666671</v>
      </c>
      <c r="H7" s="33">
        <v>456.81481322441994</v>
      </c>
      <c r="I7" s="23">
        <v>35.2152440558243</v>
      </c>
      <c r="J7" s="5">
        <v>5592.3213535914902</v>
      </c>
      <c r="K7" s="31"/>
      <c r="L7" s="23">
        <v>1744846.7548573739</v>
      </c>
      <c r="M7" s="33">
        <v>99.098944846146694</v>
      </c>
      <c r="N7" s="5">
        <v>10</v>
      </c>
      <c r="O7" s="23">
        <v>59.333333333333343</v>
      </c>
      <c r="P7" s="33">
        <v>62.60488622144544</v>
      </c>
      <c r="Q7" s="23">
        <v>23.798057444163657</v>
      </c>
      <c r="R7" s="5">
        <v>3999.8085446829105</v>
      </c>
      <c r="S7" s="35"/>
      <c r="T7" s="23">
        <v>1131580.078214861</v>
      </c>
      <c r="U7" s="33">
        <v>97.182659461574929</v>
      </c>
      <c r="V7" s="5">
        <v>14</v>
      </c>
      <c r="W7" s="23">
        <v>100</v>
      </c>
      <c r="X7" s="33">
        <v>528.72756020395195</v>
      </c>
      <c r="Y7" s="23">
        <v>36.814599580723787</v>
      </c>
      <c r="Z7" s="5">
        <v>5638.2360706200143</v>
      </c>
      <c r="AA7" s="35"/>
    </row>
    <row r="8" spans="2:27" x14ac:dyDescent="0.2">
      <c r="B8" s="4">
        <v>5</v>
      </c>
      <c r="C8" s="4">
        <v>612</v>
      </c>
      <c r="D8" s="23">
        <v>1284308.6324758481</v>
      </c>
      <c r="E8" s="33">
        <v>150.23558484614253</v>
      </c>
      <c r="F8" s="5">
        <v>13</v>
      </c>
      <c r="G8" s="23">
        <v>92.666666666666671</v>
      </c>
      <c r="H8" s="33">
        <v>625.07008847448844</v>
      </c>
      <c r="I8" s="23">
        <v>35.288092697441826</v>
      </c>
      <c r="J8" s="5">
        <v>5692.6336826878842</v>
      </c>
      <c r="K8" s="31"/>
      <c r="L8" s="23">
        <v>1804432.7394597861</v>
      </c>
      <c r="M8" s="33">
        <v>242.79290599999231</v>
      </c>
      <c r="N8" s="5">
        <v>11</v>
      </c>
      <c r="O8" s="23">
        <v>59.333333333333343</v>
      </c>
      <c r="P8" s="33">
        <v>45.495940459159513</v>
      </c>
      <c r="Q8" s="23">
        <v>21.843665645080687</v>
      </c>
      <c r="R8" s="5">
        <v>4432.7696425844561</v>
      </c>
      <c r="S8" s="35"/>
      <c r="T8" s="23">
        <v>1182465.8521215999</v>
      </c>
      <c r="U8" s="33">
        <v>226.78468000000484</v>
      </c>
      <c r="V8" s="5">
        <v>13</v>
      </c>
      <c r="W8" s="23">
        <v>98</v>
      </c>
      <c r="X8" s="33">
        <v>636.61847543487306</v>
      </c>
      <c r="Y8" s="23">
        <v>38.950084212464212</v>
      </c>
      <c r="Z8" s="5">
        <v>5773.1828083186729</v>
      </c>
      <c r="AA8" s="35"/>
    </row>
    <row r="9" spans="2:27" x14ac:dyDescent="0.2">
      <c r="B9" s="4">
        <v>6</v>
      </c>
      <c r="C9" s="4">
        <v>662</v>
      </c>
      <c r="D9" s="23">
        <v>1234967.8278609221</v>
      </c>
      <c r="E9" s="33">
        <v>128.72566730769063</v>
      </c>
      <c r="F9" s="5">
        <v>13</v>
      </c>
      <c r="G9" s="23">
        <v>92</v>
      </c>
      <c r="H9" s="33">
        <v>478.82561724374682</v>
      </c>
      <c r="I9" s="23">
        <v>35.647182140057424</v>
      </c>
      <c r="J9" s="5">
        <v>5377.3523421048058</v>
      </c>
      <c r="K9" s="31"/>
      <c r="L9" s="23">
        <v>1772180.907815306</v>
      </c>
      <c r="M9" s="33">
        <v>264.78505815388274</v>
      </c>
      <c r="N9" s="5">
        <v>10</v>
      </c>
      <c r="O9" s="23">
        <v>59.333333333333343</v>
      </c>
      <c r="P9" s="33">
        <v>94.788585879537308</v>
      </c>
      <c r="Q9" s="23">
        <v>23.959183013063576</v>
      </c>
      <c r="R9" s="5">
        <v>4242.4781269779651</v>
      </c>
      <c r="S9" s="35"/>
      <c r="T9" s="23">
        <v>1132303.5746792711</v>
      </c>
      <c r="U9" s="33">
        <v>150.24601507690161</v>
      </c>
      <c r="V9" s="5">
        <v>13</v>
      </c>
      <c r="W9" s="23">
        <v>99.333333333333329</v>
      </c>
      <c r="X9" s="33">
        <v>567.84583761550937</v>
      </c>
      <c r="Y9" s="23">
        <v>39.790273821414651</v>
      </c>
      <c r="Z9" s="5">
        <v>5674.8997113018268</v>
      </c>
      <c r="AA9" s="35"/>
    </row>
    <row r="10" spans="2:27" x14ac:dyDescent="0.2">
      <c r="B10" s="4">
        <v>7</v>
      </c>
      <c r="C10" s="4">
        <v>718</v>
      </c>
      <c r="D10" s="23">
        <v>1300345.0328045429</v>
      </c>
      <c r="E10" s="33">
        <v>121.58971038458938</v>
      </c>
      <c r="F10" s="5">
        <v>12</v>
      </c>
      <c r="G10" s="23">
        <v>91.333333333333329</v>
      </c>
      <c r="H10" s="33">
        <v>546.76674491528581</v>
      </c>
      <c r="I10" s="23">
        <v>36.973246245291058</v>
      </c>
      <c r="J10" s="5">
        <v>5795.3987995766183</v>
      </c>
      <c r="K10" s="31"/>
      <c r="L10" s="23">
        <v>1750835.3160095769</v>
      </c>
      <c r="M10" s="33">
        <v>113.68477515383769</v>
      </c>
      <c r="N10" s="5">
        <v>10</v>
      </c>
      <c r="O10" s="23">
        <v>59.333333333333343</v>
      </c>
      <c r="P10" s="33">
        <v>26.850944816934827</v>
      </c>
      <c r="Q10" s="23">
        <v>23.522078352165614</v>
      </c>
      <c r="R10" s="5">
        <v>4043.3950392896286</v>
      </c>
      <c r="S10" s="35"/>
      <c r="T10" s="23">
        <v>1175277.9587580049</v>
      </c>
      <c r="U10" s="33">
        <v>317.34070230767912</v>
      </c>
      <c r="V10" s="5">
        <v>15</v>
      </c>
      <c r="W10" s="23">
        <v>99.333333333333329</v>
      </c>
      <c r="X10" s="33">
        <v>587.91957277959534</v>
      </c>
      <c r="Y10" s="23">
        <v>33.788164623231687</v>
      </c>
      <c r="Z10" s="5">
        <v>5677.7544132407183</v>
      </c>
      <c r="AA10" s="35"/>
    </row>
    <row r="11" spans="2:27" x14ac:dyDescent="0.2">
      <c r="B11" s="4">
        <v>8</v>
      </c>
      <c r="C11" s="4">
        <v>720</v>
      </c>
      <c r="D11" s="23">
        <v>1234202.7726563241</v>
      </c>
      <c r="E11" s="33">
        <v>151.25684261536938</v>
      </c>
      <c r="F11" s="5">
        <v>12</v>
      </c>
      <c r="G11" s="23">
        <v>92.666666666666671</v>
      </c>
      <c r="H11" s="33">
        <v>553.85010705655168</v>
      </c>
      <c r="I11" s="23">
        <v>38.891761396309242</v>
      </c>
      <c r="J11" s="5">
        <v>5524.9167794800851</v>
      </c>
      <c r="K11" s="31"/>
      <c r="L11" s="23">
        <v>1770339.5449104919</v>
      </c>
      <c r="M11" s="33">
        <v>102.81768815385969</v>
      </c>
      <c r="N11" s="5">
        <v>10</v>
      </c>
      <c r="O11" s="23">
        <v>59.333333333333343</v>
      </c>
      <c r="P11" s="33">
        <v>45.04510323033449</v>
      </c>
      <c r="Q11" s="23">
        <v>23.885837947587937</v>
      </c>
      <c r="R11" s="5">
        <v>4243.3819746115296</v>
      </c>
      <c r="S11" s="35"/>
      <c r="T11" s="23">
        <v>1181280.2712870359</v>
      </c>
      <c r="U11" s="33">
        <v>104.19208746152715</v>
      </c>
      <c r="V11" s="5">
        <v>14</v>
      </c>
      <c r="W11" s="23">
        <v>98.666666666666671</v>
      </c>
      <c r="X11" s="33">
        <v>611.69316501431922</v>
      </c>
      <c r="Y11" s="23">
        <v>36.742215501123496</v>
      </c>
      <c r="Z11" s="5">
        <v>5737.6754787766458</v>
      </c>
      <c r="AA11" s="35"/>
    </row>
    <row r="12" spans="2:27" x14ac:dyDescent="0.2">
      <c r="B12" s="4">
        <v>9</v>
      </c>
      <c r="C12" s="4">
        <v>740</v>
      </c>
      <c r="D12" s="23">
        <v>1204846.1049447469</v>
      </c>
      <c r="E12" s="33">
        <v>167.72226484617792</v>
      </c>
      <c r="F12" s="5">
        <v>12</v>
      </c>
      <c r="G12" s="23">
        <v>92.666666666666671</v>
      </c>
      <c r="H12" s="33">
        <v>381.05739905978987</v>
      </c>
      <c r="I12" s="23">
        <v>38.403845039915126</v>
      </c>
      <c r="J12" s="5">
        <v>5454.0471054728532</v>
      </c>
      <c r="K12" s="31"/>
      <c r="L12" s="23">
        <v>1735517.010884179</v>
      </c>
      <c r="M12" s="33">
        <v>154.22566038466846</v>
      </c>
      <c r="N12" s="5">
        <v>10</v>
      </c>
      <c r="O12" s="23">
        <v>59.333333333333343</v>
      </c>
      <c r="P12" s="33">
        <v>5.6734628548544777</v>
      </c>
      <c r="Q12" s="23">
        <v>24.082982132708448</v>
      </c>
      <c r="R12" s="5">
        <v>3893.3830046838489</v>
      </c>
      <c r="S12" s="35"/>
      <c r="T12" s="23">
        <v>1132154.320027411</v>
      </c>
      <c r="U12" s="33">
        <v>188.97936738463332</v>
      </c>
      <c r="V12" s="5">
        <v>13</v>
      </c>
      <c r="W12" s="23">
        <v>99.333333333333329</v>
      </c>
      <c r="X12" s="33">
        <v>565.1059859750352</v>
      </c>
      <c r="Y12" s="23">
        <v>39.790273821414651</v>
      </c>
      <c r="Z12" s="5">
        <v>5682.5596419940221</v>
      </c>
      <c r="AA12" s="35"/>
    </row>
    <row r="13" spans="2:27" x14ac:dyDescent="0.2">
      <c r="B13" s="4">
        <v>10</v>
      </c>
      <c r="C13" s="4">
        <v>867</v>
      </c>
      <c r="D13" s="23">
        <v>1248605.2160460739</v>
      </c>
      <c r="E13" s="33">
        <v>144.23978576920209</v>
      </c>
      <c r="F13" s="5">
        <v>13</v>
      </c>
      <c r="G13" s="23">
        <v>92.666666666666671</v>
      </c>
      <c r="H13" s="33">
        <v>480.96239642334535</v>
      </c>
      <c r="I13" s="23">
        <v>35.62313838826659</v>
      </c>
      <c r="J13" s="5">
        <v>5544.2671744864574</v>
      </c>
      <c r="K13" s="31"/>
      <c r="L13" s="23">
        <v>1774893.358845403</v>
      </c>
      <c r="M13" s="33">
        <v>104.633936153886</v>
      </c>
      <c r="N13" s="5">
        <v>10</v>
      </c>
      <c r="O13" s="23">
        <v>59.333333333333343</v>
      </c>
      <c r="P13" s="33">
        <v>27.263795409891173</v>
      </c>
      <c r="Q13" s="23">
        <v>23.935546759917116</v>
      </c>
      <c r="R13" s="5">
        <v>4326.9341291329893</v>
      </c>
      <c r="S13" s="35"/>
      <c r="T13" s="23">
        <v>1152924.783075399</v>
      </c>
      <c r="U13" s="33">
        <v>155.98728930774647</v>
      </c>
      <c r="V13" s="5">
        <v>15</v>
      </c>
      <c r="W13" s="23">
        <v>99.333333333333329</v>
      </c>
      <c r="X13" s="33">
        <v>553.21963556704168</v>
      </c>
      <c r="Y13" s="23">
        <v>34.574806740105778</v>
      </c>
      <c r="Z13" s="5">
        <v>5567.2495078506763</v>
      </c>
      <c r="AA13" s="35"/>
    </row>
    <row r="14" spans="2:27" x14ac:dyDescent="0.2">
      <c r="B14" s="50" t="s">
        <v>3</v>
      </c>
      <c r="C14" s="51"/>
      <c r="D14" s="9">
        <f>MIN(D4:D13)</f>
        <v>1204846.1049447469</v>
      </c>
      <c r="E14" s="22">
        <f>INDEX(E4:E13, MATCH($D$14, D4:D13, 0))</f>
        <v>167.72226484617792</v>
      </c>
      <c r="F14" s="9">
        <f>INDEX(F4:F13, MATCH($D$14, D4:D13, 0))</f>
        <v>12</v>
      </c>
      <c r="G14" s="9">
        <f>INDEX(G4:G13, MATCH($D$14, D4:D13, 0))</f>
        <v>92.666666666666671</v>
      </c>
      <c r="H14" s="22">
        <f>INDEX(H4:H13, MATCH($D$14, D4:D13, 0))</f>
        <v>381.05739905978987</v>
      </c>
      <c r="I14" s="22">
        <f>INDEX(I4:I13, MATCH($D$14, D4:D13, 0))</f>
        <v>38.403845039915126</v>
      </c>
      <c r="J14" s="22">
        <f>INDEX(J4:J13, MATCH($D$14, D4:D13, 0))</f>
        <v>5454.0471054728532</v>
      </c>
      <c r="K14" s="32" t="e">
        <f>(D14-$D$15)/$D$15</f>
        <v>#DIV/0!</v>
      </c>
      <c r="L14" s="16">
        <f>MIN(L4:L13)</f>
        <v>1735517.010884179</v>
      </c>
      <c r="M14" s="21">
        <f>INDEX(M4:M13, MATCH($L$14, L4:L13, 0))</f>
        <v>154.22566038466846</v>
      </c>
      <c r="N14" s="16">
        <f>INDEX(N4:N13, MATCH($L$14, L4:L13, 0))</f>
        <v>10</v>
      </c>
      <c r="O14" s="16">
        <f>INDEX(O4:O13, MATCH($L$14, L4:L13, 0))</f>
        <v>59.333333333333343</v>
      </c>
      <c r="P14" s="21">
        <f>INDEX(P4:P13, MATCH($L$14, L4:L13, 0))</f>
        <v>5.6734628548544777</v>
      </c>
      <c r="Q14" s="21">
        <f>INDEX(Q4:Q13, MATCH($L$14, L4:L13, 0))</f>
        <v>24.082982132708448</v>
      </c>
      <c r="R14" s="21">
        <f>INDEX(R4:R13, MATCH($L$14, L4:L13, 0))</f>
        <v>3893.3830046838489</v>
      </c>
      <c r="S14" s="36" t="e">
        <f>(L14-$D$15)/$D$15</f>
        <v>#DIV/0!</v>
      </c>
      <c r="T14" s="38">
        <f>MIN(T4:T13)</f>
        <v>1131580.078214861</v>
      </c>
      <c r="U14" s="39">
        <f>INDEX(U4:U13, MATCH($T$14, T4:T13, 0))</f>
        <v>97.182659461574929</v>
      </c>
      <c r="V14" s="38">
        <f>INDEX(V4:V13, MATCH($T$14, T4:T13, 0))</f>
        <v>14</v>
      </c>
      <c r="W14" s="38">
        <f>INDEX(W4:W13, MATCH($T$14, T4:T13, 0))</f>
        <v>100</v>
      </c>
      <c r="X14" s="39">
        <f>INDEX(X4:X13, MATCH($T$14, T4:T13, 0))</f>
        <v>528.72756020395195</v>
      </c>
      <c r="Y14" s="39">
        <f>INDEX(Y4:Y13, MATCH($T$14, T4:T13, 0))</f>
        <v>36.814599580723787</v>
      </c>
      <c r="Z14" s="39">
        <f>INDEX(Z4:Z13, MATCH($T$14, T4:T13, 0))</f>
        <v>5638.2360706200143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0.44044704444952176</v>
      </c>
      <c r="M15" s="41">
        <f t="shared" ref="M15:R15" si="0">(M14-E14)/E14</f>
        <v>-8.0469963089799201E-2</v>
      </c>
      <c r="N15" s="41">
        <f t="shared" si="0"/>
        <v>-0.16666666666666666</v>
      </c>
      <c r="O15" s="41">
        <f t="shared" si="0"/>
        <v>-0.35971223021582727</v>
      </c>
      <c r="P15" s="41">
        <f t="shared" si="0"/>
        <v>-0.98511126442144137</v>
      </c>
      <c r="Q15" s="41">
        <f t="shared" si="0"/>
        <v>-0.37290179908606169</v>
      </c>
      <c r="R15" s="41">
        <f t="shared" si="0"/>
        <v>-0.28614789542667479</v>
      </c>
      <c r="T15" s="41">
        <f>(T14-D14)/D14</f>
        <v>-6.0809448135491016E-2</v>
      </c>
      <c r="U15" s="41">
        <f t="shared" ref="U15:Z15" si="1">(U14-E14)/E14</f>
        <v>-0.4205738901111104</v>
      </c>
      <c r="V15" s="41">
        <f t="shared" si="1"/>
        <v>0.16666666666666666</v>
      </c>
      <c r="W15" s="41">
        <f t="shared" si="1"/>
        <v>7.9136690647481953E-2</v>
      </c>
      <c r="X15" s="41">
        <f t="shared" si="1"/>
        <v>0.38752734235975789</v>
      </c>
      <c r="Y15" s="41">
        <f t="shared" si="1"/>
        <v>-4.138245682273619E-2</v>
      </c>
      <c r="Z15" s="41">
        <f t="shared" si="1"/>
        <v>3.3771062402878221E-2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6:C1048576">
    <cfRule type="duplicateValues" dxfId="59" priority="11"/>
    <cfRule type="duplicateValues" dxfId="58" priority="12"/>
  </conditionalFormatting>
  <conditionalFormatting sqref="C2">
    <cfRule type="duplicateValues" dxfId="57" priority="3"/>
    <cfRule type="duplicateValues" dxfId="56" priority="4"/>
  </conditionalFormatting>
  <conditionalFormatting sqref="C4:C13">
    <cfRule type="duplicateValues" dxfId="55" priority="5"/>
    <cfRule type="duplicateValues" dxfId="54" priority="6"/>
  </conditionalFormatting>
  <conditionalFormatting sqref="C14">
    <cfRule type="duplicateValues" dxfId="53" priority="9"/>
    <cfRule type="duplicateValues" dxfId="52" priority="10"/>
  </conditionalFormatting>
  <conditionalFormatting sqref="C15">
    <cfRule type="duplicateValues" dxfId="51" priority="7"/>
    <cfRule type="duplicateValues" dxfId="50" priority="8"/>
  </conditionalFormatting>
  <conditionalFormatting sqref="C17:C3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.5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50" t="s">
        <v>3</v>
      </c>
      <c r="C14" s="51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66406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66406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50" t="s">
        <v>3</v>
      </c>
      <c r="C14" s="51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50" t="s">
        <v>3</v>
      </c>
      <c r="C14" s="51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results45</vt:lpstr>
      <vt:lpstr>results229</vt:lpstr>
      <vt:lpstr>results268</vt:lpstr>
      <vt:lpstr>results346</vt:lpstr>
      <vt:lpstr>results418</vt:lpstr>
      <vt:lpstr>results464</vt:lpstr>
      <vt:lpstr>results658</vt:lpstr>
      <vt:lpstr>results720</vt:lpstr>
      <vt:lpstr>results846</vt:lpstr>
      <vt:lpstr>results910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2026-10-27T19:38:14Z</dcterms:modified>
</cp:coreProperties>
</file>