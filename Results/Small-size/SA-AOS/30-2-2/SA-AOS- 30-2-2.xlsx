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30-2-2/"/>
    </mc:Choice>
  </mc:AlternateContent>
  <xr:revisionPtr revIDLastSave="0" documentId="13_ncr:1_{2CE2B7F8-40D4-7549-A043-88A5A8631E68}" xr6:coauthVersionLast="47" xr6:coauthVersionMax="47" xr10:uidLastSave="{00000000-0000-0000-0000-000000000000}"/>
  <bookViews>
    <workbookView xWindow="0" yWindow="760" windowWidth="34560" windowHeight="20500" tabRatio="766" activeTab="10" xr2:uid="{41E620E7-D6DF-9342-B452-EA60AB3B07C5}"/>
  </bookViews>
  <sheets>
    <sheet name="Summary" sheetId="67" r:id="rId1"/>
    <sheet name="results77" sheetId="57" r:id="rId2"/>
    <sheet name="results158" sheetId="58" r:id="rId3"/>
    <sheet name="results185" sheetId="59" r:id="rId4"/>
    <sheet name="results347" sheetId="60" r:id="rId5"/>
    <sheet name="results417" sheetId="61" r:id="rId6"/>
    <sheet name="results549" sheetId="62" r:id="rId7"/>
    <sheet name="results691" sheetId="63" r:id="rId8"/>
    <sheet name="results758" sheetId="64" r:id="rId9"/>
    <sheet name="results804" sheetId="65" r:id="rId10"/>
    <sheet name="results905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5" i="67" a="1"/>
  <c r="I9" i="67" a="1"/>
  <c r="D5" i="67" a="1"/>
  <c r="C12" i="67" a="1"/>
  <c r="G3" i="67" a="1"/>
  <c r="H12" i="67" a="1"/>
  <c r="H5" i="67" a="1"/>
  <c r="C10" i="67" a="1"/>
  <c r="H7" i="67" a="1"/>
  <c r="C11" i="67" a="1"/>
  <c r="I4" i="67" a="1"/>
  <c r="H3" i="67" a="1"/>
  <c r="H6" i="67" a="1"/>
  <c r="C9" i="67" a="1"/>
  <c r="H8" i="67" a="1"/>
  <c r="G7" i="67" a="1"/>
  <c r="F6" i="67" a="1"/>
  <c r="C8" i="67" a="1"/>
  <c r="E11" i="67" a="1"/>
  <c r="G6" i="67" a="1"/>
  <c r="F4" i="67" a="1"/>
  <c r="C5" i="67" a="1"/>
  <c r="G5" i="67" a="1"/>
  <c r="D12" i="67" a="1"/>
  <c r="E9" i="67" a="1"/>
  <c r="E5" i="67" a="1"/>
  <c r="I8" i="67" a="1"/>
  <c r="F7" i="67" a="1"/>
  <c r="F11" i="67" a="1"/>
  <c r="F9" i="67" a="1"/>
  <c r="I10" i="67" a="1"/>
  <c r="H10" i="67" a="1"/>
  <c r="F10" i="67" a="1"/>
  <c r="C3" i="67" a="1"/>
  <c r="I5" i="67" a="1"/>
  <c r="I11" i="67" a="1"/>
  <c r="G4" i="67" a="1"/>
  <c r="D8" i="67" a="1"/>
  <c r="C7" i="67" a="1"/>
  <c r="H11" i="67" a="1"/>
  <c r="D3" i="67" a="1"/>
  <c r="G9" i="67" a="1"/>
  <c r="G12" i="67" a="1"/>
  <c r="D9" i="67" a="1"/>
  <c r="H9" i="67" a="1"/>
  <c r="E4" i="67" a="1"/>
  <c r="D7" i="67" a="1"/>
  <c r="I12" i="67" a="1"/>
  <c r="E10" i="67" a="1"/>
  <c r="I3" i="67" a="1"/>
  <c r="E3" i="67" a="1"/>
  <c r="I7" i="67" a="1"/>
  <c r="G10" i="67" a="1"/>
  <c r="F8" i="67" a="1"/>
  <c r="C4" i="67" a="1"/>
  <c r="G8" i="67" a="1"/>
  <c r="E12" i="67" a="1"/>
  <c r="D10" i="67" a="1"/>
  <c r="G11" i="67" a="1"/>
  <c r="D6" i="67" a="1"/>
  <c r="D11" i="67" a="1"/>
  <c r="D4" i="67" a="1"/>
  <c r="E8" i="67" a="1"/>
  <c r="F3" i="67" a="1"/>
  <c r="I6" i="67" a="1"/>
  <c r="H4" i="67" a="1"/>
  <c r="F12" i="67" a="1"/>
  <c r="C6" i="67" a="1"/>
  <c r="E6" i="67" a="1"/>
  <c r="E7" i="67" a="1"/>
  <c r="G6" i="67" l="1"/>
  <c r="E7" i="67"/>
  <c r="E5" i="67"/>
  <c r="E9" i="67"/>
  <c r="G8" i="67"/>
  <c r="H4" i="67"/>
  <c r="D11" i="67"/>
  <c r="E11" i="67"/>
  <c r="H12" i="67"/>
  <c r="E3" i="67"/>
  <c r="G4" i="67"/>
  <c r="H8" i="67"/>
  <c r="H6" i="67"/>
  <c r="G12" i="67"/>
  <c r="D9" i="67"/>
  <c r="G10" i="67"/>
  <c r="H10" i="67"/>
  <c r="D7" i="67"/>
  <c r="D5" i="67"/>
  <c r="D3" i="67"/>
  <c r="C4" i="67"/>
  <c r="F5" i="67"/>
  <c r="C6" i="67"/>
  <c r="F7" i="67"/>
  <c r="I8" i="67"/>
  <c r="D6" i="67"/>
  <c r="D12" i="67"/>
  <c r="E4" i="67"/>
  <c r="H5" i="67"/>
  <c r="E6" i="67"/>
  <c r="H7" i="67"/>
  <c r="E8" i="67"/>
  <c r="H9" i="67"/>
  <c r="E10" i="67"/>
  <c r="H11" i="67"/>
  <c r="E12" i="67"/>
  <c r="F3" i="67"/>
  <c r="I4" i="67"/>
  <c r="C10" i="67"/>
  <c r="F11" i="67"/>
  <c r="I12" i="67"/>
  <c r="D4" i="67"/>
  <c r="G5" i="67"/>
  <c r="D10" i="67"/>
  <c r="G11" i="67"/>
  <c r="C8" i="67"/>
  <c r="F9" i="67"/>
  <c r="I10" i="67"/>
  <c r="G7" i="67"/>
  <c r="C3" i="67"/>
  <c r="I5" i="67"/>
  <c r="C7" i="67"/>
  <c r="I7" i="67"/>
  <c r="F8" i="67"/>
  <c r="C9" i="67"/>
  <c r="I9" i="67"/>
  <c r="F10" i="67"/>
  <c r="C11" i="67"/>
  <c r="I11" i="67"/>
  <c r="F12" i="67"/>
  <c r="I6" i="67"/>
  <c r="C12" i="67"/>
  <c r="G3" i="67"/>
  <c r="D8" i="67"/>
  <c r="G9" i="67"/>
  <c r="H3" i="67"/>
  <c r="I3" i="67"/>
  <c r="F4" i="67"/>
  <c r="C5" i="67"/>
  <c r="F6" i="67"/>
  <c r="K10" i="66"/>
  <c r="K13" i="66"/>
  <c r="K8" i="66"/>
  <c r="K6" i="66"/>
  <c r="K9" i="66"/>
  <c r="K11" i="66"/>
  <c r="K12" i="66"/>
  <c r="K5" i="66"/>
  <c r="K7" i="66"/>
  <c r="K8" i="65"/>
  <c r="K13" i="65"/>
  <c r="K9" i="65"/>
  <c r="K5" i="65"/>
  <c r="K10" i="65"/>
  <c r="K6" i="65"/>
  <c r="K11" i="65"/>
  <c r="K12" i="65"/>
  <c r="K7" i="65"/>
  <c r="K8" i="64"/>
  <c r="K12" i="64"/>
  <c r="K9" i="64"/>
  <c r="K5" i="64"/>
  <c r="K10" i="64"/>
  <c r="K11" i="64"/>
  <c r="K13" i="64"/>
  <c r="K6" i="64"/>
  <c r="K7" i="64"/>
  <c r="K8" i="63"/>
  <c r="K12" i="63"/>
  <c r="K11" i="63"/>
  <c r="K13" i="63"/>
  <c r="K5" i="63"/>
  <c r="K9" i="63"/>
  <c r="K6" i="63"/>
  <c r="K10" i="63"/>
  <c r="K7" i="63"/>
  <c r="K8" i="62"/>
  <c r="K10" i="62"/>
  <c r="K11" i="62"/>
  <c r="K13" i="62"/>
  <c r="K5" i="62"/>
  <c r="K9" i="62"/>
  <c r="K12" i="62"/>
  <c r="K6" i="62"/>
  <c r="K7" i="62"/>
  <c r="K8" i="61"/>
  <c r="K13" i="61"/>
  <c r="K5" i="61"/>
  <c r="K6" i="61"/>
  <c r="K9" i="61"/>
  <c r="K10" i="61"/>
  <c r="K11" i="61"/>
  <c r="K12" i="61"/>
  <c r="K7" i="61"/>
  <c r="K5" i="60"/>
  <c r="K8" i="60"/>
  <c r="K9" i="60"/>
  <c r="K11" i="60"/>
  <c r="K12" i="60"/>
  <c r="K6" i="60"/>
  <c r="K10" i="60"/>
  <c r="K13" i="60"/>
  <c r="K7" i="60"/>
  <c r="K8" i="59"/>
  <c r="K9" i="59"/>
  <c r="K5" i="59"/>
  <c r="K10" i="59"/>
  <c r="K11" i="59"/>
  <c r="K6" i="59"/>
  <c r="K12" i="59"/>
  <c r="K13" i="59"/>
  <c r="K7" i="59"/>
  <c r="K11" i="58"/>
  <c r="K12" i="58"/>
  <c r="K5" i="58"/>
  <c r="K9" i="58"/>
  <c r="K10" i="58"/>
  <c r="K13" i="58"/>
  <c r="K6" i="58"/>
  <c r="K8" i="58"/>
  <c r="K7" i="58"/>
  <c r="K8" i="57"/>
  <c r="K9" i="57"/>
  <c r="K10" i="57"/>
  <c r="K11" i="57"/>
  <c r="K12" i="57"/>
  <c r="K13" i="57"/>
  <c r="K5" i="57"/>
  <c r="K6" i="57"/>
  <c r="K7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C16" i="67" l="1"/>
  <c r="T14" i="65"/>
  <c r="W14" i="65" s="1"/>
  <c r="T14" i="64"/>
  <c r="T14" i="63"/>
  <c r="T14" i="62"/>
  <c r="Z14" i="62" s="1"/>
  <c r="T14" i="61"/>
  <c r="T14" i="60"/>
  <c r="T14" i="66"/>
  <c r="Z14" i="66" s="1"/>
  <c r="T14" i="59"/>
  <c r="T14" i="58"/>
  <c r="T14" i="57"/>
  <c r="Z14" i="57" s="1"/>
  <c r="L14" i="65"/>
  <c r="N14" i="65" s="1"/>
  <c r="L14" i="64"/>
  <c r="L14" i="63"/>
  <c r="L14" i="62"/>
  <c r="M14" i="62" s="1"/>
  <c r="L14" i="61"/>
  <c r="L14" i="60"/>
  <c r="O14" i="60" s="1"/>
  <c r="L14" i="66"/>
  <c r="R14" i="66" s="1"/>
  <c r="L14" i="59"/>
  <c r="L14" i="58"/>
  <c r="L14" i="57"/>
  <c r="R14" i="57" s="1"/>
  <c r="AA14" i="65"/>
  <c r="Z14" i="65"/>
  <c r="Y14" i="65"/>
  <c r="X14" i="65"/>
  <c r="O14" i="65"/>
  <c r="M14" i="65"/>
  <c r="Q14" i="65"/>
  <c r="P14" i="65"/>
  <c r="R14" i="65"/>
  <c r="Q14" i="64"/>
  <c r="O14" i="64"/>
  <c r="N14" i="64"/>
  <c r="P14" i="64"/>
  <c r="M14" i="64"/>
  <c r="R14" i="64"/>
  <c r="S14" i="64"/>
  <c r="Z14" i="64"/>
  <c r="X14" i="64"/>
  <c r="W14" i="64"/>
  <c r="V14" i="64"/>
  <c r="U14" i="64"/>
  <c r="AA14" i="64"/>
  <c r="Y14" i="64"/>
  <c r="AA14" i="63"/>
  <c r="Z14" i="63"/>
  <c r="Y14" i="63"/>
  <c r="X14" i="63"/>
  <c r="W14" i="63"/>
  <c r="V14" i="63"/>
  <c r="U14" i="63"/>
  <c r="P14" i="63"/>
  <c r="N14" i="63"/>
  <c r="O14" i="63"/>
  <c r="M14" i="63"/>
  <c r="S14" i="63"/>
  <c r="R14" i="63"/>
  <c r="Q14" i="63"/>
  <c r="R14" i="62"/>
  <c r="Q14" i="61"/>
  <c r="P14" i="61"/>
  <c r="M14" i="61"/>
  <c r="O14" i="61"/>
  <c r="N14" i="61"/>
  <c r="S14" i="61"/>
  <c r="AA14" i="61"/>
  <c r="Z14" i="61"/>
  <c r="Y14" i="61"/>
  <c r="X14" i="61"/>
  <c r="W14" i="61"/>
  <c r="V14" i="61"/>
  <c r="U14" i="61"/>
  <c r="AA14" i="60"/>
  <c r="Z14" i="60"/>
  <c r="Y14" i="60"/>
  <c r="X14" i="60"/>
  <c r="W14" i="60"/>
  <c r="U14" i="60"/>
  <c r="V14" i="60"/>
  <c r="S14" i="60"/>
  <c r="R14" i="60"/>
  <c r="Q14" i="60"/>
  <c r="P14" i="60"/>
  <c r="M14" i="60"/>
  <c r="AA14" i="59"/>
  <c r="Z14" i="59"/>
  <c r="Y14" i="59"/>
  <c r="X14" i="59"/>
  <c r="W14" i="59"/>
  <c r="V14" i="59"/>
  <c r="U14" i="59"/>
  <c r="Q14" i="59"/>
  <c r="S14" i="59"/>
  <c r="R14" i="59"/>
  <c r="N14" i="59"/>
  <c r="M14" i="59"/>
  <c r="P14" i="59"/>
  <c r="O14" i="59"/>
  <c r="AA14" i="58"/>
  <c r="Z14" i="58"/>
  <c r="Y14" i="58"/>
  <c r="X14" i="58"/>
  <c r="W14" i="58"/>
  <c r="V14" i="58"/>
  <c r="U14" i="58"/>
  <c r="Q14" i="58"/>
  <c r="P14" i="58"/>
  <c r="O14" i="58"/>
  <c r="N14" i="58"/>
  <c r="M14" i="58"/>
  <c r="S14" i="58"/>
  <c r="R14" i="58"/>
  <c r="S14" i="57"/>
  <c r="P14" i="57"/>
  <c r="O14" i="57"/>
  <c r="Y14" i="57"/>
  <c r="AA14" i="57"/>
  <c r="X14" i="57"/>
  <c r="W14" i="57"/>
  <c r="V14" i="57"/>
  <c r="U14" i="57"/>
  <c r="I13" i="67"/>
  <c r="G13" i="67"/>
  <c r="H13" i="67"/>
  <c r="F13" i="67"/>
  <c r="D13" i="67"/>
  <c r="E13" i="67"/>
  <c r="C13" i="67"/>
  <c r="J13" i="67" s="1"/>
  <c r="K4" i="66"/>
  <c r="D14" i="66"/>
  <c r="D14" i="65"/>
  <c r="K4" i="65"/>
  <c r="D14" i="64"/>
  <c r="K4" i="64"/>
  <c r="K4" i="63"/>
  <c r="D14" i="63"/>
  <c r="D14" i="62"/>
  <c r="K4" i="62"/>
  <c r="K4" i="61"/>
  <c r="D14" i="61"/>
  <c r="K4" i="60"/>
  <c r="D14" i="60"/>
  <c r="D14" i="59"/>
  <c r="K4" i="59"/>
  <c r="K4" i="58"/>
  <c r="D14" i="58"/>
  <c r="D14" i="57"/>
  <c r="K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10" i="67" a="1"/>
  <c r="U4" i="67" a="1"/>
  <c r="W5" i="67" a="1"/>
  <c r="U11" i="67" a="1"/>
  <c r="N11" i="67" a="1"/>
  <c r="O3" i="67" a="1"/>
  <c r="W4" i="67" a="1"/>
  <c r="S10" i="67" a="1"/>
  <c r="Y8" i="67" a="1"/>
  <c r="Y12" i="67" a="1"/>
  <c r="N5" i="67" a="1"/>
  <c r="L8" i="67" a="1"/>
  <c r="Q8" i="67" a="1"/>
  <c r="M8" i="67" a="1"/>
  <c r="Q4" i="67" a="1"/>
  <c r="X5" i="67" a="1"/>
  <c r="K4" i="67" a="1"/>
  <c r="N3" i="67" a="1"/>
  <c r="P6" i="67" a="1"/>
  <c r="Y4" i="67" a="1"/>
  <c r="V5" i="67" a="1"/>
  <c r="Y10" i="67" a="1"/>
  <c r="L6" i="67" a="1"/>
  <c r="X4" i="67" a="1"/>
  <c r="Y7" i="67" a="1"/>
  <c r="L12" i="67" a="1"/>
  <c r="K12" i="67" a="1"/>
  <c r="K11" i="67" a="1"/>
  <c r="Q9" i="67" a="1"/>
  <c r="Q6" i="67" a="1"/>
  <c r="T11" i="67" a="1"/>
  <c r="S12" i="67" a="1"/>
  <c r="U5" i="67" a="1"/>
  <c r="K7" i="67" a="1"/>
  <c r="Q11" i="67" a="1"/>
  <c r="S9" i="67" a="1"/>
  <c r="Y11" i="67" a="1"/>
  <c r="N6" i="67" a="1"/>
  <c r="M11" i="67" a="1"/>
  <c r="V4" i="67" a="1"/>
  <c r="P7" i="67" a="1"/>
  <c r="T4" i="67" a="1"/>
  <c r="Q3" i="67" a="1"/>
  <c r="X3" i="67" a="1"/>
  <c r="Q10" i="67" a="1"/>
  <c r="T3" i="67" a="1"/>
  <c r="V8" i="67" a="1"/>
  <c r="V3" i="67" a="1"/>
  <c r="W11" i="67" a="1"/>
  <c r="V6" i="67" a="1"/>
  <c r="W3" i="67" a="1"/>
  <c r="Q12" i="67" a="1"/>
  <c r="Y5" i="67" a="1"/>
  <c r="M9" i="67" a="1"/>
  <c r="M7" i="67" a="1"/>
  <c r="P9" i="67" a="1"/>
  <c r="S6" i="67" a="1"/>
  <c r="L11" i="67" a="1"/>
  <c r="P4" i="67" a="1"/>
  <c r="L9" i="67" a="1"/>
  <c r="N7" i="67" a="1"/>
  <c r="T6" i="67" a="1"/>
  <c r="K8" i="67" a="1"/>
  <c r="K5" i="67" a="1"/>
  <c r="S3" i="67" a="1"/>
  <c r="U8" i="67" a="1"/>
  <c r="N9" i="67" a="1"/>
  <c r="K9" i="67" a="1"/>
  <c r="M6" i="67" a="1"/>
  <c r="W6" i="67" a="1"/>
  <c r="X7" i="67" a="1"/>
  <c r="O11" i="67" a="1"/>
  <c r="W8" i="67" a="1"/>
  <c r="N8" i="67" a="1"/>
  <c r="O9" i="67" a="1"/>
  <c r="O7" i="67" a="1"/>
  <c r="U3" i="67" a="1"/>
  <c r="K6" i="67" a="1"/>
  <c r="Y3" i="67" a="1"/>
  <c r="Y6" i="67" a="1"/>
  <c r="S4" i="67" a="1"/>
  <c r="Y9" i="67" a="1"/>
  <c r="V9" i="67" a="1"/>
  <c r="M5" i="67" a="1"/>
  <c r="P5" i="67" a="1"/>
  <c r="U6" i="67" a="1"/>
  <c r="T7" i="67" a="1"/>
  <c r="O6" i="67" a="1"/>
  <c r="S7" i="67" a="1"/>
  <c r="O8" i="67" a="1"/>
  <c r="P8" i="67" a="1"/>
  <c r="K3" i="67" a="1"/>
  <c r="S11" i="67" a="1"/>
  <c r="S5" i="67" a="1"/>
  <c r="T5" i="67" a="1"/>
  <c r="P11" i="67" a="1"/>
  <c r="Q7" i="67" a="1"/>
  <c r="L5" i="67" a="1"/>
  <c r="V11" i="67" a="1"/>
  <c r="L4" i="67" a="1"/>
  <c r="N4" i="67" a="1"/>
  <c r="O5" i="67" a="1"/>
  <c r="X9" i="67" a="1"/>
  <c r="X6" i="67" a="1"/>
  <c r="X11" i="67" a="1"/>
  <c r="U7" i="67" a="1"/>
  <c r="X8" i="67" a="1"/>
  <c r="W7" i="67" a="1"/>
  <c r="L7" i="67" a="1"/>
  <c r="V7" i="67" a="1"/>
  <c r="O4" i="67" a="1"/>
  <c r="W9" i="67" a="1"/>
  <c r="S8" i="67" a="1"/>
  <c r="T8" i="67" a="1"/>
  <c r="V14" i="65" l="1"/>
  <c r="U14" i="65"/>
  <c r="S9" i="67"/>
  <c r="S8" i="67"/>
  <c r="S7" i="67"/>
  <c r="S12" i="67"/>
  <c r="W14" i="62"/>
  <c r="X14" i="62"/>
  <c r="V14" i="62"/>
  <c r="Y14" i="62"/>
  <c r="AA14" i="62"/>
  <c r="U14" i="62"/>
  <c r="S5" i="67"/>
  <c r="U14" i="66"/>
  <c r="Y14" i="66"/>
  <c r="AA14" i="66"/>
  <c r="W14" i="66"/>
  <c r="X14" i="66"/>
  <c r="S4" i="67"/>
  <c r="V14" i="66"/>
  <c r="S10" i="67"/>
  <c r="S11" i="67"/>
  <c r="S6" i="67"/>
  <c r="S3" i="67"/>
  <c r="K9" i="67"/>
  <c r="S14" i="65"/>
  <c r="Q14" i="66"/>
  <c r="P14" i="66"/>
  <c r="M14" i="66"/>
  <c r="K8" i="67"/>
  <c r="S14" i="66"/>
  <c r="N14" i="66"/>
  <c r="O14" i="66"/>
  <c r="K7" i="67"/>
  <c r="Q14" i="62"/>
  <c r="S14" i="62"/>
  <c r="P14" i="62"/>
  <c r="P2" i="62" s="1"/>
  <c r="N14" i="62"/>
  <c r="O14" i="62"/>
  <c r="K12" i="67"/>
  <c r="R14" i="61"/>
  <c r="K5" i="67"/>
  <c r="N14" i="60"/>
  <c r="K4" i="67"/>
  <c r="K10" i="67"/>
  <c r="K11" i="67"/>
  <c r="K6" i="67"/>
  <c r="Q14" i="57"/>
  <c r="N14" i="57"/>
  <c r="M14" i="57"/>
  <c r="K3" i="67"/>
  <c r="Q10" i="67"/>
  <c r="Y10" i="67"/>
  <c r="R2" i="66"/>
  <c r="Z2" i="66"/>
  <c r="Q9" i="67"/>
  <c r="O9" i="67"/>
  <c r="P9" i="67"/>
  <c r="L9" i="67"/>
  <c r="M9" i="67"/>
  <c r="N9" i="67"/>
  <c r="V9" i="67"/>
  <c r="W9" i="67"/>
  <c r="X9" i="67"/>
  <c r="Y9" i="67"/>
  <c r="R2" i="65"/>
  <c r="P2" i="65"/>
  <c r="X2" i="65"/>
  <c r="Z2" i="65"/>
  <c r="X8" i="67"/>
  <c r="T8" i="67"/>
  <c r="U8" i="67"/>
  <c r="V8" i="67"/>
  <c r="W8" i="67"/>
  <c r="Y8" i="67"/>
  <c r="Q8" i="67"/>
  <c r="L8" i="67"/>
  <c r="O8" i="67"/>
  <c r="M8" i="67"/>
  <c r="N8" i="67"/>
  <c r="P8" i="67"/>
  <c r="X2" i="64"/>
  <c r="Z2" i="64"/>
  <c r="R2" i="64"/>
  <c r="P2" i="64"/>
  <c r="Y7" i="67"/>
  <c r="P7" i="67"/>
  <c r="Q7" i="67"/>
  <c r="N7" i="67"/>
  <c r="M7" i="67"/>
  <c r="O7" i="67"/>
  <c r="T7" i="67"/>
  <c r="U7" i="67"/>
  <c r="V7" i="67"/>
  <c r="W7" i="67"/>
  <c r="X7" i="67"/>
  <c r="L7" i="67"/>
  <c r="Z2" i="63"/>
  <c r="R2" i="63"/>
  <c r="P2" i="63"/>
  <c r="X2" i="63"/>
  <c r="Q12" i="67"/>
  <c r="L12" i="67"/>
  <c r="Y12" i="67"/>
  <c r="R2" i="62"/>
  <c r="X2" i="62"/>
  <c r="Z2" i="62"/>
  <c r="T5" i="67"/>
  <c r="U5" i="67"/>
  <c r="V5" i="67"/>
  <c r="W5" i="67"/>
  <c r="X5" i="67"/>
  <c r="Y5" i="67"/>
  <c r="M5" i="67"/>
  <c r="N5" i="67"/>
  <c r="L5" i="67"/>
  <c r="O5" i="67"/>
  <c r="P5" i="67"/>
  <c r="X2" i="61"/>
  <c r="Z2" i="61"/>
  <c r="R2" i="61"/>
  <c r="P2" i="61"/>
  <c r="P4" i="67"/>
  <c r="Q4" i="67"/>
  <c r="O4" i="67"/>
  <c r="W4" i="67"/>
  <c r="V4" i="67"/>
  <c r="Y4" i="67"/>
  <c r="U4" i="67"/>
  <c r="L4" i="67"/>
  <c r="N4" i="67"/>
  <c r="T4" i="67"/>
  <c r="X4" i="67"/>
  <c r="R2" i="60"/>
  <c r="P2" i="60"/>
  <c r="X2" i="60"/>
  <c r="Z2" i="60"/>
  <c r="O11" i="67"/>
  <c r="N11" i="67"/>
  <c r="P11" i="67"/>
  <c r="L11" i="67"/>
  <c r="M11" i="67"/>
  <c r="Q11" i="67"/>
  <c r="T11" i="67"/>
  <c r="U11" i="67"/>
  <c r="V11" i="67"/>
  <c r="W11" i="67"/>
  <c r="X11" i="67"/>
  <c r="Y11" i="67"/>
  <c r="P2" i="59"/>
  <c r="R2" i="59"/>
  <c r="X2" i="59"/>
  <c r="Z2" i="59"/>
  <c r="Q6" i="67"/>
  <c r="N6" i="67"/>
  <c r="O6" i="67"/>
  <c r="P6" i="67"/>
  <c r="X6" i="67"/>
  <c r="V6" i="67"/>
  <c r="Y6" i="67"/>
  <c r="M6" i="67"/>
  <c r="T6" i="67"/>
  <c r="W6" i="67"/>
  <c r="L6" i="67"/>
  <c r="U6" i="67"/>
  <c r="R2" i="58"/>
  <c r="P2" i="58"/>
  <c r="Z2" i="58"/>
  <c r="X2" i="58"/>
  <c r="U3" i="67"/>
  <c r="V3" i="67"/>
  <c r="Y3" i="67"/>
  <c r="N3" i="67"/>
  <c r="T3" i="67"/>
  <c r="W3" i="67"/>
  <c r="X3" i="67"/>
  <c r="O3" i="67"/>
  <c r="Q3" i="67"/>
  <c r="Z2" i="57"/>
  <c r="X2" i="57"/>
  <c r="P2" i="57"/>
  <c r="R2" i="57"/>
  <c r="I14" i="66"/>
  <c r="F14" i="66"/>
  <c r="K14" i="66"/>
  <c r="H14" i="66"/>
  <c r="G14" i="66"/>
  <c r="E14" i="66"/>
  <c r="J14" i="66"/>
  <c r="I14" i="65"/>
  <c r="H14" i="65"/>
  <c r="G14" i="65"/>
  <c r="F14" i="65"/>
  <c r="E14" i="65"/>
  <c r="K14" i="65"/>
  <c r="J14" i="65"/>
  <c r="I14" i="64"/>
  <c r="H14" i="64"/>
  <c r="G14" i="64"/>
  <c r="F14" i="64"/>
  <c r="K14" i="64"/>
  <c r="E14" i="64"/>
  <c r="J14" i="64"/>
  <c r="I14" i="63"/>
  <c r="K14" i="63"/>
  <c r="H14" i="63"/>
  <c r="G14" i="63"/>
  <c r="F14" i="63"/>
  <c r="E14" i="63"/>
  <c r="J14" i="63"/>
  <c r="I14" i="62"/>
  <c r="H14" i="62"/>
  <c r="E14" i="62"/>
  <c r="K14" i="62"/>
  <c r="G14" i="62"/>
  <c r="F14" i="62"/>
  <c r="J14" i="62"/>
  <c r="I14" i="61"/>
  <c r="F14" i="61"/>
  <c r="K14" i="61"/>
  <c r="H14" i="61"/>
  <c r="G14" i="61"/>
  <c r="E14" i="61"/>
  <c r="J14" i="61"/>
  <c r="I14" i="60"/>
  <c r="J14" i="60"/>
  <c r="H14" i="60"/>
  <c r="F14" i="60"/>
  <c r="E14" i="60"/>
  <c r="G14" i="60"/>
  <c r="K14" i="60"/>
  <c r="I14" i="59"/>
  <c r="H14" i="59"/>
  <c r="F14" i="59"/>
  <c r="E14" i="59"/>
  <c r="G14" i="59"/>
  <c r="K14" i="59"/>
  <c r="J14" i="59"/>
  <c r="I14" i="58"/>
  <c r="E14" i="58"/>
  <c r="H14" i="58"/>
  <c r="J14" i="58"/>
  <c r="G14" i="58"/>
  <c r="F14" i="58"/>
  <c r="K14" i="58"/>
  <c r="I14" i="57"/>
  <c r="H14" i="57"/>
  <c r="E14" i="57"/>
  <c r="J14" i="57"/>
  <c r="G14" i="57"/>
  <c r="F14" i="57"/>
  <c r="K14" i="57"/>
  <c r="G14" i="26"/>
  <c r="E14" i="26"/>
  <c r="D14" i="26"/>
  <c r="K14" i="26"/>
  <c r="P14" i="25"/>
  <c r="N14" i="25"/>
  <c r="M14" i="25"/>
  <c r="T14" i="25"/>
  <c r="D14" i="25"/>
  <c r="M10" i="67" a="1"/>
  <c r="P10" i="67" a="1"/>
  <c r="W10" i="67" a="1"/>
  <c r="M12" i="67" a="1"/>
  <c r="Q5" i="67" a="1"/>
  <c r="U10" i="67" a="1"/>
  <c r="X10" i="67" a="1"/>
  <c r="T12" i="67" a="1"/>
  <c r="T10" i="67" a="1"/>
  <c r="U9" i="67" a="1"/>
  <c r="P12" i="67" a="1"/>
  <c r="P3" i="67" a="1"/>
  <c r="I4" i="23" a="1"/>
  <c r="M3" i="67" a="1"/>
  <c r="L10" i="67" a="1"/>
  <c r="O10" i="67" a="1"/>
  <c r="N10" i="67" a="1"/>
  <c r="T9" i="67" a="1"/>
  <c r="W12" i="67" a="1"/>
  <c r="L3" i="67" a="1"/>
  <c r="O12" i="67" a="1"/>
  <c r="H4" i="23" a="1"/>
  <c r="U12" i="67" a="1"/>
  <c r="V10" i="67" a="1"/>
  <c r="X12" i="67" a="1"/>
  <c r="M4" i="67" a="1"/>
  <c r="N12" i="67" a="1"/>
  <c r="V12" i="67" a="1"/>
  <c r="K16" i="67" l="1"/>
  <c r="S16" i="67"/>
  <c r="T9" i="67"/>
  <c r="U9" i="67"/>
  <c r="T12" i="67"/>
  <c r="X12" i="67"/>
  <c r="U12" i="67"/>
  <c r="W12" i="67"/>
  <c r="V12" i="67"/>
  <c r="S13" i="67"/>
  <c r="Z13" i="67" s="1"/>
  <c r="W10" i="67"/>
  <c r="V10" i="67"/>
  <c r="X10" i="67"/>
  <c r="T10" i="67"/>
  <c r="U10" i="67"/>
  <c r="Y13" i="67"/>
  <c r="X2" i="66"/>
  <c r="P2" i="66"/>
  <c r="L10" i="67"/>
  <c r="O10" i="67"/>
  <c r="P10" i="67"/>
  <c r="N10" i="67"/>
  <c r="M10" i="67"/>
  <c r="N12" i="67"/>
  <c r="M12" i="67"/>
  <c r="O12" i="67"/>
  <c r="P12" i="67"/>
  <c r="Q5" i="67"/>
  <c r="Q13" i="67" s="1"/>
  <c r="K13" i="67"/>
  <c r="R13" i="67" s="1"/>
  <c r="M4" i="67"/>
  <c r="L3" i="67"/>
  <c r="M3" i="67"/>
  <c r="P3" i="67"/>
  <c r="J2" i="66"/>
  <c r="H2" i="66"/>
  <c r="J2" i="65"/>
  <c r="H2" i="65"/>
  <c r="J2" i="64"/>
  <c r="H2" i="64"/>
  <c r="J2" i="63"/>
  <c r="H2" i="63"/>
  <c r="J2" i="62"/>
  <c r="H2" i="62"/>
  <c r="J2" i="61"/>
  <c r="H2" i="61"/>
  <c r="H2" i="60"/>
  <c r="J2" i="60"/>
  <c r="H2" i="59"/>
  <c r="J2" i="59"/>
  <c r="H2" i="58"/>
  <c r="J2" i="58"/>
  <c r="J2" i="57"/>
  <c r="H2" i="57"/>
  <c r="H4" i="23"/>
  <c r="I4" i="23"/>
  <c r="E8" i="23" a="1"/>
  <c r="F7" i="23" a="1"/>
  <c r="E7" i="23" a="1"/>
  <c r="D11" i="23" a="1"/>
  <c r="E10" i="23" a="1"/>
  <c r="G4" i="23" a="1"/>
  <c r="F9" i="23" a="1"/>
  <c r="D8" i="23" a="1"/>
  <c r="E9" i="23" a="1"/>
  <c r="G7" i="23" a="1"/>
  <c r="G10" i="23" a="1"/>
  <c r="E5" i="23" a="1"/>
  <c r="G6" i="23" a="1"/>
  <c r="F13" i="23" a="1"/>
  <c r="D10" i="23" a="1"/>
  <c r="F5" i="23" a="1"/>
  <c r="G13" i="23" a="1"/>
  <c r="F11" i="23" a="1"/>
  <c r="E6" i="23" a="1"/>
  <c r="F10" i="23" a="1"/>
  <c r="D5" i="23" a="1"/>
  <c r="E11" i="23" a="1"/>
  <c r="G5" i="23" a="1"/>
  <c r="F8" i="23" a="1"/>
  <c r="G12" i="23" a="1"/>
  <c r="G11" i="23" a="1"/>
  <c r="F6" i="23" a="1"/>
  <c r="D13" i="23" a="1"/>
  <c r="D4" i="23" a="1"/>
  <c r="E13" i="23" a="1"/>
  <c r="D7" i="23" a="1"/>
  <c r="F4" i="23" a="1"/>
  <c r="G9" i="23" a="1"/>
  <c r="F12" i="23" a="1"/>
  <c r="D12" i="23" a="1"/>
  <c r="E4" i="23" a="1"/>
  <c r="D6" i="23" a="1"/>
  <c r="G8" i="23" a="1"/>
  <c r="D9" i="23" a="1"/>
  <c r="E12" i="23" a="1"/>
  <c r="T13" i="67" l="1"/>
  <c r="V13" i="67"/>
  <c r="U13" i="67"/>
  <c r="X13" i="67"/>
  <c r="W13" i="67"/>
  <c r="P13" i="67"/>
  <c r="N13" i="67"/>
  <c r="O13" i="67"/>
  <c r="L13" i="67"/>
  <c r="M13" i="6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<sst xmlns="http://schemas.openxmlformats.org/spreadsheetml/2006/main" count="670" uniqueCount="21">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</sst>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F488-13A8-E64D-B2DB-A8F5C33B1F79}">
  <dimension ref="B1:Z16"/>
  <sheetViews>
    <sheetView zoomScale="85" zoomScaleNormal="85" workbookViewId="0">
      <selection activeCell="A14" sqref="A14:XFD1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1" t="s">
        <v>17</v>
      </c>
      <c r="K1" t="s">
        <v>18</v>
      </c>
      <c r="S1" t="s">
        <v>19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77</v>
      </c>
      <c r="C3" s="5" cm="1">
        <f t="array" aca="1" ref="C3" ca="1">INDIRECT("'results" &amp; $B3 &amp; "'!D$14")</f>
        <v>90088.865273268952</v>
      </c>
      <c r="D3" s="33" cm="1">
        <f t="array" aca="1" ref="D3" ca="1">INDIRECT("'results" &amp; $B3 &amp; "'!E$14")</f>
        <v>9.2471956250010408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86.666666666666671</v>
      </c>
      <c r="G3" s="5" cm="1">
        <f t="array" aca="1" ref="G3" ca="1">INDIRECT("'results" &amp; $B3 &amp; "'!H$14")</f>
        <v>80.107205129872895</v>
      </c>
      <c r="H3" s="33" cm="1">
        <f t="array" aca="1" ref="H3" ca="1">INDIRECT("'results" &amp; $B3 &amp; "'!I$14")</f>
        <v>26.943734967993183</v>
      </c>
      <c r="I3" s="5" cm="1">
        <f t="array" aca="1" ref="I3" ca="1">INDIRECT("'results" &amp; $B3 &amp; "'!J$14")</f>
        <v>1925.1792661638274</v>
      </c>
      <c r="J3" s="5"/>
      <c r="K3" s="5" cm="1">
        <f t="array" aca="1" ref="K3" ca="1">INDIRECT("'results" &amp; $B3 &amp; "'!L$14")</f>
        <v>103454.99141803379</v>
      </c>
      <c r="L3" s="5" cm="1">
        <f t="array" aca="1" ref="L3" ca="1">INDIRECT("'results" &amp; $B3 &amp; "'!M$14")</f>
        <v>8.7066707080011838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63.333333333333343</v>
      </c>
      <c r="O3" s="5" cm="1">
        <f t="array" aca="1" ref="O3" ca="1">INDIRECT("'results" &amp; $B3 &amp; "'!P$14")</f>
        <v>10.926328784609112</v>
      </c>
      <c r="P3" s="5" cm="1">
        <f t="array" aca="1" ref="P3" ca="1">INDIRECT("'results" &amp; $B3 &amp; "'!Q$14")</f>
        <v>17.346079614273272</v>
      </c>
      <c r="Q3" s="5" cm="1">
        <f t="array" aca="1" ref="Q3" ca="1">INDIRECT("'results" &amp; $B3 &amp; "'!R$14")</f>
        <v>1543.792740344345</v>
      </c>
      <c r="R3" s="5"/>
      <c r="S3" s="5" cm="1">
        <f t="array" aca="1" ref="S3" ca="1">INDIRECT("'results" &amp; $B3 &amp; "'!T$14")</f>
        <v>107516.23025922599</v>
      </c>
      <c r="T3" s="5" cm="1">
        <f t="array" aca="1" ref="T3" ca="1">INDIRECT("'results" &amp; $B3 &amp; "'!U$14")</f>
        <v>7.9356073749986544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66.666666666666671</v>
      </c>
      <c r="W3" s="5" cm="1">
        <f t="array" aca="1" ref="W3" ca="1">INDIRECT("'results" &amp; $B3 &amp; "'!X$14")</f>
        <v>87.761888079010177</v>
      </c>
      <c r="X3" s="5" cm="1">
        <f t="array" aca="1" ref="X3" ca="1">INDIRECT("'results" &amp; $B3 &amp; "'!Y$14")</f>
        <v>26.448511138565657</v>
      </c>
      <c r="Y3" s="5" cm="1">
        <f t="array" aca="1" ref="Y3" ca="1">INDIRECT("'results" &amp; $B3 &amp; "'!Z$14")</f>
        <v>1879.6777469554963</v>
      </c>
      <c r="Z3" s="5"/>
    </row>
    <row r="4" spans="2:26" x14ac:dyDescent="0.2">
      <c r="B4" s="4">
        <v>347</v>
      </c>
      <c r="C4" s="5" cm="1">
        <f t="array" aca="1" ref="C4" ca="1">INDIRECT("'results" &amp; $B4 &amp; "'!D$14")</f>
        <v>69577.826935131379</v>
      </c>
      <c r="D4" s="33" cm="1">
        <f t="array" aca="1" ref="D4" ca="1">INDIRECT("'results" &amp; $B4 &amp; "'!E$14")</f>
        <v>3.689757750000012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11.006948887544052</v>
      </c>
      <c r="H4" s="33" cm="1">
        <f t="array" aca="1" ref="H4" ca="1">INDIRECT("'results" &amp; $B4 &amp; "'!I$14")</f>
        <v>44.848323251530175</v>
      </c>
      <c r="I4" s="5" cm="1">
        <f t="array" aca="1" ref="I4" ca="1">INDIRECT("'results" &amp; $B4 &amp; "'!J$14")</f>
        <v>1777.1624003856473</v>
      </c>
      <c r="J4" s="5"/>
      <c r="K4" s="5" cm="1">
        <f t="array" aca="1" ref="K4" ca="1">INDIRECT("'results" &amp; $B4 &amp; "'!L$14")</f>
        <v>99338.584617405169</v>
      </c>
      <c r="L4" s="5" cm="1">
        <f t="array" aca="1" ref="L4" ca="1">INDIRECT("'results" &amp; $B4 &amp; "'!M$14")</f>
        <v>5.1762814160028938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60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24.692407122381162</v>
      </c>
      <c r="Q4" s="5" cm="1">
        <f t="array" aca="1" ref="Q4" ca="1">INDIRECT("'results" &amp; $B4 &amp; "'!R$14")</f>
        <v>1299.5186373611944</v>
      </c>
      <c r="R4" s="5"/>
      <c r="S4" s="5" cm="1">
        <f t="array" aca="1" ref="S4" ca="1">INDIRECT("'results" &amp; $B4 &amp; "'!T$14")</f>
        <v>82823.702360868745</v>
      </c>
      <c r="T4" s="5" cm="1">
        <f t="array" aca="1" ref="T4" ca="1">INDIRECT("'results" &amp; $B4 &amp; "'!U$14")</f>
        <v>3.9973023750026191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86.666666666666671</v>
      </c>
      <c r="W4" s="5" cm="1">
        <f t="array" aca="1" ref="W4" ca="1">INDIRECT("'results" &amp; $B4 &amp; "'!X$14")</f>
        <v>14.769413609884806</v>
      </c>
      <c r="X4" s="5" cm="1">
        <f t="array" aca="1" ref="X4" ca="1">INDIRECT("'results" &amp; $B4 &amp; "'!Y$14")</f>
        <v>56.63724515200677</v>
      </c>
      <c r="Y4" s="5" cm="1">
        <f t="array" aca="1" ref="Y4" ca="1">INDIRECT("'results" &amp; $B4 &amp; "'!Z$14")</f>
        <v>1974.2102691673956</v>
      </c>
      <c r="Z4" s="5"/>
    </row>
    <row r="5" spans="2:26" x14ac:dyDescent="0.2">
      <c r="B5" s="4">
        <v>417</v>
      </c>
      <c r="C5" s="5" cm="1">
        <f t="array" aca="1" ref="C5" ca="1">INDIRECT("'results" &amp; $B5 &amp; "'!D$14")</f>
        <v>66196.543666189638</v>
      </c>
      <c r="D5" s="33" cm="1">
        <f t="array" aca="1" ref="D5" ca="1">INDIRECT("'results" &amp; $B5 &amp; "'!E$14")</f>
        <v>10.23148287499998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96.666666666666671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42.862534242648749</v>
      </c>
      <c r="I5" s="5" cm="1">
        <f t="array" aca="1" ref="I5" ca="1">INDIRECT("'results" &amp; $B5 &amp; "'!J$14")</f>
        <v>1614.7491647471436</v>
      </c>
      <c r="J5" s="5"/>
      <c r="K5" s="5" cm="1">
        <f t="array" aca="1" ref="K5" ca="1">INDIRECT("'results" &amp; $B5 &amp; "'!L$14")</f>
        <v>94358.054618895054</v>
      </c>
      <c r="L5" s="5" cm="1">
        <f t="array" aca="1" ref="L5" ca="1">INDIRECT("'results" &amp; $B5 &amp; "'!M$14")</f>
        <v>8.7984594580011617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66.666666666666671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22.325255804411746</v>
      </c>
      <c r="Q5" s="5" cm="1">
        <f t="array" aca="1" ref="Q5" ca="1">INDIRECT("'results" &amp; $B5 &amp; "'!R$14")</f>
        <v>1363.2778828887033</v>
      </c>
      <c r="R5" s="5"/>
      <c r="S5" s="5" cm="1">
        <f t="array" aca="1" ref="S5" ca="1">INDIRECT("'results" &amp; $B5 &amp; "'!T$14")</f>
        <v>88564.643421416986</v>
      </c>
      <c r="T5" s="5" cm="1">
        <f t="array" aca="1" ref="T5" ca="1">INDIRECT("'results" &amp; $B5 &amp; "'!U$14")</f>
        <v>8.4428555840022455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58.683611709039418</v>
      </c>
      <c r="X5" s="5" cm="1">
        <f t="array" aca="1" ref="X5" ca="1">INDIRECT("'results" &amp; $B5 &amp; "'!Y$14")</f>
        <v>54.821631293567499</v>
      </c>
      <c r="Y5" s="5" cm="1">
        <f t="array" aca="1" ref="Y5" ca="1">INDIRECT("'results" &amp; $B5 &amp; "'!Z$14")</f>
        <v>1937.8288438596865</v>
      </c>
      <c r="Z5" s="5"/>
    </row>
    <row r="6" spans="2:26" x14ac:dyDescent="0.2">
      <c r="B6" s="4">
        <v>158</v>
      </c>
      <c r="C6" s="5" cm="1">
        <f t="array" aca="1" ref="C6" ca="1">INDIRECT("'results" &amp; $B6 &amp; "'!D$14")</f>
        <v>101954.66519667891</v>
      </c>
      <c r="D6" s="33" cm="1">
        <f t="array" aca="1" ref="D6" ca="1">INDIRECT("'results" &amp; $B6 &amp; "'!E$14")</f>
        <v>8.6574241669999878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76.666666666666671</v>
      </c>
      <c r="G6" s="5" cm="1">
        <f t="array" aca="1" ref="G6" ca="1">INDIRECT("'results" &amp; $B6 &amp; "'!H$14")</f>
        <v>68.163588988795283</v>
      </c>
      <c r="H6" s="33" cm="1">
        <f t="array" aca="1" ref="H6" ca="1">INDIRECT("'results" &amp; $B6 &amp; "'!I$14")</f>
        <v>26.108454125695516</v>
      </c>
      <c r="I6" s="5" cm="1">
        <f t="array" aca="1" ref="I6" ca="1">INDIRECT("'results" &amp; $B6 &amp; "'!J$14")</f>
        <v>2058.4981703955159</v>
      </c>
      <c r="J6" s="5"/>
      <c r="K6" s="5" cm="1">
        <f t="array" aca="1" ref="K6" ca="1">INDIRECT("'results" &amp; $B6 &amp; "'!L$14")</f>
        <v>110248.5605721079</v>
      </c>
      <c r="L6" s="5" cm="1">
        <f t="array" aca="1" ref="L6" ca="1">INDIRECT("'results" &amp; $B6 &amp; "'!M$14")</f>
        <v>7.3559237500012387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56.666666666666657</v>
      </c>
      <c r="O6" s="5" cm="1">
        <f t="array" aca="1" ref="O6" ca="1">INDIRECT("'results" &amp; $B6 &amp; "'!P$14")</f>
        <v>14.44102613294157</v>
      </c>
      <c r="P6" s="5" cm="1">
        <f t="array" aca="1" ref="P6" ca="1">INDIRECT("'results" &amp; $B6 &amp; "'!Q$14")</f>
        <v>17.767985458741151</v>
      </c>
      <c r="Q6" s="5" cm="1">
        <f t="array" aca="1" ref="Q6" ca="1">INDIRECT("'results" &amp; $B6 &amp; "'!R$14")</f>
        <v>1588.6473155478004</v>
      </c>
      <c r="R6" s="5"/>
      <c r="S6" s="5" cm="1">
        <f t="array" aca="1" ref="S6" ca="1">INDIRECT("'results" &amp; $B6 &amp; "'!T$14")</f>
        <v>114708.7955662411</v>
      </c>
      <c r="T6" s="5" cm="1">
        <f t="array" aca="1" ref="T6" ca="1">INDIRECT("'results" &amp; $B6 &amp; "'!U$14")</f>
        <v>7.5485924160020659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63.333333333333343</v>
      </c>
      <c r="W6" s="5" cm="1">
        <f t="array" aca="1" ref="W6" ca="1">INDIRECT("'results" &amp; $B6 &amp; "'!X$14")</f>
        <v>51.928744624878071</v>
      </c>
      <c r="X6" s="5" cm="1">
        <f t="array" aca="1" ref="X6" ca="1">INDIRECT("'results" &amp; $B6 &amp; "'!Y$14")</f>
        <v>29.203449733693056</v>
      </c>
      <c r="Y6" s="5" cm="1">
        <f t="array" aca="1" ref="Y6" ca="1">INDIRECT("'results" &amp; $B6 &amp; "'!Z$14")</f>
        <v>2187.0331796580267</v>
      </c>
      <c r="Z6" s="5"/>
    </row>
    <row r="7" spans="2:26" x14ac:dyDescent="0.2">
      <c r="B7" s="4">
        <v>691</v>
      </c>
      <c r="C7" s="5" cm="1">
        <f t="array" aca="1" ref="C7" ca="1">INDIRECT("'results" &amp; $B7 &amp; "'!D$14")</f>
        <v>98655.874652846062</v>
      </c>
      <c r="D7" s="33" cm="1">
        <f t="array" aca="1" ref="D7" ca="1">INDIRECT("'results" &amp; $B7 &amp; "'!E$14")</f>
        <v>8.2015053330001138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80</v>
      </c>
      <c r="G7" s="5" cm="1">
        <f t="array" aca="1" ref="G7" ca="1">INDIRECT("'results" &amp; $B7 &amp; "'!H$14")</f>
        <v>133.24101610744719</v>
      </c>
      <c r="H7" s="33" cm="1">
        <f t="array" aca="1" ref="H7" ca="1">INDIRECT("'results" &amp; $B7 &amp; "'!I$14")</f>
        <v>29.009275631480769</v>
      </c>
      <c r="I7" s="5" cm="1">
        <f t="array" aca="1" ref="I7" ca="1">INDIRECT("'results" &amp; $B7 &amp; "'!J$14")</f>
        <v>2048.0579560155306</v>
      </c>
      <c r="J7" s="5"/>
      <c r="K7" s="5" cm="1">
        <f t="array" aca="1" ref="K7" ca="1">INDIRECT("'results" &amp; $B7 &amp; "'!L$14")</f>
        <v>106948.68606215469</v>
      </c>
      <c r="L7" s="5" cm="1">
        <f t="array" aca="1" ref="L7" ca="1">INDIRECT("'results" &amp; $B7 &amp; "'!M$14")</f>
        <v>8.389213792001101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63.333333333333343</v>
      </c>
      <c r="O7" s="5" cm="1">
        <f t="array" aca="1" ref="O7" ca="1">INDIRECT("'results" &amp; $B7 &amp; "'!P$14")</f>
        <v>27.991634922818537</v>
      </c>
      <c r="P7" s="5" cm="1">
        <f t="array" aca="1" ref="P7" ca="1">INDIRECT("'results" &amp; $B7 &amp; "'!Q$14")</f>
        <v>20.703240378622532</v>
      </c>
      <c r="Q7" s="5" cm="1">
        <f t="array" aca="1" ref="Q7" ca="1">INDIRECT("'results" &amp; $B7 &amp; "'!R$14")</f>
        <v>1728.9717249999467</v>
      </c>
      <c r="R7" s="5"/>
      <c r="S7" s="5" cm="1">
        <f t="array" aca="1" ref="S7" ca="1">INDIRECT("'results" &amp; $B7 &amp; "'!T$14")</f>
        <v>111589.90646109211</v>
      </c>
      <c r="T7" s="5" cm="1">
        <f t="array" aca="1" ref="T7" ca="1">INDIRECT("'results" &amp; $B7 &amp; "'!U$14")</f>
        <v>6.8302791249989241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63.333333333333343</v>
      </c>
      <c r="W7" s="5" cm="1">
        <f t="array" aca="1" ref="W7" ca="1">INDIRECT("'results" &amp; $B7 &amp; "'!X$14")</f>
        <v>99.000729658357585</v>
      </c>
      <c r="X7" s="5" cm="1">
        <f t="array" aca="1" ref="X7" ca="1">INDIRECT("'results" &amp; $B7 &amp; "'!Y$14")</f>
        <v>28.666646330133446</v>
      </c>
      <c r="Y7" s="5" cm="1">
        <f t="array" aca="1" ref="Y7" ca="1">INDIRECT("'results" &amp; $B7 &amp; "'!Z$14")</f>
        <v>2014.9286239295732</v>
      </c>
      <c r="Z7" s="5"/>
    </row>
    <row r="8" spans="2:26" x14ac:dyDescent="0.2">
      <c r="B8" s="4">
        <v>758</v>
      </c>
      <c r="C8" s="5" cm="1">
        <f t="array" aca="1" ref="C8" ca="1">INDIRECT("'results" &amp; $B8 &amp; "'!D$14")</f>
        <v>98097.019979757504</v>
      </c>
      <c r="D8" s="33" cm="1">
        <f t="array" aca="1" ref="D8" ca="1">INDIRECT("'results" &amp; $B8 &amp; "'!E$14")</f>
        <v>8.1606316249999509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76.666666666666671</v>
      </c>
      <c r="G8" s="5" cm="1">
        <f t="array" aca="1" ref="G8" ca="1">INDIRECT("'results" &amp; $B8 &amp; "'!H$14")</f>
        <v>46.007181405381786</v>
      </c>
      <c r="H8" s="33" cm="1">
        <f t="array" aca="1" ref="H8" ca="1">INDIRECT("'results" &amp; $B8 &amp; "'!I$14")</f>
        <v>23.002337983686239</v>
      </c>
      <c r="I8" s="5" cm="1">
        <f t="array" aca="1" ref="I8" ca="1">INDIRECT("'results" &amp; $B8 &amp; "'!J$14")</f>
        <v>1890.287675704951</v>
      </c>
      <c r="J8" s="5"/>
      <c r="K8" s="5" cm="1">
        <f t="array" aca="1" ref="K8" ca="1">INDIRECT("'results" &amp; $B8 &amp; "'!L$14")</f>
        <v>100558.3769399857</v>
      </c>
      <c r="L8" s="5" cm="1">
        <f t="array" aca="1" ref="L8" ca="1">INDIRECT("'results" &amp; $B8 &amp; "'!M$14")</f>
        <v>8.8943549169998732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70</v>
      </c>
      <c r="O8" s="5" cm="1">
        <f t="array" aca="1" ref="O8" ca="1">INDIRECT("'results" &amp; $B8 &amp; "'!P$14")</f>
        <v>37.690405031291142</v>
      </c>
      <c r="P8" s="5" cm="1">
        <f t="array" aca="1" ref="P8" ca="1">INDIRECT("'results" &amp; $B8 &amp; "'!Q$14")</f>
        <v>20.20480479380026</v>
      </c>
      <c r="Q8" s="5" cm="1">
        <f t="array" aca="1" ref="Q8" ca="1">INDIRECT("'results" &amp; $B8 &amp; "'!R$14")</f>
        <v>1733.0583736450699</v>
      </c>
      <c r="R8" s="5"/>
      <c r="S8" s="5" cm="1">
        <f t="array" aca="1" ref="S8" ca="1">INDIRECT("'results" &amp; $B8 &amp; "'!T$14")</f>
        <v>114195.34630602731</v>
      </c>
      <c r="T8" s="5" cm="1">
        <f t="array" aca="1" ref="T8" ca="1">INDIRECT("'results" &amp; $B8 &amp; "'!U$14")</f>
        <v>6.9104096249975564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60</v>
      </c>
      <c r="W8" s="5" cm="1">
        <f t="array" aca="1" ref="W8" ca="1">INDIRECT("'results" &amp; $B8 &amp; "'!X$14")</f>
        <v>57.265874817309751</v>
      </c>
      <c r="X8" s="5" cm="1">
        <f t="array" aca="1" ref="X8" ca="1">INDIRECT("'results" &amp; $B8 &amp; "'!Y$14")</f>
        <v>25.043358088780835</v>
      </c>
      <c r="Y8" s="5" cm="1">
        <f t="array" aca="1" ref="Y8" ca="1">INDIRECT("'results" &amp; $B8 &amp; "'!Z$14")</f>
        <v>1963.5239009513348</v>
      </c>
      <c r="Z8" s="5"/>
    </row>
    <row r="9" spans="2:26" x14ac:dyDescent="0.2">
      <c r="B9" s="4">
        <v>804</v>
      </c>
      <c r="C9" s="5" cm="1">
        <f t="array" aca="1" ref="C9" ca="1">INDIRECT("'results" &amp; $B9 &amp; "'!D$14")</f>
        <v>93101.013434108667</v>
      </c>
      <c r="D9" s="33" cm="1">
        <f t="array" aca="1" ref="D9" ca="1">INDIRECT("'results" &amp; $B9 &amp; "'!E$14")</f>
        <v>8.5751846669998031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80</v>
      </c>
      <c r="G9" s="5" cm="1">
        <f t="array" aca="1" ref="G9" ca="1">INDIRECT("'results" &amp; $B9 &amp; "'!H$14")</f>
        <v>90.768516113317517</v>
      </c>
      <c r="H9" s="33" cm="1">
        <f t="array" aca="1" ref="H9" ca="1">INDIRECT("'results" &amp; $B9 &amp; "'!I$14")</f>
        <v>28.859294784403513</v>
      </c>
      <c r="I9" s="5" cm="1">
        <f t="array" aca="1" ref="I9" ca="1">INDIRECT("'results" &amp; $B9 &amp; "'!J$14")</f>
        <v>1919.1383495468283</v>
      </c>
      <c r="J9" s="5"/>
      <c r="K9" s="5" cm="1">
        <f t="array" aca="1" ref="K9" ca="1">INDIRECT("'results" &amp; $B9 &amp; "'!L$14")</f>
        <v>103197.1837994735</v>
      </c>
      <c r="L9" s="5" cm="1">
        <f t="array" aca="1" ref="L9" ca="1">INDIRECT("'results" &amp; $B9 &amp; "'!M$14")</f>
        <v>8.4646822920003615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63.333333333333343</v>
      </c>
      <c r="O9" s="5" cm="1">
        <f t="array" aca="1" ref="O9" ca="1">INDIRECT("'results" &amp; $B9 &amp; "'!P$14")</f>
        <v>29.76236668854936</v>
      </c>
      <c r="P9" s="5" cm="1">
        <f t="array" aca="1" ref="P9" ca="1">INDIRECT("'results" &amp; $B9 &amp; "'!Q$14")</f>
        <v>22.509076555606612</v>
      </c>
      <c r="Q9" s="5" cm="1">
        <f t="array" aca="1" ref="Q9" ca="1">INDIRECT("'results" &amp; $B9 &amp; "'!R$14")</f>
        <v>1630.8456040025615</v>
      </c>
      <c r="R9" s="5"/>
      <c r="S9" s="5" cm="1">
        <f t="array" aca="1" ref="S9" ca="1">INDIRECT("'results" &amp; $B9 &amp; "'!T$14")</f>
        <v>109796.6806660584</v>
      </c>
      <c r="T9" s="5" cm="1">
        <f t="array" aca="1" ref="T9" ca="1">INDIRECT("'results" &amp; $B9 &amp; "'!U$14")</f>
        <v>7.9737475000001723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63.333333333333343</v>
      </c>
      <c r="W9" s="5" cm="1">
        <f t="array" aca="1" ref="W9" ca="1">INDIRECT("'results" &amp; $B9 &amp; "'!X$14")</f>
        <v>62.610930081094708</v>
      </c>
      <c r="X9" s="5" cm="1">
        <f t="array" aca="1" ref="X9" ca="1">INDIRECT("'results" &amp; $B9 &amp; "'!Y$14")</f>
        <v>31.945884347803307</v>
      </c>
      <c r="Y9" s="5" cm="1">
        <f t="array" aca="1" ref="Y9" ca="1">INDIRECT("'results" &amp; $B9 &amp; "'!Z$14")</f>
        <v>2066.3397530719858</v>
      </c>
      <c r="Z9" s="5"/>
    </row>
    <row r="10" spans="2:26" x14ac:dyDescent="0.2">
      <c r="B10" s="4">
        <v>905</v>
      </c>
      <c r="C10" s="5" cm="1">
        <f t="array" aca="1" ref="C10" ca="1">INDIRECT("'results" &amp; $B10 &amp; "'!D$14")</f>
        <v>77763.923899388159</v>
      </c>
      <c r="D10" s="33" cm="1">
        <f t="array" aca="1" ref="D10" ca="1">INDIRECT("'results" &amp; $B10 &amp; "'!E$14")</f>
        <v>4.5579906250000022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31.793390253214707</v>
      </c>
      <c r="H10" s="33" cm="1">
        <f t="array" aca="1" ref="H10" ca="1">INDIRECT("'results" &amp; $B10 &amp; "'!I$14")</f>
        <v>29.286306871676544</v>
      </c>
      <c r="I10" s="5" cm="1">
        <f t="array" aca="1" ref="I10" ca="1">INDIRECT("'results" &amp; $B10 &amp; "'!J$14")</f>
        <v>1566.9320668501491</v>
      </c>
      <c r="J10" s="5"/>
      <c r="K10" s="5" cm="1">
        <f t="array" aca="1" ref="K10" ca="1">INDIRECT("'results" &amp; $B10 &amp; "'!L$14")</f>
        <v>102381.15586757461</v>
      </c>
      <c r="L10" s="5" cm="1">
        <f t="array" aca="1" ref="L10" ca="1">INDIRECT("'results" &amp; $B10 &amp; "'!M$14")</f>
        <v>12.69143020800038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63.333333333333343</v>
      </c>
      <c r="O10" s="5" cm="1">
        <f t="array" aca="1" ref="O10" ca="1">INDIRECT("'results" &amp; $B10 &amp; "'!P$14")</f>
        <v>6.9376834444206734</v>
      </c>
      <c r="P10" s="5" cm="1">
        <f t="array" aca="1" ref="P10" ca="1">INDIRECT("'results" &amp; $B10 &amp; "'!Q$14")</f>
        <v>17.151540461051223</v>
      </c>
      <c r="Q10" s="5" cm="1">
        <f t="array" aca="1" ref="Q10" ca="1">INDIRECT("'results" &amp; $B10 &amp; "'!R$14")</f>
        <v>1110.7357295095724</v>
      </c>
      <c r="R10" s="5"/>
      <c r="S10" s="5" cm="1">
        <f t="array" aca="1" ref="S10" ca="1">INDIRECT("'results" &amp; $B10 &amp; "'!T$14")</f>
        <v>91097.150464617705</v>
      </c>
      <c r="T10" s="5" cm="1">
        <f t="array" aca="1" ref="T10" ca="1">INDIRECT("'results" &amp; $B10 &amp; "'!U$14")</f>
        <v>4.1394767499987211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73.333333333333329</v>
      </c>
      <c r="W10" s="5" cm="1">
        <f t="array" aca="1" ref="W10" ca="1">INDIRECT("'results" &amp; $B10 &amp; "'!X$14")</f>
        <v>9.814543355258305</v>
      </c>
      <c r="X10" s="5" cm="1">
        <f t="array" aca="1" ref="X10" ca="1">INDIRECT("'results" &amp; $B10 &amp; "'!Y$14")</f>
        <v>46.758045725717032</v>
      </c>
      <c r="Y10" s="5" cm="1">
        <f t="array" aca="1" ref="Y10" ca="1">INDIRECT("'results" &amp; $B10 &amp; "'!Z$14")</f>
        <v>1710.6964580934446</v>
      </c>
      <c r="Z10" s="5"/>
    </row>
    <row r="11" spans="2:26" x14ac:dyDescent="0.2">
      <c r="B11" s="4">
        <v>185</v>
      </c>
      <c r="C11" s="5" cm="1">
        <f t="array" aca="1" ref="C11" ca="1">INDIRECT("'results" &amp; $B11 &amp; "'!D$14")</f>
        <v>73483.367321637736</v>
      </c>
      <c r="D11" s="33" cm="1">
        <f t="array" aca="1" ref="D11" ca="1">INDIRECT("'results" &amp; $B11 &amp; "'!E$14")</f>
        <v>3.859231958000009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22.314495514480146</v>
      </c>
      <c r="H11" s="33" cm="1">
        <f t="array" aca="1" ref="H11" ca="1">INDIRECT("'results" &amp; $B11 &amp; "'!I$14")</f>
        <v>49.06955320277185</v>
      </c>
      <c r="I11" s="5" cm="1">
        <f t="array" aca="1" ref="I11" ca="1">INDIRECT("'results" &amp; $B11 &amp; "'!J$14")</f>
        <v>1772.9157492063998</v>
      </c>
      <c r="J11" s="5"/>
      <c r="K11" s="5" cm="1">
        <f t="array" aca="1" ref="K11" ca="1">INDIRECT("'results" &amp; $B11 &amp; "'!L$14")</f>
        <v>86944.50763425116</v>
      </c>
      <c r="L11" s="5" cm="1">
        <f t="array" aca="1" ref="L11" ca="1">INDIRECT("'results" &amp; $B11 &amp; "'!M$14")</f>
        <v>12.00630550000278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80</v>
      </c>
      <c r="O11" s="5" cm="1">
        <f t="array" aca="1" ref="O11" ca="1">INDIRECT("'results" &amp; $B11 &amp; "'!P$14")</f>
        <v>2.7756830146680804</v>
      </c>
      <c r="P11" s="5" cm="1">
        <f t="array" aca="1" ref="P11" ca="1">INDIRECT("'results" &amp; $B11 &amp; "'!Q$14")</f>
        <v>28.692355941336576</v>
      </c>
      <c r="Q11" s="5" cm="1">
        <f t="array" aca="1" ref="Q11" ca="1">INDIRECT("'results" &amp; $B11 &amp; "'!R$14")</f>
        <v>1486.5612502747829</v>
      </c>
      <c r="R11" s="5"/>
      <c r="S11" s="5" cm="1">
        <f t="array" aca="1" ref="S11" ca="1">INDIRECT("'results" &amp; $B11 &amp; "'!T$14")</f>
        <v>91267.686798061899</v>
      </c>
      <c r="T11" s="5" cm="1">
        <f t="array" aca="1" ref="T11" ca="1">INDIRECT("'results" &amp; $B11 &amp; "'!U$14")</f>
        <v>4.4115239170023406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76.666666666666671</v>
      </c>
      <c r="W11" s="5" cm="1">
        <f t="array" aca="1" ref="W11" ca="1">INDIRECT("'results" &amp; $B11 &amp; "'!X$14")</f>
        <v>71.867637267356415</v>
      </c>
      <c r="X11" s="5" cm="1">
        <f t="array" aca="1" ref="X11" ca="1">INDIRECT("'results" &amp; $B11 &amp; "'!Y$14")</f>
        <v>68.545090333075848</v>
      </c>
      <c r="Y11" s="5" cm="1">
        <f t="array" aca="1" ref="Y11" ca="1">INDIRECT("'results" &amp; $B11 &amp; "'!Z$14")</f>
        <v>2129.807801583378</v>
      </c>
      <c r="Z11" s="5"/>
    </row>
    <row r="12" spans="2:26" x14ac:dyDescent="0.2">
      <c r="B12" s="4">
        <v>549</v>
      </c>
      <c r="C12" s="5" cm="1">
        <f t="array" aca="1" ref="C12" ca="1">INDIRECT("'results" &amp; $B12 &amp; "'!D$14")</f>
        <v>90790.964050958981</v>
      </c>
      <c r="D12" s="33" cm="1">
        <f t="array" aca="1" ref="D12" ca="1">INDIRECT("'results" &amp; $B12 &amp; "'!E$14")</f>
        <v>9.6909229159999768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91.463461252108488</v>
      </c>
      <c r="H12" s="33" cm="1">
        <f t="array" aca="1" ref="H12" ca="1">INDIRECT("'results" &amp; $B12 &amp; "'!I$14")</f>
        <v>29.6740462798059</v>
      </c>
      <c r="I12" s="5" cm="1">
        <f t="array" aca="1" ref="I12" ca="1">INDIRECT("'results" &amp; $B12 &amp; "'!J$14")</f>
        <v>2114.4697039795055</v>
      </c>
      <c r="J12" s="5"/>
      <c r="K12" s="5" cm="1">
        <f t="array" aca="1" ref="K12" ca="1">INDIRECT("'results" &amp; $B12 &amp; "'!L$14")</f>
        <v>103142.1911885085</v>
      </c>
      <c r="L12" s="5" cm="1">
        <f t="array" aca="1" ref="L12" ca="1">INDIRECT("'results" &amp; $B12 &amp; "'!M$14")</f>
        <v>7.8704708340010257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60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15.413448806127466</v>
      </c>
      <c r="Q12" s="5" cm="1">
        <f t="array" aca="1" ref="Q12" ca="1">INDIRECT("'results" &amp; $B12 &amp; "'!R$14")</f>
        <v>1468.0270110402614</v>
      </c>
      <c r="R12" s="5"/>
      <c r="S12" s="5" cm="1">
        <f t="array" aca="1" ref="S12" ca="1">INDIRECT("'results" &amp; $B12 &amp; "'!T$14")</f>
        <v>107418.566223321</v>
      </c>
      <c r="T12" s="5" cm="1">
        <f t="array" aca="1" ref="T12" ca="1">INDIRECT("'results" &amp; $B12 &amp; "'!U$14")</f>
        <v>9.1696825829967565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70</v>
      </c>
      <c r="W12" s="5" cm="1">
        <f t="array" aca="1" ref="W12" ca="1">INDIRECT("'results" &amp; $B12 &amp; "'!X$14")</f>
        <v>105.98741461693268</v>
      </c>
      <c r="X12" s="5" cm="1">
        <f t="array" aca="1" ref="X12" ca="1">INDIRECT("'results" &amp; $B12 &amp; "'!Y$14")</f>
        <v>30.541769701433914</v>
      </c>
      <c r="Y12" s="5" cm="1">
        <f t="array" aca="1" ref="Y12" ca="1">INDIRECT("'results" &amp; $B12 &amp; "'!Z$14")</f>
        <v>2135.0222019783337</v>
      </c>
      <c r="Z12" s="5"/>
    </row>
    <row r="13" spans="2:26" x14ac:dyDescent="0.2">
      <c r="B13" s="8" t="s">
        <v>3</v>
      </c>
      <c r="C13" s="9">
        <f ca="1">AVERAGE(C3:C12)</f>
        <v>85971.0064409966</v>
      </c>
      <c r="D13" s="10">
        <f t="shared" ref="D13:I13" ca="1" si="0">AVERAGE(D3:D12)</f>
        <v>7.4871327541000881</v>
      </c>
      <c r="E13" s="9">
        <f t="shared" ca="1" si="0"/>
        <v>2.1</v>
      </c>
      <c r="F13" s="9">
        <f t="shared" ca="1" si="0"/>
        <v>86.666666666666671</v>
      </c>
      <c r="G13" s="9">
        <f t="shared" ca="1" si="0"/>
        <v>57.486580365216206</v>
      </c>
      <c r="H13" s="10">
        <f t="shared" ca="1" si="0"/>
        <v>32.966386134169241</v>
      </c>
      <c r="I13" s="9">
        <f t="shared" ca="1" si="0"/>
        <v>1868.7390502995502</v>
      </c>
      <c r="J13" s="32" t="e">
        <f ca="1">(C13-$D$15)/$D$15</f>
        <v>#DIV/0!</v>
      </c>
      <c r="K13" s="16">
        <f ca="1">AVERAGE(K3:K12)</f>
        <v>101057.22927183901</v>
      </c>
      <c r="L13" s="36">
        <f t="shared" ref="L13:Q13" ca="1" si="1">AVERAGE(L3:L12)</f>
        <v>8.8353792875012012</v>
      </c>
      <c r="M13" s="16">
        <f t="shared" ca="1" si="1"/>
        <v>2.2000000000000002</v>
      </c>
      <c r="N13" s="16">
        <f ca="1">AVERAGE(N3:N12)</f>
        <v>64.666666666666671</v>
      </c>
      <c r="O13" s="16">
        <f t="shared" ca="1" si="1"/>
        <v>13.052512801929847</v>
      </c>
      <c r="P13" s="36">
        <f t="shared" ca="1" si="1"/>
        <v>20.680619493635199</v>
      </c>
      <c r="Q13" s="16">
        <f t="shared" ca="1" si="1"/>
        <v>1495.3436269614238</v>
      </c>
      <c r="R13" s="37" t="e">
        <f ca="1">(K13-$D$15)/$D$15</f>
        <v>#DIV/0!</v>
      </c>
      <c r="S13" s="38">
        <f ca="1">AVERAGE(S3:S12)</f>
        <v>101897.87085269313</v>
      </c>
      <c r="T13" s="39">
        <f t="shared" ref="T13:Y13" ca="1" si="2">AVERAGE(T3:T12)</f>
        <v>6.7359477250000053</v>
      </c>
      <c r="U13" s="38">
        <f t="shared" ca="1" si="2"/>
        <v>2</v>
      </c>
      <c r="V13" s="38">
        <f t="shared" ca="1" si="2"/>
        <v>70.333333333333343</v>
      </c>
      <c r="W13" s="38">
        <f t="shared" ca="1" si="2"/>
        <v>61.969078781912195</v>
      </c>
      <c r="X13" s="39">
        <f t="shared" ca="1" si="2"/>
        <v>39.861163184477732</v>
      </c>
      <c r="Y13" s="38">
        <f t="shared" ca="1" si="2"/>
        <v>1999.9068779248653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13070.374612170983</v>
      </c>
      <c r="J16" s="1" t="s">
        <v>20</v>
      </c>
      <c r="K16">
        <f ca="1">_xlfn.STDEV.S(K3:K12)</f>
        <v>6522.3444732216249</v>
      </c>
      <c r="R16" s="1" t="s">
        <v>20</v>
      </c>
      <c r="S16">
        <f ca="1">_xlfn.STDEV.S(S3:S12)</f>
        <v>12041.473315012123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0641-3C60-A94F-B2AB-D446A8423029}">
  <dimension ref="B1:AA17"/>
  <sheetViews>
    <sheetView topLeftCell="K1" zoomScale="118" zoomScaleNormal="120" workbookViewId="0">
      <selection activeCell="K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-0.78346417670980861</v>
      </c>
      <c r="J2" s="28" t="e">
        <f>(S14-J14)/J14</f>
        <v>#DIV/0!</v>
      </c>
      <c r="K2" s="28"/>
      <c r="L2" s="1" t="s">
        <v>18</v>
      </c>
      <c r="P2" s="1">
        <f>(P14-H14)/H14</f>
        <v>-0.86360367002075622</v>
      </c>
      <c r="R2" s="1">
        <f>(R14-J14)/J14</f>
        <v>-0.19810442202582262</v>
      </c>
      <c r="T2" s="1" t="s">
        <v>19</v>
      </c>
      <c r="X2" s="1">
        <f>(X14-P14)/P14</f>
        <v>7.032147833829792</v>
      </c>
      <c r="Z2" s="1">
        <f>(Z14-R14)/R14</f>
        <v>0.21757130852696699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175</v>
      </c>
      <c r="D4" s="23">
        <v>90088.865273268952</v>
      </c>
      <c r="E4" s="33">
        <v>9.2471956250010408</v>
      </c>
      <c r="F4" s="5">
        <v>2</v>
      </c>
      <c r="G4" s="23">
        <v>86.666666666666671</v>
      </c>
      <c r="H4" s="33">
        <v>80.107205129872895</v>
      </c>
      <c r="I4" s="23">
        <v>26.943734967993183</v>
      </c>
      <c r="J4" s="5">
        <v>1925.1792661638274</v>
      </c>
      <c r="K4" s="31" t="e">
        <f>(D4-$D$15)/$D$15</f>
        <v>#DIV/0!</v>
      </c>
      <c r="L4" s="23">
        <v>103619.38887223171</v>
      </c>
      <c r="M4" s="33">
        <v>8.5533985000001849</v>
      </c>
      <c r="N4" s="5">
        <v>2</v>
      </c>
      <c r="O4" s="5">
        <v>66.666666666666671</v>
      </c>
      <c r="P4" s="33">
        <v>13.638272807560771</v>
      </c>
      <c r="Q4" s="5">
        <v>20.290876063480315</v>
      </c>
      <c r="R4" s="5">
        <v>1674.4109761924105</v>
      </c>
      <c r="S4" s="42"/>
      <c r="T4" s="23">
        <v>107516.23025922599</v>
      </c>
      <c r="U4" s="33">
        <v>7.9356073749986544</v>
      </c>
      <c r="V4" s="5">
        <v>2</v>
      </c>
      <c r="W4" s="5">
        <v>66.666666666666671</v>
      </c>
      <c r="X4" s="33">
        <v>87.761888079010177</v>
      </c>
      <c r="Y4" s="5">
        <v>26.448511138565657</v>
      </c>
      <c r="Z4" s="5">
        <v>1879.6777469554963</v>
      </c>
      <c r="AA4" s="42"/>
    </row>
    <row r="5" spans="2:27" x14ac:dyDescent="0.2">
      <c r="B5" s="4">
        <v>2</v>
      </c>
      <c r="C5" s="4">
        <v>315</v>
      </c>
      <c r="D5" s="23">
        <v>90088.865273268952</v>
      </c>
      <c r="E5" s="33">
        <v>9.1421004160001758</v>
      </c>
      <c r="F5" s="5">
        <v>2</v>
      </c>
      <c r="G5" s="23">
        <v>86.666666666666671</v>
      </c>
      <c r="H5" s="33">
        <v>80.107205129872895</v>
      </c>
      <c r="I5" s="23">
        <v>26.943734967993183</v>
      </c>
      <c r="J5" s="5">
        <v>1925.1792661638274</v>
      </c>
      <c r="K5" s="31" t="e">
        <f>(D5-$D$15)/$D$15</f>
        <v>#DIV/0!</v>
      </c>
      <c r="L5" s="23">
        <v>103619.38887223171</v>
      </c>
      <c r="M5" s="33">
        <v>8.7280641670004115</v>
      </c>
      <c r="N5" s="5">
        <v>2</v>
      </c>
      <c r="O5" s="5">
        <v>66.666666666666671</v>
      </c>
      <c r="P5" s="33">
        <v>13.638272807560771</v>
      </c>
      <c r="Q5" s="5">
        <v>20.290876063480315</v>
      </c>
      <c r="R5" s="5">
        <v>1674.4109761924105</v>
      </c>
      <c r="S5" s="42"/>
      <c r="T5" s="23">
        <v>107516.23025922599</v>
      </c>
      <c r="U5" s="33">
        <v>7.9562563330000557</v>
      </c>
      <c r="V5" s="5">
        <v>2</v>
      </c>
      <c r="W5" s="5">
        <v>66.666666666666671</v>
      </c>
      <c r="X5" s="33">
        <v>87.761888079010177</v>
      </c>
      <c r="Y5" s="5">
        <v>26.448511138565657</v>
      </c>
      <c r="Z5" s="5">
        <v>1879.6777469554963</v>
      </c>
      <c r="AA5" s="42"/>
    </row>
    <row r="6" spans="2:27" x14ac:dyDescent="0.2">
      <c r="B6" s="4">
        <v>3</v>
      </c>
      <c r="C6" s="4">
        <v>353</v>
      </c>
      <c r="D6" s="23">
        <v>90088.865273268952</v>
      </c>
      <c r="E6" s="33">
        <v>9.1327247910012375</v>
      </c>
      <c r="F6" s="5">
        <v>2</v>
      </c>
      <c r="G6" s="23">
        <v>86.666666666666671</v>
      </c>
      <c r="H6" s="33">
        <v>80.107205129872895</v>
      </c>
      <c r="I6" s="23">
        <v>26.943734967993183</v>
      </c>
      <c r="J6" s="5">
        <v>1925.1792661638274</v>
      </c>
      <c r="K6" s="31" t="e">
        <f t="shared" ref="K6:K13" si="0">(D6-$D$15)/$D$15</f>
        <v>#DIV/0!</v>
      </c>
      <c r="L6" s="23">
        <v>103619.38887223171</v>
      </c>
      <c r="M6" s="33">
        <v>8.5282081669975014</v>
      </c>
      <c r="N6" s="5">
        <v>2</v>
      </c>
      <c r="O6" s="5">
        <v>66.666666666666671</v>
      </c>
      <c r="P6" s="33">
        <v>13.638272807560771</v>
      </c>
      <c r="Q6" s="5">
        <v>20.290876063480315</v>
      </c>
      <c r="R6" s="5">
        <v>1674.4109761924105</v>
      </c>
      <c r="S6" s="42"/>
      <c r="T6" s="23">
        <v>107516.23025922599</v>
      </c>
      <c r="U6" s="33">
        <v>7.4423616669992043</v>
      </c>
      <c r="V6" s="5">
        <v>2</v>
      </c>
      <c r="W6" s="5">
        <v>66.666666666666671</v>
      </c>
      <c r="X6" s="33">
        <v>87.761888079010177</v>
      </c>
      <c r="Y6" s="5">
        <v>26.448511138565657</v>
      </c>
      <c r="Z6" s="5">
        <v>1879.6777469554963</v>
      </c>
      <c r="AA6" s="42"/>
    </row>
    <row r="7" spans="2:27" x14ac:dyDescent="0.2">
      <c r="B7" s="4">
        <v>4</v>
      </c>
      <c r="C7" s="4">
        <v>631</v>
      </c>
      <c r="D7" s="23">
        <v>90088.865273268952</v>
      </c>
      <c r="E7" s="33">
        <v>9.1069109589952859</v>
      </c>
      <c r="F7" s="5">
        <v>2</v>
      </c>
      <c r="G7" s="23">
        <v>86.666666666666671</v>
      </c>
      <c r="H7" s="33">
        <v>80.107205129872895</v>
      </c>
      <c r="I7" s="23">
        <v>26.943734967993183</v>
      </c>
      <c r="J7" s="5">
        <v>1925.1792661638274</v>
      </c>
      <c r="K7" s="31" t="e">
        <f t="shared" si="0"/>
        <v>#DIV/0!</v>
      </c>
      <c r="L7" s="23">
        <v>110477.50172574499</v>
      </c>
      <c r="M7" s="33">
        <v>7.1574086670007091</v>
      </c>
      <c r="N7" s="5">
        <v>2</v>
      </c>
      <c r="O7" s="5">
        <v>50</v>
      </c>
      <c r="P7" s="33">
        <v>0</v>
      </c>
      <c r="Q7" s="5">
        <v>16.01289166445542</v>
      </c>
      <c r="R7" s="5">
        <v>1115.8095257831167</v>
      </c>
      <c r="S7" s="42"/>
      <c r="T7" s="23">
        <v>107516.23025922599</v>
      </c>
      <c r="U7" s="33">
        <v>7.5804846249993716</v>
      </c>
      <c r="V7" s="5">
        <v>2</v>
      </c>
      <c r="W7" s="5">
        <v>66.666666666666671</v>
      </c>
      <c r="X7" s="33">
        <v>87.761888079010177</v>
      </c>
      <c r="Y7" s="5">
        <v>26.448511138565657</v>
      </c>
      <c r="Z7" s="5">
        <v>1879.6777469554963</v>
      </c>
      <c r="AA7" s="42"/>
    </row>
    <row r="8" spans="2:27" x14ac:dyDescent="0.2">
      <c r="B8" s="4">
        <v>5</v>
      </c>
      <c r="C8" s="4">
        <v>696</v>
      </c>
      <c r="D8" s="23">
        <v>90088.865273268952</v>
      </c>
      <c r="E8" s="33">
        <v>9.1577691670026979</v>
      </c>
      <c r="F8" s="5">
        <v>2</v>
      </c>
      <c r="G8" s="23">
        <v>86.666666666666671</v>
      </c>
      <c r="H8" s="33">
        <v>80.107205129872895</v>
      </c>
      <c r="I8" s="23">
        <v>26.943734967993183</v>
      </c>
      <c r="J8" s="5">
        <v>1925.1792661638274</v>
      </c>
      <c r="K8" s="31" t="e">
        <f t="shared" si="0"/>
        <v>#DIV/0!</v>
      </c>
      <c r="L8" s="23">
        <v>103454.99141803379</v>
      </c>
      <c r="M8" s="33">
        <v>8.7066707080011838</v>
      </c>
      <c r="N8" s="5">
        <v>2</v>
      </c>
      <c r="O8" s="5">
        <v>63.333333333333343</v>
      </c>
      <c r="P8" s="33">
        <v>10.926328784609112</v>
      </c>
      <c r="Q8" s="5">
        <v>17.346079614273272</v>
      </c>
      <c r="R8" s="5">
        <v>1543.792740344345</v>
      </c>
      <c r="S8" s="42"/>
      <c r="T8" s="23">
        <v>107516.23025922599</v>
      </c>
      <c r="U8" s="33">
        <v>7.5692618749999383</v>
      </c>
      <c r="V8" s="5">
        <v>2</v>
      </c>
      <c r="W8" s="5">
        <v>66.666666666666671</v>
      </c>
      <c r="X8" s="33">
        <v>87.761888079010177</v>
      </c>
      <c r="Y8" s="5">
        <v>26.448511138565657</v>
      </c>
      <c r="Z8" s="5">
        <v>1879.6777469554963</v>
      </c>
      <c r="AA8" s="42"/>
    </row>
    <row r="9" spans="2:27" x14ac:dyDescent="0.2">
      <c r="B9" s="4">
        <v>6</v>
      </c>
      <c r="C9" s="4">
        <v>721</v>
      </c>
      <c r="D9" s="23">
        <v>90088.865273268952</v>
      </c>
      <c r="E9" s="33">
        <v>9.1874574579996988</v>
      </c>
      <c r="F9" s="5">
        <v>2</v>
      </c>
      <c r="G9" s="23">
        <v>86.666666666666671</v>
      </c>
      <c r="H9" s="33">
        <v>80.107205129872895</v>
      </c>
      <c r="I9" s="23">
        <v>26.943734967993183</v>
      </c>
      <c r="J9" s="5">
        <v>1925.1792661638274</v>
      </c>
      <c r="K9" s="31" t="e">
        <f t="shared" si="0"/>
        <v>#DIV/0!</v>
      </c>
      <c r="L9" s="23">
        <v>103619.38887223171</v>
      </c>
      <c r="M9" s="33">
        <v>8.691390792002494</v>
      </c>
      <c r="N9" s="5">
        <v>2</v>
      </c>
      <c r="O9" s="5">
        <v>66.666666666666671</v>
      </c>
      <c r="P9" s="33">
        <v>13.638272807560771</v>
      </c>
      <c r="Q9" s="5">
        <v>20.290876063480315</v>
      </c>
      <c r="R9" s="5">
        <v>1674.4109761924105</v>
      </c>
      <c r="S9" s="42"/>
      <c r="T9" s="23">
        <v>107516.23025922599</v>
      </c>
      <c r="U9" s="33">
        <v>10.243086541999221</v>
      </c>
      <c r="V9" s="5">
        <v>2</v>
      </c>
      <c r="W9" s="5">
        <v>66.666666666666671</v>
      </c>
      <c r="X9" s="33">
        <v>87.761888079010177</v>
      </c>
      <c r="Y9" s="5">
        <v>26.448511138565657</v>
      </c>
      <c r="Z9" s="5">
        <v>1879.6777469554963</v>
      </c>
      <c r="AA9" s="42"/>
    </row>
    <row r="10" spans="2:27" x14ac:dyDescent="0.2">
      <c r="B10" s="4">
        <v>7</v>
      </c>
      <c r="C10" s="4">
        <v>836</v>
      </c>
      <c r="D10" s="23">
        <v>90088.865273268952</v>
      </c>
      <c r="E10" s="33">
        <v>9.2490909580010339</v>
      </c>
      <c r="F10" s="5">
        <v>2</v>
      </c>
      <c r="G10" s="23">
        <v>86.666666666666671</v>
      </c>
      <c r="H10" s="33">
        <v>80.107205129872895</v>
      </c>
      <c r="I10" s="23">
        <v>26.943734967993183</v>
      </c>
      <c r="J10" s="5">
        <v>1925.1792661638274</v>
      </c>
      <c r="K10" s="31" t="e">
        <f t="shared" si="0"/>
        <v>#DIV/0!</v>
      </c>
      <c r="L10" s="23">
        <v>103619.38887223171</v>
      </c>
      <c r="M10" s="33">
        <v>8.8328685840024264</v>
      </c>
      <c r="N10" s="5">
        <v>2</v>
      </c>
      <c r="O10" s="5">
        <v>66.666666666666671</v>
      </c>
      <c r="P10" s="33">
        <v>13.638272807560771</v>
      </c>
      <c r="Q10" s="5">
        <v>20.290876063480315</v>
      </c>
      <c r="R10" s="5">
        <v>1674.4109761924105</v>
      </c>
      <c r="S10" s="42"/>
      <c r="T10" s="23">
        <v>107516.23025922599</v>
      </c>
      <c r="U10" s="33">
        <v>7.447995208996872</v>
      </c>
      <c r="V10" s="5">
        <v>2</v>
      </c>
      <c r="W10" s="5">
        <v>66.666666666666671</v>
      </c>
      <c r="X10" s="33">
        <v>87.761888079010177</v>
      </c>
      <c r="Y10" s="5">
        <v>26.448511138565657</v>
      </c>
      <c r="Z10" s="5">
        <v>1879.6777469554963</v>
      </c>
      <c r="AA10" s="42"/>
    </row>
    <row r="11" spans="2:27" x14ac:dyDescent="0.2">
      <c r="B11" s="4">
        <v>8</v>
      </c>
      <c r="C11" s="4">
        <v>972</v>
      </c>
      <c r="D11" s="23">
        <v>90088.865273268952</v>
      </c>
      <c r="E11" s="33">
        <v>9.3004507919977186</v>
      </c>
      <c r="F11" s="5">
        <v>2</v>
      </c>
      <c r="G11" s="23">
        <v>86.666666666666671</v>
      </c>
      <c r="H11" s="33">
        <v>80.107205129872895</v>
      </c>
      <c r="I11" s="23">
        <v>26.943734967993183</v>
      </c>
      <c r="J11" s="5">
        <v>1925.1792661638274</v>
      </c>
      <c r="K11" s="31" t="e">
        <f t="shared" si="0"/>
        <v>#DIV/0!</v>
      </c>
      <c r="L11" s="23">
        <v>103454.99141803379</v>
      </c>
      <c r="M11" s="33">
        <v>8.8383684580003319</v>
      </c>
      <c r="N11" s="5">
        <v>2</v>
      </c>
      <c r="O11" s="5">
        <v>63.333333333333343</v>
      </c>
      <c r="P11" s="33">
        <v>10.926328784609112</v>
      </c>
      <c r="Q11" s="5">
        <v>17.346079614273272</v>
      </c>
      <c r="R11" s="5">
        <v>1543.792740344345</v>
      </c>
      <c r="S11" s="42"/>
      <c r="T11" s="23">
        <v>107516.23025922599</v>
      </c>
      <c r="U11" s="33">
        <v>9.6546337920008227</v>
      </c>
      <c r="V11" s="5">
        <v>2</v>
      </c>
      <c r="W11" s="5">
        <v>66.666666666666671</v>
      </c>
      <c r="X11" s="33">
        <v>87.761888079010177</v>
      </c>
      <c r="Y11" s="5">
        <v>26.448511138565657</v>
      </c>
      <c r="Z11" s="5">
        <v>1879.6777469554963</v>
      </c>
      <c r="AA11" s="42"/>
    </row>
    <row r="12" spans="2:27" x14ac:dyDescent="0.2">
      <c r="B12" s="4">
        <v>9</v>
      </c>
      <c r="C12" s="4">
        <v>977</v>
      </c>
      <c r="D12" s="23">
        <v>90088.865273268952</v>
      </c>
      <c r="E12" s="33">
        <v>9.1607448750000913</v>
      </c>
      <c r="F12" s="5">
        <v>2</v>
      </c>
      <c r="G12" s="23">
        <v>86.666666666666671</v>
      </c>
      <c r="H12" s="33">
        <v>80.107205129872895</v>
      </c>
      <c r="I12" s="23">
        <v>26.943734967993183</v>
      </c>
      <c r="J12" s="5">
        <v>1925.1792661638274</v>
      </c>
      <c r="K12" s="31" t="e">
        <f t="shared" si="0"/>
        <v>#DIV/0!</v>
      </c>
      <c r="L12" s="23">
        <v>103454.99141803379</v>
      </c>
      <c r="M12" s="33">
        <v>8.9633357920029084</v>
      </c>
      <c r="N12" s="5">
        <v>2</v>
      </c>
      <c r="O12" s="5">
        <v>63.333333333333343</v>
      </c>
      <c r="P12" s="33">
        <v>10.926328784609112</v>
      </c>
      <c r="Q12" s="5">
        <v>17.346079614273272</v>
      </c>
      <c r="R12" s="5">
        <v>1543.792740344345</v>
      </c>
      <c r="S12" s="42"/>
      <c r="T12" s="23">
        <v>107516.23025922599</v>
      </c>
      <c r="U12" s="33">
        <v>7.5617650419990241</v>
      </c>
      <c r="V12" s="5">
        <v>2</v>
      </c>
      <c r="W12" s="5">
        <v>66.666666666666671</v>
      </c>
      <c r="X12" s="33">
        <v>87.761888079010177</v>
      </c>
      <c r="Y12" s="5">
        <v>26.448511138565657</v>
      </c>
      <c r="Z12" s="5">
        <v>1879.6777469554963</v>
      </c>
      <c r="AA12" s="42"/>
    </row>
    <row r="13" spans="2:27" x14ac:dyDescent="0.2">
      <c r="B13" s="4">
        <v>10</v>
      </c>
      <c r="C13" s="4">
        <v>984</v>
      </c>
      <c r="D13" s="23">
        <v>90088.865273268952</v>
      </c>
      <c r="E13" s="33">
        <v>9.0362658750018454</v>
      </c>
      <c r="F13" s="5">
        <v>2</v>
      </c>
      <c r="G13" s="23">
        <v>86.666666666666671</v>
      </c>
      <c r="H13" s="33">
        <v>80.107205129872895</v>
      </c>
      <c r="I13" s="23">
        <v>26.943734967993183</v>
      </c>
      <c r="J13" s="5">
        <v>1925.1792661638274</v>
      </c>
      <c r="K13" s="31" t="e">
        <f t="shared" si="0"/>
        <v>#DIV/0!</v>
      </c>
      <c r="L13" s="23">
        <v>103619.38887223171</v>
      </c>
      <c r="M13" s="33">
        <v>8.955853333001869</v>
      </c>
      <c r="N13" s="5">
        <v>2</v>
      </c>
      <c r="O13" s="5">
        <v>66.666666666666671</v>
      </c>
      <c r="P13" s="33">
        <v>13.638272807560771</v>
      </c>
      <c r="Q13" s="5">
        <v>20.290876063480315</v>
      </c>
      <c r="R13" s="5">
        <v>1674.4109761924105</v>
      </c>
      <c r="S13" s="42"/>
      <c r="T13" s="23">
        <v>107516.23025922599</v>
      </c>
      <c r="U13" s="33">
        <v>7.5670212500008347</v>
      </c>
      <c r="V13" s="5">
        <v>2</v>
      </c>
      <c r="W13" s="5">
        <v>66.666666666666671</v>
      </c>
      <c r="X13" s="33">
        <v>87.761888079010177</v>
      </c>
      <c r="Y13" s="5">
        <v>26.448511138565657</v>
      </c>
      <c r="Z13" s="5">
        <v>1879.6777469554963</v>
      </c>
      <c r="AA13" s="42"/>
    </row>
    <row r="14" spans="2:27" x14ac:dyDescent="0.2">
      <c r="B14" s="46" t="s">
        <v>3</v>
      </c>
      <c r="C14" s="47"/>
      <c r="D14" s="9">
        <f>MIN(D4:D13)</f>
        <v>90088.865273268952</v>
      </c>
      <c r="E14" s="22">
        <f>INDEX(E4:E13, MATCH($D$14, D4:D13, 0))</f>
        <v>9.2471956250010408</v>
      </c>
      <c r="F14" s="9">
        <f>INDEX(F4:F13, MATCH($D$14, D4:D13, 0))</f>
        <v>2</v>
      </c>
      <c r="G14" s="9">
        <f>INDEX(G4:G13, MATCH($D$14, D4:D13, 0))</f>
        <v>86.666666666666671</v>
      </c>
      <c r="H14" s="22">
        <f>INDEX(H4:H13, MATCH($D$14, D4:D13, 0))</f>
        <v>80.107205129872895</v>
      </c>
      <c r="I14" s="22">
        <f>INDEX(I4:I13, MATCH($D$14, D4:D13, 0))</f>
        <v>26.943734967993183</v>
      </c>
      <c r="J14" s="22">
        <f>INDEX(J4:J13, MATCH($D$14, D4:D13, 0))</f>
        <v>1925.1792661638274</v>
      </c>
      <c r="K14" s="32" t="e">
        <f>(D14-$D$15)/$D$15</f>
        <v>#DIV/0!</v>
      </c>
      <c r="L14" s="16">
        <f>MIN(L4:L13)</f>
        <v>103454.99141803379</v>
      </c>
      <c r="M14" s="21">
        <f>INDEX(M4:M13, MATCH($L$14, L4:L13, 0))</f>
        <v>8.7066707080011838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10.926328784609112</v>
      </c>
      <c r="Q14" s="21">
        <f>INDEX(Q4:Q13, MATCH($L$14, L4:L13, 0))</f>
        <v>17.346079614273272</v>
      </c>
      <c r="R14" s="21">
        <f>INDEX(R4:R13, MATCH($L$14, L4:L13, 0))</f>
        <v>1543.792740344345</v>
      </c>
      <c r="S14" s="43" t="e">
        <f>(L14-$D$15)/$D$15</f>
        <v>#DIV/0!</v>
      </c>
      <c r="T14" s="38">
        <f>MIN(T4:T13)</f>
        <v>107516.23025922599</v>
      </c>
      <c r="U14" s="44">
        <f>INDEX(U4:U13, MATCH($T$14, T4:T13, 0))</f>
        <v>7.9356073749986544</v>
      </c>
      <c r="V14" s="38">
        <f>INDEX(V4:V13, MATCH($T$14, T4:T13, 0))</f>
        <v>2</v>
      </c>
      <c r="W14" s="38">
        <f>INDEX(W4:W13, MATCH($T$14, T4:T13, 0))</f>
        <v>66.666666666666671</v>
      </c>
      <c r="X14" s="44">
        <f>INDEX(X4:X13, MATCH($T$14, T4:T13, 0))</f>
        <v>87.761888079010177</v>
      </c>
      <c r="Y14" s="44">
        <f>INDEX(Y4:Y13, MATCH($T$14, T4:T13, 0))</f>
        <v>26.448511138565657</v>
      </c>
      <c r="Z14" s="44">
        <f>INDEX(Z4:Z13, MATCH($T$14, T4:T13, 0))</f>
        <v>1879.6777469554963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89" priority="3"/>
    <cfRule type="duplicateValues" dxfId="88" priority="4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2744-5D8B-F545-B5B1-0CBC17AE937C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-0.7393331876691257</v>
      </c>
      <c r="J2" s="28" t="e">
        <f>(S14-J14)/J14</f>
        <v>#DIV/0!</v>
      </c>
      <c r="K2" s="28"/>
      <c r="L2" s="1" t="s">
        <v>18</v>
      </c>
      <c r="P2" s="1">
        <f>(P14-H14)/H14</f>
        <v>-0.7881416406152647</v>
      </c>
      <c r="R2" s="1">
        <f>(R14-J14)/J14</f>
        <v>-0.22824934294570651</v>
      </c>
      <c r="T2" s="1" t="s">
        <v>19</v>
      </c>
      <c r="X2" s="1">
        <f>(X14-P14)/P14</f>
        <v>2.5959179179395635</v>
      </c>
      <c r="Z2" s="1">
        <f>(Z14-R14)/R14</f>
        <v>0.376663755544691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39</v>
      </c>
      <c r="D4" s="23">
        <v>101954.66519667891</v>
      </c>
      <c r="E4" s="33">
        <v>8.6574241669999878</v>
      </c>
      <c r="F4" s="5">
        <v>2</v>
      </c>
      <c r="G4" s="23">
        <v>76.666666666666671</v>
      </c>
      <c r="H4" s="33">
        <v>68.163588988795283</v>
      </c>
      <c r="I4" s="23">
        <v>26.108454125695516</v>
      </c>
      <c r="J4" s="5">
        <v>2058.4981703955159</v>
      </c>
      <c r="K4" s="31" t="e">
        <f>(D4-$D$15)/$D$15</f>
        <v>#DIV/0!</v>
      </c>
      <c r="L4" s="23">
        <v>110248.5605721079</v>
      </c>
      <c r="M4" s="33">
        <v>7.3559237500012387</v>
      </c>
      <c r="N4" s="5">
        <v>2</v>
      </c>
      <c r="O4" s="5">
        <v>56.666666666666657</v>
      </c>
      <c r="P4" s="33">
        <v>14.44102613294157</v>
      </c>
      <c r="Q4" s="5">
        <v>17.767985458741151</v>
      </c>
      <c r="R4" s="5">
        <v>1588.6473155478004</v>
      </c>
      <c r="S4" s="42"/>
      <c r="T4" s="23">
        <v>114708.7955662411</v>
      </c>
      <c r="U4" s="33">
        <v>7.5485924160020659</v>
      </c>
      <c r="V4" s="5">
        <v>2</v>
      </c>
      <c r="W4" s="5">
        <v>63.333333333333343</v>
      </c>
      <c r="X4" s="33">
        <v>51.928744624878071</v>
      </c>
      <c r="Y4" s="5">
        <v>29.203449733693056</v>
      </c>
      <c r="Z4" s="5">
        <v>2187.0331796580267</v>
      </c>
      <c r="AA4" s="42"/>
    </row>
    <row r="5" spans="2:27" x14ac:dyDescent="0.2">
      <c r="B5" s="4">
        <v>2</v>
      </c>
      <c r="C5" s="4">
        <v>69</v>
      </c>
      <c r="D5" s="23">
        <v>101954.66519667891</v>
      </c>
      <c r="E5" s="33">
        <v>12.92518520800002</v>
      </c>
      <c r="F5" s="5">
        <v>2</v>
      </c>
      <c r="G5" s="23">
        <v>76.666666666666671</v>
      </c>
      <c r="H5" s="33">
        <v>68.163588988795283</v>
      </c>
      <c r="I5" s="23">
        <v>26.108454125695516</v>
      </c>
      <c r="J5" s="5">
        <v>2058.4981703955159</v>
      </c>
      <c r="K5" s="31" t="e">
        <f>(D5-$D$15)/$D$15</f>
        <v>#DIV/0!</v>
      </c>
      <c r="L5" s="23">
        <v>110248.5605721079</v>
      </c>
      <c r="M5" s="33">
        <v>7.480706749996898</v>
      </c>
      <c r="N5" s="5">
        <v>2</v>
      </c>
      <c r="O5" s="5">
        <v>56.666666666666657</v>
      </c>
      <c r="P5" s="33">
        <v>14.44102613294157</v>
      </c>
      <c r="Q5" s="5">
        <v>17.767985458741151</v>
      </c>
      <c r="R5" s="5">
        <v>1588.6473155478004</v>
      </c>
      <c r="S5" s="42"/>
      <c r="T5" s="23">
        <v>114708.7955662411</v>
      </c>
      <c r="U5" s="33">
        <v>6.9188588750002964</v>
      </c>
      <c r="V5" s="5">
        <v>2</v>
      </c>
      <c r="W5" s="5">
        <v>63.333333333333343</v>
      </c>
      <c r="X5" s="33">
        <v>51.928744624878071</v>
      </c>
      <c r="Y5" s="5">
        <v>29.203449733693056</v>
      </c>
      <c r="Z5" s="5">
        <v>2187.0331796580267</v>
      </c>
      <c r="AA5" s="42"/>
    </row>
    <row r="6" spans="2:27" x14ac:dyDescent="0.2">
      <c r="B6" s="4">
        <v>3</v>
      </c>
      <c r="C6" s="4">
        <v>138</v>
      </c>
      <c r="D6" s="23">
        <v>101954.66519667891</v>
      </c>
      <c r="E6" s="33">
        <v>11.705300458000011</v>
      </c>
      <c r="F6" s="5">
        <v>2</v>
      </c>
      <c r="G6" s="23">
        <v>76.666666666666671</v>
      </c>
      <c r="H6" s="33">
        <v>68.163588988795283</v>
      </c>
      <c r="I6" s="23">
        <v>26.108454125695516</v>
      </c>
      <c r="J6" s="5">
        <v>2058.4981703955159</v>
      </c>
      <c r="K6" s="31" t="e">
        <f t="shared" ref="K6:K13" si="0">(D6-$D$15)/$D$15</f>
        <v>#DIV/0!</v>
      </c>
      <c r="L6" s="23">
        <v>110248.5605721079</v>
      </c>
      <c r="M6" s="33">
        <v>7.3790634169999976</v>
      </c>
      <c r="N6" s="5">
        <v>2</v>
      </c>
      <c r="O6" s="5">
        <v>56.666666666666657</v>
      </c>
      <c r="P6" s="33">
        <v>14.44102613294157</v>
      </c>
      <c r="Q6" s="5">
        <v>17.767985458741151</v>
      </c>
      <c r="R6" s="5">
        <v>1588.6473155478004</v>
      </c>
      <c r="S6" s="42"/>
      <c r="T6" s="23">
        <v>114708.7955662411</v>
      </c>
      <c r="U6" s="33">
        <v>6.8582796669979871</v>
      </c>
      <c r="V6" s="5">
        <v>2</v>
      </c>
      <c r="W6" s="5">
        <v>63.333333333333343</v>
      </c>
      <c r="X6" s="33">
        <v>51.928744624878071</v>
      </c>
      <c r="Y6" s="5">
        <v>29.203449733693056</v>
      </c>
      <c r="Z6" s="5">
        <v>2187.0331796580267</v>
      </c>
      <c r="AA6" s="42"/>
    </row>
    <row r="7" spans="2:27" x14ac:dyDescent="0.2">
      <c r="B7" s="4">
        <v>4</v>
      </c>
      <c r="C7" s="4">
        <v>354</v>
      </c>
      <c r="D7" s="23">
        <v>101954.66519667891</v>
      </c>
      <c r="E7" s="33">
        <v>10.961004666999999</v>
      </c>
      <c r="F7" s="5">
        <v>2</v>
      </c>
      <c r="G7" s="23">
        <v>76.666666666666671</v>
      </c>
      <c r="H7" s="33">
        <v>68.163588988795283</v>
      </c>
      <c r="I7" s="23">
        <v>26.108454125695516</v>
      </c>
      <c r="J7" s="5">
        <v>2058.4981703955159</v>
      </c>
      <c r="K7" s="31" t="e">
        <f t="shared" si="0"/>
        <v>#DIV/0!</v>
      </c>
      <c r="L7" s="23">
        <v>110248.5605721079</v>
      </c>
      <c r="M7" s="33">
        <v>7.5163158329996804</v>
      </c>
      <c r="N7" s="5">
        <v>2</v>
      </c>
      <c r="O7" s="5">
        <v>56.666666666666657</v>
      </c>
      <c r="P7" s="33">
        <v>14.44102613294157</v>
      </c>
      <c r="Q7" s="5">
        <v>17.767985458741151</v>
      </c>
      <c r="R7" s="5">
        <v>1588.6473155478004</v>
      </c>
      <c r="S7" s="42"/>
      <c r="T7" s="23">
        <v>114708.7955662411</v>
      </c>
      <c r="U7" s="33">
        <v>7.0920038340009341</v>
      </c>
      <c r="V7" s="5">
        <v>2</v>
      </c>
      <c r="W7" s="5">
        <v>63.333333333333343</v>
      </c>
      <c r="X7" s="33">
        <v>51.928744624878071</v>
      </c>
      <c r="Y7" s="5">
        <v>29.203449733693056</v>
      </c>
      <c r="Z7" s="5">
        <v>2187.0331796580267</v>
      </c>
      <c r="AA7" s="42"/>
    </row>
    <row r="8" spans="2:27" x14ac:dyDescent="0.2">
      <c r="B8" s="4">
        <v>5</v>
      </c>
      <c r="C8" s="4">
        <v>401</v>
      </c>
      <c r="D8" s="23">
        <v>101954.66519667891</v>
      </c>
      <c r="E8" s="33">
        <v>8.6086585420000006</v>
      </c>
      <c r="F8" s="5">
        <v>2</v>
      </c>
      <c r="G8" s="23">
        <v>76.666666666666671</v>
      </c>
      <c r="H8" s="33">
        <v>68.163588988795283</v>
      </c>
      <c r="I8" s="23">
        <v>26.108454125695516</v>
      </c>
      <c r="J8" s="5">
        <v>2058.4981703955159</v>
      </c>
      <c r="K8" s="31" t="e">
        <f t="shared" si="0"/>
        <v>#DIV/0!</v>
      </c>
      <c r="L8" s="23">
        <v>110248.5605721079</v>
      </c>
      <c r="M8" s="33">
        <v>7.460459042002185</v>
      </c>
      <c r="N8" s="5">
        <v>2</v>
      </c>
      <c r="O8" s="5">
        <v>56.666666666666657</v>
      </c>
      <c r="P8" s="33">
        <v>14.44102613294157</v>
      </c>
      <c r="Q8" s="5">
        <v>17.767985458741151</v>
      </c>
      <c r="R8" s="5">
        <v>1588.6473155478004</v>
      </c>
      <c r="S8" s="42"/>
      <c r="T8" s="23">
        <v>114708.7955662411</v>
      </c>
      <c r="U8" s="33">
        <v>7.0315880830021342</v>
      </c>
      <c r="V8" s="5">
        <v>2</v>
      </c>
      <c r="W8" s="5">
        <v>63.333333333333343</v>
      </c>
      <c r="X8" s="33">
        <v>51.928744624878071</v>
      </c>
      <c r="Y8" s="5">
        <v>29.203449733693056</v>
      </c>
      <c r="Z8" s="5">
        <v>2187.0331796580267</v>
      </c>
      <c r="AA8" s="42"/>
    </row>
    <row r="9" spans="2:27" x14ac:dyDescent="0.2">
      <c r="B9" s="4">
        <v>6</v>
      </c>
      <c r="C9" s="4">
        <v>474</v>
      </c>
      <c r="D9" s="23">
        <v>101954.66519667891</v>
      </c>
      <c r="E9" s="33">
        <v>11.025724542000029</v>
      </c>
      <c r="F9" s="5">
        <v>2</v>
      </c>
      <c r="G9" s="23">
        <v>76.666666666666671</v>
      </c>
      <c r="H9" s="33">
        <v>68.163588988795283</v>
      </c>
      <c r="I9" s="23">
        <v>26.108454125695516</v>
      </c>
      <c r="J9" s="5">
        <v>2058.4981703955159</v>
      </c>
      <c r="K9" s="31" t="e">
        <f t="shared" si="0"/>
        <v>#DIV/0!</v>
      </c>
      <c r="L9" s="23">
        <v>110248.5605721079</v>
      </c>
      <c r="M9" s="33">
        <v>7.6012189160028356</v>
      </c>
      <c r="N9" s="5">
        <v>2</v>
      </c>
      <c r="O9" s="5">
        <v>56.666666666666657</v>
      </c>
      <c r="P9" s="33">
        <v>14.44102613294157</v>
      </c>
      <c r="Q9" s="5">
        <v>17.767985458741151</v>
      </c>
      <c r="R9" s="5">
        <v>1588.6473155478004</v>
      </c>
      <c r="S9" s="42"/>
      <c r="T9" s="23">
        <v>114708.7955662411</v>
      </c>
      <c r="U9" s="33">
        <v>7.0362161249977362</v>
      </c>
      <c r="V9" s="5">
        <v>2</v>
      </c>
      <c r="W9" s="5">
        <v>63.333333333333343</v>
      </c>
      <c r="X9" s="33">
        <v>51.928744624878071</v>
      </c>
      <c r="Y9" s="5">
        <v>29.203449733693056</v>
      </c>
      <c r="Z9" s="5">
        <v>2187.0331796580267</v>
      </c>
      <c r="AA9" s="42"/>
    </row>
    <row r="10" spans="2:27" x14ac:dyDescent="0.2">
      <c r="B10" s="4">
        <v>7</v>
      </c>
      <c r="C10" s="4">
        <v>589</v>
      </c>
      <c r="D10" s="23">
        <v>101954.66519667891</v>
      </c>
      <c r="E10" s="33">
        <v>8.630445874999964</v>
      </c>
      <c r="F10" s="5">
        <v>2</v>
      </c>
      <c r="G10" s="23">
        <v>76.666666666666671</v>
      </c>
      <c r="H10" s="33">
        <v>68.163588988795283</v>
      </c>
      <c r="I10" s="23">
        <v>26.108454125695516</v>
      </c>
      <c r="J10" s="5">
        <v>2058.4981703955159</v>
      </c>
      <c r="K10" s="31" t="e">
        <f t="shared" si="0"/>
        <v>#DIV/0!</v>
      </c>
      <c r="L10" s="23">
        <v>110248.5605721079</v>
      </c>
      <c r="M10" s="33">
        <v>7.6531476250020214</v>
      </c>
      <c r="N10" s="5">
        <v>2</v>
      </c>
      <c r="O10" s="5">
        <v>56.666666666666657</v>
      </c>
      <c r="P10" s="33">
        <v>14.44102613294157</v>
      </c>
      <c r="Q10" s="5">
        <v>17.767985458741151</v>
      </c>
      <c r="R10" s="5">
        <v>1588.6473155478004</v>
      </c>
      <c r="S10" s="42"/>
      <c r="T10" s="23">
        <v>114708.7955662411</v>
      </c>
      <c r="U10" s="33">
        <v>7.6697577909981192</v>
      </c>
      <c r="V10" s="5">
        <v>2</v>
      </c>
      <c r="W10" s="5">
        <v>63.333333333333343</v>
      </c>
      <c r="X10" s="33">
        <v>51.928744624878071</v>
      </c>
      <c r="Y10" s="5">
        <v>29.203449733693056</v>
      </c>
      <c r="Z10" s="5">
        <v>2187.0331796580267</v>
      </c>
      <c r="AA10" s="42"/>
    </row>
    <row r="11" spans="2:27" x14ac:dyDescent="0.2">
      <c r="B11" s="4">
        <v>8</v>
      </c>
      <c r="C11" s="4">
        <v>631</v>
      </c>
      <c r="D11" s="23">
        <v>101954.66519667891</v>
      </c>
      <c r="E11" s="33">
        <v>8.7980448750000164</v>
      </c>
      <c r="F11" s="5">
        <v>2</v>
      </c>
      <c r="G11" s="23">
        <v>76.666666666666671</v>
      </c>
      <c r="H11" s="33">
        <v>68.163588988795283</v>
      </c>
      <c r="I11" s="23">
        <v>26.108454125695516</v>
      </c>
      <c r="J11" s="5">
        <v>2058.4981703955159</v>
      </c>
      <c r="K11" s="31" t="e">
        <f t="shared" si="0"/>
        <v>#DIV/0!</v>
      </c>
      <c r="L11" s="23">
        <v>110248.5605721079</v>
      </c>
      <c r="M11" s="33">
        <v>7.6915314170000784</v>
      </c>
      <c r="N11" s="5">
        <v>2</v>
      </c>
      <c r="O11" s="5">
        <v>56.666666666666657</v>
      </c>
      <c r="P11" s="33">
        <v>14.44102613294157</v>
      </c>
      <c r="Q11" s="5">
        <v>17.767985458741151</v>
      </c>
      <c r="R11" s="5">
        <v>1588.6473155478004</v>
      </c>
      <c r="S11" s="42"/>
      <c r="T11" s="23">
        <v>114708.7955662411</v>
      </c>
      <c r="U11" s="33">
        <v>7.026567958000669</v>
      </c>
      <c r="V11" s="5">
        <v>2</v>
      </c>
      <c r="W11" s="5">
        <v>63.333333333333343</v>
      </c>
      <c r="X11" s="33">
        <v>51.928744624878071</v>
      </c>
      <c r="Y11" s="5">
        <v>29.203449733693056</v>
      </c>
      <c r="Z11" s="5">
        <v>2187.0331796580267</v>
      </c>
      <c r="AA11" s="42"/>
    </row>
    <row r="12" spans="2:27" x14ac:dyDescent="0.2">
      <c r="B12" s="4">
        <v>9</v>
      </c>
      <c r="C12" s="4">
        <v>635</v>
      </c>
      <c r="D12" s="23">
        <v>101954.66519667891</v>
      </c>
      <c r="E12" s="33">
        <v>8.716142375000004</v>
      </c>
      <c r="F12" s="5">
        <v>2</v>
      </c>
      <c r="G12" s="23">
        <v>76.666666666666671</v>
      </c>
      <c r="H12" s="33">
        <v>68.163588988795283</v>
      </c>
      <c r="I12" s="23">
        <v>26.108454125695516</v>
      </c>
      <c r="J12" s="5">
        <v>2058.4981703955159</v>
      </c>
      <c r="K12" s="31" t="e">
        <f t="shared" si="0"/>
        <v>#DIV/0!</v>
      </c>
      <c r="L12" s="23">
        <v>110248.5605721079</v>
      </c>
      <c r="M12" s="33">
        <v>7.6293509999995877</v>
      </c>
      <c r="N12" s="5">
        <v>2</v>
      </c>
      <c r="O12" s="5">
        <v>56.666666666666657</v>
      </c>
      <c r="P12" s="33">
        <v>14.44102613294157</v>
      </c>
      <c r="Q12" s="5">
        <v>17.767985458741151</v>
      </c>
      <c r="R12" s="5">
        <v>1588.6473155478004</v>
      </c>
      <c r="S12" s="42"/>
      <c r="T12" s="23">
        <v>114708.7955662411</v>
      </c>
      <c r="U12" s="33">
        <v>7.0430553749974933</v>
      </c>
      <c r="V12" s="5">
        <v>2</v>
      </c>
      <c r="W12" s="5">
        <v>63.333333333333343</v>
      </c>
      <c r="X12" s="33">
        <v>51.928744624878071</v>
      </c>
      <c r="Y12" s="5">
        <v>29.203449733693056</v>
      </c>
      <c r="Z12" s="5">
        <v>2187.0331796580267</v>
      </c>
      <c r="AA12" s="42"/>
    </row>
    <row r="13" spans="2:27" x14ac:dyDescent="0.2">
      <c r="B13" s="4">
        <v>10</v>
      </c>
      <c r="C13" s="4">
        <v>646</v>
      </c>
      <c r="D13" s="23">
        <v>101954.66519667891</v>
      </c>
      <c r="E13" s="33">
        <v>9.2202580410000223</v>
      </c>
      <c r="F13" s="5">
        <v>2</v>
      </c>
      <c r="G13" s="23">
        <v>76.666666666666671</v>
      </c>
      <c r="H13" s="33">
        <v>68.163588988795283</v>
      </c>
      <c r="I13" s="23">
        <v>26.108454125695516</v>
      </c>
      <c r="J13" s="5">
        <v>2058.4981703955159</v>
      </c>
      <c r="K13" s="31" t="e">
        <f t="shared" si="0"/>
        <v>#DIV/0!</v>
      </c>
      <c r="L13" s="23">
        <v>110248.5605721079</v>
      </c>
      <c r="M13" s="33">
        <v>7.8492501250002533</v>
      </c>
      <c r="N13" s="5">
        <v>2</v>
      </c>
      <c r="O13" s="5">
        <v>56.666666666666657</v>
      </c>
      <c r="P13" s="33">
        <v>14.44102613294157</v>
      </c>
      <c r="Q13" s="5">
        <v>17.767985458741151</v>
      </c>
      <c r="R13" s="5">
        <v>1588.6473155478004</v>
      </c>
      <c r="S13" s="42"/>
      <c r="T13" s="23">
        <v>114708.7955662411</v>
      </c>
      <c r="U13" s="33">
        <v>6.9513600840000436</v>
      </c>
      <c r="V13" s="5">
        <v>2</v>
      </c>
      <c r="W13" s="5">
        <v>63.333333333333343</v>
      </c>
      <c r="X13" s="33">
        <v>51.928744624878071</v>
      </c>
      <c r="Y13" s="5">
        <v>29.203449733693056</v>
      </c>
      <c r="Z13" s="5">
        <v>2187.0331796580267</v>
      </c>
      <c r="AA13" s="42"/>
    </row>
    <row r="14" spans="2:27" x14ac:dyDescent="0.2">
      <c r="B14" s="46" t="s">
        <v>3</v>
      </c>
      <c r="C14" s="47"/>
      <c r="D14" s="9">
        <f>MIN(D4:D13)</f>
        <v>101954.66519667891</v>
      </c>
      <c r="E14" s="22">
        <f>INDEX(E4:E13, MATCH($D$14, D4:D13, 0))</f>
        <v>8.6574241669999878</v>
      </c>
      <c r="F14" s="9">
        <f>INDEX(F4:F13, MATCH($D$14, D4:D13, 0))</f>
        <v>2</v>
      </c>
      <c r="G14" s="9">
        <f>INDEX(G4:G13, MATCH($D$14, D4:D13, 0))</f>
        <v>76.666666666666671</v>
      </c>
      <c r="H14" s="22">
        <f>INDEX(H4:H13, MATCH($D$14, D4:D13, 0))</f>
        <v>68.163588988795283</v>
      </c>
      <c r="I14" s="22">
        <f>INDEX(I4:I13, MATCH($D$14, D4:D13, 0))</f>
        <v>26.108454125695516</v>
      </c>
      <c r="J14" s="22">
        <f>INDEX(J4:J13, MATCH($D$14, D4:D13, 0))</f>
        <v>2058.4981703955159</v>
      </c>
      <c r="K14" s="32" t="e">
        <f>(D14-$D$15)/$D$15</f>
        <v>#DIV/0!</v>
      </c>
      <c r="L14" s="16">
        <f>MIN(L4:L13)</f>
        <v>110248.5605721079</v>
      </c>
      <c r="M14" s="21">
        <f>INDEX(M4:M13, MATCH($L$14, L4:L13, 0))</f>
        <v>7.3559237500012387</v>
      </c>
      <c r="N14" s="16">
        <f>INDEX(N4:N13, MATCH($L$14, L4:L13, 0))</f>
        <v>2</v>
      </c>
      <c r="O14" s="16">
        <f>INDEX(O4:O13, MATCH($L$14, L4:L13, 0))</f>
        <v>56.666666666666657</v>
      </c>
      <c r="P14" s="21">
        <f>INDEX(P4:P13, MATCH($L$14, L4:L13, 0))</f>
        <v>14.44102613294157</v>
      </c>
      <c r="Q14" s="21">
        <f>INDEX(Q4:Q13, MATCH($L$14, L4:L13, 0))</f>
        <v>17.767985458741151</v>
      </c>
      <c r="R14" s="21">
        <f>INDEX(R4:R13, MATCH($L$14, L4:L13, 0))</f>
        <v>1588.6473155478004</v>
      </c>
      <c r="S14" s="43" t="e">
        <f>(L14-$D$15)/$D$15</f>
        <v>#DIV/0!</v>
      </c>
      <c r="T14" s="38">
        <f>MIN(T4:T13)</f>
        <v>114708.7955662411</v>
      </c>
      <c r="U14" s="44">
        <f>INDEX(U4:U13, MATCH($T$14, T4:T13, 0))</f>
        <v>7.5485924160020659</v>
      </c>
      <c r="V14" s="38">
        <f>INDEX(V4:V13, MATCH($T$14, T4:T13, 0))</f>
        <v>2</v>
      </c>
      <c r="W14" s="38">
        <f>INDEX(W4:W13, MATCH($T$14, T4:T13, 0))</f>
        <v>63.333333333333343</v>
      </c>
      <c r="X14" s="44">
        <f>INDEX(X4:X13, MATCH($T$14, T4:T13, 0))</f>
        <v>51.928744624878071</v>
      </c>
      <c r="Y14" s="44">
        <f>INDEX(Y4:Y13, MATCH($T$14, T4:T13, 0))</f>
        <v>29.203449733693056</v>
      </c>
      <c r="Z14" s="44">
        <f>INDEX(Z4:Z13, MATCH($T$14, T4:T13, 0))</f>
        <v>2187.0331796580267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85" priority="5"/>
    <cfRule type="duplicateValues" dxfId="84" priority="6"/>
  </conditionalFormatting>
  <conditionalFormatting sqref="C14">
    <cfRule type="duplicateValues" dxfId="83" priority="3"/>
    <cfRule type="duplicateValues" dxfId="82" priority="4"/>
  </conditionalFormatting>
  <conditionalFormatting sqref="C15:C31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0365-0507-AF4A-92C2-FD240F0E3890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0.28581692213107657</v>
      </c>
      <c r="J2" s="28" t="e">
        <f>(S14-J14)/J14</f>
        <v>#DIV/0!</v>
      </c>
      <c r="K2" s="28"/>
      <c r="L2" s="1" t="s">
        <v>18</v>
      </c>
      <c r="P2" s="1">
        <f>(P14-H14)/H14</f>
        <v>-0.87561076552831296</v>
      </c>
      <c r="R2" s="1">
        <f>(R14-J14)/J14</f>
        <v>-0.16151613468366796</v>
      </c>
      <c r="T2" s="1" t="s">
        <v>19</v>
      </c>
      <c r="X2" s="1">
        <f>(X14-P14)/P14</f>
        <v>24.891874860195603</v>
      </c>
      <c r="Z2" s="1">
        <f>(Z14-R14)/R14</f>
        <v>0.432707734840858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</v>
      </c>
      <c r="D4" s="23">
        <v>73483.367321637736</v>
      </c>
      <c r="E4" s="33">
        <v>3.859231958000009</v>
      </c>
      <c r="F4" s="5">
        <v>2</v>
      </c>
      <c r="G4" s="23">
        <v>90</v>
      </c>
      <c r="H4" s="33">
        <v>22.314495514480146</v>
      </c>
      <c r="I4" s="23">
        <v>49.06955320277185</v>
      </c>
      <c r="J4" s="5">
        <v>1772.9157492063998</v>
      </c>
      <c r="K4" s="31" t="e">
        <f>(D4-$D$15)/$D$15</f>
        <v>#DIV/0!</v>
      </c>
      <c r="L4" s="23">
        <v>103952.4145843484</v>
      </c>
      <c r="M4" s="33">
        <v>6.2720552920000046</v>
      </c>
      <c r="N4" s="5">
        <v>3</v>
      </c>
      <c r="O4" s="5">
        <v>76.666666666666671</v>
      </c>
      <c r="P4" s="33">
        <v>33.371459838541107</v>
      </c>
      <c r="Q4" s="5">
        <v>27.103853929867636</v>
      </c>
      <c r="R4" s="5">
        <v>2065.9018286795445</v>
      </c>
      <c r="S4" s="42"/>
      <c r="T4" s="23">
        <v>91267.686798061899</v>
      </c>
      <c r="U4" s="33">
        <v>4.4115239170023406</v>
      </c>
      <c r="V4" s="5">
        <v>2</v>
      </c>
      <c r="W4" s="5">
        <v>76.666666666666671</v>
      </c>
      <c r="X4" s="33">
        <v>71.867637267356415</v>
      </c>
      <c r="Y4" s="5">
        <v>68.545090333075848</v>
      </c>
      <c r="Z4" s="5">
        <v>2129.807801583378</v>
      </c>
      <c r="AA4" s="42"/>
    </row>
    <row r="5" spans="2:27" x14ac:dyDescent="0.2">
      <c r="B5" s="4">
        <v>2</v>
      </c>
      <c r="C5" s="4">
        <v>38</v>
      </c>
      <c r="D5" s="23">
        <v>73483.367321637736</v>
      </c>
      <c r="E5" s="33">
        <v>3.7686999579999561</v>
      </c>
      <c r="F5" s="5">
        <v>2</v>
      </c>
      <c r="G5" s="23">
        <v>90</v>
      </c>
      <c r="H5" s="33">
        <v>22.314495514480146</v>
      </c>
      <c r="I5" s="23">
        <v>49.06955320277185</v>
      </c>
      <c r="J5" s="5">
        <v>1772.9157492063998</v>
      </c>
      <c r="K5" s="31" t="e">
        <f>(D5-$D$15)/$D$15</f>
        <v>#DIV/0!</v>
      </c>
      <c r="L5" s="23">
        <v>86944.50763425116</v>
      </c>
      <c r="M5" s="33">
        <v>12.00630550000278</v>
      </c>
      <c r="N5" s="5">
        <v>3</v>
      </c>
      <c r="O5" s="5">
        <v>80</v>
      </c>
      <c r="P5" s="33">
        <v>2.7756830146680804</v>
      </c>
      <c r="Q5" s="5">
        <v>28.692355941336576</v>
      </c>
      <c r="R5" s="5">
        <v>1486.5612502747829</v>
      </c>
      <c r="S5" s="42"/>
      <c r="T5" s="23">
        <v>91819.725206349482</v>
      </c>
      <c r="U5" s="33">
        <v>6.7286510839985567</v>
      </c>
      <c r="V5" s="5">
        <v>3</v>
      </c>
      <c r="W5" s="5">
        <v>80</v>
      </c>
      <c r="X5" s="33">
        <v>52.729544954839412</v>
      </c>
      <c r="Y5" s="5">
        <v>58.981421614842411</v>
      </c>
      <c r="Z5" s="5">
        <v>2013.3509239890336</v>
      </c>
      <c r="AA5" s="42"/>
    </row>
    <row r="6" spans="2:27" x14ac:dyDescent="0.2">
      <c r="B6" s="4">
        <v>3</v>
      </c>
      <c r="C6" s="4">
        <v>584</v>
      </c>
      <c r="D6" s="23">
        <v>73483.367321637736</v>
      </c>
      <c r="E6" s="33">
        <v>3.5362629169999309</v>
      </c>
      <c r="F6" s="5">
        <v>2</v>
      </c>
      <c r="G6" s="23">
        <v>90</v>
      </c>
      <c r="H6" s="33">
        <v>22.314495514480146</v>
      </c>
      <c r="I6" s="23">
        <v>49.06955320277185</v>
      </c>
      <c r="J6" s="5">
        <v>1772.9157492063998</v>
      </c>
      <c r="K6" s="31" t="e">
        <f t="shared" ref="K6:K13" si="0">(D6-$D$15)/$D$15</f>
        <v>#DIV/0!</v>
      </c>
      <c r="L6" s="23">
        <v>103952.4145843484</v>
      </c>
      <c r="M6" s="33">
        <v>6.3365394590000506</v>
      </c>
      <c r="N6" s="5">
        <v>3</v>
      </c>
      <c r="O6" s="5">
        <v>76.666666666666671</v>
      </c>
      <c r="P6" s="33">
        <v>33.371459838541107</v>
      </c>
      <c r="Q6" s="5">
        <v>27.103853929867636</v>
      </c>
      <c r="R6" s="5">
        <v>2065.9018286795445</v>
      </c>
      <c r="S6" s="42"/>
      <c r="T6" s="23">
        <v>91267.686798061899</v>
      </c>
      <c r="U6" s="33">
        <v>4.7326305419992423</v>
      </c>
      <c r="V6" s="5">
        <v>2</v>
      </c>
      <c r="W6" s="5">
        <v>76.666666666666671</v>
      </c>
      <c r="X6" s="33">
        <v>71.867637267356415</v>
      </c>
      <c r="Y6" s="5">
        <v>68.545090333075848</v>
      </c>
      <c r="Z6" s="5">
        <v>2129.807801583378</v>
      </c>
      <c r="AA6" s="42"/>
    </row>
    <row r="7" spans="2:27" x14ac:dyDescent="0.2">
      <c r="B7" s="4">
        <v>4</v>
      </c>
      <c r="C7" s="4">
        <v>816</v>
      </c>
      <c r="D7" s="23">
        <v>73483.367321637736</v>
      </c>
      <c r="E7" s="33">
        <v>3.6992778749998929</v>
      </c>
      <c r="F7" s="5">
        <v>2</v>
      </c>
      <c r="G7" s="23">
        <v>90</v>
      </c>
      <c r="H7" s="33">
        <v>22.314495514480146</v>
      </c>
      <c r="I7" s="23">
        <v>49.06955320277185</v>
      </c>
      <c r="J7" s="5">
        <v>1772.9157492063998</v>
      </c>
      <c r="K7" s="31" t="e">
        <f t="shared" si="0"/>
        <v>#DIV/0!</v>
      </c>
      <c r="L7" s="23">
        <v>103952.4145843484</v>
      </c>
      <c r="M7" s="33">
        <v>6.4010513339999306</v>
      </c>
      <c r="N7" s="5">
        <v>3</v>
      </c>
      <c r="O7" s="5">
        <v>76.666666666666671</v>
      </c>
      <c r="P7" s="33">
        <v>33.371459838541107</v>
      </c>
      <c r="Q7" s="5">
        <v>27.103853929867636</v>
      </c>
      <c r="R7" s="5">
        <v>2065.9018286795445</v>
      </c>
      <c r="S7" s="42"/>
      <c r="T7" s="23">
        <v>91267.686798061899</v>
      </c>
      <c r="U7" s="33">
        <v>5.1817638750035258</v>
      </c>
      <c r="V7" s="5">
        <v>2</v>
      </c>
      <c r="W7" s="5">
        <v>76.666666666666671</v>
      </c>
      <c r="X7" s="33">
        <v>71.867637267356415</v>
      </c>
      <c r="Y7" s="5">
        <v>68.545090333075848</v>
      </c>
      <c r="Z7" s="5">
        <v>2129.807801583378</v>
      </c>
      <c r="AA7" s="42"/>
    </row>
    <row r="8" spans="2:27" x14ac:dyDescent="0.2">
      <c r="B8" s="4">
        <v>5</v>
      </c>
      <c r="C8" s="4">
        <v>820</v>
      </c>
      <c r="D8" s="23">
        <v>73483.367321637736</v>
      </c>
      <c r="E8" s="33">
        <v>3.8400872920000211</v>
      </c>
      <c r="F8" s="5">
        <v>2</v>
      </c>
      <c r="G8" s="23">
        <v>90</v>
      </c>
      <c r="H8" s="33">
        <v>22.314495514480146</v>
      </c>
      <c r="I8" s="23">
        <v>49.06955320277185</v>
      </c>
      <c r="J8" s="5">
        <v>1772.9157492063998</v>
      </c>
      <c r="K8" s="31" t="e">
        <f t="shared" si="0"/>
        <v>#DIV/0!</v>
      </c>
      <c r="L8" s="23">
        <v>86944.50763425116</v>
      </c>
      <c r="M8" s="33">
        <v>12.375963582999249</v>
      </c>
      <c r="N8" s="5">
        <v>3</v>
      </c>
      <c r="O8" s="5">
        <v>80</v>
      </c>
      <c r="P8" s="33">
        <v>2.7756830146680804</v>
      </c>
      <c r="Q8" s="5">
        <v>28.692355941336576</v>
      </c>
      <c r="R8" s="5">
        <v>1486.5612502747829</v>
      </c>
      <c r="S8" s="42"/>
      <c r="T8" s="23">
        <v>91819.725206349482</v>
      </c>
      <c r="U8" s="33">
        <v>6.715801583002758</v>
      </c>
      <c r="V8" s="5">
        <v>3</v>
      </c>
      <c r="W8" s="5">
        <v>80</v>
      </c>
      <c r="X8" s="33">
        <v>52.729544954839412</v>
      </c>
      <c r="Y8" s="5">
        <v>58.981421614842411</v>
      </c>
      <c r="Z8" s="5">
        <v>2013.3509239890336</v>
      </c>
      <c r="AA8" s="42"/>
    </row>
    <row r="9" spans="2:27" x14ac:dyDescent="0.2">
      <c r="B9" s="4">
        <v>6</v>
      </c>
      <c r="C9" s="4">
        <v>844</v>
      </c>
      <c r="D9" s="23">
        <v>73483.367321637736</v>
      </c>
      <c r="E9" s="33">
        <v>4.0842360000000326</v>
      </c>
      <c r="F9" s="5">
        <v>2</v>
      </c>
      <c r="G9" s="23">
        <v>90</v>
      </c>
      <c r="H9" s="33">
        <v>22.314495514480146</v>
      </c>
      <c r="I9" s="23">
        <v>49.06955320277185</v>
      </c>
      <c r="J9" s="5">
        <v>1772.9157492063998</v>
      </c>
      <c r="K9" s="31" t="e">
        <f t="shared" si="0"/>
        <v>#DIV/0!</v>
      </c>
      <c r="L9" s="23">
        <v>87211.4466771523</v>
      </c>
      <c r="M9" s="33">
        <v>14.915451832999681</v>
      </c>
      <c r="N9" s="5">
        <v>3</v>
      </c>
      <c r="O9" s="5">
        <v>80</v>
      </c>
      <c r="P9" s="33">
        <v>2.7756830146680804</v>
      </c>
      <c r="Q9" s="5">
        <v>28.470227246985655</v>
      </c>
      <c r="R9" s="5">
        <v>1499.682318136711</v>
      </c>
      <c r="S9" s="42"/>
      <c r="T9" s="23">
        <v>91819.725206349482</v>
      </c>
      <c r="U9" s="33">
        <v>5.7421719170015422</v>
      </c>
      <c r="V9" s="5">
        <v>3</v>
      </c>
      <c r="W9" s="5">
        <v>80</v>
      </c>
      <c r="X9" s="33">
        <v>52.729544954839412</v>
      </c>
      <c r="Y9" s="5">
        <v>58.981421614842411</v>
      </c>
      <c r="Z9" s="5">
        <v>2013.3509239890336</v>
      </c>
      <c r="AA9" s="42"/>
    </row>
    <row r="10" spans="2:27" x14ac:dyDescent="0.2">
      <c r="B10" s="4">
        <v>7</v>
      </c>
      <c r="C10" s="4">
        <v>903</v>
      </c>
      <c r="D10" s="23">
        <v>73483.367321637736</v>
      </c>
      <c r="E10" s="33">
        <v>3.7502659169999788</v>
      </c>
      <c r="F10" s="5">
        <v>2</v>
      </c>
      <c r="G10" s="23">
        <v>90</v>
      </c>
      <c r="H10" s="33">
        <v>22.314495514480146</v>
      </c>
      <c r="I10" s="23">
        <v>49.06955320277185</v>
      </c>
      <c r="J10" s="5">
        <v>1772.9157492063998</v>
      </c>
      <c r="K10" s="31" t="e">
        <f t="shared" si="0"/>
        <v>#DIV/0!</v>
      </c>
      <c r="L10" s="23">
        <v>87211.4466771523</v>
      </c>
      <c r="M10" s="33">
        <v>15.340151667001919</v>
      </c>
      <c r="N10" s="5">
        <v>3</v>
      </c>
      <c r="O10" s="5">
        <v>80</v>
      </c>
      <c r="P10" s="33">
        <v>2.7756830146680804</v>
      </c>
      <c r="Q10" s="5">
        <v>28.470227246985655</v>
      </c>
      <c r="R10" s="5">
        <v>1499.682318136711</v>
      </c>
      <c r="S10" s="42"/>
      <c r="T10" s="23">
        <v>91819.725206349482</v>
      </c>
      <c r="U10" s="33">
        <v>6.2158623750001416</v>
      </c>
      <c r="V10" s="5">
        <v>3</v>
      </c>
      <c r="W10" s="5">
        <v>80</v>
      </c>
      <c r="X10" s="33">
        <v>52.729544954839412</v>
      </c>
      <c r="Y10" s="5">
        <v>58.981421614842411</v>
      </c>
      <c r="Z10" s="5">
        <v>2013.3509239890336</v>
      </c>
      <c r="AA10" s="42"/>
    </row>
    <row r="11" spans="2:27" x14ac:dyDescent="0.2">
      <c r="B11" s="4">
        <v>8</v>
      </c>
      <c r="C11" s="4">
        <v>906</v>
      </c>
      <c r="D11" s="23">
        <v>73483.367321637736</v>
      </c>
      <c r="E11" s="33">
        <v>3.6248287920000171</v>
      </c>
      <c r="F11" s="5">
        <v>2</v>
      </c>
      <c r="G11" s="23">
        <v>90</v>
      </c>
      <c r="H11" s="33">
        <v>22.314495514480146</v>
      </c>
      <c r="I11" s="23">
        <v>49.06955320277185</v>
      </c>
      <c r="J11" s="5">
        <v>1772.9157492063998</v>
      </c>
      <c r="K11" s="31" t="e">
        <f t="shared" si="0"/>
        <v>#DIV/0!</v>
      </c>
      <c r="L11" s="23">
        <v>86944.50763425116</v>
      </c>
      <c r="M11" s="33">
        <v>14.649884750000639</v>
      </c>
      <c r="N11" s="5">
        <v>3</v>
      </c>
      <c r="O11" s="5">
        <v>80</v>
      </c>
      <c r="P11" s="33">
        <v>2.7756830146680804</v>
      </c>
      <c r="Q11" s="5">
        <v>28.692355941336576</v>
      </c>
      <c r="R11" s="5">
        <v>1486.5612502747829</v>
      </c>
      <c r="S11" s="42"/>
      <c r="T11" s="23">
        <v>91819.725206349482</v>
      </c>
      <c r="U11" s="33">
        <v>5.2162326659999962</v>
      </c>
      <c r="V11" s="5">
        <v>3</v>
      </c>
      <c r="W11" s="5">
        <v>80</v>
      </c>
      <c r="X11" s="33">
        <v>52.729544954839412</v>
      </c>
      <c r="Y11" s="5">
        <v>58.981421614842411</v>
      </c>
      <c r="Z11" s="5">
        <v>2013.3509239890336</v>
      </c>
      <c r="AA11" s="42"/>
    </row>
    <row r="12" spans="2:27" x14ac:dyDescent="0.2">
      <c r="B12" s="4">
        <v>9</v>
      </c>
      <c r="C12" s="4">
        <v>972</v>
      </c>
      <c r="D12" s="23">
        <v>73483.367321637736</v>
      </c>
      <c r="E12" s="33">
        <v>4.051340458000027</v>
      </c>
      <c r="F12" s="5">
        <v>2</v>
      </c>
      <c r="G12" s="23">
        <v>90</v>
      </c>
      <c r="H12" s="33">
        <v>22.314495514480146</v>
      </c>
      <c r="I12" s="23">
        <v>49.06955320277185</v>
      </c>
      <c r="J12" s="5">
        <v>1772.9157492063998</v>
      </c>
      <c r="K12" s="31" t="e">
        <f t="shared" si="0"/>
        <v>#DIV/0!</v>
      </c>
      <c r="L12" s="23">
        <v>86944.50763425116</v>
      </c>
      <c r="M12" s="33">
        <v>13.01375387499866</v>
      </c>
      <c r="N12" s="5">
        <v>3</v>
      </c>
      <c r="O12" s="5">
        <v>80</v>
      </c>
      <c r="P12" s="33">
        <v>2.7756830146680804</v>
      </c>
      <c r="Q12" s="5">
        <v>28.692355941336576</v>
      </c>
      <c r="R12" s="5">
        <v>1486.5612502747829</v>
      </c>
      <c r="S12" s="42"/>
      <c r="T12" s="23">
        <v>91819.725206349482</v>
      </c>
      <c r="U12" s="33">
        <v>5.5663739999981772</v>
      </c>
      <c r="V12" s="5">
        <v>3</v>
      </c>
      <c r="W12" s="5">
        <v>80</v>
      </c>
      <c r="X12" s="33">
        <v>52.729544954839412</v>
      </c>
      <c r="Y12" s="5">
        <v>58.981421614842411</v>
      </c>
      <c r="Z12" s="5">
        <v>2013.3509239890336</v>
      </c>
      <c r="AA12" s="42"/>
    </row>
    <row r="13" spans="2:27" x14ac:dyDescent="0.2">
      <c r="B13" s="4">
        <v>10</v>
      </c>
      <c r="C13" s="4">
        <v>205</v>
      </c>
      <c r="D13" s="23">
        <v>73483.367321637736</v>
      </c>
      <c r="E13" s="33">
        <v>3.53649504200007</v>
      </c>
      <c r="F13" s="5">
        <v>2</v>
      </c>
      <c r="G13" s="23">
        <v>90</v>
      </c>
      <c r="H13" s="33">
        <v>22.314495514480146</v>
      </c>
      <c r="I13" s="23">
        <v>49.06955320277185</v>
      </c>
      <c r="J13" s="5">
        <v>1772.9157492063998</v>
      </c>
      <c r="K13" s="31" t="e">
        <f t="shared" si="0"/>
        <v>#DIV/0!</v>
      </c>
      <c r="L13" s="23">
        <v>92205.922009611619</v>
      </c>
      <c r="M13" s="33">
        <v>7.1609412500001781</v>
      </c>
      <c r="N13" s="5">
        <v>3</v>
      </c>
      <c r="O13" s="5">
        <v>76.666666666666671</v>
      </c>
      <c r="P13" s="33">
        <v>0</v>
      </c>
      <c r="Q13" s="5">
        <v>28.0684435246107</v>
      </c>
      <c r="R13" s="5">
        <v>1529.0248012504637</v>
      </c>
      <c r="S13" s="42"/>
      <c r="T13" s="23">
        <v>91819.725206349482</v>
      </c>
      <c r="U13" s="33">
        <v>5.9879388329973153</v>
      </c>
      <c r="V13" s="5">
        <v>3</v>
      </c>
      <c r="W13" s="5">
        <v>80</v>
      </c>
      <c r="X13" s="33">
        <v>52.729544954839412</v>
      </c>
      <c r="Y13" s="5">
        <v>58.981421614842411</v>
      </c>
      <c r="Z13" s="5">
        <v>2013.3509239890336</v>
      </c>
      <c r="AA13" s="42"/>
    </row>
    <row r="14" spans="2:27" x14ac:dyDescent="0.2">
      <c r="B14" s="46" t="s">
        <v>3</v>
      </c>
      <c r="C14" s="47"/>
      <c r="D14" s="9">
        <f>MIN(D4:D13)</f>
        <v>73483.367321637736</v>
      </c>
      <c r="E14" s="22">
        <f>INDEX(E4:E13, MATCH($D$14, D4:D13, 0))</f>
        <v>3.859231958000009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22.314495514480146</v>
      </c>
      <c r="I14" s="22">
        <f>INDEX(I4:I13, MATCH($D$14, D4:D13, 0))</f>
        <v>49.06955320277185</v>
      </c>
      <c r="J14" s="22">
        <f>INDEX(J4:J13, MATCH($D$14, D4:D13, 0))</f>
        <v>1772.9157492063998</v>
      </c>
      <c r="K14" s="32" t="e">
        <f>(D14-$D$15)/$D$15</f>
        <v>#DIV/0!</v>
      </c>
      <c r="L14" s="16">
        <f>MIN(L4:L13)</f>
        <v>86944.50763425116</v>
      </c>
      <c r="M14" s="21">
        <f>INDEX(M4:M13, MATCH($L$14, L4:L13, 0))</f>
        <v>12.00630550000278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2.7756830146680804</v>
      </c>
      <c r="Q14" s="21">
        <f>INDEX(Q4:Q13, MATCH($L$14, L4:L13, 0))</f>
        <v>28.692355941336576</v>
      </c>
      <c r="R14" s="21">
        <f>INDEX(R4:R13, MATCH($L$14, L4:L13, 0))</f>
        <v>1486.5612502747829</v>
      </c>
      <c r="S14" s="43" t="e">
        <f>(L14-$D$15)/$D$15</f>
        <v>#DIV/0!</v>
      </c>
      <c r="T14" s="38">
        <f>MIN(T4:T13)</f>
        <v>91267.686798061899</v>
      </c>
      <c r="U14" s="44">
        <f>INDEX(U4:U13, MATCH($T$14, T4:T13, 0))</f>
        <v>4.4115239170023406</v>
      </c>
      <c r="V14" s="38">
        <f>INDEX(V4:V13, MATCH($T$14, T4:T13, 0))</f>
        <v>2</v>
      </c>
      <c r="W14" s="38">
        <f>INDEX(W4:W13, MATCH($T$14, T4:T13, 0))</f>
        <v>76.666666666666671</v>
      </c>
      <c r="X14" s="44">
        <f>INDEX(X4:X13, MATCH($T$14, T4:T13, 0))</f>
        <v>71.867637267356415</v>
      </c>
      <c r="Y14" s="44">
        <f>INDEX(Y4:Y13, MATCH($T$14, T4:T13, 0))</f>
        <v>68.545090333075848</v>
      </c>
      <c r="Z14" s="44">
        <f>INDEX(Z4:Z13, MATCH($T$14, T4:T13, 0))</f>
        <v>2129.807801583378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81" priority="5"/>
    <cfRule type="duplicateValues" dxfId="80" priority="6"/>
  </conditionalFormatting>
  <conditionalFormatting sqref="C14">
    <cfRule type="duplicateValues" dxfId="79" priority="3"/>
    <cfRule type="duplicateValues" dxfId="78" priority="4"/>
  </conditionalFormatting>
  <conditionalFormatting sqref="C15:C31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A015-8CEF-E246-A2DB-AE5C2B732936}">
  <dimension ref="B1:AA17"/>
  <sheetViews>
    <sheetView topLeftCell="I1" zoomScale="118" zoomScaleNormal="120" workbookViewId="0">
      <selection activeCell="I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1.2433471232272348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-0.26876765056519508</v>
      </c>
      <c r="T2" s="1" t="s">
        <v>19</v>
      </c>
      <c r="X2" s="1" t="e">
        <f>(X14-P14)/P14</f>
        <v>#DIV/0!</v>
      </c>
      <c r="Z2" s="1">
        <f>(Z14-R14)/R14</f>
        <v>0.5191858065046544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</v>
      </c>
      <c r="D4" s="23">
        <v>69577.826935131379</v>
      </c>
      <c r="E4" s="33">
        <v>3.689757750000012</v>
      </c>
      <c r="F4" s="5">
        <v>2</v>
      </c>
      <c r="G4" s="23">
        <v>96.666666666666671</v>
      </c>
      <c r="H4" s="33">
        <v>11.006948887544052</v>
      </c>
      <c r="I4" s="23">
        <v>44.848323251530175</v>
      </c>
      <c r="J4" s="5">
        <v>1777.1624003856473</v>
      </c>
      <c r="K4" s="31" t="e">
        <f>(D4-$D$15)/$D$15</f>
        <v>#DIV/0!</v>
      </c>
      <c r="L4" s="23">
        <v>99338.584617405169</v>
      </c>
      <c r="M4" s="33">
        <v>5.1762814160028938</v>
      </c>
      <c r="N4" s="5">
        <v>2</v>
      </c>
      <c r="O4" s="5">
        <v>60</v>
      </c>
      <c r="P4" s="33">
        <v>0</v>
      </c>
      <c r="Q4" s="5">
        <v>24.692407122381162</v>
      </c>
      <c r="R4" s="5">
        <v>1299.5186373611944</v>
      </c>
      <c r="S4" s="42"/>
      <c r="T4" s="23">
        <v>82823.702360868745</v>
      </c>
      <c r="U4" s="33">
        <v>3.9973023750026191</v>
      </c>
      <c r="V4" s="5">
        <v>2</v>
      </c>
      <c r="W4" s="5">
        <v>86.666666666666671</v>
      </c>
      <c r="X4" s="33">
        <v>14.769413609884806</v>
      </c>
      <c r="Y4" s="5">
        <v>56.63724515200677</v>
      </c>
      <c r="Z4" s="5">
        <v>1974.2102691673956</v>
      </c>
      <c r="AA4" s="42"/>
    </row>
    <row r="5" spans="2:27" x14ac:dyDescent="0.2">
      <c r="B5" s="4">
        <v>2</v>
      </c>
      <c r="C5" s="4">
        <v>38</v>
      </c>
      <c r="D5" s="23">
        <v>69577.826935131379</v>
      </c>
      <c r="E5" s="33">
        <v>3.8537708339999881</v>
      </c>
      <c r="F5" s="5">
        <v>2</v>
      </c>
      <c r="G5" s="23">
        <v>96.666666666666671</v>
      </c>
      <c r="H5" s="33">
        <v>11.006948887544052</v>
      </c>
      <c r="I5" s="23">
        <v>44.848323251530175</v>
      </c>
      <c r="J5" s="5">
        <v>1777.1624003856473</v>
      </c>
      <c r="K5" s="31" t="e">
        <f>(D5-$D$15)/$D$15</f>
        <v>#DIV/0!</v>
      </c>
      <c r="L5" s="23">
        <v>99338.584617405169</v>
      </c>
      <c r="M5" s="33">
        <v>5.1429639589987346</v>
      </c>
      <c r="N5" s="5">
        <v>2</v>
      </c>
      <c r="O5" s="5">
        <v>60</v>
      </c>
      <c r="P5" s="33">
        <v>0</v>
      </c>
      <c r="Q5" s="5">
        <v>24.692407122381162</v>
      </c>
      <c r="R5" s="5">
        <v>1299.5186373611944</v>
      </c>
      <c r="S5" s="42"/>
      <c r="T5" s="23">
        <v>82823.702360868745</v>
      </c>
      <c r="U5" s="33">
        <v>4.345891875000234</v>
      </c>
      <c r="V5" s="5">
        <v>2</v>
      </c>
      <c r="W5" s="5">
        <v>86.666666666666671</v>
      </c>
      <c r="X5" s="33">
        <v>14.769413609884806</v>
      </c>
      <c r="Y5" s="5">
        <v>56.63724515200677</v>
      </c>
      <c r="Z5" s="5">
        <v>1974.2102691673956</v>
      </c>
      <c r="AA5" s="42"/>
    </row>
    <row r="6" spans="2:27" x14ac:dyDescent="0.2">
      <c r="B6" s="4">
        <v>3</v>
      </c>
      <c r="C6" s="4">
        <v>68</v>
      </c>
      <c r="D6" s="23">
        <v>69577.826935131379</v>
      </c>
      <c r="E6" s="33">
        <v>3.813310624999986</v>
      </c>
      <c r="F6" s="5">
        <v>2</v>
      </c>
      <c r="G6" s="23">
        <v>96.666666666666671</v>
      </c>
      <c r="H6" s="33">
        <v>11.006948887544052</v>
      </c>
      <c r="I6" s="23">
        <v>44.848323251530175</v>
      </c>
      <c r="J6" s="5">
        <v>1777.1624003856473</v>
      </c>
      <c r="K6" s="31" t="e">
        <f t="shared" ref="K6:K13" si="0">(D6-$D$15)/$D$15</f>
        <v>#DIV/0!</v>
      </c>
      <c r="L6" s="23">
        <v>99338.584617405169</v>
      </c>
      <c r="M6" s="33">
        <v>5.282392458000686</v>
      </c>
      <c r="N6" s="5">
        <v>2</v>
      </c>
      <c r="O6" s="5">
        <v>60</v>
      </c>
      <c r="P6" s="33">
        <v>0</v>
      </c>
      <c r="Q6" s="5">
        <v>24.692407122381162</v>
      </c>
      <c r="R6" s="5">
        <v>1299.5186373611944</v>
      </c>
      <c r="S6" s="42"/>
      <c r="T6" s="23">
        <v>82823.702360868745</v>
      </c>
      <c r="U6" s="33">
        <v>4.042864291001024</v>
      </c>
      <c r="V6" s="5">
        <v>2</v>
      </c>
      <c r="W6" s="5">
        <v>86.666666666666671</v>
      </c>
      <c r="X6" s="33">
        <v>14.769413609884806</v>
      </c>
      <c r="Y6" s="5">
        <v>56.63724515200677</v>
      </c>
      <c r="Z6" s="5">
        <v>1974.2102691673956</v>
      </c>
      <c r="AA6" s="42"/>
    </row>
    <row r="7" spans="2:27" x14ac:dyDescent="0.2">
      <c r="B7" s="4">
        <v>4</v>
      </c>
      <c r="C7" s="4">
        <v>113</v>
      </c>
      <c r="D7" s="23">
        <v>69577.826935131379</v>
      </c>
      <c r="E7" s="33">
        <v>3.8891595830000369</v>
      </c>
      <c r="F7" s="5">
        <v>2</v>
      </c>
      <c r="G7" s="23">
        <v>96.666666666666671</v>
      </c>
      <c r="H7" s="33">
        <v>11.006948887544052</v>
      </c>
      <c r="I7" s="23">
        <v>44.848323251530175</v>
      </c>
      <c r="J7" s="5">
        <v>1777.1624003856473</v>
      </c>
      <c r="K7" s="31" t="e">
        <f t="shared" si="0"/>
        <v>#DIV/0!</v>
      </c>
      <c r="L7" s="23">
        <v>99338.584617405169</v>
      </c>
      <c r="M7" s="33">
        <v>5.6049965839993092</v>
      </c>
      <c r="N7" s="5">
        <v>2</v>
      </c>
      <c r="O7" s="5">
        <v>60</v>
      </c>
      <c r="P7" s="33">
        <v>0</v>
      </c>
      <c r="Q7" s="5">
        <v>24.692407122381162</v>
      </c>
      <c r="R7" s="5">
        <v>1299.5186373611944</v>
      </c>
      <c r="S7" s="42"/>
      <c r="T7" s="23">
        <v>82823.702360868745</v>
      </c>
      <c r="U7" s="33">
        <v>4.7760931250013527</v>
      </c>
      <c r="V7" s="5">
        <v>2</v>
      </c>
      <c r="W7" s="5">
        <v>86.666666666666671</v>
      </c>
      <c r="X7" s="33">
        <v>14.769413609884806</v>
      </c>
      <c r="Y7" s="5">
        <v>56.63724515200677</v>
      </c>
      <c r="Z7" s="5">
        <v>1974.2102691673956</v>
      </c>
      <c r="AA7" s="42"/>
    </row>
    <row r="8" spans="2:27" x14ac:dyDescent="0.2">
      <c r="B8" s="4">
        <v>5</v>
      </c>
      <c r="C8" s="4">
        <v>205</v>
      </c>
      <c r="D8" s="23">
        <v>69577.826935131379</v>
      </c>
      <c r="E8" s="33">
        <v>3.930920041999912</v>
      </c>
      <c r="F8" s="5">
        <v>2</v>
      </c>
      <c r="G8" s="23">
        <v>96.666666666666671</v>
      </c>
      <c r="H8" s="33">
        <v>11.006948887544052</v>
      </c>
      <c r="I8" s="23">
        <v>44.848323251530175</v>
      </c>
      <c r="J8" s="5">
        <v>1777.1624003856473</v>
      </c>
      <c r="K8" s="31" t="e">
        <f t="shared" si="0"/>
        <v>#DIV/0!</v>
      </c>
      <c r="L8" s="23">
        <v>99338.584617405169</v>
      </c>
      <c r="M8" s="33">
        <v>4.8672597500008123</v>
      </c>
      <c r="N8" s="5">
        <v>2</v>
      </c>
      <c r="O8" s="5">
        <v>60</v>
      </c>
      <c r="P8" s="33">
        <v>0</v>
      </c>
      <c r="Q8" s="5">
        <v>24.692407122381162</v>
      </c>
      <c r="R8" s="5">
        <v>1299.5186373611944</v>
      </c>
      <c r="S8" s="42"/>
      <c r="T8" s="23">
        <v>82823.702360868745</v>
      </c>
      <c r="U8" s="33">
        <v>4.0838701659995422</v>
      </c>
      <c r="V8" s="5">
        <v>2</v>
      </c>
      <c r="W8" s="5">
        <v>86.666666666666671</v>
      </c>
      <c r="X8" s="33">
        <v>14.769413609884806</v>
      </c>
      <c r="Y8" s="5">
        <v>56.63724515200677</v>
      </c>
      <c r="Z8" s="5">
        <v>1974.2102691673956</v>
      </c>
      <c r="AA8" s="42"/>
    </row>
    <row r="9" spans="2:27" x14ac:dyDescent="0.2">
      <c r="B9" s="4">
        <v>6</v>
      </c>
      <c r="C9" s="4">
        <v>214</v>
      </c>
      <c r="D9" s="23">
        <v>69577.826935131379</v>
      </c>
      <c r="E9" s="33">
        <v>3.567762708000032</v>
      </c>
      <c r="F9" s="5">
        <v>2</v>
      </c>
      <c r="G9" s="23">
        <v>96.666666666666671</v>
      </c>
      <c r="H9" s="33">
        <v>11.006948887544052</v>
      </c>
      <c r="I9" s="23">
        <v>44.848323251530175</v>
      </c>
      <c r="J9" s="5">
        <v>1777.1624003856473</v>
      </c>
      <c r="K9" s="31" t="e">
        <f t="shared" si="0"/>
        <v>#DIV/0!</v>
      </c>
      <c r="L9" s="23">
        <v>99338.584617405169</v>
      </c>
      <c r="M9" s="33">
        <v>4.807282915997348</v>
      </c>
      <c r="N9" s="5">
        <v>2</v>
      </c>
      <c r="O9" s="5">
        <v>60</v>
      </c>
      <c r="P9" s="33">
        <v>0</v>
      </c>
      <c r="Q9" s="5">
        <v>24.692407122381162</v>
      </c>
      <c r="R9" s="5">
        <v>1299.5186373611944</v>
      </c>
      <c r="S9" s="42"/>
      <c r="T9" s="23">
        <v>82823.702360868745</v>
      </c>
      <c r="U9" s="33">
        <v>4.1425351249999949</v>
      </c>
      <c r="V9" s="5">
        <v>2</v>
      </c>
      <c r="W9" s="5">
        <v>86.666666666666671</v>
      </c>
      <c r="X9" s="33">
        <v>14.769413609884806</v>
      </c>
      <c r="Y9" s="5">
        <v>56.63724515200677</v>
      </c>
      <c r="Z9" s="5">
        <v>1974.2102691673956</v>
      </c>
      <c r="AA9" s="42"/>
    </row>
    <row r="10" spans="2:27" x14ac:dyDescent="0.2">
      <c r="B10" s="4">
        <v>7</v>
      </c>
      <c r="C10" s="4">
        <v>294</v>
      </c>
      <c r="D10" s="23">
        <v>69577.826935131379</v>
      </c>
      <c r="E10" s="33">
        <v>3.8934432910000401</v>
      </c>
      <c r="F10" s="5">
        <v>2</v>
      </c>
      <c r="G10" s="23">
        <v>96.666666666666671</v>
      </c>
      <c r="H10" s="33">
        <v>11.006948887544052</v>
      </c>
      <c r="I10" s="23">
        <v>44.848323251530175</v>
      </c>
      <c r="J10" s="5">
        <v>1777.1624003856473</v>
      </c>
      <c r="K10" s="31" t="e">
        <f t="shared" si="0"/>
        <v>#DIV/0!</v>
      </c>
      <c r="L10" s="23">
        <v>99338.584617405169</v>
      </c>
      <c r="M10" s="33">
        <v>5.66784104099861</v>
      </c>
      <c r="N10" s="5">
        <v>2</v>
      </c>
      <c r="O10" s="5">
        <v>60</v>
      </c>
      <c r="P10" s="33">
        <v>0</v>
      </c>
      <c r="Q10" s="5">
        <v>24.692407122381162</v>
      </c>
      <c r="R10" s="5">
        <v>1299.5186373611944</v>
      </c>
      <c r="S10" s="42"/>
      <c r="T10" s="23">
        <v>82823.702360868745</v>
      </c>
      <c r="U10" s="33">
        <v>4.143128333002096</v>
      </c>
      <c r="V10" s="5">
        <v>2</v>
      </c>
      <c r="W10" s="5">
        <v>86.666666666666671</v>
      </c>
      <c r="X10" s="33">
        <v>14.769413609884806</v>
      </c>
      <c r="Y10" s="5">
        <v>56.63724515200677</v>
      </c>
      <c r="Z10" s="5">
        <v>1974.2102691673956</v>
      </c>
      <c r="AA10" s="42"/>
    </row>
    <row r="11" spans="2:27" x14ac:dyDescent="0.2">
      <c r="B11" s="4">
        <v>8</v>
      </c>
      <c r="C11" s="4">
        <v>310</v>
      </c>
      <c r="D11" s="23">
        <v>69577.826935131379</v>
      </c>
      <c r="E11" s="33">
        <v>3.9102834579999808</v>
      </c>
      <c r="F11" s="5">
        <v>2</v>
      </c>
      <c r="G11" s="23">
        <v>96.666666666666671</v>
      </c>
      <c r="H11" s="33">
        <v>11.006948887544052</v>
      </c>
      <c r="I11" s="23">
        <v>44.848323251530175</v>
      </c>
      <c r="J11" s="5">
        <v>1777.1624003856473</v>
      </c>
      <c r="K11" s="31" t="e">
        <f t="shared" si="0"/>
        <v>#DIV/0!</v>
      </c>
      <c r="L11" s="23">
        <v>99338.584617405169</v>
      </c>
      <c r="M11" s="33">
        <v>5.1347089580012826</v>
      </c>
      <c r="N11" s="5">
        <v>2</v>
      </c>
      <c r="O11" s="5">
        <v>60</v>
      </c>
      <c r="P11" s="33">
        <v>0</v>
      </c>
      <c r="Q11" s="5">
        <v>24.692407122381162</v>
      </c>
      <c r="R11" s="5">
        <v>1299.5186373611944</v>
      </c>
      <c r="S11" s="42"/>
      <c r="T11" s="23">
        <v>82823.702360868745</v>
      </c>
      <c r="U11" s="33">
        <v>4.1762789170024917</v>
      </c>
      <c r="V11" s="5">
        <v>2</v>
      </c>
      <c r="W11" s="5">
        <v>86.666666666666671</v>
      </c>
      <c r="X11" s="33">
        <v>14.769413609884806</v>
      </c>
      <c r="Y11" s="5">
        <v>56.63724515200677</v>
      </c>
      <c r="Z11" s="5">
        <v>1974.2102691673956</v>
      </c>
      <c r="AA11" s="42"/>
    </row>
    <row r="12" spans="2:27" x14ac:dyDescent="0.2">
      <c r="B12" s="4">
        <v>9</v>
      </c>
      <c r="C12" s="4">
        <v>418</v>
      </c>
      <c r="D12" s="23">
        <v>69577.826935131379</v>
      </c>
      <c r="E12" s="33">
        <v>3.8622060839999222</v>
      </c>
      <c r="F12" s="5">
        <v>2</v>
      </c>
      <c r="G12" s="23">
        <v>96.666666666666671</v>
      </c>
      <c r="H12" s="33">
        <v>11.006948887544052</v>
      </c>
      <c r="I12" s="23">
        <v>44.848323251530175</v>
      </c>
      <c r="J12" s="5">
        <v>1777.1624003856473</v>
      </c>
      <c r="K12" s="31" t="e">
        <f t="shared" si="0"/>
        <v>#DIV/0!</v>
      </c>
      <c r="L12" s="23">
        <v>99338.584617405169</v>
      </c>
      <c r="M12" s="33">
        <v>5.0235678339995502</v>
      </c>
      <c r="N12" s="5">
        <v>2</v>
      </c>
      <c r="O12" s="5">
        <v>60</v>
      </c>
      <c r="P12" s="33">
        <v>0</v>
      </c>
      <c r="Q12" s="5">
        <v>24.692407122381162</v>
      </c>
      <c r="R12" s="5">
        <v>1299.5186373611944</v>
      </c>
      <c r="S12" s="42"/>
      <c r="T12" s="23">
        <v>82823.702360868745</v>
      </c>
      <c r="U12" s="33">
        <v>4.1755117920001794</v>
      </c>
      <c r="V12" s="5">
        <v>2</v>
      </c>
      <c r="W12" s="5">
        <v>86.666666666666671</v>
      </c>
      <c r="X12" s="33">
        <v>14.769413609884806</v>
      </c>
      <c r="Y12" s="5">
        <v>56.63724515200677</v>
      </c>
      <c r="Z12" s="5">
        <v>1974.2102691673956</v>
      </c>
      <c r="AA12" s="42"/>
    </row>
    <row r="13" spans="2:27" x14ac:dyDescent="0.2">
      <c r="B13" s="4">
        <v>10</v>
      </c>
      <c r="C13" s="4">
        <v>900</v>
      </c>
      <c r="D13" s="23">
        <v>69577.826935131379</v>
      </c>
      <c r="E13" s="33">
        <v>3.9040012080000679</v>
      </c>
      <c r="F13" s="5">
        <v>2</v>
      </c>
      <c r="G13" s="23">
        <v>96.666666666666671</v>
      </c>
      <c r="H13" s="33">
        <v>11.006948887544052</v>
      </c>
      <c r="I13" s="23">
        <v>44.848323251530175</v>
      </c>
      <c r="J13" s="5">
        <v>1777.1624003856473</v>
      </c>
      <c r="K13" s="31" t="e">
        <f t="shared" si="0"/>
        <v>#DIV/0!</v>
      </c>
      <c r="L13" s="23">
        <v>99338.584617405169</v>
      </c>
      <c r="M13" s="33">
        <v>5.1489472920002299</v>
      </c>
      <c r="N13" s="5">
        <v>2</v>
      </c>
      <c r="O13" s="5">
        <v>60</v>
      </c>
      <c r="P13" s="33">
        <v>0</v>
      </c>
      <c r="Q13" s="5">
        <v>24.692407122381162</v>
      </c>
      <c r="R13" s="5">
        <v>1299.5186373611944</v>
      </c>
      <c r="S13" s="42"/>
      <c r="T13" s="23">
        <v>82823.702360868745</v>
      </c>
      <c r="U13" s="33">
        <v>4.177275792000728</v>
      </c>
      <c r="V13" s="5">
        <v>2</v>
      </c>
      <c r="W13" s="5">
        <v>86.666666666666671</v>
      </c>
      <c r="X13" s="33">
        <v>14.769413609884806</v>
      </c>
      <c r="Y13" s="5">
        <v>56.63724515200677</v>
      </c>
      <c r="Z13" s="5">
        <v>1974.2102691673956</v>
      </c>
      <c r="AA13" s="42"/>
    </row>
    <row r="14" spans="2:27" x14ac:dyDescent="0.2">
      <c r="B14" s="46" t="s">
        <v>3</v>
      </c>
      <c r="C14" s="47"/>
      <c r="D14" s="9">
        <f>MIN(D4:D13)</f>
        <v>69577.826935131379</v>
      </c>
      <c r="E14" s="22">
        <f>INDEX(E4:E13, MATCH($D$14, D4:D13, 0))</f>
        <v>3.689757750000012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11.006948887544052</v>
      </c>
      <c r="I14" s="22">
        <f>INDEX(I4:I13, MATCH($D$14, D4:D13, 0))</f>
        <v>44.848323251530175</v>
      </c>
      <c r="J14" s="22">
        <f>INDEX(J4:J13, MATCH($D$14, D4:D13, 0))</f>
        <v>1777.1624003856473</v>
      </c>
      <c r="K14" s="32" t="e">
        <f>(D14-$D$15)/$D$15</f>
        <v>#DIV/0!</v>
      </c>
      <c r="L14" s="16">
        <f>MIN(L4:L13)</f>
        <v>99338.584617405169</v>
      </c>
      <c r="M14" s="21">
        <f>INDEX(M4:M13, MATCH($L$14, L4:L13, 0))</f>
        <v>5.1762814160028938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24.692407122381162</v>
      </c>
      <c r="R14" s="21">
        <f>INDEX(R4:R13, MATCH($L$14, L4:L13, 0))</f>
        <v>1299.5186373611944</v>
      </c>
      <c r="S14" s="43" t="e">
        <f>(L14-$D$15)/$D$15</f>
        <v>#DIV/0!</v>
      </c>
      <c r="T14" s="38">
        <f>MIN(T4:T13)</f>
        <v>82823.702360868745</v>
      </c>
      <c r="U14" s="44">
        <f>INDEX(U4:U13, MATCH($T$14, T4:T13, 0))</f>
        <v>3.9973023750026191</v>
      </c>
      <c r="V14" s="38">
        <f>INDEX(V4:V13, MATCH($T$14, T4:T13, 0))</f>
        <v>2</v>
      </c>
      <c r="W14" s="38">
        <f>INDEX(W4:W13, MATCH($T$14, T4:T13, 0))</f>
        <v>86.666666666666671</v>
      </c>
      <c r="X14" s="44">
        <f>INDEX(X4:X13, MATCH($T$14, T4:T13, 0))</f>
        <v>14.769413609884806</v>
      </c>
      <c r="Y14" s="44">
        <f>INDEX(Y4:Y13, MATCH($T$14, T4:T13, 0))</f>
        <v>56.63724515200677</v>
      </c>
      <c r="Z14" s="44">
        <f>INDEX(Z4:Z13, MATCH($T$14, T4:T13, 0))</f>
        <v>1974.2102691673956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77" priority="5"/>
    <cfRule type="duplicateValues" dxfId="76" priority="6"/>
  </conditionalFormatting>
  <conditionalFormatting sqref="C14">
    <cfRule type="duplicateValues" dxfId="75" priority="3"/>
    <cfRule type="duplicateValues" dxfId="74" priority="4"/>
  </conditionalFormatting>
  <conditionalFormatting sqref="C15:C31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4B5E-148D-EA43-B56C-1CC3E4271493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-0.15573396001590045</v>
      </c>
      <c r="T2" s="1" t="s">
        <v>19</v>
      </c>
      <c r="X2" s="1" t="e">
        <f>(X14-P14)/P14</f>
        <v>#DIV/0!</v>
      </c>
      <c r="Z2" s="1">
        <f>(Z14-R14)/R14</f>
        <v>0.42144816415090991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17</v>
      </c>
      <c r="D4" s="23">
        <v>66196.543666189638</v>
      </c>
      <c r="E4" s="33">
        <v>10.23148287499998</v>
      </c>
      <c r="F4" s="5">
        <v>2</v>
      </c>
      <c r="G4" s="23">
        <v>96.666666666666671</v>
      </c>
      <c r="H4" s="33">
        <v>0</v>
      </c>
      <c r="I4" s="23">
        <v>42.862534242648749</v>
      </c>
      <c r="J4" s="5">
        <v>1614.7491647471436</v>
      </c>
      <c r="K4" s="31" t="e">
        <f>(D4-$D$15)/$D$15</f>
        <v>#DIV/0!</v>
      </c>
      <c r="L4" s="23">
        <v>94358.054618895054</v>
      </c>
      <c r="M4" s="33">
        <v>8.7984594580011617</v>
      </c>
      <c r="N4" s="5">
        <v>2</v>
      </c>
      <c r="O4" s="5">
        <v>66.666666666666671</v>
      </c>
      <c r="P4" s="33">
        <v>0</v>
      </c>
      <c r="Q4" s="5">
        <v>22.325255804411746</v>
      </c>
      <c r="R4" s="5">
        <v>1363.2778828887033</v>
      </c>
      <c r="S4" s="42"/>
      <c r="T4" s="23">
        <v>88564.643421416986</v>
      </c>
      <c r="U4" s="33">
        <v>8.4428555840022455</v>
      </c>
      <c r="V4" s="5">
        <v>2</v>
      </c>
      <c r="W4" s="5">
        <v>80</v>
      </c>
      <c r="X4" s="33">
        <v>58.683611709039418</v>
      </c>
      <c r="Y4" s="5">
        <v>54.821631293567499</v>
      </c>
      <c r="Z4" s="5">
        <v>1937.8288438596865</v>
      </c>
      <c r="AA4" s="42"/>
    </row>
    <row r="5" spans="2:27" x14ac:dyDescent="0.2">
      <c r="B5" s="4">
        <v>2</v>
      </c>
      <c r="C5" s="4">
        <v>65</v>
      </c>
      <c r="D5" s="23">
        <v>66196.543666189638</v>
      </c>
      <c r="E5" s="33">
        <v>10.23267666700008</v>
      </c>
      <c r="F5" s="5">
        <v>2</v>
      </c>
      <c r="G5" s="23">
        <v>96.666666666666671</v>
      </c>
      <c r="H5" s="33">
        <v>0</v>
      </c>
      <c r="I5" s="23">
        <v>42.862534242648749</v>
      </c>
      <c r="J5" s="5">
        <v>1614.7491647471436</v>
      </c>
      <c r="K5" s="31" t="e">
        <f>(D5-$D$15)/$D$15</f>
        <v>#DIV/0!</v>
      </c>
      <c r="L5" s="23">
        <v>94358.054618895054</v>
      </c>
      <c r="M5" s="33">
        <v>9.4216716249975434</v>
      </c>
      <c r="N5" s="5">
        <v>2</v>
      </c>
      <c r="O5" s="5">
        <v>66.666666666666671</v>
      </c>
      <c r="P5" s="33">
        <v>0</v>
      </c>
      <c r="Q5" s="5">
        <v>22.325255804411746</v>
      </c>
      <c r="R5" s="5">
        <v>1363.2778828887033</v>
      </c>
      <c r="S5" s="42"/>
      <c r="T5" s="23">
        <v>88564.643421416986</v>
      </c>
      <c r="U5" s="33">
        <v>8.4859227079978155</v>
      </c>
      <c r="V5" s="5">
        <v>2</v>
      </c>
      <c r="W5" s="5">
        <v>80</v>
      </c>
      <c r="X5" s="33">
        <v>58.683611709039418</v>
      </c>
      <c r="Y5" s="5">
        <v>54.821631293567499</v>
      </c>
      <c r="Z5" s="5">
        <v>1937.8288438596865</v>
      </c>
      <c r="AA5" s="42"/>
    </row>
    <row r="6" spans="2:27" x14ac:dyDescent="0.2">
      <c r="B6" s="4">
        <v>3</v>
      </c>
      <c r="C6" s="4">
        <v>91</v>
      </c>
      <c r="D6" s="23">
        <v>66196.543666189638</v>
      </c>
      <c r="E6" s="33">
        <v>10.25645666699995</v>
      </c>
      <c r="F6" s="5">
        <v>2</v>
      </c>
      <c r="G6" s="23">
        <v>96.666666666666671</v>
      </c>
      <c r="H6" s="33">
        <v>0</v>
      </c>
      <c r="I6" s="23">
        <v>42.862534242648749</v>
      </c>
      <c r="J6" s="5">
        <v>1614.7491647471436</v>
      </c>
      <c r="K6" s="31" t="e">
        <f t="shared" ref="K6:K13" si="0">(D6-$D$15)/$D$15</f>
        <v>#DIV/0!</v>
      </c>
      <c r="L6" s="23">
        <v>94358.054618895054</v>
      </c>
      <c r="M6" s="33">
        <v>8.7325117920008779</v>
      </c>
      <c r="N6" s="5">
        <v>2</v>
      </c>
      <c r="O6" s="5">
        <v>66.666666666666671</v>
      </c>
      <c r="P6" s="33">
        <v>0</v>
      </c>
      <c r="Q6" s="5">
        <v>22.325255804411746</v>
      </c>
      <c r="R6" s="5">
        <v>1363.2778828887033</v>
      </c>
      <c r="S6" s="42"/>
      <c r="T6" s="23">
        <v>88564.643421416986</v>
      </c>
      <c r="U6" s="33">
        <v>9.4097038750005595</v>
      </c>
      <c r="V6" s="5">
        <v>2</v>
      </c>
      <c r="W6" s="5">
        <v>80</v>
      </c>
      <c r="X6" s="33">
        <v>58.683611709039418</v>
      </c>
      <c r="Y6" s="5">
        <v>54.821631293567499</v>
      </c>
      <c r="Z6" s="5">
        <v>1937.8288438596865</v>
      </c>
      <c r="AA6" s="42"/>
    </row>
    <row r="7" spans="2:27" x14ac:dyDescent="0.2">
      <c r="B7" s="4">
        <v>4</v>
      </c>
      <c r="C7" s="4">
        <v>246</v>
      </c>
      <c r="D7" s="23">
        <v>66196.543666189638</v>
      </c>
      <c r="E7" s="33">
        <v>9.8780552089999674</v>
      </c>
      <c r="F7" s="5">
        <v>2</v>
      </c>
      <c r="G7" s="23">
        <v>96.666666666666671</v>
      </c>
      <c r="H7" s="33">
        <v>0</v>
      </c>
      <c r="I7" s="23">
        <v>42.862534242648749</v>
      </c>
      <c r="J7" s="5">
        <v>1614.7491647471436</v>
      </c>
      <c r="K7" s="31" t="e">
        <f t="shared" si="0"/>
        <v>#DIV/0!</v>
      </c>
      <c r="L7" s="23">
        <v>94358.054618895054</v>
      </c>
      <c r="M7" s="33">
        <v>8.1735226249984407</v>
      </c>
      <c r="N7" s="5">
        <v>2</v>
      </c>
      <c r="O7" s="5">
        <v>66.666666666666671</v>
      </c>
      <c r="P7" s="33">
        <v>0</v>
      </c>
      <c r="Q7" s="5">
        <v>22.325255804411746</v>
      </c>
      <c r="R7" s="5">
        <v>1363.2778828887033</v>
      </c>
      <c r="S7" s="42"/>
      <c r="T7" s="23">
        <v>88564.643421416986</v>
      </c>
      <c r="U7" s="33">
        <v>9.3072435829999449</v>
      </c>
      <c r="V7" s="5">
        <v>2</v>
      </c>
      <c r="W7" s="5">
        <v>80</v>
      </c>
      <c r="X7" s="33">
        <v>58.683611709039418</v>
      </c>
      <c r="Y7" s="5">
        <v>54.821631293567499</v>
      </c>
      <c r="Z7" s="5">
        <v>1937.8288438596865</v>
      </c>
      <c r="AA7" s="42"/>
    </row>
    <row r="8" spans="2:27" x14ac:dyDescent="0.2">
      <c r="B8" s="4">
        <v>5</v>
      </c>
      <c r="C8" s="4">
        <v>477</v>
      </c>
      <c r="D8" s="23">
        <v>66196.543666189638</v>
      </c>
      <c r="E8" s="33">
        <v>10.409772875000041</v>
      </c>
      <c r="F8" s="5">
        <v>2</v>
      </c>
      <c r="G8" s="23">
        <v>96.666666666666671</v>
      </c>
      <c r="H8" s="33">
        <v>0</v>
      </c>
      <c r="I8" s="23">
        <v>42.862534242648749</v>
      </c>
      <c r="J8" s="5">
        <v>1614.7491647471436</v>
      </c>
      <c r="K8" s="31" t="e">
        <f t="shared" si="0"/>
        <v>#DIV/0!</v>
      </c>
      <c r="L8" s="23">
        <v>94358.054618895054</v>
      </c>
      <c r="M8" s="33">
        <v>8.2619353749978472</v>
      </c>
      <c r="N8" s="5">
        <v>2</v>
      </c>
      <c r="O8" s="5">
        <v>66.666666666666671</v>
      </c>
      <c r="P8" s="33">
        <v>0</v>
      </c>
      <c r="Q8" s="5">
        <v>22.325255804411746</v>
      </c>
      <c r="R8" s="5">
        <v>1363.2778828887033</v>
      </c>
      <c r="S8" s="42"/>
      <c r="T8" s="23">
        <v>88564.643421416986</v>
      </c>
      <c r="U8" s="33">
        <v>10.19868700000006</v>
      </c>
      <c r="V8" s="5">
        <v>2</v>
      </c>
      <c r="W8" s="5">
        <v>80</v>
      </c>
      <c r="X8" s="33">
        <v>58.683611709039418</v>
      </c>
      <c r="Y8" s="5">
        <v>54.821631293567499</v>
      </c>
      <c r="Z8" s="5">
        <v>1937.8288438596865</v>
      </c>
      <c r="AA8" s="42"/>
    </row>
    <row r="9" spans="2:27" x14ac:dyDescent="0.2">
      <c r="B9" s="4">
        <v>6</v>
      </c>
      <c r="C9" s="4">
        <v>649</v>
      </c>
      <c r="D9" s="23">
        <v>66196.543666189638</v>
      </c>
      <c r="E9" s="33">
        <v>10.604610374999989</v>
      </c>
      <c r="F9" s="5">
        <v>2</v>
      </c>
      <c r="G9" s="23">
        <v>96.666666666666671</v>
      </c>
      <c r="H9" s="33">
        <v>0</v>
      </c>
      <c r="I9" s="23">
        <v>42.862534242648749</v>
      </c>
      <c r="J9" s="5">
        <v>1614.7491647471436</v>
      </c>
      <c r="K9" s="31" t="e">
        <f t="shared" si="0"/>
        <v>#DIV/0!</v>
      </c>
      <c r="L9" s="23">
        <v>94358.054618895054</v>
      </c>
      <c r="M9" s="33">
        <v>8.340878041999531</v>
      </c>
      <c r="N9" s="5">
        <v>2</v>
      </c>
      <c r="O9" s="5">
        <v>66.666666666666671</v>
      </c>
      <c r="P9" s="33">
        <v>0</v>
      </c>
      <c r="Q9" s="5">
        <v>22.325255804411746</v>
      </c>
      <c r="R9" s="5">
        <v>1363.2778828887033</v>
      </c>
      <c r="S9" s="42"/>
      <c r="T9" s="23">
        <v>88564.643421416986</v>
      </c>
      <c r="U9" s="33">
        <v>9.6086896249980782</v>
      </c>
      <c r="V9" s="5">
        <v>2</v>
      </c>
      <c r="W9" s="5">
        <v>80</v>
      </c>
      <c r="X9" s="33">
        <v>58.683611709039418</v>
      </c>
      <c r="Y9" s="5">
        <v>54.821631293567499</v>
      </c>
      <c r="Z9" s="5">
        <v>1937.8288438596865</v>
      </c>
      <c r="AA9" s="42"/>
    </row>
    <row r="10" spans="2:27" x14ac:dyDescent="0.2">
      <c r="B10" s="4">
        <v>7</v>
      </c>
      <c r="C10" s="4">
        <v>693</v>
      </c>
      <c r="D10" s="23">
        <v>66196.543666189638</v>
      </c>
      <c r="E10" s="33">
        <v>10.44747675000008</v>
      </c>
      <c r="F10" s="5">
        <v>2</v>
      </c>
      <c r="G10" s="23">
        <v>96.666666666666671</v>
      </c>
      <c r="H10" s="33">
        <v>0</v>
      </c>
      <c r="I10" s="23">
        <v>42.862534242648749</v>
      </c>
      <c r="J10" s="5">
        <v>1614.7491647471436</v>
      </c>
      <c r="K10" s="31" t="e">
        <f t="shared" si="0"/>
        <v>#DIV/0!</v>
      </c>
      <c r="L10" s="23">
        <v>94358.054618895054</v>
      </c>
      <c r="M10" s="33">
        <v>8.3195907089975663</v>
      </c>
      <c r="N10" s="5">
        <v>2</v>
      </c>
      <c r="O10" s="5">
        <v>66.666666666666671</v>
      </c>
      <c r="P10" s="33">
        <v>0</v>
      </c>
      <c r="Q10" s="5">
        <v>22.325255804411746</v>
      </c>
      <c r="R10" s="5">
        <v>1363.2778828887033</v>
      </c>
      <c r="S10" s="42"/>
      <c r="T10" s="23">
        <v>88564.643421416986</v>
      </c>
      <c r="U10" s="33">
        <v>8.6457186250008817</v>
      </c>
      <c r="V10" s="5">
        <v>2</v>
      </c>
      <c r="W10" s="5">
        <v>80</v>
      </c>
      <c r="X10" s="33">
        <v>58.683611709039418</v>
      </c>
      <c r="Y10" s="5">
        <v>54.821631293567499</v>
      </c>
      <c r="Z10" s="5">
        <v>1937.8288438596865</v>
      </c>
      <c r="AA10" s="42"/>
    </row>
    <row r="11" spans="2:27" x14ac:dyDescent="0.2">
      <c r="B11" s="4">
        <v>8</v>
      </c>
      <c r="C11" s="4">
        <v>743</v>
      </c>
      <c r="D11" s="23">
        <v>66196.543666189638</v>
      </c>
      <c r="E11" s="33">
        <v>10.56686483300007</v>
      </c>
      <c r="F11" s="5">
        <v>2</v>
      </c>
      <c r="G11" s="23">
        <v>96.666666666666671</v>
      </c>
      <c r="H11" s="33">
        <v>0</v>
      </c>
      <c r="I11" s="23">
        <v>42.862534242648749</v>
      </c>
      <c r="J11" s="5">
        <v>1614.7491647471436</v>
      </c>
      <c r="K11" s="31" t="e">
        <f t="shared" si="0"/>
        <v>#DIV/0!</v>
      </c>
      <c r="L11" s="23">
        <v>94358.054618895054</v>
      </c>
      <c r="M11" s="33">
        <v>8.4234283330006292</v>
      </c>
      <c r="N11" s="5">
        <v>2</v>
      </c>
      <c r="O11" s="5">
        <v>66.666666666666671</v>
      </c>
      <c r="P11" s="33">
        <v>0</v>
      </c>
      <c r="Q11" s="5">
        <v>22.325255804411746</v>
      </c>
      <c r="R11" s="5">
        <v>1363.2778828887033</v>
      </c>
      <c r="S11" s="42"/>
      <c r="T11" s="23">
        <v>88564.643421416986</v>
      </c>
      <c r="U11" s="33">
        <v>8.8194859579998592</v>
      </c>
      <c r="V11" s="5">
        <v>2</v>
      </c>
      <c r="W11" s="5">
        <v>80</v>
      </c>
      <c r="X11" s="33">
        <v>58.683611709039418</v>
      </c>
      <c r="Y11" s="5">
        <v>54.821631293567499</v>
      </c>
      <c r="Z11" s="5">
        <v>1937.8288438596865</v>
      </c>
      <c r="AA11" s="42"/>
    </row>
    <row r="12" spans="2:27" x14ac:dyDescent="0.2">
      <c r="B12" s="4">
        <v>9</v>
      </c>
      <c r="C12" s="4">
        <v>868</v>
      </c>
      <c r="D12" s="23">
        <v>66196.543666189638</v>
      </c>
      <c r="E12" s="33">
        <v>10.580495875</v>
      </c>
      <c r="F12" s="5">
        <v>2</v>
      </c>
      <c r="G12" s="23">
        <v>96.666666666666671</v>
      </c>
      <c r="H12" s="33">
        <v>0</v>
      </c>
      <c r="I12" s="23">
        <v>42.862534242648749</v>
      </c>
      <c r="J12" s="5">
        <v>1614.7491647471436</v>
      </c>
      <c r="K12" s="31" t="e">
        <f t="shared" si="0"/>
        <v>#DIV/0!</v>
      </c>
      <c r="L12" s="23">
        <v>94358.054618895054</v>
      </c>
      <c r="M12" s="33">
        <v>9.4137504159989476</v>
      </c>
      <c r="N12" s="5">
        <v>2</v>
      </c>
      <c r="O12" s="5">
        <v>66.666666666666671</v>
      </c>
      <c r="P12" s="33">
        <v>0</v>
      </c>
      <c r="Q12" s="5">
        <v>22.325255804411746</v>
      </c>
      <c r="R12" s="5">
        <v>1363.2778828887033</v>
      </c>
      <c r="S12" s="42"/>
      <c r="T12" s="23">
        <v>88564.643421416986</v>
      </c>
      <c r="U12" s="33">
        <v>9.5841329169998062</v>
      </c>
      <c r="V12" s="5">
        <v>2</v>
      </c>
      <c r="W12" s="5">
        <v>80</v>
      </c>
      <c r="X12" s="33">
        <v>58.683611709039418</v>
      </c>
      <c r="Y12" s="5">
        <v>54.821631293567499</v>
      </c>
      <c r="Z12" s="5">
        <v>1937.8288438596865</v>
      </c>
      <c r="AA12" s="42"/>
    </row>
    <row r="13" spans="2:27" x14ac:dyDescent="0.2">
      <c r="B13" s="4">
        <v>10</v>
      </c>
      <c r="C13" s="4">
        <v>992</v>
      </c>
      <c r="D13" s="23">
        <v>66196.543666189638</v>
      </c>
      <c r="E13" s="33">
        <v>10.053076749999949</v>
      </c>
      <c r="F13" s="5">
        <v>2</v>
      </c>
      <c r="G13" s="23">
        <v>96.666666666666671</v>
      </c>
      <c r="H13" s="33">
        <v>0</v>
      </c>
      <c r="I13" s="23">
        <v>42.862534242648749</v>
      </c>
      <c r="J13" s="5">
        <v>1614.7491647471436</v>
      </c>
      <c r="K13" s="31" t="e">
        <f t="shared" si="0"/>
        <v>#DIV/0!</v>
      </c>
      <c r="L13" s="23">
        <v>94358.054618895054</v>
      </c>
      <c r="M13" s="33">
        <v>8.7068865000001097</v>
      </c>
      <c r="N13" s="5">
        <v>2</v>
      </c>
      <c r="O13" s="5">
        <v>66.666666666666671</v>
      </c>
      <c r="P13" s="33">
        <v>0</v>
      </c>
      <c r="Q13" s="5">
        <v>22.325255804411746</v>
      </c>
      <c r="R13" s="5">
        <v>1363.2778828887033</v>
      </c>
      <c r="S13" s="42"/>
      <c r="T13" s="23">
        <v>88564.643421416986</v>
      </c>
      <c r="U13" s="33">
        <v>11.40459750000082</v>
      </c>
      <c r="V13" s="5">
        <v>2</v>
      </c>
      <c r="W13" s="5">
        <v>80</v>
      </c>
      <c r="X13" s="33">
        <v>58.683611709039418</v>
      </c>
      <c r="Y13" s="5">
        <v>54.821631293567499</v>
      </c>
      <c r="Z13" s="5">
        <v>1937.8288438596865</v>
      </c>
      <c r="AA13" s="42"/>
    </row>
    <row r="14" spans="2:27" x14ac:dyDescent="0.2">
      <c r="B14" s="46" t="s">
        <v>3</v>
      </c>
      <c r="C14" s="47"/>
      <c r="D14" s="9">
        <f>MIN(D4:D13)</f>
        <v>66196.543666189638</v>
      </c>
      <c r="E14" s="22">
        <f>INDEX(E4:E13, MATCH($D$14, D4:D13, 0))</f>
        <v>10.23148287499998</v>
      </c>
      <c r="F14" s="9">
        <f>INDEX(F4:F13, MATCH($D$14, D4:D13, 0))</f>
        <v>2</v>
      </c>
      <c r="G14" s="9">
        <f>INDEX(G4:G13, MATCH($D$14, D4:D13, 0))</f>
        <v>96.666666666666671</v>
      </c>
      <c r="H14" s="22">
        <f>INDEX(H4:H13, MATCH($D$14, D4:D13, 0))</f>
        <v>0</v>
      </c>
      <c r="I14" s="22">
        <f>INDEX(I4:I13, MATCH($D$14, D4:D13, 0))</f>
        <v>42.862534242648749</v>
      </c>
      <c r="J14" s="22">
        <f>INDEX(J4:J13, MATCH($D$14, D4:D13, 0))</f>
        <v>1614.7491647471436</v>
      </c>
      <c r="K14" s="32" t="e">
        <f>(D14-$D$15)/$D$15</f>
        <v>#DIV/0!</v>
      </c>
      <c r="L14" s="16">
        <f>MIN(L4:L13)</f>
        <v>94358.054618895054</v>
      </c>
      <c r="M14" s="21">
        <f>INDEX(M4:M13, MATCH($L$14, L4:L13, 0))</f>
        <v>8.7984594580011617</v>
      </c>
      <c r="N14" s="16">
        <f>INDEX(N4:N13, MATCH($L$14, L4:L13, 0))</f>
        <v>2</v>
      </c>
      <c r="O14" s="16">
        <f>INDEX(O4:O13, MATCH($L$14, L4:L13, 0))</f>
        <v>66.666666666666671</v>
      </c>
      <c r="P14" s="21">
        <f>INDEX(P4:P13, MATCH($L$14, L4:L13, 0))</f>
        <v>0</v>
      </c>
      <c r="Q14" s="21">
        <f>INDEX(Q4:Q13, MATCH($L$14, L4:L13, 0))</f>
        <v>22.325255804411746</v>
      </c>
      <c r="R14" s="21">
        <f>INDEX(R4:R13, MATCH($L$14, L4:L13, 0))</f>
        <v>1363.2778828887033</v>
      </c>
      <c r="S14" s="43" t="e">
        <f>(L14-$D$15)/$D$15</f>
        <v>#DIV/0!</v>
      </c>
      <c r="T14" s="38">
        <f>MIN(T4:T13)</f>
        <v>88564.643421416986</v>
      </c>
      <c r="U14" s="44">
        <f>INDEX(U4:U13, MATCH($T$14, T4:T13, 0))</f>
        <v>8.4428555840022455</v>
      </c>
      <c r="V14" s="38">
        <f>INDEX(V4:V13, MATCH($T$14, T4:T13, 0))</f>
        <v>2</v>
      </c>
      <c r="W14" s="38">
        <f>INDEX(W4:W13, MATCH($T$14, T4:T13, 0))</f>
        <v>80</v>
      </c>
      <c r="X14" s="44">
        <f>INDEX(X4:X13, MATCH($T$14, T4:T13, 0))</f>
        <v>58.683611709039418</v>
      </c>
      <c r="Y14" s="44">
        <f>INDEX(Y4:Y13, MATCH($T$14, T4:T13, 0))</f>
        <v>54.821631293567499</v>
      </c>
      <c r="Z14" s="44">
        <f>INDEX(Z4:Z13, MATCH($T$14, T4:T13, 0))</f>
        <v>1937.8288438596865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73" priority="5"/>
    <cfRule type="duplicateValues" dxfId="72" priority="6"/>
  </conditionalFormatting>
  <conditionalFormatting sqref="C14">
    <cfRule type="duplicateValues" dxfId="71" priority="3"/>
    <cfRule type="duplicateValues" dxfId="70" priority="4"/>
  </conditionalFormatting>
  <conditionalFormatting sqref="C15:C31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C6C2-DC40-6A44-939C-297D5E3E9325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-0.83147971227939788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-0.30572331763496846</v>
      </c>
      <c r="T2" s="1" t="s">
        <v>19</v>
      </c>
      <c r="X2" s="1" t="e">
        <f>(X14-P14)/P14</f>
        <v>#DIV/0!</v>
      </c>
      <c r="Z2" s="1">
        <f>(Z14-R14)/R14</f>
        <v>0.45434803714233535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22</v>
      </c>
      <c r="D4" s="23">
        <v>90790.964050958981</v>
      </c>
      <c r="E4" s="33">
        <v>9.6909229159999768</v>
      </c>
      <c r="F4" s="5">
        <v>2</v>
      </c>
      <c r="G4" s="23">
        <v>90</v>
      </c>
      <c r="H4" s="33">
        <v>91.463461252108488</v>
      </c>
      <c r="I4" s="23">
        <v>29.6740462798059</v>
      </c>
      <c r="J4" s="5">
        <v>2114.4697039795055</v>
      </c>
      <c r="K4" s="31" t="e">
        <f>(D4-$D$15)/$D$15</f>
        <v>#DIV/0!</v>
      </c>
      <c r="L4" s="23">
        <v>103142.1911885085</v>
      </c>
      <c r="M4" s="33">
        <v>7.8704708340010257</v>
      </c>
      <c r="N4" s="5">
        <v>2</v>
      </c>
      <c r="O4" s="5">
        <v>60</v>
      </c>
      <c r="P4" s="33">
        <v>0</v>
      </c>
      <c r="Q4" s="5">
        <v>15.413448806127466</v>
      </c>
      <c r="R4" s="5">
        <v>1468.0270110402614</v>
      </c>
      <c r="S4" s="42"/>
      <c r="T4" s="23">
        <v>107418.566223321</v>
      </c>
      <c r="U4" s="33">
        <v>9.1696825829967565</v>
      </c>
      <c r="V4" s="5">
        <v>2</v>
      </c>
      <c r="W4" s="5">
        <v>70</v>
      </c>
      <c r="X4" s="33">
        <v>105.98741461693268</v>
      </c>
      <c r="Y4" s="5">
        <v>30.541769701433914</v>
      </c>
      <c r="Z4" s="5">
        <v>2135.0222019783337</v>
      </c>
      <c r="AA4" s="42"/>
    </row>
    <row r="5" spans="2:27" x14ac:dyDescent="0.2">
      <c r="B5" s="4">
        <v>2</v>
      </c>
      <c r="C5" s="4">
        <v>84</v>
      </c>
      <c r="D5" s="23">
        <v>90790.964050958981</v>
      </c>
      <c r="E5" s="33">
        <v>9.3483867090000103</v>
      </c>
      <c r="F5" s="5">
        <v>2</v>
      </c>
      <c r="G5" s="23">
        <v>90</v>
      </c>
      <c r="H5" s="33">
        <v>91.463461252108488</v>
      </c>
      <c r="I5" s="23">
        <v>29.6740462798059</v>
      </c>
      <c r="J5" s="5">
        <v>2114.4697039795055</v>
      </c>
      <c r="K5" s="31" t="e">
        <f>(D5-$D$15)/$D$15</f>
        <v>#DIV/0!</v>
      </c>
      <c r="L5" s="23">
        <v>103142.1911885085</v>
      </c>
      <c r="M5" s="33">
        <v>8.0552055410007597</v>
      </c>
      <c r="N5" s="5">
        <v>2</v>
      </c>
      <c r="O5" s="5">
        <v>60</v>
      </c>
      <c r="P5" s="33">
        <v>0</v>
      </c>
      <c r="Q5" s="5">
        <v>15.413448806127466</v>
      </c>
      <c r="R5" s="5">
        <v>1468.0270110402614</v>
      </c>
      <c r="S5" s="42"/>
      <c r="T5" s="23">
        <v>107418.566223321</v>
      </c>
      <c r="U5" s="33">
        <v>8.5906436670011317</v>
      </c>
      <c r="V5" s="5">
        <v>2</v>
      </c>
      <c r="W5" s="5">
        <v>70</v>
      </c>
      <c r="X5" s="33">
        <v>105.98741461693268</v>
      </c>
      <c r="Y5" s="5">
        <v>30.541769701433914</v>
      </c>
      <c r="Z5" s="5">
        <v>2135.0222019783337</v>
      </c>
      <c r="AA5" s="42"/>
    </row>
    <row r="6" spans="2:27" x14ac:dyDescent="0.2">
      <c r="B6" s="4">
        <v>3</v>
      </c>
      <c r="C6" s="4">
        <v>150</v>
      </c>
      <c r="D6" s="23">
        <v>90790.964050958981</v>
      </c>
      <c r="E6" s="33">
        <v>9.879870791999906</v>
      </c>
      <c r="F6" s="5">
        <v>2</v>
      </c>
      <c r="G6" s="23">
        <v>90</v>
      </c>
      <c r="H6" s="33">
        <v>91.463461252108488</v>
      </c>
      <c r="I6" s="23">
        <v>29.6740462798059</v>
      </c>
      <c r="J6" s="5">
        <v>2114.4697039795055</v>
      </c>
      <c r="K6" s="31" t="e">
        <f t="shared" ref="K6:K13" si="0">(D6-$D$15)/$D$15</f>
        <v>#DIV/0!</v>
      </c>
      <c r="L6" s="23">
        <v>103142.1911885085</v>
      </c>
      <c r="M6" s="33">
        <v>7.9291584579987102</v>
      </c>
      <c r="N6" s="5">
        <v>2</v>
      </c>
      <c r="O6" s="5">
        <v>60</v>
      </c>
      <c r="P6" s="33">
        <v>0</v>
      </c>
      <c r="Q6" s="5">
        <v>15.413448806127466</v>
      </c>
      <c r="R6" s="5">
        <v>1468.0270110402614</v>
      </c>
      <c r="S6" s="42"/>
      <c r="T6" s="23">
        <v>107418.566223321</v>
      </c>
      <c r="U6" s="33">
        <v>8.6584196250005334</v>
      </c>
      <c r="V6" s="5">
        <v>2</v>
      </c>
      <c r="W6" s="5">
        <v>70</v>
      </c>
      <c r="X6" s="33">
        <v>105.98741461693268</v>
      </c>
      <c r="Y6" s="5">
        <v>30.541769701433914</v>
      </c>
      <c r="Z6" s="5">
        <v>2135.0222019783337</v>
      </c>
      <c r="AA6" s="42"/>
    </row>
    <row r="7" spans="2:27" x14ac:dyDescent="0.2">
      <c r="B7" s="4">
        <v>4</v>
      </c>
      <c r="C7" s="4">
        <v>164</v>
      </c>
      <c r="D7" s="23">
        <v>90790.964050958981</v>
      </c>
      <c r="E7" s="33">
        <v>9.5201857920000066</v>
      </c>
      <c r="F7" s="5">
        <v>2</v>
      </c>
      <c r="G7" s="23">
        <v>90</v>
      </c>
      <c r="H7" s="33">
        <v>91.463461252108488</v>
      </c>
      <c r="I7" s="23">
        <v>29.6740462798059</v>
      </c>
      <c r="J7" s="5">
        <v>2114.4697039795055</v>
      </c>
      <c r="K7" s="31" t="e">
        <f t="shared" si="0"/>
        <v>#DIV/0!</v>
      </c>
      <c r="L7" s="23">
        <v>103142.1911885085</v>
      </c>
      <c r="M7" s="33">
        <v>8.0591705830011051</v>
      </c>
      <c r="N7" s="5">
        <v>2</v>
      </c>
      <c r="O7" s="5">
        <v>60</v>
      </c>
      <c r="P7" s="33">
        <v>0</v>
      </c>
      <c r="Q7" s="5">
        <v>15.413448806127466</v>
      </c>
      <c r="R7" s="5">
        <v>1468.0270110402614</v>
      </c>
      <c r="S7" s="42"/>
      <c r="T7" s="23">
        <v>107418.566223321</v>
      </c>
      <c r="U7" s="33">
        <v>7.8779430840004352</v>
      </c>
      <c r="V7" s="5">
        <v>2</v>
      </c>
      <c r="W7" s="5">
        <v>70</v>
      </c>
      <c r="X7" s="33">
        <v>105.98741461693268</v>
      </c>
      <c r="Y7" s="5">
        <v>30.541769701433914</v>
      </c>
      <c r="Z7" s="5">
        <v>2135.0222019783337</v>
      </c>
      <c r="AA7" s="42"/>
    </row>
    <row r="8" spans="2:27" x14ac:dyDescent="0.2">
      <c r="B8" s="4">
        <v>5</v>
      </c>
      <c r="C8" s="4">
        <v>219</v>
      </c>
      <c r="D8" s="23">
        <v>90790.964050958981</v>
      </c>
      <c r="E8" s="33">
        <v>9.9128888330000109</v>
      </c>
      <c r="F8" s="5">
        <v>2</v>
      </c>
      <c r="G8" s="23">
        <v>90</v>
      </c>
      <c r="H8" s="33">
        <v>91.463461252108488</v>
      </c>
      <c r="I8" s="23">
        <v>29.6740462798059</v>
      </c>
      <c r="J8" s="5">
        <v>2114.4697039795055</v>
      </c>
      <c r="K8" s="31" t="e">
        <f t="shared" si="0"/>
        <v>#DIV/0!</v>
      </c>
      <c r="L8" s="23">
        <v>103142.1911885085</v>
      </c>
      <c r="M8" s="33">
        <v>8.0655556249985239</v>
      </c>
      <c r="N8" s="5">
        <v>2</v>
      </c>
      <c r="O8" s="5">
        <v>60</v>
      </c>
      <c r="P8" s="33">
        <v>0</v>
      </c>
      <c r="Q8" s="5">
        <v>15.413448806127466</v>
      </c>
      <c r="R8" s="5">
        <v>1468.0270110402614</v>
      </c>
      <c r="S8" s="42"/>
      <c r="T8" s="23">
        <v>107418.566223321</v>
      </c>
      <c r="U8" s="33">
        <v>8.0550283750017115</v>
      </c>
      <c r="V8" s="5">
        <v>2</v>
      </c>
      <c r="W8" s="5">
        <v>70</v>
      </c>
      <c r="X8" s="33">
        <v>105.98741461693268</v>
      </c>
      <c r="Y8" s="5">
        <v>30.541769701433914</v>
      </c>
      <c r="Z8" s="5">
        <v>2135.0222019783337</v>
      </c>
      <c r="AA8" s="42"/>
    </row>
    <row r="9" spans="2:27" x14ac:dyDescent="0.2">
      <c r="B9" s="4">
        <v>6</v>
      </c>
      <c r="C9" s="4">
        <v>290</v>
      </c>
      <c r="D9" s="23">
        <v>90790.964050958981</v>
      </c>
      <c r="E9" s="33">
        <v>9.7105392500000107</v>
      </c>
      <c r="F9" s="5">
        <v>2</v>
      </c>
      <c r="G9" s="23">
        <v>90</v>
      </c>
      <c r="H9" s="33">
        <v>91.463461252108488</v>
      </c>
      <c r="I9" s="23">
        <v>29.6740462798059</v>
      </c>
      <c r="J9" s="5">
        <v>2114.4697039795055</v>
      </c>
      <c r="K9" s="31" t="e">
        <f t="shared" si="0"/>
        <v>#DIV/0!</v>
      </c>
      <c r="L9" s="23">
        <v>115594.813374848</v>
      </c>
      <c r="M9" s="33">
        <v>5.7585167920005924</v>
      </c>
      <c r="N9" s="5">
        <v>2</v>
      </c>
      <c r="O9" s="5">
        <v>50</v>
      </c>
      <c r="P9" s="33">
        <v>0</v>
      </c>
      <c r="Q9" s="5">
        <v>15.452418310364335</v>
      </c>
      <c r="R9" s="5">
        <v>1521.8882378338697</v>
      </c>
      <c r="S9" s="42"/>
      <c r="T9" s="23">
        <v>107418.566223321</v>
      </c>
      <c r="U9" s="33">
        <v>7.9716321250016344</v>
      </c>
      <c r="V9" s="5">
        <v>2</v>
      </c>
      <c r="W9" s="5">
        <v>70</v>
      </c>
      <c r="X9" s="33">
        <v>105.98741461693268</v>
      </c>
      <c r="Y9" s="5">
        <v>30.541769701433914</v>
      </c>
      <c r="Z9" s="5">
        <v>2135.0222019783337</v>
      </c>
      <c r="AA9" s="42"/>
    </row>
    <row r="10" spans="2:27" x14ac:dyDescent="0.2">
      <c r="B10" s="4">
        <v>7</v>
      </c>
      <c r="C10" s="4">
        <v>461</v>
      </c>
      <c r="D10" s="23">
        <v>90790.964050958981</v>
      </c>
      <c r="E10" s="33">
        <v>9.8198854580000443</v>
      </c>
      <c r="F10" s="5">
        <v>2</v>
      </c>
      <c r="G10" s="23">
        <v>90</v>
      </c>
      <c r="H10" s="33">
        <v>91.463461252108488</v>
      </c>
      <c r="I10" s="23">
        <v>29.6740462798059</v>
      </c>
      <c r="J10" s="5">
        <v>2114.4697039795055</v>
      </c>
      <c r="K10" s="31" t="e">
        <f t="shared" si="0"/>
        <v>#DIV/0!</v>
      </c>
      <c r="L10" s="23">
        <v>103142.1911885085</v>
      </c>
      <c r="M10" s="33">
        <v>8.2261664999969071</v>
      </c>
      <c r="N10" s="5">
        <v>2</v>
      </c>
      <c r="O10" s="5">
        <v>60</v>
      </c>
      <c r="P10" s="33">
        <v>0</v>
      </c>
      <c r="Q10" s="5">
        <v>15.413448806127466</v>
      </c>
      <c r="R10" s="5">
        <v>1468.0270110402614</v>
      </c>
      <c r="S10" s="42"/>
      <c r="T10" s="23">
        <v>107418.566223321</v>
      </c>
      <c r="U10" s="33">
        <v>8.1991844170006516</v>
      </c>
      <c r="V10" s="5">
        <v>2</v>
      </c>
      <c r="W10" s="5">
        <v>70</v>
      </c>
      <c r="X10" s="33">
        <v>105.98741461693268</v>
      </c>
      <c r="Y10" s="5">
        <v>30.541769701433914</v>
      </c>
      <c r="Z10" s="5">
        <v>2135.0222019783337</v>
      </c>
      <c r="AA10" s="42"/>
    </row>
    <row r="11" spans="2:27" x14ac:dyDescent="0.2">
      <c r="B11" s="4">
        <v>8</v>
      </c>
      <c r="C11" s="4">
        <v>709</v>
      </c>
      <c r="D11" s="23">
        <v>90790.964050958981</v>
      </c>
      <c r="E11" s="33">
        <v>9.8106027080000331</v>
      </c>
      <c r="F11" s="5">
        <v>2</v>
      </c>
      <c r="G11" s="23">
        <v>90</v>
      </c>
      <c r="H11" s="33">
        <v>91.463461252108488</v>
      </c>
      <c r="I11" s="23">
        <v>29.6740462798059</v>
      </c>
      <c r="J11" s="5">
        <v>2114.4697039795055</v>
      </c>
      <c r="K11" s="31" t="e">
        <f t="shared" si="0"/>
        <v>#DIV/0!</v>
      </c>
      <c r="L11" s="23">
        <v>103142.1911885085</v>
      </c>
      <c r="M11" s="33">
        <v>8.1087365839994163</v>
      </c>
      <c r="N11" s="5">
        <v>2</v>
      </c>
      <c r="O11" s="5">
        <v>60</v>
      </c>
      <c r="P11" s="33">
        <v>0</v>
      </c>
      <c r="Q11" s="5">
        <v>15.413448806127466</v>
      </c>
      <c r="R11" s="5">
        <v>1468.0270110402614</v>
      </c>
      <c r="S11" s="42"/>
      <c r="T11" s="23">
        <v>107418.566223321</v>
      </c>
      <c r="U11" s="33">
        <v>8.0587901670005522</v>
      </c>
      <c r="V11" s="5">
        <v>2</v>
      </c>
      <c r="W11" s="5">
        <v>70</v>
      </c>
      <c r="X11" s="33">
        <v>105.98741461693268</v>
      </c>
      <c r="Y11" s="5">
        <v>30.541769701433914</v>
      </c>
      <c r="Z11" s="5">
        <v>2135.0222019783337</v>
      </c>
      <c r="AA11" s="42"/>
    </row>
    <row r="12" spans="2:27" x14ac:dyDescent="0.2">
      <c r="B12" s="4">
        <v>9</v>
      </c>
      <c r="C12" s="4">
        <v>894</v>
      </c>
      <c r="D12" s="23">
        <v>90790.964050958981</v>
      </c>
      <c r="E12" s="33">
        <v>9.4106597080000256</v>
      </c>
      <c r="F12" s="5">
        <v>2</v>
      </c>
      <c r="G12" s="23">
        <v>90</v>
      </c>
      <c r="H12" s="33">
        <v>91.463461252108488</v>
      </c>
      <c r="I12" s="23">
        <v>29.6740462798059</v>
      </c>
      <c r="J12" s="5">
        <v>2114.4697039795055</v>
      </c>
      <c r="K12" s="31" t="e">
        <f t="shared" si="0"/>
        <v>#DIV/0!</v>
      </c>
      <c r="L12" s="23">
        <v>103142.1911885085</v>
      </c>
      <c r="M12" s="33">
        <v>8.2691489589997218</v>
      </c>
      <c r="N12" s="5">
        <v>2</v>
      </c>
      <c r="O12" s="5">
        <v>60</v>
      </c>
      <c r="P12" s="33">
        <v>0</v>
      </c>
      <c r="Q12" s="5">
        <v>15.413448806127466</v>
      </c>
      <c r="R12" s="5">
        <v>1468.0270110402614</v>
      </c>
      <c r="S12" s="42"/>
      <c r="T12" s="23">
        <v>107418.566223321</v>
      </c>
      <c r="U12" s="33">
        <v>8.1837814159989648</v>
      </c>
      <c r="V12" s="5">
        <v>2</v>
      </c>
      <c r="W12" s="5">
        <v>70</v>
      </c>
      <c r="X12" s="33">
        <v>105.98741461693268</v>
      </c>
      <c r="Y12" s="5">
        <v>30.541769701433914</v>
      </c>
      <c r="Z12" s="5">
        <v>2135.0222019783337</v>
      </c>
      <c r="AA12" s="42"/>
    </row>
    <row r="13" spans="2:27" x14ac:dyDescent="0.2">
      <c r="B13" s="4">
        <v>10</v>
      </c>
      <c r="C13" s="4">
        <v>895</v>
      </c>
      <c r="D13" s="23">
        <v>90790.964050958981</v>
      </c>
      <c r="E13" s="33">
        <v>9.562463374999993</v>
      </c>
      <c r="F13" s="5">
        <v>2</v>
      </c>
      <c r="G13" s="23">
        <v>90</v>
      </c>
      <c r="H13" s="33">
        <v>91.463461252108488</v>
      </c>
      <c r="I13" s="23">
        <v>29.6740462798059</v>
      </c>
      <c r="J13" s="5">
        <v>2114.4697039795055</v>
      </c>
      <c r="K13" s="31" t="e">
        <f t="shared" si="0"/>
        <v>#DIV/0!</v>
      </c>
      <c r="L13" s="23">
        <v>103142.1911885085</v>
      </c>
      <c r="M13" s="33">
        <v>8.11013641700265</v>
      </c>
      <c r="N13" s="5">
        <v>2</v>
      </c>
      <c r="O13" s="5">
        <v>60</v>
      </c>
      <c r="P13" s="33">
        <v>0</v>
      </c>
      <c r="Q13" s="5">
        <v>15.413448806127466</v>
      </c>
      <c r="R13" s="5">
        <v>1468.0270110402614</v>
      </c>
      <c r="S13" s="42"/>
      <c r="T13" s="23">
        <v>107418.566223321</v>
      </c>
      <c r="U13" s="33">
        <v>7.9295256250006787</v>
      </c>
      <c r="V13" s="5">
        <v>2</v>
      </c>
      <c r="W13" s="5">
        <v>70</v>
      </c>
      <c r="X13" s="33">
        <v>105.98741461693268</v>
      </c>
      <c r="Y13" s="5">
        <v>30.541769701433914</v>
      </c>
      <c r="Z13" s="5">
        <v>2135.0222019783337</v>
      </c>
      <c r="AA13" s="42"/>
    </row>
    <row r="14" spans="2:27" x14ac:dyDescent="0.2">
      <c r="B14" s="46" t="s">
        <v>3</v>
      </c>
      <c r="C14" s="47"/>
      <c r="D14" s="9">
        <f>MIN(D4:D13)</f>
        <v>90790.964050958981</v>
      </c>
      <c r="E14" s="22">
        <f>INDEX(E4:E13, MATCH($D$14, D4:D13, 0))</f>
        <v>9.6909229159999768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91.463461252108488</v>
      </c>
      <c r="I14" s="22">
        <f>INDEX(I4:I13, MATCH($D$14, D4:D13, 0))</f>
        <v>29.6740462798059</v>
      </c>
      <c r="J14" s="22">
        <f>INDEX(J4:J13, MATCH($D$14, D4:D13, 0))</f>
        <v>2114.4697039795055</v>
      </c>
      <c r="K14" s="32" t="e">
        <f>(D14-$D$15)/$D$15</f>
        <v>#DIV/0!</v>
      </c>
      <c r="L14" s="16">
        <f>MIN(L4:L13)</f>
        <v>103142.1911885085</v>
      </c>
      <c r="M14" s="21">
        <f>INDEX(M4:M13, MATCH($L$14, L4:L13, 0))</f>
        <v>7.8704708340010257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15.413448806127466</v>
      </c>
      <c r="R14" s="21">
        <f>INDEX(R4:R13, MATCH($L$14, L4:L13, 0))</f>
        <v>1468.0270110402614</v>
      </c>
      <c r="S14" s="43" t="e">
        <f>(L14-$D$15)/$D$15</f>
        <v>#DIV/0!</v>
      </c>
      <c r="T14" s="38">
        <f>MIN(T4:T13)</f>
        <v>107418.566223321</v>
      </c>
      <c r="U14" s="44">
        <f>INDEX(U4:U13, MATCH($T$14, T4:T13, 0))</f>
        <v>9.1696825829967565</v>
      </c>
      <c r="V14" s="38">
        <f>INDEX(V4:V13, MATCH($T$14, T4:T13, 0))</f>
        <v>2</v>
      </c>
      <c r="W14" s="38">
        <f>INDEX(W4:W13, MATCH($T$14, T4:T13, 0))</f>
        <v>70</v>
      </c>
      <c r="X14" s="44">
        <f>INDEX(X4:X13, MATCH($T$14, T4:T13, 0))</f>
        <v>105.98741461693268</v>
      </c>
      <c r="Y14" s="44">
        <f>INDEX(Y4:Y13, MATCH($T$14, T4:T13, 0))</f>
        <v>30.541769701433914</v>
      </c>
      <c r="Z14" s="44">
        <f>INDEX(Z4:Z13, MATCH($T$14, T4:T13, 0))</f>
        <v>2135.0222019783337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69" priority="5"/>
    <cfRule type="duplicateValues" dxfId="68" priority="6"/>
  </conditionalFormatting>
  <conditionalFormatting sqref="C14">
    <cfRule type="duplicateValues" dxfId="67" priority="3"/>
    <cfRule type="duplicateValues" dxfId="66" priority="4"/>
  </conditionalFormatting>
  <conditionalFormatting sqref="C15:C3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C3C8-E6EB-6B42-AE4E-F4B7C396D785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-0.8446181139753004</v>
      </c>
      <c r="J2" s="28" t="e">
        <f>(S14-J14)/J14</f>
        <v>#DIV/0!</v>
      </c>
      <c r="K2" s="28"/>
      <c r="L2" s="1" t="s">
        <v>18</v>
      </c>
      <c r="P2" s="1">
        <f>(P14-H14)/H14</f>
        <v>-0.78991728117529714</v>
      </c>
      <c r="R2" s="1">
        <f>(R14-J14)/J14</f>
        <v>-0.15579941479603535</v>
      </c>
      <c r="T2" s="1" t="s">
        <v>19</v>
      </c>
      <c r="X2" s="1">
        <f>(X14-P14)/P14</f>
        <v>2.5367969727860751</v>
      </c>
      <c r="Z2" s="1">
        <f>(Z14-R14)/R14</f>
        <v>0.1653913102191624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554</v>
      </c>
      <c r="D4" s="23">
        <v>98655.874652846062</v>
      </c>
      <c r="E4" s="33">
        <v>8.2015053330001138</v>
      </c>
      <c r="F4" s="5">
        <v>2</v>
      </c>
      <c r="G4" s="23">
        <v>80</v>
      </c>
      <c r="H4" s="33">
        <v>133.24101610744719</v>
      </c>
      <c r="I4" s="23">
        <v>29.009275631480769</v>
      </c>
      <c r="J4" s="5">
        <v>2048.0579560155306</v>
      </c>
      <c r="K4" s="31" t="e">
        <f>(D4-$D$15)/$D$15</f>
        <v>#DIV/0!</v>
      </c>
      <c r="L4" s="23">
        <v>106948.68606215469</v>
      </c>
      <c r="M4" s="33">
        <v>8.389213792001101</v>
      </c>
      <c r="N4" s="5">
        <v>2</v>
      </c>
      <c r="O4" s="5">
        <v>63.333333333333343</v>
      </c>
      <c r="P4" s="33">
        <v>27.991634922818537</v>
      </c>
      <c r="Q4" s="5">
        <v>20.703240378622532</v>
      </c>
      <c r="R4" s="5">
        <v>1728.9717249999467</v>
      </c>
      <c r="S4" s="42"/>
      <c r="T4" s="23">
        <v>111589.90646109211</v>
      </c>
      <c r="U4" s="33">
        <v>6.8302791249989241</v>
      </c>
      <c r="V4" s="5">
        <v>2</v>
      </c>
      <c r="W4" s="5">
        <v>63.333333333333343</v>
      </c>
      <c r="X4" s="33">
        <v>99.000729658357585</v>
      </c>
      <c r="Y4" s="5">
        <v>28.666646330133446</v>
      </c>
      <c r="Z4" s="5">
        <v>2014.9286239295732</v>
      </c>
      <c r="AA4" s="42"/>
    </row>
    <row r="5" spans="2:27" x14ac:dyDescent="0.2">
      <c r="B5" s="4">
        <v>2</v>
      </c>
      <c r="C5" s="4">
        <v>22</v>
      </c>
      <c r="D5" s="23">
        <v>98655.874652846062</v>
      </c>
      <c r="E5" s="33">
        <v>8.3764793749999171</v>
      </c>
      <c r="F5" s="5">
        <v>2</v>
      </c>
      <c r="G5" s="23">
        <v>80</v>
      </c>
      <c r="H5" s="33">
        <v>133.24101610744719</v>
      </c>
      <c r="I5" s="23">
        <v>29.009275631480769</v>
      </c>
      <c r="J5" s="5">
        <v>2048.0579560155306</v>
      </c>
      <c r="K5" s="31" t="e">
        <f>(D5-$D$15)/$D$15</f>
        <v>#DIV/0!</v>
      </c>
      <c r="L5" s="23">
        <v>106948.68606215469</v>
      </c>
      <c r="M5" s="33">
        <v>8.3573222499981057</v>
      </c>
      <c r="N5" s="5">
        <v>2</v>
      </c>
      <c r="O5" s="5">
        <v>63.333333333333343</v>
      </c>
      <c r="P5" s="33">
        <v>27.991634922818537</v>
      </c>
      <c r="Q5" s="5">
        <v>20.703240378622532</v>
      </c>
      <c r="R5" s="5">
        <v>1728.9717249999467</v>
      </c>
      <c r="S5" s="42"/>
      <c r="T5" s="23">
        <v>111589.90646109211</v>
      </c>
      <c r="U5" s="33">
        <v>6.932557000000088</v>
      </c>
      <c r="V5" s="5">
        <v>2</v>
      </c>
      <c r="W5" s="5">
        <v>63.333333333333343</v>
      </c>
      <c r="X5" s="33">
        <v>99.000729658357585</v>
      </c>
      <c r="Y5" s="5">
        <v>28.666646330133446</v>
      </c>
      <c r="Z5" s="5">
        <v>2014.9286239295732</v>
      </c>
      <c r="AA5" s="42"/>
    </row>
    <row r="6" spans="2:27" x14ac:dyDescent="0.2">
      <c r="B6" s="4">
        <v>3</v>
      </c>
      <c r="C6" s="4">
        <v>33</v>
      </c>
      <c r="D6" s="23">
        <v>98655.874652846062</v>
      </c>
      <c r="E6" s="33">
        <v>8.5301898330001222</v>
      </c>
      <c r="F6" s="5">
        <v>2</v>
      </c>
      <c r="G6" s="23">
        <v>80</v>
      </c>
      <c r="H6" s="33">
        <v>133.24101610744719</v>
      </c>
      <c r="I6" s="23">
        <v>29.009275631480769</v>
      </c>
      <c r="J6" s="5">
        <v>2048.0579560155306</v>
      </c>
      <c r="K6" s="31" t="e">
        <f t="shared" ref="K6:K13" si="0">(D6-$D$15)/$D$15</f>
        <v>#DIV/0!</v>
      </c>
      <c r="L6" s="23">
        <v>106948.68606215469</v>
      </c>
      <c r="M6" s="33">
        <v>8.4253178750004736</v>
      </c>
      <c r="N6" s="5">
        <v>2</v>
      </c>
      <c r="O6" s="5">
        <v>63.333333333333343</v>
      </c>
      <c r="P6" s="33">
        <v>27.991634922818537</v>
      </c>
      <c r="Q6" s="5">
        <v>20.703240378622532</v>
      </c>
      <c r="R6" s="5">
        <v>1728.9717249999467</v>
      </c>
      <c r="S6" s="42"/>
      <c r="T6" s="23">
        <v>111589.90646109211</v>
      </c>
      <c r="U6" s="33">
        <v>7.0363476669990632</v>
      </c>
      <c r="V6" s="5">
        <v>2</v>
      </c>
      <c r="W6" s="5">
        <v>63.333333333333343</v>
      </c>
      <c r="X6" s="33">
        <v>99.000729658357585</v>
      </c>
      <c r="Y6" s="5">
        <v>28.666646330133446</v>
      </c>
      <c r="Z6" s="5">
        <v>2014.9286239295732</v>
      </c>
      <c r="AA6" s="42"/>
    </row>
    <row r="7" spans="2:27" x14ac:dyDescent="0.2">
      <c r="B7" s="4">
        <v>4</v>
      </c>
      <c r="C7" s="4">
        <v>130</v>
      </c>
      <c r="D7" s="23">
        <v>98655.874652846062</v>
      </c>
      <c r="E7" s="33">
        <v>9.1945379170001615</v>
      </c>
      <c r="F7" s="5">
        <v>2</v>
      </c>
      <c r="G7" s="23">
        <v>80</v>
      </c>
      <c r="H7" s="33">
        <v>133.24101610744719</v>
      </c>
      <c r="I7" s="23">
        <v>29.009275631480769</v>
      </c>
      <c r="J7" s="5">
        <v>2048.0579560155306</v>
      </c>
      <c r="K7" s="31" t="e">
        <f t="shared" si="0"/>
        <v>#DIV/0!</v>
      </c>
      <c r="L7" s="23">
        <v>106948.68606215469</v>
      </c>
      <c r="M7" s="33">
        <v>8.5895299590010836</v>
      </c>
      <c r="N7" s="5">
        <v>2</v>
      </c>
      <c r="O7" s="5">
        <v>63.333333333333343</v>
      </c>
      <c r="P7" s="33">
        <v>27.991634922818537</v>
      </c>
      <c r="Q7" s="5">
        <v>20.703240378622532</v>
      </c>
      <c r="R7" s="5">
        <v>1728.9717249999467</v>
      </c>
      <c r="S7" s="42"/>
      <c r="T7" s="23">
        <v>111589.90646109211</v>
      </c>
      <c r="U7" s="33">
        <v>7.0581469579992699</v>
      </c>
      <c r="V7" s="5">
        <v>2</v>
      </c>
      <c r="W7" s="5">
        <v>63.333333333333343</v>
      </c>
      <c r="X7" s="33">
        <v>99.000729658357585</v>
      </c>
      <c r="Y7" s="5">
        <v>28.666646330133446</v>
      </c>
      <c r="Z7" s="5">
        <v>2014.9286239295732</v>
      </c>
      <c r="AA7" s="42"/>
    </row>
    <row r="8" spans="2:27" x14ac:dyDescent="0.2">
      <c r="B8" s="4">
        <v>5</v>
      </c>
      <c r="C8" s="4">
        <v>302</v>
      </c>
      <c r="D8" s="23">
        <v>98655.874652846062</v>
      </c>
      <c r="E8" s="33">
        <v>8.3942082920000303</v>
      </c>
      <c r="F8" s="5">
        <v>2</v>
      </c>
      <c r="G8" s="23">
        <v>80</v>
      </c>
      <c r="H8" s="33">
        <v>133.24101610744719</v>
      </c>
      <c r="I8" s="23">
        <v>29.009275631480769</v>
      </c>
      <c r="J8" s="5">
        <v>2048.0579560155306</v>
      </c>
      <c r="K8" s="31" t="e">
        <f t="shared" si="0"/>
        <v>#DIV/0!</v>
      </c>
      <c r="L8" s="23">
        <v>106948.68606215469</v>
      </c>
      <c r="M8" s="33">
        <v>8.4262423750005837</v>
      </c>
      <c r="N8" s="5">
        <v>2</v>
      </c>
      <c r="O8" s="5">
        <v>63.333333333333343</v>
      </c>
      <c r="P8" s="33">
        <v>27.991634922818537</v>
      </c>
      <c r="Q8" s="5">
        <v>20.703240378622532</v>
      </c>
      <c r="R8" s="5">
        <v>1728.9717249999467</v>
      </c>
      <c r="S8" s="42"/>
      <c r="T8" s="23">
        <v>111589.90646109211</v>
      </c>
      <c r="U8" s="33">
        <v>7.6795033750022412</v>
      </c>
      <c r="V8" s="5">
        <v>2</v>
      </c>
      <c r="W8" s="5">
        <v>63.333333333333343</v>
      </c>
      <c r="X8" s="33">
        <v>99.000729658357585</v>
      </c>
      <c r="Y8" s="5">
        <v>28.666646330133446</v>
      </c>
      <c r="Z8" s="5">
        <v>2014.9286239295732</v>
      </c>
      <c r="AA8" s="42"/>
    </row>
    <row r="9" spans="2:27" x14ac:dyDescent="0.2">
      <c r="B9" s="4">
        <v>6</v>
      </c>
      <c r="C9" s="4">
        <v>363</v>
      </c>
      <c r="D9" s="23">
        <v>98655.874652846062</v>
      </c>
      <c r="E9" s="33">
        <v>9.2837112920001346</v>
      </c>
      <c r="F9" s="5">
        <v>2</v>
      </c>
      <c r="G9" s="23">
        <v>80</v>
      </c>
      <c r="H9" s="33">
        <v>133.24101610744719</v>
      </c>
      <c r="I9" s="23">
        <v>29.009275631480769</v>
      </c>
      <c r="J9" s="5">
        <v>2048.0579560155306</v>
      </c>
      <c r="K9" s="31" t="e">
        <f t="shared" si="0"/>
        <v>#DIV/0!</v>
      </c>
      <c r="L9" s="23">
        <v>125789.9387766803</v>
      </c>
      <c r="M9" s="33">
        <v>4.5458011670016276</v>
      </c>
      <c r="N9" s="5">
        <v>2</v>
      </c>
      <c r="O9" s="5">
        <v>40</v>
      </c>
      <c r="P9" s="33">
        <v>11.835356449246758</v>
      </c>
      <c r="Q9" s="5">
        <v>14.363535110192814</v>
      </c>
      <c r="R9" s="5">
        <v>1479.1216844473759</v>
      </c>
      <c r="S9" s="42"/>
      <c r="T9" s="23">
        <v>111589.90646109211</v>
      </c>
      <c r="U9" s="33">
        <v>6.9946879579983943</v>
      </c>
      <c r="V9" s="5">
        <v>2</v>
      </c>
      <c r="W9" s="5">
        <v>63.333333333333343</v>
      </c>
      <c r="X9" s="33">
        <v>99.000729658357585</v>
      </c>
      <c r="Y9" s="5">
        <v>28.666646330133446</v>
      </c>
      <c r="Z9" s="5">
        <v>2014.9286239295732</v>
      </c>
      <c r="AA9" s="42"/>
    </row>
    <row r="10" spans="2:27" x14ac:dyDescent="0.2">
      <c r="B10" s="4">
        <v>7</v>
      </c>
      <c r="C10" s="4">
        <v>706</v>
      </c>
      <c r="D10" s="23">
        <v>98655.874652846062</v>
      </c>
      <c r="E10" s="33">
        <v>8.18067687499979</v>
      </c>
      <c r="F10" s="5">
        <v>2</v>
      </c>
      <c r="G10" s="23">
        <v>80</v>
      </c>
      <c r="H10" s="33">
        <v>133.24101610744719</v>
      </c>
      <c r="I10" s="23">
        <v>29.009275631480769</v>
      </c>
      <c r="J10" s="5">
        <v>2048.0579560155306</v>
      </c>
      <c r="K10" s="31" t="e">
        <f t="shared" si="0"/>
        <v>#DIV/0!</v>
      </c>
      <c r="L10" s="23">
        <v>106948.68606215469</v>
      </c>
      <c r="M10" s="33">
        <v>8.4258005000010598</v>
      </c>
      <c r="N10" s="5">
        <v>2</v>
      </c>
      <c r="O10" s="5">
        <v>63.333333333333343</v>
      </c>
      <c r="P10" s="33">
        <v>27.991634922818537</v>
      </c>
      <c r="Q10" s="5">
        <v>20.703240378622532</v>
      </c>
      <c r="R10" s="5">
        <v>1728.9717249999467</v>
      </c>
      <c r="S10" s="42"/>
      <c r="T10" s="23">
        <v>111589.90646109211</v>
      </c>
      <c r="U10" s="33">
        <v>7.017357249998895</v>
      </c>
      <c r="V10" s="5">
        <v>2</v>
      </c>
      <c r="W10" s="5">
        <v>63.333333333333343</v>
      </c>
      <c r="X10" s="33">
        <v>99.000729658357585</v>
      </c>
      <c r="Y10" s="5">
        <v>28.666646330133446</v>
      </c>
      <c r="Z10" s="5">
        <v>2014.9286239295732</v>
      </c>
      <c r="AA10" s="42"/>
    </row>
    <row r="11" spans="2:27" x14ac:dyDescent="0.2">
      <c r="B11" s="4">
        <v>8</v>
      </c>
      <c r="C11" s="4">
        <v>773</v>
      </c>
      <c r="D11" s="23">
        <v>98655.874652846062</v>
      </c>
      <c r="E11" s="33">
        <v>9.3844565419999526</v>
      </c>
      <c r="F11" s="5">
        <v>2</v>
      </c>
      <c r="G11" s="23">
        <v>80</v>
      </c>
      <c r="H11" s="33">
        <v>133.24101610744719</v>
      </c>
      <c r="I11" s="23">
        <v>29.009275631480769</v>
      </c>
      <c r="J11" s="5">
        <v>2048.0579560155306</v>
      </c>
      <c r="K11" s="31" t="e">
        <f t="shared" si="0"/>
        <v>#DIV/0!</v>
      </c>
      <c r="L11" s="23">
        <v>106948.68606215469</v>
      </c>
      <c r="M11" s="33">
        <v>8.3743848330013861</v>
      </c>
      <c r="N11" s="5">
        <v>2</v>
      </c>
      <c r="O11" s="5">
        <v>63.333333333333343</v>
      </c>
      <c r="P11" s="33">
        <v>27.991634922818537</v>
      </c>
      <c r="Q11" s="5">
        <v>20.703240378622532</v>
      </c>
      <c r="R11" s="5">
        <v>1728.9717249999467</v>
      </c>
      <c r="S11" s="42"/>
      <c r="T11" s="23">
        <v>111589.90646109211</v>
      </c>
      <c r="U11" s="33">
        <v>7.8588360409994493</v>
      </c>
      <c r="V11" s="5">
        <v>2</v>
      </c>
      <c r="W11" s="5">
        <v>63.333333333333343</v>
      </c>
      <c r="X11" s="33">
        <v>99.000729658357585</v>
      </c>
      <c r="Y11" s="5">
        <v>28.666646330133446</v>
      </c>
      <c r="Z11" s="5">
        <v>2014.9286239295732</v>
      </c>
      <c r="AA11" s="42"/>
    </row>
    <row r="12" spans="2:27" x14ac:dyDescent="0.2">
      <c r="B12" s="4">
        <v>9</v>
      </c>
      <c r="C12" s="4">
        <v>908</v>
      </c>
      <c r="D12" s="23">
        <v>98655.874652846062</v>
      </c>
      <c r="E12" s="33">
        <v>8.6260315419999642</v>
      </c>
      <c r="F12" s="5">
        <v>2</v>
      </c>
      <c r="G12" s="23">
        <v>80</v>
      </c>
      <c r="H12" s="33">
        <v>133.24101610744719</v>
      </c>
      <c r="I12" s="23">
        <v>29.009275631480769</v>
      </c>
      <c r="J12" s="5">
        <v>2048.0579560155306</v>
      </c>
      <c r="K12" s="31" t="e">
        <f t="shared" si="0"/>
        <v>#DIV/0!</v>
      </c>
      <c r="L12" s="23">
        <v>106948.68606215469</v>
      </c>
      <c r="M12" s="33">
        <v>8.6592607500024315</v>
      </c>
      <c r="N12" s="5">
        <v>2</v>
      </c>
      <c r="O12" s="5">
        <v>63.333333333333343</v>
      </c>
      <c r="P12" s="33">
        <v>27.991634922818537</v>
      </c>
      <c r="Q12" s="5">
        <v>20.703240378622532</v>
      </c>
      <c r="R12" s="5">
        <v>1728.9717249999467</v>
      </c>
      <c r="S12" s="42"/>
      <c r="T12" s="23">
        <v>111589.90646109211</v>
      </c>
      <c r="U12" s="33">
        <v>7.6878653749990917</v>
      </c>
      <c r="V12" s="5">
        <v>2</v>
      </c>
      <c r="W12" s="5">
        <v>63.333333333333343</v>
      </c>
      <c r="X12" s="33">
        <v>99.000729658357585</v>
      </c>
      <c r="Y12" s="5">
        <v>28.666646330133446</v>
      </c>
      <c r="Z12" s="5">
        <v>2014.9286239295732</v>
      </c>
      <c r="AA12" s="42"/>
    </row>
    <row r="13" spans="2:27" x14ac:dyDescent="0.2">
      <c r="B13" s="4">
        <v>10</v>
      </c>
      <c r="C13" s="4">
        <v>930</v>
      </c>
      <c r="D13" s="23">
        <v>98655.874652846062</v>
      </c>
      <c r="E13" s="33">
        <v>10.75726837499997</v>
      </c>
      <c r="F13" s="5">
        <v>2</v>
      </c>
      <c r="G13" s="23">
        <v>80</v>
      </c>
      <c r="H13" s="33">
        <v>133.24101610744719</v>
      </c>
      <c r="I13" s="23">
        <v>29.009275631480769</v>
      </c>
      <c r="J13" s="5">
        <v>2048.0579560155306</v>
      </c>
      <c r="K13" s="31" t="e">
        <f t="shared" si="0"/>
        <v>#DIV/0!</v>
      </c>
      <c r="L13" s="23">
        <v>106948.68606215469</v>
      </c>
      <c r="M13" s="33">
        <v>8.559492208998563</v>
      </c>
      <c r="N13" s="5">
        <v>2</v>
      </c>
      <c r="O13" s="5">
        <v>63.333333333333343</v>
      </c>
      <c r="P13" s="33">
        <v>27.991634922818537</v>
      </c>
      <c r="Q13" s="5">
        <v>20.703240378622532</v>
      </c>
      <c r="R13" s="5">
        <v>1728.9717249999467</v>
      </c>
      <c r="S13" s="42"/>
      <c r="T13" s="23">
        <v>111589.90646109211</v>
      </c>
      <c r="U13" s="33">
        <v>7.0394979999982752</v>
      </c>
      <c r="V13" s="5">
        <v>2</v>
      </c>
      <c r="W13" s="5">
        <v>63.333333333333343</v>
      </c>
      <c r="X13" s="33">
        <v>99.000729658357585</v>
      </c>
      <c r="Y13" s="5">
        <v>28.666646330133446</v>
      </c>
      <c r="Z13" s="5">
        <v>2014.9286239295732</v>
      </c>
      <c r="AA13" s="42"/>
    </row>
    <row r="14" spans="2:27" x14ac:dyDescent="0.2">
      <c r="B14" s="46" t="s">
        <v>3</v>
      </c>
      <c r="C14" s="47"/>
      <c r="D14" s="9">
        <f>MIN(D4:D13)</f>
        <v>98655.874652846062</v>
      </c>
      <c r="E14" s="22">
        <f>INDEX(E4:E13, MATCH($D$14, D4:D13, 0))</f>
        <v>8.2015053330001138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133.24101610744719</v>
      </c>
      <c r="I14" s="22">
        <f>INDEX(I4:I13, MATCH($D$14, D4:D13, 0))</f>
        <v>29.009275631480769</v>
      </c>
      <c r="J14" s="22">
        <f>INDEX(J4:J13, MATCH($D$14, D4:D13, 0))</f>
        <v>2048.0579560155306</v>
      </c>
      <c r="K14" s="32" t="e">
        <f>(D14-$D$15)/$D$15</f>
        <v>#DIV/0!</v>
      </c>
      <c r="L14" s="16">
        <f>MIN(L4:L13)</f>
        <v>106948.68606215469</v>
      </c>
      <c r="M14" s="21">
        <f>INDEX(M4:M13, MATCH($L$14, L4:L13, 0))</f>
        <v>8.389213792001101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27.991634922818537</v>
      </c>
      <c r="Q14" s="21">
        <f>INDEX(Q4:Q13, MATCH($L$14, L4:L13, 0))</f>
        <v>20.703240378622532</v>
      </c>
      <c r="R14" s="21">
        <f>INDEX(R4:R13, MATCH($L$14, L4:L13, 0))</f>
        <v>1728.9717249999467</v>
      </c>
      <c r="S14" s="43" t="e">
        <f>(L14-$D$15)/$D$15</f>
        <v>#DIV/0!</v>
      </c>
      <c r="T14" s="38">
        <f>MIN(T4:T13)</f>
        <v>111589.90646109211</v>
      </c>
      <c r="U14" s="44">
        <f>INDEX(U4:U13, MATCH($T$14, T4:T13, 0))</f>
        <v>6.8302791249989241</v>
      </c>
      <c r="V14" s="38">
        <f>INDEX(V4:V13, MATCH($T$14, T4:T13, 0))</f>
        <v>2</v>
      </c>
      <c r="W14" s="38">
        <f>INDEX(W4:W13, MATCH($T$14, T4:T13, 0))</f>
        <v>63.333333333333343</v>
      </c>
      <c r="X14" s="44">
        <f>INDEX(X4:X13, MATCH($T$14, T4:T13, 0))</f>
        <v>99.000729658357585</v>
      </c>
      <c r="Y14" s="44">
        <f>INDEX(Y4:Y13, MATCH($T$14, T4:T13, 0))</f>
        <v>28.666646330133446</v>
      </c>
      <c r="Z14" s="44">
        <f>INDEX(Z4:Z13, MATCH($T$14, T4:T13, 0))</f>
        <v>2014.9286239295732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65" priority="5"/>
    <cfRule type="duplicateValues" dxfId="64" priority="6"/>
  </conditionalFormatting>
  <conditionalFormatting sqref="C14">
    <cfRule type="duplicateValues" dxfId="63" priority="3"/>
    <cfRule type="duplicateValues" dxfId="62" priority="4"/>
  </conditionalFormatting>
  <conditionalFormatting sqref="C15:C31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B2C8-125F-194A-867A-55F9B52137F6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-0.56083367473068535</v>
      </c>
      <c r="J2" s="28" t="e">
        <f>(S14-J14)/J14</f>
        <v>#DIV/0!</v>
      </c>
      <c r="K2" s="28"/>
      <c r="L2" s="1" t="s">
        <v>18</v>
      </c>
      <c r="P2" s="1">
        <f>(P14-H14)/H14</f>
        <v>-0.18077126483383682</v>
      </c>
      <c r="R2" s="1">
        <f>(R14-J14)/J14</f>
        <v>-8.3177446523447857E-2</v>
      </c>
      <c r="T2" s="1" t="s">
        <v>19</v>
      </c>
      <c r="X2" s="1">
        <f>(X14-P14)/P14</f>
        <v>0.5193754158324051</v>
      </c>
      <c r="Z2" s="1">
        <f>(Z14-R14)/R14</f>
        <v>0.13298197614748331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37</v>
      </c>
      <c r="D4" s="23">
        <v>98097.019979757504</v>
      </c>
      <c r="E4" s="33">
        <v>8.1606316249999509</v>
      </c>
      <c r="F4" s="5">
        <v>2</v>
      </c>
      <c r="G4" s="23">
        <v>76.666666666666671</v>
      </c>
      <c r="H4" s="33">
        <v>46.007181405381786</v>
      </c>
      <c r="I4" s="23">
        <v>23.002337983686239</v>
      </c>
      <c r="J4" s="5">
        <v>1890.287675704951</v>
      </c>
      <c r="K4" s="31" t="e">
        <f>(D4-$D$15)/$D$15</f>
        <v>#DIV/0!</v>
      </c>
      <c r="L4" s="23">
        <v>100558.3769399857</v>
      </c>
      <c r="M4" s="33">
        <v>8.8943549169998732</v>
      </c>
      <c r="N4" s="5">
        <v>2</v>
      </c>
      <c r="O4" s="5">
        <v>70</v>
      </c>
      <c r="P4" s="33">
        <v>37.690405031291142</v>
      </c>
      <c r="Q4" s="5">
        <v>20.20480479380026</v>
      </c>
      <c r="R4" s="5">
        <v>1733.0583736450699</v>
      </c>
      <c r="S4" s="42"/>
      <c r="T4" s="23">
        <v>114195.34630602731</v>
      </c>
      <c r="U4" s="33">
        <v>6.9104096249975564</v>
      </c>
      <c r="V4" s="5">
        <v>2</v>
      </c>
      <c r="W4" s="5">
        <v>60</v>
      </c>
      <c r="X4" s="33">
        <v>57.265874817309751</v>
      </c>
      <c r="Y4" s="5">
        <v>25.043358088780835</v>
      </c>
      <c r="Z4" s="5">
        <v>1963.5239009513348</v>
      </c>
      <c r="AA4" s="42"/>
    </row>
    <row r="5" spans="2:27" x14ac:dyDescent="0.2">
      <c r="B5" s="4">
        <v>2</v>
      </c>
      <c r="C5" s="4">
        <v>39</v>
      </c>
      <c r="D5" s="23">
        <v>98097.019979757504</v>
      </c>
      <c r="E5" s="33">
        <v>8.698957000000064</v>
      </c>
      <c r="F5" s="5">
        <v>2</v>
      </c>
      <c r="G5" s="23">
        <v>76.666666666666671</v>
      </c>
      <c r="H5" s="33">
        <v>46.007181405381786</v>
      </c>
      <c r="I5" s="23">
        <v>23.002337983686239</v>
      </c>
      <c r="J5" s="5">
        <v>1890.287675704951</v>
      </c>
      <c r="K5" s="31" t="e">
        <f>(D5-$D$15)/$D$15</f>
        <v>#DIV/0!</v>
      </c>
      <c r="L5" s="23">
        <v>100558.3769399857</v>
      </c>
      <c r="M5" s="33">
        <v>8.832693249998556</v>
      </c>
      <c r="N5" s="5">
        <v>2</v>
      </c>
      <c r="O5" s="5">
        <v>70</v>
      </c>
      <c r="P5" s="33">
        <v>37.690405031291142</v>
      </c>
      <c r="Q5" s="5">
        <v>20.20480479380026</v>
      </c>
      <c r="R5" s="5">
        <v>1733.0583736450699</v>
      </c>
      <c r="S5" s="42"/>
      <c r="T5" s="23">
        <v>114195.34630602731</v>
      </c>
      <c r="U5" s="33">
        <v>7.1105404579975584</v>
      </c>
      <c r="V5" s="5">
        <v>2</v>
      </c>
      <c r="W5" s="5">
        <v>60</v>
      </c>
      <c r="X5" s="33">
        <v>57.265874817309751</v>
      </c>
      <c r="Y5" s="5">
        <v>25.043358088780835</v>
      </c>
      <c r="Z5" s="5">
        <v>1963.5239009513348</v>
      </c>
      <c r="AA5" s="42"/>
    </row>
    <row r="6" spans="2:27" x14ac:dyDescent="0.2">
      <c r="B6" s="4">
        <v>3</v>
      </c>
      <c r="C6" s="4">
        <v>67</v>
      </c>
      <c r="D6" s="23">
        <v>98097.019979757504</v>
      </c>
      <c r="E6" s="33">
        <v>8.8443928329998016</v>
      </c>
      <c r="F6" s="5">
        <v>2</v>
      </c>
      <c r="G6" s="23">
        <v>76.666666666666671</v>
      </c>
      <c r="H6" s="33">
        <v>46.007181405381786</v>
      </c>
      <c r="I6" s="23">
        <v>23.002337983686239</v>
      </c>
      <c r="J6" s="5">
        <v>1890.287675704951</v>
      </c>
      <c r="K6" s="31" t="e">
        <f t="shared" ref="K6:K13" si="0">(D6-$D$15)/$D$15</f>
        <v>#DIV/0!</v>
      </c>
      <c r="L6" s="23">
        <v>100558.3769399857</v>
      </c>
      <c r="M6" s="33">
        <v>10.40687383299883</v>
      </c>
      <c r="N6" s="5">
        <v>2</v>
      </c>
      <c r="O6" s="5">
        <v>70</v>
      </c>
      <c r="P6" s="33">
        <v>37.690405031291142</v>
      </c>
      <c r="Q6" s="5">
        <v>20.20480479380026</v>
      </c>
      <c r="R6" s="5">
        <v>1733.0583736450699</v>
      </c>
      <c r="S6" s="42"/>
      <c r="T6" s="23">
        <v>114195.34630602731</v>
      </c>
      <c r="U6" s="33">
        <v>7.6932600000000093</v>
      </c>
      <c r="V6" s="5">
        <v>2</v>
      </c>
      <c r="W6" s="5">
        <v>60</v>
      </c>
      <c r="X6" s="33">
        <v>57.265874817309751</v>
      </c>
      <c r="Y6" s="5">
        <v>25.043358088780835</v>
      </c>
      <c r="Z6" s="5">
        <v>1963.5239009513348</v>
      </c>
      <c r="AA6" s="42"/>
    </row>
    <row r="7" spans="2:27" x14ac:dyDescent="0.2">
      <c r="B7" s="4">
        <v>4</v>
      </c>
      <c r="C7" s="4">
        <v>73</v>
      </c>
      <c r="D7" s="23">
        <v>98097.019979757504</v>
      </c>
      <c r="E7" s="33">
        <v>8.0071972920000007</v>
      </c>
      <c r="F7" s="5">
        <v>2</v>
      </c>
      <c r="G7" s="23">
        <v>76.666666666666671</v>
      </c>
      <c r="H7" s="33">
        <v>46.007181405381786</v>
      </c>
      <c r="I7" s="23">
        <v>23.002337983686239</v>
      </c>
      <c r="J7" s="5">
        <v>1890.287675704951</v>
      </c>
      <c r="K7" s="31" t="e">
        <f t="shared" si="0"/>
        <v>#DIV/0!</v>
      </c>
      <c r="L7" s="23">
        <v>100558.3769399857</v>
      </c>
      <c r="M7" s="33">
        <v>8.8307966250031313</v>
      </c>
      <c r="N7" s="5">
        <v>2</v>
      </c>
      <c r="O7" s="5">
        <v>70</v>
      </c>
      <c r="P7" s="33">
        <v>37.690405031291142</v>
      </c>
      <c r="Q7" s="5">
        <v>20.20480479380026</v>
      </c>
      <c r="R7" s="5">
        <v>1733.0583736450699</v>
      </c>
      <c r="S7" s="42"/>
      <c r="T7" s="23">
        <v>114195.34630602731</v>
      </c>
      <c r="U7" s="33">
        <v>8.3159884999986389</v>
      </c>
      <c r="V7" s="5">
        <v>2</v>
      </c>
      <c r="W7" s="5">
        <v>60</v>
      </c>
      <c r="X7" s="33">
        <v>57.265874817309751</v>
      </c>
      <c r="Y7" s="5">
        <v>25.043358088780835</v>
      </c>
      <c r="Z7" s="5">
        <v>1963.5239009513348</v>
      </c>
      <c r="AA7" s="42"/>
    </row>
    <row r="8" spans="2:27" x14ac:dyDescent="0.2">
      <c r="B8" s="4">
        <v>5</v>
      </c>
      <c r="C8" s="4">
        <v>319</v>
      </c>
      <c r="D8" s="23">
        <v>98097.019979757504</v>
      </c>
      <c r="E8" s="33">
        <v>8.1765950409999277</v>
      </c>
      <c r="F8" s="5">
        <v>2</v>
      </c>
      <c r="G8" s="23">
        <v>76.666666666666671</v>
      </c>
      <c r="H8" s="33">
        <v>46.007181405381786</v>
      </c>
      <c r="I8" s="23">
        <v>23.002337983686239</v>
      </c>
      <c r="J8" s="5">
        <v>1890.287675704951</v>
      </c>
      <c r="K8" s="31" t="e">
        <f t="shared" si="0"/>
        <v>#DIV/0!</v>
      </c>
      <c r="L8" s="23">
        <v>100558.3769399857</v>
      </c>
      <c r="M8" s="33">
        <v>8.8202500000006694</v>
      </c>
      <c r="N8" s="5">
        <v>2</v>
      </c>
      <c r="O8" s="5">
        <v>70</v>
      </c>
      <c r="P8" s="33">
        <v>37.690405031291142</v>
      </c>
      <c r="Q8" s="5">
        <v>20.20480479380026</v>
      </c>
      <c r="R8" s="5">
        <v>1733.0583736450699</v>
      </c>
      <c r="S8" s="42"/>
      <c r="T8" s="23">
        <v>114195.34630602731</v>
      </c>
      <c r="U8" s="33">
        <v>7.0913455830013854</v>
      </c>
      <c r="V8" s="5">
        <v>2</v>
      </c>
      <c r="W8" s="5">
        <v>60</v>
      </c>
      <c r="X8" s="33">
        <v>57.265874817309751</v>
      </c>
      <c r="Y8" s="5">
        <v>25.043358088780835</v>
      </c>
      <c r="Z8" s="5">
        <v>1963.5239009513348</v>
      </c>
      <c r="AA8" s="42"/>
    </row>
    <row r="9" spans="2:27" x14ac:dyDescent="0.2">
      <c r="B9" s="4">
        <v>6</v>
      </c>
      <c r="C9" s="4">
        <v>503</v>
      </c>
      <c r="D9" s="23">
        <v>98097.019979757504</v>
      </c>
      <c r="E9" s="33">
        <v>8.7766029160000016</v>
      </c>
      <c r="F9" s="5">
        <v>2</v>
      </c>
      <c r="G9" s="23">
        <v>76.666666666666671</v>
      </c>
      <c r="H9" s="33">
        <v>46.007181405381786</v>
      </c>
      <c r="I9" s="23">
        <v>23.002337983686239</v>
      </c>
      <c r="J9" s="5">
        <v>1890.287675704951</v>
      </c>
      <c r="K9" s="31" t="e">
        <f t="shared" si="0"/>
        <v>#DIV/0!</v>
      </c>
      <c r="L9" s="23">
        <v>100558.3769399857</v>
      </c>
      <c r="M9" s="33">
        <v>8.9225877499993658</v>
      </c>
      <c r="N9" s="5">
        <v>2</v>
      </c>
      <c r="O9" s="5">
        <v>70</v>
      </c>
      <c r="P9" s="33">
        <v>37.690405031291142</v>
      </c>
      <c r="Q9" s="5">
        <v>20.20480479380026</v>
      </c>
      <c r="R9" s="5">
        <v>1733.0583736450699</v>
      </c>
      <c r="S9" s="42"/>
      <c r="T9" s="23">
        <v>114195.34630602731</v>
      </c>
      <c r="U9" s="33">
        <v>7.041823708001175</v>
      </c>
      <c r="V9" s="5">
        <v>2</v>
      </c>
      <c r="W9" s="5">
        <v>60</v>
      </c>
      <c r="X9" s="33">
        <v>57.265874817309751</v>
      </c>
      <c r="Y9" s="5">
        <v>25.043358088780835</v>
      </c>
      <c r="Z9" s="5">
        <v>1963.5239009513348</v>
      </c>
      <c r="AA9" s="42"/>
    </row>
    <row r="10" spans="2:27" x14ac:dyDescent="0.2">
      <c r="B10" s="4">
        <v>7</v>
      </c>
      <c r="C10" s="4">
        <v>630</v>
      </c>
      <c r="D10" s="23">
        <v>98097.019979757504</v>
      </c>
      <c r="E10" s="33">
        <v>9.4181068749999213</v>
      </c>
      <c r="F10" s="5">
        <v>2</v>
      </c>
      <c r="G10" s="23">
        <v>76.666666666666671</v>
      </c>
      <c r="H10" s="33">
        <v>46.007181405381786</v>
      </c>
      <c r="I10" s="23">
        <v>23.002337983686239</v>
      </c>
      <c r="J10" s="5">
        <v>1890.287675704951</v>
      </c>
      <c r="K10" s="31" t="e">
        <f t="shared" si="0"/>
        <v>#DIV/0!</v>
      </c>
      <c r="L10" s="23">
        <v>100558.3769399857</v>
      </c>
      <c r="M10" s="33">
        <v>8.9640379999982542</v>
      </c>
      <c r="N10" s="5">
        <v>2</v>
      </c>
      <c r="O10" s="5">
        <v>70</v>
      </c>
      <c r="P10" s="33">
        <v>37.690405031291142</v>
      </c>
      <c r="Q10" s="5">
        <v>20.20480479380026</v>
      </c>
      <c r="R10" s="5">
        <v>1733.0583736450699</v>
      </c>
      <c r="S10" s="42"/>
      <c r="T10" s="23">
        <v>114195.34630602731</v>
      </c>
      <c r="U10" s="33">
        <v>7.5871298330021091</v>
      </c>
      <c r="V10" s="5">
        <v>2</v>
      </c>
      <c r="W10" s="5">
        <v>60</v>
      </c>
      <c r="X10" s="33">
        <v>57.265874817309751</v>
      </c>
      <c r="Y10" s="5">
        <v>25.043358088780835</v>
      </c>
      <c r="Z10" s="5">
        <v>1963.5239009513348</v>
      </c>
      <c r="AA10" s="42"/>
    </row>
    <row r="11" spans="2:27" x14ac:dyDescent="0.2">
      <c r="B11" s="4">
        <v>8</v>
      </c>
      <c r="C11" s="4">
        <v>680</v>
      </c>
      <c r="D11" s="23">
        <v>98097.019979757504</v>
      </c>
      <c r="E11" s="33">
        <v>9.8883486669999456</v>
      </c>
      <c r="F11" s="5">
        <v>2</v>
      </c>
      <c r="G11" s="23">
        <v>76.666666666666671</v>
      </c>
      <c r="H11" s="33">
        <v>46.007181405381786</v>
      </c>
      <c r="I11" s="23">
        <v>23.002337983686239</v>
      </c>
      <c r="J11" s="5">
        <v>1890.287675704951</v>
      </c>
      <c r="K11" s="31" t="e">
        <f t="shared" si="0"/>
        <v>#DIV/0!</v>
      </c>
      <c r="L11" s="23">
        <v>100558.3769399857</v>
      </c>
      <c r="M11" s="33">
        <v>8.6207610409983317</v>
      </c>
      <c r="N11" s="5">
        <v>2</v>
      </c>
      <c r="O11" s="5">
        <v>70</v>
      </c>
      <c r="P11" s="33">
        <v>37.690405031291142</v>
      </c>
      <c r="Q11" s="5">
        <v>20.20480479380026</v>
      </c>
      <c r="R11" s="5">
        <v>1733.0583736450699</v>
      </c>
      <c r="S11" s="42"/>
      <c r="T11" s="23">
        <v>114195.34630602731</v>
      </c>
      <c r="U11" s="33">
        <v>8.6362574999984645</v>
      </c>
      <c r="V11" s="5">
        <v>2</v>
      </c>
      <c r="W11" s="5">
        <v>60</v>
      </c>
      <c r="X11" s="33">
        <v>57.265874817309751</v>
      </c>
      <c r="Y11" s="5">
        <v>25.043358088780835</v>
      </c>
      <c r="Z11" s="5">
        <v>1963.5239009513348</v>
      </c>
      <c r="AA11" s="42"/>
    </row>
    <row r="12" spans="2:27" x14ac:dyDescent="0.2">
      <c r="B12" s="4">
        <v>9</v>
      </c>
      <c r="C12" s="4">
        <v>745</v>
      </c>
      <c r="D12" s="23">
        <v>98097.019979757504</v>
      </c>
      <c r="E12" s="33">
        <v>7.9928636249999272</v>
      </c>
      <c r="F12" s="5">
        <v>2</v>
      </c>
      <c r="G12" s="23">
        <v>76.666666666666671</v>
      </c>
      <c r="H12" s="33">
        <v>46.007181405381786</v>
      </c>
      <c r="I12" s="23">
        <v>23.002337983686239</v>
      </c>
      <c r="J12" s="5">
        <v>1890.287675704951</v>
      </c>
      <c r="K12" s="31" t="e">
        <f t="shared" si="0"/>
        <v>#DIV/0!</v>
      </c>
      <c r="L12" s="23">
        <v>123913.2211146975</v>
      </c>
      <c r="M12" s="33">
        <v>4.1426961249999286</v>
      </c>
      <c r="N12" s="5">
        <v>2</v>
      </c>
      <c r="O12" s="5">
        <v>40</v>
      </c>
      <c r="P12" s="33">
        <v>0</v>
      </c>
      <c r="Q12" s="5">
        <v>12.125950625151265</v>
      </c>
      <c r="R12" s="5">
        <v>1200.4628057131454</v>
      </c>
      <c r="S12" s="42"/>
      <c r="T12" s="23">
        <v>128977.3027964378</v>
      </c>
      <c r="U12" s="33">
        <v>3.3058732079989568</v>
      </c>
      <c r="V12" s="5">
        <v>2</v>
      </c>
      <c r="W12" s="5">
        <v>40</v>
      </c>
      <c r="X12" s="33">
        <v>0</v>
      </c>
      <c r="Y12" s="5">
        <v>20.527926024322575</v>
      </c>
      <c r="Z12" s="5">
        <v>1704.1784392483489</v>
      </c>
      <c r="AA12" s="42"/>
    </row>
    <row r="13" spans="2:27" x14ac:dyDescent="0.2">
      <c r="B13" s="4">
        <v>10</v>
      </c>
      <c r="C13" s="4">
        <v>758</v>
      </c>
      <c r="D13" s="23">
        <v>98097.019979757504</v>
      </c>
      <c r="E13" s="33">
        <v>11.15328075000002</v>
      </c>
      <c r="F13" s="5">
        <v>2</v>
      </c>
      <c r="G13" s="23">
        <v>76.666666666666671</v>
      </c>
      <c r="H13" s="33">
        <v>46.007181405381786</v>
      </c>
      <c r="I13" s="23">
        <v>23.002337983686239</v>
      </c>
      <c r="J13" s="5">
        <v>1890.287675704951</v>
      </c>
      <c r="K13" s="31" t="e">
        <f t="shared" si="0"/>
        <v>#DIV/0!</v>
      </c>
      <c r="L13" s="23">
        <v>100558.3769399857</v>
      </c>
      <c r="M13" s="33">
        <v>8.6618595410000125</v>
      </c>
      <c r="N13" s="5">
        <v>2</v>
      </c>
      <c r="O13" s="5">
        <v>70</v>
      </c>
      <c r="P13" s="33">
        <v>37.690405031291142</v>
      </c>
      <c r="Q13" s="5">
        <v>20.20480479380026</v>
      </c>
      <c r="R13" s="5">
        <v>1733.0583736450699</v>
      </c>
      <c r="S13" s="42"/>
      <c r="T13" s="23">
        <v>114195.34630602731</v>
      </c>
      <c r="U13" s="33">
        <v>10.44317612499799</v>
      </c>
      <c r="V13" s="5">
        <v>2</v>
      </c>
      <c r="W13" s="5">
        <v>60</v>
      </c>
      <c r="X13" s="33">
        <v>57.265874817309751</v>
      </c>
      <c r="Y13" s="5">
        <v>25.043358088780835</v>
      </c>
      <c r="Z13" s="5">
        <v>1963.5239009513348</v>
      </c>
      <c r="AA13" s="42"/>
    </row>
    <row r="14" spans="2:27" x14ac:dyDescent="0.2">
      <c r="B14" s="46" t="s">
        <v>3</v>
      </c>
      <c r="C14" s="47"/>
      <c r="D14" s="9">
        <f>MIN(D4:D13)</f>
        <v>98097.019979757504</v>
      </c>
      <c r="E14" s="22">
        <f>INDEX(E4:E13, MATCH($D$14, D4:D13, 0))</f>
        <v>8.1606316249999509</v>
      </c>
      <c r="F14" s="9">
        <f>INDEX(F4:F13, MATCH($D$14, D4:D13, 0))</f>
        <v>2</v>
      </c>
      <c r="G14" s="9">
        <f>INDEX(G4:G13, MATCH($D$14, D4:D13, 0))</f>
        <v>76.666666666666671</v>
      </c>
      <c r="H14" s="22">
        <f>INDEX(H4:H13, MATCH($D$14, D4:D13, 0))</f>
        <v>46.007181405381786</v>
      </c>
      <c r="I14" s="22">
        <f>INDEX(I4:I13, MATCH($D$14, D4:D13, 0))</f>
        <v>23.002337983686239</v>
      </c>
      <c r="J14" s="22">
        <f>INDEX(J4:J13, MATCH($D$14, D4:D13, 0))</f>
        <v>1890.287675704951</v>
      </c>
      <c r="K14" s="32" t="e">
        <f>(D14-$D$15)/$D$15</f>
        <v>#DIV/0!</v>
      </c>
      <c r="L14" s="16">
        <f>MIN(L4:L13)</f>
        <v>100558.3769399857</v>
      </c>
      <c r="M14" s="21">
        <f>INDEX(M4:M13, MATCH($L$14, L4:L13, 0))</f>
        <v>8.8943549169998732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37.690405031291142</v>
      </c>
      <c r="Q14" s="21">
        <f>INDEX(Q4:Q13, MATCH($L$14, L4:L13, 0))</f>
        <v>20.20480479380026</v>
      </c>
      <c r="R14" s="21">
        <f>INDEX(R4:R13, MATCH($L$14, L4:L13, 0))</f>
        <v>1733.0583736450699</v>
      </c>
      <c r="S14" s="43" t="e">
        <f>(L14-$D$15)/$D$15</f>
        <v>#DIV/0!</v>
      </c>
      <c r="T14" s="38">
        <f>MIN(T4:T13)</f>
        <v>114195.34630602731</v>
      </c>
      <c r="U14" s="44">
        <f>INDEX(U4:U13, MATCH($T$14, T4:T13, 0))</f>
        <v>6.9104096249975564</v>
      </c>
      <c r="V14" s="38">
        <f>INDEX(V4:V13, MATCH($T$14, T4:T13, 0))</f>
        <v>2</v>
      </c>
      <c r="W14" s="38">
        <f>INDEX(W4:W13, MATCH($T$14, T4:T13, 0))</f>
        <v>60</v>
      </c>
      <c r="X14" s="44">
        <f>INDEX(X4:X13, MATCH($T$14, T4:T13, 0))</f>
        <v>57.265874817309751</v>
      </c>
      <c r="Y14" s="44">
        <f>INDEX(Y4:Y13, MATCH($T$14, T4:T13, 0))</f>
        <v>25.043358088780835</v>
      </c>
      <c r="Z14" s="44">
        <f>INDEX(Z4:Z13, MATCH($T$14, T4:T13, 0))</f>
        <v>1963.5239009513348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61" priority="5"/>
    <cfRule type="duplicateValues" dxfId="60" priority="6"/>
  </conditionalFormatting>
  <conditionalFormatting sqref="C14">
    <cfRule type="duplicateValues" dxfId="59" priority="3"/>
    <cfRule type="duplicateValues" dxfId="58" priority="4"/>
  </conditionalFormatting>
  <conditionalFormatting sqref="C15:C31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11EC-7763-524A-A2D6-63E774C0EB46}">
  <dimension ref="B1:AA17"/>
  <sheetViews>
    <sheetView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-0.75201669566233997</v>
      </c>
      <c r="J2" s="28" t="e">
        <f>(S14-J14)/J14</f>
        <v>#DIV/0!</v>
      </c>
      <c r="K2" s="28"/>
      <c r="L2" s="1" t="s">
        <v>18</v>
      </c>
      <c r="P2" s="1">
        <f>(P14-H14)/H14</f>
        <v>-0.67210693792335074</v>
      </c>
      <c r="R2" s="1">
        <f>(R14-J14)/J14</f>
        <v>-0.15021988675925435</v>
      </c>
      <c r="T2" s="1" t="s">
        <v>19</v>
      </c>
      <c r="X2" s="1">
        <f>(X14-P14)/P14</f>
        <v>1.1036945998378334</v>
      </c>
      <c r="Z2" s="1">
        <f>(Z14-R14)/R14</f>
        <v>0.2670357929656843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25</v>
      </c>
      <c r="D4" s="23">
        <v>93101.013434108667</v>
      </c>
      <c r="E4" s="33">
        <v>8.5751846669998031</v>
      </c>
      <c r="F4" s="5">
        <v>2</v>
      </c>
      <c r="G4" s="23">
        <v>80</v>
      </c>
      <c r="H4" s="33">
        <v>90.768516113317517</v>
      </c>
      <c r="I4" s="23">
        <v>28.859294784403513</v>
      </c>
      <c r="J4" s="5">
        <v>1919.1383495468283</v>
      </c>
      <c r="K4" s="31" t="e">
        <f>(D4-$D$15)/$D$15</f>
        <v>#DIV/0!</v>
      </c>
      <c r="L4" s="23">
        <v>103197.1837994735</v>
      </c>
      <c r="M4" s="33">
        <v>8.4646822920003615</v>
      </c>
      <c r="N4" s="5">
        <v>2</v>
      </c>
      <c r="O4" s="5">
        <v>63.333333333333343</v>
      </c>
      <c r="P4" s="33">
        <v>29.76236668854936</v>
      </c>
      <c r="Q4" s="5">
        <v>22.509076555606612</v>
      </c>
      <c r="R4" s="5">
        <v>1630.8456040025615</v>
      </c>
      <c r="S4" s="42"/>
      <c r="T4" s="23">
        <v>109796.6806660584</v>
      </c>
      <c r="U4" s="33">
        <v>7.9737475000001723</v>
      </c>
      <c r="V4" s="5">
        <v>2</v>
      </c>
      <c r="W4" s="5">
        <v>63.333333333333343</v>
      </c>
      <c r="X4" s="33">
        <v>62.610930081094708</v>
      </c>
      <c r="Y4" s="5">
        <v>31.945884347803307</v>
      </c>
      <c r="Z4" s="5">
        <v>2066.3397530719858</v>
      </c>
      <c r="AA4" s="42"/>
    </row>
    <row r="5" spans="2:27" x14ac:dyDescent="0.2">
      <c r="B5" s="4">
        <v>2</v>
      </c>
      <c r="C5" s="4">
        <v>211</v>
      </c>
      <c r="D5" s="23">
        <v>93101.013434108667</v>
      </c>
      <c r="E5" s="33">
        <v>8.5272798749999765</v>
      </c>
      <c r="F5" s="5">
        <v>2</v>
      </c>
      <c r="G5" s="23">
        <v>80</v>
      </c>
      <c r="H5" s="33">
        <v>90.768516113317517</v>
      </c>
      <c r="I5" s="23">
        <v>28.859294784403513</v>
      </c>
      <c r="J5" s="5">
        <v>1919.1383495468283</v>
      </c>
      <c r="K5" s="31" t="e">
        <f>(D5-$D$15)/$D$15</f>
        <v>#DIV/0!</v>
      </c>
      <c r="L5" s="23">
        <v>103197.1837994735</v>
      </c>
      <c r="M5" s="33">
        <v>8.676422165997792</v>
      </c>
      <c r="N5" s="5">
        <v>2</v>
      </c>
      <c r="O5" s="5">
        <v>63.333333333333343</v>
      </c>
      <c r="P5" s="33">
        <v>29.76236668854936</v>
      </c>
      <c r="Q5" s="5">
        <v>22.509076555606612</v>
      </c>
      <c r="R5" s="5">
        <v>1630.8456040025615</v>
      </c>
      <c r="S5" s="42"/>
      <c r="T5" s="23">
        <v>109796.6806660584</v>
      </c>
      <c r="U5" s="33">
        <v>8.6156883750009001</v>
      </c>
      <c r="V5" s="5">
        <v>2</v>
      </c>
      <c r="W5" s="5">
        <v>63.333333333333343</v>
      </c>
      <c r="X5" s="33">
        <v>62.610930081094708</v>
      </c>
      <c r="Y5" s="5">
        <v>31.945884347803307</v>
      </c>
      <c r="Z5" s="5">
        <v>2066.3397530719858</v>
      </c>
      <c r="AA5" s="42"/>
    </row>
    <row r="6" spans="2:27" x14ac:dyDescent="0.2">
      <c r="B6" s="4">
        <v>3</v>
      </c>
      <c r="C6" s="4">
        <v>255</v>
      </c>
      <c r="D6" s="23">
        <v>93101.013434108667</v>
      </c>
      <c r="E6" s="33">
        <v>9.3289531660000193</v>
      </c>
      <c r="F6" s="5">
        <v>2</v>
      </c>
      <c r="G6" s="23">
        <v>80</v>
      </c>
      <c r="H6" s="33">
        <v>90.768516113317517</v>
      </c>
      <c r="I6" s="23">
        <v>28.859294784403513</v>
      </c>
      <c r="J6" s="5">
        <v>1919.1383495468283</v>
      </c>
      <c r="K6" s="31" t="e">
        <f t="shared" ref="K6:K13" si="0">(D6-$D$15)/$D$15</f>
        <v>#DIV/0!</v>
      </c>
      <c r="L6" s="23">
        <v>103197.1837994735</v>
      </c>
      <c r="M6" s="33">
        <v>8.4390037079974718</v>
      </c>
      <c r="N6" s="5">
        <v>2</v>
      </c>
      <c r="O6" s="5">
        <v>63.333333333333343</v>
      </c>
      <c r="P6" s="33">
        <v>29.76236668854936</v>
      </c>
      <c r="Q6" s="5">
        <v>22.509076555606612</v>
      </c>
      <c r="R6" s="5">
        <v>1630.8456040025615</v>
      </c>
      <c r="S6" s="42"/>
      <c r="T6" s="23">
        <v>109796.6806660584</v>
      </c>
      <c r="U6" s="33">
        <v>7.3452162909998151</v>
      </c>
      <c r="V6" s="5">
        <v>2</v>
      </c>
      <c r="W6" s="5">
        <v>63.333333333333343</v>
      </c>
      <c r="X6" s="33">
        <v>62.610930081094708</v>
      </c>
      <c r="Y6" s="5">
        <v>31.945884347803307</v>
      </c>
      <c r="Z6" s="5">
        <v>2066.3397530719858</v>
      </c>
      <c r="AA6" s="42"/>
    </row>
    <row r="7" spans="2:27" x14ac:dyDescent="0.2">
      <c r="B7" s="4">
        <v>4</v>
      </c>
      <c r="C7" s="4">
        <v>283</v>
      </c>
      <c r="D7" s="23">
        <v>93101.013434108667</v>
      </c>
      <c r="E7" s="33">
        <v>8.6647947080000449</v>
      </c>
      <c r="F7" s="5">
        <v>2</v>
      </c>
      <c r="G7" s="23">
        <v>80</v>
      </c>
      <c r="H7" s="33">
        <v>90.768516113317517</v>
      </c>
      <c r="I7" s="23">
        <v>28.859294784403513</v>
      </c>
      <c r="J7" s="5">
        <v>1919.1383495468283</v>
      </c>
      <c r="K7" s="31" t="e">
        <f t="shared" si="0"/>
        <v>#DIV/0!</v>
      </c>
      <c r="L7" s="23">
        <v>103197.1837994735</v>
      </c>
      <c r="M7" s="33">
        <v>8.4690512500019395</v>
      </c>
      <c r="N7" s="5">
        <v>2</v>
      </c>
      <c r="O7" s="5">
        <v>63.333333333333343</v>
      </c>
      <c r="P7" s="33">
        <v>29.76236668854936</v>
      </c>
      <c r="Q7" s="5">
        <v>22.509076555606612</v>
      </c>
      <c r="R7" s="5">
        <v>1630.8456040025615</v>
      </c>
      <c r="S7" s="42"/>
      <c r="T7" s="23">
        <v>109796.6806660584</v>
      </c>
      <c r="U7" s="33">
        <v>8.5765085420025571</v>
      </c>
      <c r="V7" s="5">
        <v>2</v>
      </c>
      <c r="W7" s="5">
        <v>63.333333333333343</v>
      </c>
      <c r="X7" s="33">
        <v>62.610930081094708</v>
      </c>
      <c r="Y7" s="5">
        <v>31.945884347803307</v>
      </c>
      <c r="Z7" s="5">
        <v>2066.3397530719858</v>
      </c>
      <c r="AA7" s="42"/>
    </row>
    <row r="8" spans="2:27" x14ac:dyDescent="0.2">
      <c r="B8" s="4">
        <v>5</v>
      </c>
      <c r="C8" s="4">
        <v>342</v>
      </c>
      <c r="D8" s="23">
        <v>93101.013434108667</v>
      </c>
      <c r="E8" s="33">
        <v>8.6686516249999386</v>
      </c>
      <c r="F8" s="5">
        <v>2</v>
      </c>
      <c r="G8" s="23">
        <v>80</v>
      </c>
      <c r="H8" s="33">
        <v>90.768516113317517</v>
      </c>
      <c r="I8" s="23">
        <v>28.859294784403513</v>
      </c>
      <c r="J8" s="5">
        <v>1919.1383495468283</v>
      </c>
      <c r="K8" s="31" t="e">
        <f t="shared" si="0"/>
        <v>#DIV/0!</v>
      </c>
      <c r="L8" s="23">
        <v>103197.1837994735</v>
      </c>
      <c r="M8" s="33">
        <v>8.5997766670006968</v>
      </c>
      <c r="N8" s="5">
        <v>2</v>
      </c>
      <c r="O8" s="5">
        <v>63.333333333333343</v>
      </c>
      <c r="P8" s="33">
        <v>29.76236668854936</v>
      </c>
      <c r="Q8" s="5">
        <v>22.509076555606612</v>
      </c>
      <c r="R8" s="5">
        <v>1630.8456040025615</v>
      </c>
      <c r="S8" s="42"/>
      <c r="T8" s="23">
        <v>109796.6806660584</v>
      </c>
      <c r="U8" s="33">
        <v>8.5682749169973249</v>
      </c>
      <c r="V8" s="5">
        <v>2</v>
      </c>
      <c r="W8" s="5">
        <v>63.333333333333343</v>
      </c>
      <c r="X8" s="33">
        <v>62.610930081094708</v>
      </c>
      <c r="Y8" s="5">
        <v>31.945884347803307</v>
      </c>
      <c r="Z8" s="5">
        <v>2066.3397530719858</v>
      </c>
      <c r="AA8" s="42"/>
    </row>
    <row r="9" spans="2:27" x14ac:dyDescent="0.2">
      <c r="B9" s="4">
        <v>6</v>
      </c>
      <c r="C9" s="4">
        <v>725</v>
      </c>
      <c r="D9" s="23">
        <v>93101.013434108667</v>
      </c>
      <c r="E9" s="33">
        <v>9.1790101250001044</v>
      </c>
      <c r="F9" s="5">
        <v>2</v>
      </c>
      <c r="G9" s="23">
        <v>80</v>
      </c>
      <c r="H9" s="33">
        <v>90.768516113317517</v>
      </c>
      <c r="I9" s="23">
        <v>28.859294784403513</v>
      </c>
      <c r="J9" s="5">
        <v>1919.1383495468283</v>
      </c>
      <c r="K9" s="31" t="e">
        <f t="shared" si="0"/>
        <v>#DIV/0!</v>
      </c>
      <c r="L9" s="23">
        <v>103197.1837994735</v>
      </c>
      <c r="M9" s="33">
        <v>8.4176139999981388</v>
      </c>
      <c r="N9" s="5">
        <v>2</v>
      </c>
      <c r="O9" s="5">
        <v>63.333333333333343</v>
      </c>
      <c r="P9" s="33">
        <v>29.76236668854936</v>
      </c>
      <c r="Q9" s="5">
        <v>22.509076555606612</v>
      </c>
      <c r="R9" s="5">
        <v>1630.8456040025615</v>
      </c>
      <c r="S9" s="42"/>
      <c r="T9" s="23">
        <v>109796.6806660584</v>
      </c>
      <c r="U9" s="33">
        <v>9.0564777920008055</v>
      </c>
      <c r="V9" s="5">
        <v>2</v>
      </c>
      <c r="W9" s="5">
        <v>63.333333333333343</v>
      </c>
      <c r="X9" s="33">
        <v>62.610930081094708</v>
      </c>
      <c r="Y9" s="5">
        <v>31.945884347803307</v>
      </c>
      <c r="Z9" s="5">
        <v>2066.3397530719858</v>
      </c>
      <c r="AA9" s="42"/>
    </row>
    <row r="10" spans="2:27" x14ac:dyDescent="0.2">
      <c r="B10" s="4">
        <v>7</v>
      </c>
      <c r="C10" s="4">
        <v>485</v>
      </c>
      <c r="D10" s="23">
        <v>93101.013434108667</v>
      </c>
      <c r="E10" s="33">
        <v>9.8149964169999748</v>
      </c>
      <c r="F10" s="5">
        <v>2</v>
      </c>
      <c r="G10" s="23">
        <v>80</v>
      </c>
      <c r="H10" s="33">
        <v>90.768516113317517</v>
      </c>
      <c r="I10" s="23">
        <v>28.859294784403513</v>
      </c>
      <c r="J10" s="5">
        <v>1919.1383495468283</v>
      </c>
      <c r="K10" s="31" t="e">
        <f t="shared" si="0"/>
        <v>#DIV/0!</v>
      </c>
      <c r="L10" s="23">
        <v>103197.1837994735</v>
      </c>
      <c r="M10" s="33">
        <v>8.2458257500002219</v>
      </c>
      <c r="N10" s="5">
        <v>2</v>
      </c>
      <c r="O10" s="5">
        <v>63.333333333333343</v>
      </c>
      <c r="P10" s="33">
        <v>29.76236668854936</v>
      </c>
      <c r="Q10" s="5">
        <v>22.509076555606612</v>
      </c>
      <c r="R10" s="5">
        <v>1630.8456040025615</v>
      </c>
      <c r="S10" s="42"/>
      <c r="T10" s="23">
        <v>109796.6806660584</v>
      </c>
      <c r="U10" s="33">
        <v>9.1505746660004661</v>
      </c>
      <c r="V10" s="5">
        <v>2</v>
      </c>
      <c r="W10" s="5">
        <v>63.333333333333343</v>
      </c>
      <c r="X10" s="33">
        <v>62.610930081094708</v>
      </c>
      <c r="Y10" s="5">
        <v>31.945884347803307</v>
      </c>
      <c r="Z10" s="5">
        <v>2066.3397530719858</v>
      </c>
      <c r="AA10" s="42"/>
    </row>
    <row r="11" spans="2:27" x14ac:dyDescent="0.2">
      <c r="B11" s="4">
        <v>8</v>
      </c>
      <c r="C11" s="4">
        <v>577</v>
      </c>
      <c r="D11" s="23">
        <v>93101.013434108667</v>
      </c>
      <c r="E11" s="33">
        <v>10.17825887499998</v>
      </c>
      <c r="F11" s="5">
        <v>2</v>
      </c>
      <c r="G11" s="23">
        <v>80</v>
      </c>
      <c r="H11" s="33">
        <v>90.768516113317517</v>
      </c>
      <c r="I11" s="23">
        <v>28.859294784403513</v>
      </c>
      <c r="J11" s="5">
        <v>1919.1383495468283</v>
      </c>
      <c r="K11" s="31" t="e">
        <f t="shared" si="0"/>
        <v>#DIV/0!</v>
      </c>
      <c r="L11" s="23">
        <v>103197.1837994735</v>
      </c>
      <c r="M11" s="33">
        <v>8.3764121249987511</v>
      </c>
      <c r="N11" s="5">
        <v>2</v>
      </c>
      <c r="O11" s="5">
        <v>63.333333333333343</v>
      </c>
      <c r="P11" s="33">
        <v>29.76236668854936</v>
      </c>
      <c r="Q11" s="5">
        <v>22.509076555606612</v>
      </c>
      <c r="R11" s="5">
        <v>1630.8456040025615</v>
      </c>
      <c r="S11" s="42"/>
      <c r="T11" s="23">
        <v>109796.6806660584</v>
      </c>
      <c r="U11" s="33">
        <v>8.8929530419991352</v>
      </c>
      <c r="V11" s="5">
        <v>2</v>
      </c>
      <c r="W11" s="5">
        <v>63.333333333333343</v>
      </c>
      <c r="X11" s="33">
        <v>62.610930081094708</v>
      </c>
      <c r="Y11" s="5">
        <v>31.945884347803307</v>
      </c>
      <c r="Z11" s="5">
        <v>2066.3397530719858</v>
      </c>
      <c r="AA11" s="42"/>
    </row>
    <row r="12" spans="2:27" x14ac:dyDescent="0.2">
      <c r="B12" s="4">
        <v>9</v>
      </c>
      <c r="C12" s="4">
        <v>628</v>
      </c>
      <c r="D12" s="23">
        <v>93101.013434108667</v>
      </c>
      <c r="E12" s="33">
        <v>8.5658765839998523</v>
      </c>
      <c r="F12" s="5">
        <v>2</v>
      </c>
      <c r="G12" s="23">
        <v>80</v>
      </c>
      <c r="H12" s="33">
        <v>90.768516113317517</v>
      </c>
      <c r="I12" s="23">
        <v>28.859294784403513</v>
      </c>
      <c r="J12" s="5">
        <v>1919.1383495468283</v>
      </c>
      <c r="K12" s="31" t="e">
        <f t="shared" si="0"/>
        <v>#DIV/0!</v>
      </c>
      <c r="L12" s="23">
        <v>103197.1837994735</v>
      </c>
      <c r="M12" s="33">
        <v>8.2539634169988858</v>
      </c>
      <c r="N12" s="5">
        <v>2</v>
      </c>
      <c r="O12" s="5">
        <v>63.333333333333343</v>
      </c>
      <c r="P12" s="33">
        <v>29.76236668854936</v>
      </c>
      <c r="Q12" s="5">
        <v>22.509076555606612</v>
      </c>
      <c r="R12" s="5">
        <v>1630.8456040025615</v>
      </c>
      <c r="S12" s="42"/>
      <c r="T12" s="23">
        <v>109796.6806660584</v>
      </c>
      <c r="U12" s="33">
        <v>6.942590292001114</v>
      </c>
      <c r="V12" s="5">
        <v>2</v>
      </c>
      <c r="W12" s="5">
        <v>63.333333333333343</v>
      </c>
      <c r="X12" s="33">
        <v>62.610930081094708</v>
      </c>
      <c r="Y12" s="5">
        <v>31.945884347803307</v>
      </c>
      <c r="Z12" s="5">
        <v>2066.3397530719858</v>
      </c>
      <c r="AA12" s="42"/>
    </row>
    <row r="13" spans="2:27" x14ac:dyDescent="0.2">
      <c r="B13" s="4">
        <v>10</v>
      </c>
      <c r="C13" s="4">
        <v>943</v>
      </c>
      <c r="D13" s="23">
        <v>93101.013434108667</v>
      </c>
      <c r="E13" s="33">
        <v>8.5197921670001051</v>
      </c>
      <c r="F13" s="5">
        <v>2</v>
      </c>
      <c r="G13" s="23">
        <v>80</v>
      </c>
      <c r="H13" s="33">
        <v>90.768516113317517</v>
      </c>
      <c r="I13" s="23">
        <v>28.859294784403513</v>
      </c>
      <c r="J13" s="5">
        <v>1919.1383495468283</v>
      </c>
      <c r="K13" s="31" t="e">
        <f t="shared" si="0"/>
        <v>#DIV/0!</v>
      </c>
      <c r="L13" s="23">
        <v>103197.1837994735</v>
      </c>
      <c r="M13" s="33">
        <v>8.1140530409975327</v>
      </c>
      <c r="N13" s="5">
        <v>2</v>
      </c>
      <c r="O13" s="5">
        <v>63.333333333333343</v>
      </c>
      <c r="P13" s="33">
        <v>29.76236668854936</v>
      </c>
      <c r="Q13" s="5">
        <v>22.509076555606612</v>
      </c>
      <c r="R13" s="5">
        <v>1630.8456040025615</v>
      </c>
      <c r="S13" s="42"/>
      <c r="T13" s="23">
        <v>109796.6806660584</v>
      </c>
      <c r="U13" s="33">
        <v>8.3894691659988894</v>
      </c>
      <c r="V13" s="5">
        <v>2</v>
      </c>
      <c r="W13" s="5">
        <v>63.333333333333343</v>
      </c>
      <c r="X13" s="33">
        <v>62.610930081094708</v>
      </c>
      <c r="Y13" s="5">
        <v>31.945884347803307</v>
      </c>
      <c r="Z13" s="5">
        <v>2066.3397530719858</v>
      </c>
      <c r="AA13" s="42"/>
    </row>
    <row r="14" spans="2:27" x14ac:dyDescent="0.2">
      <c r="B14" s="46" t="s">
        <v>3</v>
      </c>
      <c r="C14" s="47"/>
      <c r="D14" s="9">
        <f>MIN(D4:D13)</f>
        <v>93101.013434108667</v>
      </c>
      <c r="E14" s="22">
        <f>INDEX(E4:E13, MATCH($D$14, D4:D13, 0))</f>
        <v>8.5751846669998031</v>
      </c>
      <c r="F14" s="9">
        <f>INDEX(F4:F13, MATCH($D$14, D4:D13, 0))</f>
        <v>2</v>
      </c>
      <c r="G14" s="9">
        <f>INDEX(G4:G13, MATCH($D$14, D4:D13, 0))</f>
        <v>80</v>
      </c>
      <c r="H14" s="22">
        <f>INDEX(H4:H13, MATCH($D$14, D4:D13, 0))</f>
        <v>90.768516113317517</v>
      </c>
      <c r="I14" s="22">
        <f>INDEX(I4:I13, MATCH($D$14, D4:D13, 0))</f>
        <v>28.859294784403513</v>
      </c>
      <c r="J14" s="22">
        <f>INDEX(J4:J13, MATCH($D$14, D4:D13, 0))</f>
        <v>1919.1383495468283</v>
      </c>
      <c r="K14" s="32" t="e">
        <f>(D14-$D$15)/$D$15</f>
        <v>#DIV/0!</v>
      </c>
      <c r="L14" s="16">
        <f>MIN(L4:L13)</f>
        <v>103197.1837994735</v>
      </c>
      <c r="M14" s="21">
        <f>INDEX(M4:M13, MATCH($L$14, L4:L13, 0))</f>
        <v>8.4646822920003615</v>
      </c>
      <c r="N14" s="16">
        <f>INDEX(N4:N13, MATCH($L$14, L4:L13, 0))</f>
        <v>2</v>
      </c>
      <c r="O14" s="16">
        <f>INDEX(O4:O13, MATCH($L$14, L4:L13, 0))</f>
        <v>63.333333333333343</v>
      </c>
      <c r="P14" s="21">
        <f>INDEX(P4:P13, MATCH($L$14, L4:L13, 0))</f>
        <v>29.76236668854936</v>
      </c>
      <c r="Q14" s="21">
        <f>INDEX(Q4:Q13, MATCH($L$14, L4:L13, 0))</f>
        <v>22.509076555606612</v>
      </c>
      <c r="R14" s="21">
        <f>INDEX(R4:R13, MATCH($L$14, L4:L13, 0))</f>
        <v>1630.8456040025615</v>
      </c>
      <c r="S14" s="43" t="e">
        <f>(L14-$D$15)/$D$15</f>
        <v>#DIV/0!</v>
      </c>
      <c r="T14" s="38">
        <f>MIN(T4:T13)</f>
        <v>109796.6806660584</v>
      </c>
      <c r="U14" s="44">
        <f>INDEX(U4:U13, MATCH($T$14, T4:T13, 0))</f>
        <v>7.9737475000001723</v>
      </c>
      <c r="V14" s="38">
        <f>INDEX(V4:V13, MATCH($T$14, T4:T13, 0))</f>
        <v>2</v>
      </c>
      <c r="W14" s="38">
        <f>INDEX(W4:W13, MATCH($T$14, T4:T13, 0))</f>
        <v>63.333333333333343</v>
      </c>
      <c r="X14" s="44">
        <f>INDEX(X4:X13, MATCH($T$14, T4:T13, 0))</f>
        <v>62.610930081094708</v>
      </c>
      <c r="Y14" s="44">
        <f>INDEX(Y4:Y13, MATCH($T$14, T4:T13, 0))</f>
        <v>31.945884347803307</v>
      </c>
      <c r="Z14" s="44">
        <f>INDEX(Z4:Z13, MATCH($T$14, T4:T13, 0))</f>
        <v>2066.3397530719858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57" priority="5"/>
    <cfRule type="duplicateValues" dxfId="56" priority="6"/>
  </conditionalFormatting>
  <conditionalFormatting sqref="C14">
    <cfRule type="duplicateValues" dxfId="55" priority="3"/>
    <cfRule type="duplicateValues" dxfId="54" priority="4"/>
  </conditionalFormatting>
  <conditionalFormatting sqref="C15:C31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F3E6-455C-CC48-8A16-ACFAEA07DB03}">
  <dimension ref="B1:AA17"/>
  <sheetViews>
    <sheetView tabSelected="1" topLeftCell="L1" zoomScale="118" zoomScaleNormal="120" workbookViewId="0">
      <selection activeCell="L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30</v>
      </c>
      <c r="H2" s="28">
        <f>(Q14-H14)/H14</f>
        <v>-0.46053125116730864</v>
      </c>
      <c r="J2" s="28" t="e">
        <f>(S14-J14)/J14</f>
        <v>#DIV/0!</v>
      </c>
      <c r="K2" s="28"/>
      <c r="L2" s="1" t="s">
        <v>18</v>
      </c>
      <c r="P2" s="1">
        <f>(P14-H14)/H14</f>
        <v>-0.78178849788694083</v>
      </c>
      <c r="R2" s="1">
        <f>(R14-J14)/J14</f>
        <v>-0.29113983113360098</v>
      </c>
      <c r="T2" s="1" t="s">
        <v>19</v>
      </c>
      <c r="X2" s="1">
        <f>(X14-P14)/P14</f>
        <v>0.41467154474325568</v>
      </c>
      <c r="Z2" s="1">
        <f>(Z14-R14)/R14</f>
        <v>0.54014714089441895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205</v>
      </c>
      <c r="D4" s="23">
        <v>77825.094828197063</v>
      </c>
      <c r="E4" s="33">
        <v>4.1047357079999074</v>
      </c>
      <c r="F4" s="5">
        <v>2</v>
      </c>
      <c r="G4" s="23">
        <v>83.333333333333329</v>
      </c>
      <c r="H4" s="33">
        <v>24.991248096307245</v>
      </c>
      <c r="I4" s="23">
        <v>35.654720724181487</v>
      </c>
      <c r="J4" s="5">
        <v>1503.8227824501344</v>
      </c>
      <c r="K4" s="31" t="e">
        <f>(D4-$D$15)/$D$15</f>
        <v>#DIV/0!</v>
      </c>
      <c r="L4" s="23">
        <v>102636.8050646975</v>
      </c>
      <c r="M4" s="33">
        <v>10.58408162499836</v>
      </c>
      <c r="N4" s="5">
        <v>3</v>
      </c>
      <c r="O4" s="5">
        <v>63.333333333333343</v>
      </c>
      <c r="P4" s="33">
        <v>15.792498081316138</v>
      </c>
      <c r="Q4" s="5">
        <v>17.763519627717887</v>
      </c>
      <c r="R4" s="5">
        <v>1149.453734799122</v>
      </c>
      <c r="S4" s="42"/>
      <c r="T4" s="23">
        <v>91097.150464617705</v>
      </c>
      <c r="U4" s="33">
        <v>4.1394767499987211</v>
      </c>
      <c r="V4" s="5">
        <v>2</v>
      </c>
      <c r="W4" s="5">
        <v>73.333333333333329</v>
      </c>
      <c r="X4" s="33">
        <v>9.814543355258305</v>
      </c>
      <c r="Y4" s="5">
        <v>46.758045725717032</v>
      </c>
      <c r="Z4" s="5">
        <v>1710.6964580934446</v>
      </c>
      <c r="AA4" s="42"/>
    </row>
    <row r="5" spans="2:27" x14ac:dyDescent="0.2">
      <c r="B5" s="4">
        <v>2</v>
      </c>
      <c r="C5" s="4">
        <v>324</v>
      </c>
      <c r="D5" s="23">
        <v>77825.094828197063</v>
      </c>
      <c r="E5" s="33">
        <v>4.101255958000138</v>
      </c>
      <c r="F5" s="5">
        <v>2</v>
      </c>
      <c r="G5" s="23">
        <v>83.333333333333329</v>
      </c>
      <c r="H5" s="33">
        <v>24.991248096307245</v>
      </c>
      <c r="I5" s="23">
        <v>35.654720724181487</v>
      </c>
      <c r="J5" s="5">
        <v>1503.8227824501344</v>
      </c>
      <c r="K5" s="31" t="e">
        <f>(D5-$D$15)/$D$15</f>
        <v>#DIV/0!</v>
      </c>
      <c r="L5" s="23">
        <v>102381.15586757461</v>
      </c>
      <c r="M5" s="33">
        <v>12.69143020800038</v>
      </c>
      <c r="N5" s="5">
        <v>3</v>
      </c>
      <c r="O5" s="5">
        <v>63.333333333333343</v>
      </c>
      <c r="P5" s="33">
        <v>6.9376834444206734</v>
      </c>
      <c r="Q5" s="5">
        <v>17.151540461051223</v>
      </c>
      <c r="R5" s="5">
        <v>1110.7357295095724</v>
      </c>
      <c r="S5" s="42"/>
      <c r="T5" s="23">
        <v>91097.150464617705</v>
      </c>
      <c r="U5" s="33">
        <v>4.136169625002367</v>
      </c>
      <c r="V5" s="5">
        <v>2</v>
      </c>
      <c r="W5" s="5">
        <v>73.333333333333329</v>
      </c>
      <c r="X5" s="33">
        <v>9.814543355258305</v>
      </c>
      <c r="Y5" s="5">
        <v>46.758045725717032</v>
      </c>
      <c r="Z5" s="5">
        <v>1710.6964580934446</v>
      </c>
      <c r="AA5" s="42"/>
    </row>
    <row r="6" spans="2:27" x14ac:dyDescent="0.2">
      <c r="B6" s="4">
        <v>3</v>
      </c>
      <c r="C6" s="4">
        <v>234</v>
      </c>
      <c r="D6" s="23">
        <v>77825.094828197063</v>
      </c>
      <c r="E6" s="33">
        <v>4.1498329999999441</v>
      </c>
      <c r="F6" s="5">
        <v>2</v>
      </c>
      <c r="G6" s="23">
        <v>83.333333333333329</v>
      </c>
      <c r="H6" s="33">
        <v>24.991248096307245</v>
      </c>
      <c r="I6" s="23">
        <v>35.654720724181487</v>
      </c>
      <c r="J6" s="5">
        <v>1503.8227824501344</v>
      </c>
      <c r="K6" s="31" t="e">
        <f t="shared" ref="K6:K13" si="0">(D6-$D$15)/$D$15</f>
        <v>#DIV/0!</v>
      </c>
      <c r="L6" s="23">
        <v>102381.15586757461</v>
      </c>
      <c r="M6" s="33">
        <v>10.58507087500038</v>
      </c>
      <c r="N6" s="5">
        <v>3</v>
      </c>
      <c r="O6" s="5">
        <v>63.333333333333343</v>
      </c>
      <c r="P6" s="33">
        <v>6.9376834444206734</v>
      </c>
      <c r="Q6" s="5">
        <v>17.151540461051223</v>
      </c>
      <c r="R6" s="5">
        <v>1110.7357295095724</v>
      </c>
      <c r="S6" s="42"/>
      <c r="T6" s="23">
        <v>91097.150464617705</v>
      </c>
      <c r="U6" s="33">
        <v>4.0720393750016228</v>
      </c>
      <c r="V6" s="5">
        <v>2</v>
      </c>
      <c r="W6" s="5">
        <v>73.333333333333329</v>
      </c>
      <c r="X6" s="33">
        <v>9.814543355258305</v>
      </c>
      <c r="Y6" s="5">
        <v>46.758045725717032</v>
      </c>
      <c r="Z6" s="5">
        <v>1710.6964580934446</v>
      </c>
      <c r="AA6" s="42"/>
    </row>
    <row r="7" spans="2:27" x14ac:dyDescent="0.2">
      <c r="B7" s="4">
        <v>4</v>
      </c>
      <c r="C7" s="4">
        <v>484</v>
      </c>
      <c r="D7" s="23">
        <v>77825.094828197063</v>
      </c>
      <c r="E7" s="33">
        <v>4.0869255410000278</v>
      </c>
      <c r="F7" s="5">
        <v>2</v>
      </c>
      <c r="G7" s="23">
        <v>83.333333333333329</v>
      </c>
      <c r="H7" s="33">
        <v>24.991248096307245</v>
      </c>
      <c r="I7" s="23">
        <v>35.654720724181487</v>
      </c>
      <c r="J7" s="5">
        <v>1503.8227824501344</v>
      </c>
      <c r="K7" s="31" t="e">
        <f t="shared" si="0"/>
        <v>#DIV/0!</v>
      </c>
      <c r="L7" s="23">
        <v>102636.8050646975</v>
      </c>
      <c r="M7" s="33">
        <v>10.48006212499968</v>
      </c>
      <c r="N7" s="5">
        <v>3</v>
      </c>
      <c r="O7" s="5">
        <v>63.333333333333343</v>
      </c>
      <c r="P7" s="33">
        <v>15.792498081316138</v>
      </c>
      <c r="Q7" s="5">
        <v>17.763519627717887</v>
      </c>
      <c r="R7" s="5">
        <v>1149.453734799122</v>
      </c>
      <c r="S7" s="42"/>
      <c r="T7" s="23">
        <v>91097.150464617705</v>
      </c>
      <c r="U7" s="33">
        <v>3.9893174169992558</v>
      </c>
      <c r="V7" s="5">
        <v>2</v>
      </c>
      <c r="W7" s="5">
        <v>73.333333333333329</v>
      </c>
      <c r="X7" s="33">
        <v>9.814543355258305</v>
      </c>
      <c r="Y7" s="5">
        <v>46.758045725717032</v>
      </c>
      <c r="Z7" s="5">
        <v>1710.6964580934446</v>
      </c>
      <c r="AA7" s="42"/>
    </row>
    <row r="8" spans="2:27" x14ac:dyDescent="0.2">
      <c r="B8" s="4">
        <v>5</v>
      </c>
      <c r="C8" s="4">
        <v>354</v>
      </c>
      <c r="D8" s="23">
        <v>77825.094828197063</v>
      </c>
      <c r="E8" s="33">
        <v>4.0874587499999961</v>
      </c>
      <c r="F8" s="5">
        <v>2</v>
      </c>
      <c r="G8" s="23">
        <v>83.333333333333329</v>
      </c>
      <c r="H8" s="33">
        <v>24.991248096307245</v>
      </c>
      <c r="I8" s="23">
        <v>35.654720724181487</v>
      </c>
      <c r="J8" s="5">
        <v>1503.8227824501344</v>
      </c>
      <c r="K8" s="31" t="e">
        <f t="shared" si="0"/>
        <v>#DIV/0!</v>
      </c>
      <c r="L8" s="23">
        <v>102636.8050646975</v>
      </c>
      <c r="M8" s="33">
        <v>10.47391645800235</v>
      </c>
      <c r="N8" s="5">
        <v>3</v>
      </c>
      <c r="O8" s="5">
        <v>63.333333333333343</v>
      </c>
      <c r="P8" s="33">
        <v>15.792498081316138</v>
      </c>
      <c r="Q8" s="5">
        <v>17.763519627717887</v>
      </c>
      <c r="R8" s="5">
        <v>1149.453734799122</v>
      </c>
      <c r="S8" s="42"/>
      <c r="T8" s="23">
        <v>91097.150464617705</v>
      </c>
      <c r="U8" s="33">
        <v>4.1669305840005109</v>
      </c>
      <c r="V8" s="5">
        <v>2</v>
      </c>
      <c r="W8" s="5">
        <v>73.333333333333329</v>
      </c>
      <c r="X8" s="33">
        <v>9.814543355258305</v>
      </c>
      <c r="Y8" s="5">
        <v>46.758045725717032</v>
      </c>
      <c r="Z8" s="5">
        <v>1710.6964580934446</v>
      </c>
      <c r="AA8" s="42"/>
    </row>
    <row r="9" spans="2:27" x14ac:dyDescent="0.2">
      <c r="B9" s="4">
        <v>6</v>
      </c>
      <c r="C9" s="4">
        <v>356</v>
      </c>
      <c r="D9" s="23">
        <v>77825.094828197063</v>
      </c>
      <c r="E9" s="33">
        <v>4.3934758750001492</v>
      </c>
      <c r="F9" s="5">
        <v>2</v>
      </c>
      <c r="G9" s="23">
        <v>83.333333333333329</v>
      </c>
      <c r="H9" s="33">
        <v>24.991248096307245</v>
      </c>
      <c r="I9" s="23">
        <v>35.654720724181487</v>
      </c>
      <c r="J9" s="5">
        <v>1503.8227824501344</v>
      </c>
      <c r="K9" s="31" t="e">
        <f t="shared" si="0"/>
        <v>#DIV/0!</v>
      </c>
      <c r="L9" s="23">
        <v>102381.15586757461</v>
      </c>
      <c r="M9" s="33">
        <v>14.643965874998679</v>
      </c>
      <c r="N9" s="5">
        <v>3</v>
      </c>
      <c r="O9" s="5">
        <v>63.333333333333343</v>
      </c>
      <c r="P9" s="33">
        <v>6.9376834444206734</v>
      </c>
      <c r="Q9" s="5">
        <v>17.151540461051223</v>
      </c>
      <c r="R9" s="5">
        <v>1110.7357295095724</v>
      </c>
      <c r="S9" s="42"/>
      <c r="T9" s="23">
        <v>91097.150464617705</v>
      </c>
      <c r="U9" s="33">
        <v>4.1197091249996447</v>
      </c>
      <c r="V9" s="5">
        <v>2</v>
      </c>
      <c r="W9" s="5">
        <v>73.333333333333329</v>
      </c>
      <c r="X9" s="33">
        <v>9.814543355258305</v>
      </c>
      <c r="Y9" s="5">
        <v>46.758045725717032</v>
      </c>
      <c r="Z9" s="5">
        <v>1710.6964580934446</v>
      </c>
      <c r="AA9" s="42"/>
    </row>
    <row r="10" spans="2:27" x14ac:dyDescent="0.2">
      <c r="B10" s="4">
        <v>7</v>
      </c>
      <c r="C10" s="4">
        <v>604</v>
      </c>
      <c r="D10" s="23">
        <v>77825.094828197063</v>
      </c>
      <c r="E10" s="33">
        <v>4.5032227500000772</v>
      </c>
      <c r="F10" s="5">
        <v>2</v>
      </c>
      <c r="G10" s="23">
        <v>83.333333333333329</v>
      </c>
      <c r="H10" s="33">
        <v>24.991248096307245</v>
      </c>
      <c r="I10" s="23">
        <v>35.654720724181487</v>
      </c>
      <c r="J10" s="5">
        <v>1503.8227824501344</v>
      </c>
      <c r="K10" s="31" t="e">
        <f t="shared" si="0"/>
        <v>#DIV/0!</v>
      </c>
      <c r="L10" s="23">
        <v>102636.8050646975</v>
      </c>
      <c r="M10" s="33">
        <v>8.6857637079992855</v>
      </c>
      <c r="N10" s="5">
        <v>3</v>
      </c>
      <c r="O10" s="5">
        <v>63.333333333333343</v>
      </c>
      <c r="P10" s="33">
        <v>15.792498081316138</v>
      </c>
      <c r="Q10" s="5">
        <v>17.763519627717887</v>
      </c>
      <c r="R10" s="5">
        <v>1149.453734799122</v>
      </c>
      <c r="S10" s="42"/>
      <c r="T10" s="23">
        <v>91097.150464617705</v>
      </c>
      <c r="U10" s="33">
        <v>4.0215344169992022</v>
      </c>
      <c r="V10" s="5">
        <v>2</v>
      </c>
      <c r="W10" s="5">
        <v>73.333333333333329</v>
      </c>
      <c r="X10" s="33">
        <v>9.814543355258305</v>
      </c>
      <c r="Y10" s="5">
        <v>46.758045725717032</v>
      </c>
      <c r="Z10" s="5">
        <v>1710.6964580934446</v>
      </c>
      <c r="AA10" s="42"/>
    </row>
    <row r="11" spans="2:27" x14ac:dyDescent="0.2">
      <c r="B11" s="4">
        <v>8</v>
      </c>
      <c r="C11" s="4">
        <v>890</v>
      </c>
      <c r="D11" s="23">
        <v>77825.094828197063</v>
      </c>
      <c r="E11" s="33">
        <v>4.1785830419999002</v>
      </c>
      <c r="F11" s="5">
        <v>2</v>
      </c>
      <c r="G11" s="23">
        <v>83.333333333333329</v>
      </c>
      <c r="H11" s="33">
        <v>24.991248096307245</v>
      </c>
      <c r="I11" s="23">
        <v>35.654720724181487</v>
      </c>
      <c r="J11" s="5">
        <v>1503.8227824501344</v>
      </c>
      <c r="K11" s="31" t="e">
        <f t="shared" si="0"/>
        <v>#DIV/0!</v>
      </c>
      <c r="L11" s="23">
        <v>102381.15586757461</v>
      </c>
      <c r="M11" s="33">
        <v>21.256316083003181</v>
      </c>
      <c r="N11" s="5">
        <v>3</v>
      </c>
      <c r="O11" s="5">
        <v>63.333333333333343</v>
      </c>
      <c r="P11" s="33">
        <v>6.9376834444206734</v>
      </c>
      <c r="Q11" s="5">
        <v>17.151540461051223</v>
      </c>
      <c r="R11" s="5">
        <v>1110.7357295095724</v>
      </c>
      <c r="S11" s="42"/>
      <c r="T11" s="23">
        <v>91097.150464617705</v>
      </c>
      <c r="U11" s="33">
        <v>3.982902416002617</v>
      </c>
      <c r="V11" s="5">
        <v>2</v>
      </c>
      <c r="W11" s="5">
        <v>73.333333333333329</v>
      </c>
      <c r="X11" s="33">
        <v>9.814543355258305</v>
      </c>
      <c r="Y11" s="5">
        <v>46.758045725717032</v>
      </c>
      <c r="Z11" s="5">
        <v>1710.6964580934446</v>
      </c>
      <c r="AA11" s="42"/>
    </row>
    <row r="12" spans="2:27" x14ac:dyDescent="0.2">
      <c r="B12" s="4">
        <v>9</v>
      </c>
      <c r="C12" s="4">
        <v>468</v>
      </c>
      <c r="D12" s="23">
        <v>77763.923899388159</v>
      </c>
      <c r="E12" s="33">
        <v>4.5579906250000022</v>
      </c>
      <c r="F12" s="5">
        <v>3</v>
      </c>
      <c r="G12" s="23">
        <v>93.333333333333329</v>
      </c>
      <c r="H12" s="33">
        <v>31.793390253214707</v>
      </c>
      <c r="I12" s="23">
        <v>29.286306871676544</v>
      </c>
      <c r="J12" s="5">
        <v>1566.9320668501491</v>
      </c>
      <c r="K12" s="31" t="e">
        <f t="shared" si="0"/>
        <v>#DIV/0!</v>
      </c>
      <c r="L12" s="23">
        <v>102636.8050646975</v>
      </c>
      <c r="M12" s="33">
        <v>9.6955770000022312</v>
      </c>
      <c r="N12" s="5">
        <v>3</v>
      </c>
      <c r="O12" s="5">
        <v>63.333333333333343</v>
      </c>
      <c r="P12" s="33">
        <v>15.792498081316138</v>
      </c>
      <c r="Q12" s="5">
        <v>17.763519627717887</v>
      </c>
      <c r="R12" s="5">
        <v>1149.453734799122</v>
      </c>
      <c r="S12" s="42"/>
      <c r="T12" s="23">
        <v>91097.150464617705</v>
      </c>
      <c r="U12" s="33">
        <v>4.0271879590000026</v>
      </c>
      <c r="V12" s="5">
        <v>2</v>
      </c>
      <c r="W12" s="5">
        <v>73.333333333333329</v>
      </c>
      <c r="X12" s="33">
        <v>9.814543355258305</v>
      </c>
      <c r="Y12" s="5">
        <v>46.758045725717032</v>
      </c>
      <c r="Z12" s="5">
        <v>1710.6964580934446</v>
      </c>
      <c r="AA12" s="42"/>
    </row>
    <row r="13" spans="2:27" x14ac:dyDescent="0.2">
      <c r="B13" s="4">
        <v>10</v>
      </c>
      <c r="C13" s="4">
        <v>600</v>
      </c>
      <c r="D13" s="23">
        <v>77825.094828197063</v>
      </c>
      <c r="E13" s="33">
        <v>3.9846895419998418</v>
      </c>
      <c r="F13" s="5">
        <v>2</v>
      </c>
      <c r="G13" s="23">
        <v>83.333333333333329</v>
      </c>
      <c r="H13" s="33">
        <v>24.991248096307245</v>
      </c>
      <c r="I13" s="23">
        <v>35.654720724181487</v>
      </c>
      <c r="J13" s="5">
        <v>1503.8227824501344</v>
      </c>
      <c r="K13" s="31" t="e">
        <f t="shared" si="0"/>
        <v>#DIV/0!</v>
      </c>
      <c r="L13" s="23">
        <v>102381.15586757461</v>
      </c>
      <c r="M13" s="33">
        <v>11.658174208998391</v>
      </c>
      <c r="N13" s="5">
        <v>3</v>
      </c>
      <c r="O13" s="5">
        <v>63.333333333333343</v>
      </c>
      <c r="P13" s="33">
        <v>6.9376834444206734</v>
      </c>
      <c r="Q13" s="5">
        <v>17.151540461051223</v>
      </c>
      <c r="R13" s="5">
        <v>1110.7357295095724</v>
      </c>
      <c r="S13" s="42"/>
      <c r="T13" s="23">
        <v>91097.150464617705</v>
      </c>
      <c r="U13" s="33">
        <v>4.0891557920003834</v>
      </c>
      <c r="V13" s="5">
        <v>2</v>
      </c>
      <c r="W13" s="5">
        <v>73.333333333333329</v>
      </c>
      <c r="X13" s="33">
        <v>9.814543355258305</v>
      </c>
      <c r="Y13" s="5">
        <v>46.758045725717032</v>
      </c>
      <c r="Z13" s="5">
        <v>1710.6964580934446</v>
      </c>
      <c r="AA13" s="42"/>
    </row>
    <row r="14" spans="2:27" x14ac:dyDescent="0.2">
      <c r="B14" s="46" t="s">
        <v>3</v>
      </c>
      <c r="C14" s="47"/>
      <c r="D14" s="9">
        <f>MIN(D4:D13)</f>
        <v>77763.923899388159</v>
      </c>
      <c r="E14" s="22">
        <f>INDEX(E4:E13, MATCH($D$14, D4:D13, 0))</f>
        <v>4.5579906250000022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31.793390253214707</v>
      </c>
      <c r="I14" s="22">
        <f>INDEX(I4:I13, MATCH($D$14, D4:D13, 0))</f>
        <v>29.286306871676544</v>
      </c>
      <c r="J14" s="22">
        <f>INDEX(J4:J13, MATCH($D$14, D4:D13, 0))</f>
        <v>1566.9320668501491</v>
      </c>
      <c r="K14" s="32" t="e">
        <f>(D14-$D$15)/$D$15</f>
        <v>#DIV/0!</v>
      </c>
      <c r="L14" s="16">
        <f>MIN(L4:L13)</f>
        <v>102381.15586757461</v>
      </c>
      <c r="M14" s="21">
        <f>INDEX(M4:M13, MATCH($L$14, L4:L13, 0))</f>
        <v>12.69143020800038</v>
      </c>
      <c r="N14" s="16">
        <f>INDEX(N4:N13, MATCH($L$14, L4:L13, 0))</f>
        <v>3</v>
      </c>
      <c r="O14" s="16">
        <f>INDEX(O4:O13, MATCH($L$14, L4:L13, 0))</f>
        <v>63.333333333333343</v>
      </c>
      <c r="P14" s="21">
        <f>INDEX(P4:P13, MATCH($L$14, L4:L13, 0))</f>
        <v>6.9376834444206734</v>
      </c>
      <c r="Q14" s="21">
        <f>INDEX(Q4:Q13, MATCH($L$14, L4:L13, 0))</f>
        <v>17.151540461051223</v>
      </c>
      <c r="R14" s="21">
        <f>INDEX(R4:R13, MATCH($L$14, L4:L13, 0))</f>
        <v>1110.7357295095724</v>
      </c>
      <c r="S14" s="43" t="e">
        <f>(L14-$D$15)/$D$15</f>
        <v>#DIV/0!</v>
      </c>
      <c r="T14" s="38">
        <f>MIN(T4:T13)</f>
        <v>91097.150464617705</v>
      </c>
      <c r="U14" s="44">
        <f>INDEX(U4:U13, MATCH($T$14, T4:T13, 0))</f>
        <v>4.1394767499987211</v>
      </c>
      <c r="V14" s="38">
        <f>INDEX(V4:V13, MATCH($T$14, T4:T13, 0))</f>
        <v>2</v>
      </c>
      <c r="W14" s="38">
        <f>INDEX(W4:W13, MATCH($T$14, T4:T13, 0))</f>
        <v>73.333333333333329</v>
      </c>
      <c r="X14" s="44">
        <f>INDEX(X4:X13, MATCH($T$14, T4:T13, 0))</f>
        <v>9.814543355258305</v>
      </c>
      <c r="Y14" s="44">
        <f>INDEX(Y4:Y13, MATCH($T$14, T4:T13, 0))</f>
        <v>46.758045725717032</v>
      </c>
      <c r="Z14" s="44">
        <f>INDEX(Z4:Z13, MATCH($T$14, T4:T13, 0))</f>
        <v>1710.6964580934446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32:C1048576">
    <cfRule type="duplicateValues" dxfId="53" priority="5"/>
    <cfRule type="duplicateValues" dxfId="52" priority="6"/>
  </conditionalFormatting>
  <conditionalFormatting sqref="C14">
    <cfRule type="duplicateValues" dxfId="51" priority="3"/>
    <cfRule type="duplicateValues" dxfId="50" priority="4"/>
  </conditionalFormatting>
  <conditionalFormatting sqref="C15:C3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results77</vt:lpstr>
      <vt:lpstr>results158</vt:lpstr>
      <vt:lpstr>results185</vt:lpstr>
      <vt:lpstr>results347</vt:lpstr>
      <vt:lpstr>results417</vt:lpstr>
      <vt:lpstr>results549</vt:lpstr>
      <vt:lpstr>results691</vt:lpstr>
      <vt:lpstr>results758</vt:lpstr>
      <vt:lpstr>results804</vt:lpstr>
      <vt:lpstr>results905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2026-10-15T22:13:35Z</dcterms:modified>
</cp:coreProperties>
</file>