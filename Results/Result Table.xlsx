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isa/Documents/Chapter 1/GitHub/Results/"/>
    </mc:Choice>
  </mc:AlternateContent>
  <xr:revisionPtr revIDLastSave="0" documentId="13_ncr:1_{6876214F-A547-F847-8348-21892AA4AE32}" xr6:coauthVersionLast="47" xr6:coauthVersionMax="47" xr10:uidLastSave="{00000000-0000-0000-0000-000000000000}"/>
  <bookViews>
    <workbookView xWindow="0" yWindow="760" windowWidth="34560" windowHeight="20520" activeTab="4" xr2:uid="{EFCBB85F-453F-6144-A67B-A4CECC6DABF3}"/>
  </bookViews>
  <sheets>
    <sheet name="Small" sheetId="3" r:id="rId1"/>
    <sheet name="Small- SA-AOS vs. Simple-SA" sheetId="17" r:id="rId2"/>
    <sheet name="Small- B_I=N" sheetId="19" r:id="rId3"/>
    <sheet name="Large" sheetId="15" r:id="rId4"/>
    <sheet name="Large- SA-AOS vs. Simple-SA" sheetId="1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1" i="17" l="1"/>
  <c r="AE10" i="19" l="1"/>
  <c r="AC10" i="19"/>
  <c r="Z34" i="3" l="1"/>
  <c r="P34" i="3"/>
  <c r="P31" i="3"/>
  <c r="O1" i="3" l="1"/>
  <c r="AJ20" i="19" l="1"/>
  <c r="AI20" i="19"/>
  <c r="AH20" i="19"/>
  <c r="AG20" i="19"/>
  <c r="AF20" i="19"/>
  <c r="AE20" i="19"/>
  <c r="AD20" i="19"/>
  <c r="AC20" i="19"/>
  <c r="AJ19" i="19"/>
  <c r="AI19" i="19"/>
  <c r="AH19" i="19"/>
  <c r="AG19" i="19"/>
  <c r="AF19" i="19"/>
  <c r="AE19" i="19"/>
  <c r="AD19" i="19"/>
  <c r="AC19" i="19"/>
  <c r="AJ18" i="19"/>
  <c r="AI18" i="19"/>
  <c r="AH18" i="19"/>
  <c r="AG18" i="19"/>
  <c r="AF18" i="19"/>
  <c r="AE18" i="19"/>
  <c r="AD18" i="19"/>
  <c r="AC18" i="19"/>
  <c r="AJ17" i="19"/>
  <c r="AI17" i="19"/>
  <c r="AH17" i="19"/>
  <c r="AG17" i="19"/>
  <c r="AF17" i="19"/>
  <c r="AE17" i="19"/>
  <c r="AD17" i="19"/>
  <c r="AC17" i="19"/>
  <c r="AJ15" i="19"/>
  <c r="AI15" i="19"/>
  <c r="AH15" i="19"/>
  <c r="AG15" i="19"/>
  <c r="AF15" i="19"/>
  <c r="AE15" i="19"/>
  <c r="AD15" i="19"/>
  <c r="AC15" i="19"/>
  <c r="AJ14" i="19"/>
  <c r="AI14" i="19"/>
  <c r="AH14" i="19"/>
  <c r="AG14" i="19"/>
  <c r="AF14" i="19"/>
  <c r="AE14" i="19"/>
  <c r="AD14" i="19"/>
  <c r="AC14" i="19"/>
  <c r="AJ13" i="19"/>
  <c r="AI13" i="19"/>
  <c r="AH13" i="19"/>
  <c r="AG13" i="19"/>
  <c r="AF13" i="19"/>
  <c r="AE13" i="19"/>
  <c r="AD13" i="19"/>
  <c r="AC13" i="19"/>
  <c r="AJ12" i="19"/>
  <c r="AI12" i="19"/>
  <c r="AH12" i="19"/>
  <c r="AG12" i="19"/>
  <c r="AF12" i="19"/>
  <c r="AE12" i="19"/>
  <c r="AD12" i="19"/>
  <c r="AC12" i="19"/>
  <c r="AJ10" i="19"/>
  <c r="AI10" i="19"/>
  <c r="AH10" i="19"/>
  <c r="AG10" i="19"/>
  <c r="AF10" i="19"/>
  <c r="AD10" i="19"/>
  <c r="AJ9" i="19"/>
  <c r="AI9" i="19"/>
  <c r="AH9" i="19"/>
  <c r="AG9" i="19"/>
  <c r="AF9" i="19"/>
  <c r="AE9" i="19"/>
  <c r="AD9" i="19"/>
  <c r="AC9" i="19"/>
  <c r="AJ8" i="19"/>
  <c r="AI8" i="19"/>
  <c r="AH8" i="19"/>
  <c r="AG8" i="19"/>
  <c r="AF8" i="19"/>
  <c r="AE8" i="19"/>
  <c r="AD8" i="19"/>
  <c r="AC8" i="19"/>
  <c r="AJ7" i="19"/>
  <c r="AI7" i="19"/>
  <c r="AH7" i="19"/>
  <c r="AG7" i="19"/>
  <c r="AF7" i="19"/>
  <c r="AE7" i="19"/>
  <c r="AD7" i="19"/>
  <c r="AC7" i="19"/>
  <c r="AC8" i="18" l="1"/>
  <c r="AD8" i="17" l="1"/>
  <c r="AC8" i="17"/>
  <c r="AJ21" i="17"/>
  <c r="AI21" i="17"/>
  <c r="AH21" i="17"/>
  <c r="AG21" i="17"/>
  <c r="AF21" i="17"/>
  <c r="AE21" i="17"/>
  <c r="AD21" i="17"/>
  <c r="AJ20" i="17"/>
  <c r="AI20" i="17"/>
  <c r="AH20" i="17"/>
  <c r="AG20" i="17"/>
  <c r="AF20" i="17"/>
  <c r="AE20" i="17"/>
  <c r="AD20" i="17"/>
  <c r="AC20" i="17"/>
  <c r="AJ19" i="17"/>
  <c r="AI19" i="17"/>
  <c r="AH19" i="17"/>
  <c r="AG19" i="17"/>
  <c r="AF19" i="17"/>
  <c r="AE19" i="17"/>
  <c r="AD19" i="17"/>
  <c r="AC19" i="17"/>
  <c r="AJ18" i="17"/>
  <c r="AI18" i="17"/>
  <c r="AH18" i="17"/>
  <c r="AG18" i="17"/>
  <c r="AF18" i="17"/>
  <c r="AE18" i="17"/>
  <c r="AD18" i="17"/>
  <c r="AC18" i="17"/>
  <c r="AJ16" i="17"/>
  <c r="AI16" i="17"/>
  <c r="AH16" i="17"/>
  <c r="AG16" i="17"/>
  <c r="AF16" i="17"/>
  <c r="AE16" i="17"/>
  <c r="AD16" i="17"/>
  <c r="AC16" i="17"/>
  <c r="AJ15" i="17"/>
  <c r="AI15" i="17"/>
  <c r="AH15" i="17"/>
  <c r="AG15" i="17"/>
  <c r="AF15" i="17"/>
  <c r="AE15" i="17"/>
  <c r="AD15" i="17"/>
  <c r="AC15" i="17"/>
  <c r="AJ14" i="17"/>
  <c r="AI14" i="17"/>
  <c r="AH14" i="17"/>
  <c r="AG14" i="17"/>
  <c r="AF14" i="17"/>
  <c r="AE14" i="17"/>
  <c r="AD14" i="17"/>
  <c r="AC14" i="17"/>
  <c r="AJ13" i="17"/>
  <c r="AI13" i="17"/>
  <c r="AH13" i="17"/>
  <c r="AG13" i="17"/>
  <c r="AF13" i="17"/>
  <c r="AE13" i="17"/>
  <c r="AD13" i="17"/>
  <c r="AC13" i="17"/>
  <c r="AJ11" i="17"/>
  <c r="AI11" i="17"/>
  <c r="AH11" i="17"/>
  <c r="AG11" i="17"/>
  <c r="AF11" i="17"/>
  <c r="AE11" i="17"/>
  <c r="AD11" i="17"/>
  <c r="AC11" i="17"/>
  <c r="AJ10" i="17"/>
  <c r="AI10" i="17"/>
  <c r="AH10" i="17"/>
  <c r="AG10" i="17"/>
  <c r="AF10" i="17"/>
  <c r="AE10" i="17"/>
  <c r="AD10" i="17"/>
  <c r="AC10" i="17"/>
  <c r="AJ9" i="17"/>
  <c r="AI9" i="17"/>
  <c r="AH9" i="17"/>
  <c r="AG9" i="17"/>
  <c r="AF9" i="17"/>
  <c r="AE9" i="17"/>
  <c r="AD9" i="17"/>
  <c r="AC9" i="17"/>
  <c r="AJ8" i="17"/>
  <c r="AI8" i="17"/>
  <c r="AH8" i="17"/>
  <c r="AG8" i="17"/>
  <c r="AF8" i="17"/>
  <c r="AE8" i="17"/>
  <c r="AJ21" i="18" l="1"/>
  <c r="AI21" i="18"/>
  <c r="AH21" i="18"/>
  <c r="AG21" i="18"/>
  <c r="AF21" i="18"/>
  <c r="AE21" i="18"/>
  <c r="AD21" i="18"/>
  <c r="AC21" i="18"/>
  <c r="AJ20" i="18"/>
  <c r="AI20" i="18"/>
  <c r="AH20" i="18"/>
  <c r="AG20" i="18"/>
  <c r="AF20" i="18"/>
  <c r="AE20" i="18"/>
  <c r="AD20" i="18"/>
  <c r="AC20" i="18"/>
  <c r="AJ19" i="18"/>
  <c r="AI19" i="18"/>
  <c r="AH19" i="18"/>
  <c r="AG19" i="18"/>
  <c r="AF19" i="18"/>
  <c r="AE19" i="18"/>
  <c r="AD19" i="18"/>
  <c r="AC19" i="18"/>
  <c r="AJ18" i="18"/>
  <c r="AI18" i="18"/>
  <c r="AH18" i="18"/>
  <c r="AG18" i="18"/>
  <c r="AF18" i="18"/>
  <c r="AE18" i="18"/>
  <c r="AD18" i="18"/>
  <c r="AC18" i="18"/>
  <c r="AJ16" i="18"/>
  <c r="AI16" i="18"/>
  <c r="AH16" i="18"/>
  <c r="AG16" i="18"/>
  <c r="AF16" i="18"/>
  <c r="AE16" i="18"/>
  <c r="AD16" i="18"/>
  <c r="AC16" i="18"/>
  <c r="AJ15" i="18"/>
  <c r="AI15" i="18"/>
  <c r="AH15" i="18"/>
  <c r="AG15" i="18"/>
  <c r="AF15" i="18"/>
  <c r="AE15" i="18"/>
  <c r="AD15" i="18"/>
  <c r="AC15" i="18"/>
  <c r="AJ14" i="18"/>
  <c r="AI14" i="18"/>
  <c r="AH14" i="18"/>
  <c r="AG14" i="18"/>
  <c r="AF14" i="18"/>
  <c r="AE14" i="18"/>
  <c r="AD14" i="18"/>
  <c r="AC14" i="18"/>
  <c r="AJ13" i="18"/>
  <c r="AI13" i="18"/>
  <c r="AH13" i="18"/>
  <c r="AG13" i="18"/>
  <c r="AF13" i="18"/>
  <c r="AE13" i="18"/>
  <c r="AD13" i="18"/>
  <c r="AC13" i="18"/>
  <c r="AJ11" i="18"/>
  <c r="AI11" i="18"/>
  <c r="AH11" i="18"/>
  <c r="AG11" i="18"/>
  <c r="AF11" i="18"/>
  <c r="AE11" i="18"/>
  <c r="AD11" i="18"/>
  <c r="AC11" i="18"/>
  <c r="AJ10" i="18"/>
  <c r="AI10" i="18"/>
  <c r="AH10" i="18"/>
  <c r="AG10" i="18"/>
  <c r="AF10" i="18"/>
  <c r="AE10" i="18"/>
  <c r="AD10" i="18"/>
  <c r="AC10" i="18"/>
  <c r="AJ9" i="18"/>
  <c r="AI9" i="18"/>
  <c r="AH9" i="18"/>
  <c r="AG9" i="18"/>
  <c r="AF9" i="18"/>
  <c r="AE9" i="18"/>
  <c r="AD9" i="18"/>
  <c r="AC9" i="18"/>
  <c r="AJ8" i="18"/>
  <c r="AI8" i="18"/>
  <c r="AH8" i="18"/>
  <c r="AG8" i="18"/>
  <c r="AF8" i="18"/>
  <c r="AE8" i="18"/>
  <c r="AD8" i="18"/>
  <c r="O1" i="15"/>
  <c r="K6" i="15"/>
  <c r="K5" i="15"/>
  <c r="K4" i="15"/>
  <c r="K3" i="15"/>
  <c r="K2" i="15"/>
  <c r="K1" i="15"/>
  <c r="O7" i="15"/>
  <c r="N7" i="15"/>
  <c r="M7" i="15"/>
  <c r="L7" i="15"/>
  <c r="K7" i="15"/>
  <c r="O6" i="15"/>
  <c r="N6" i="15"/>
  <c r="M6" i="15"/>
  <c r="L6" i="15"/>
  <c r="O5" i="15"/>
  <c r="N5" i="15"/>
  <c r="M5" i="15"/>
  <c r="L5" i="15"/>
  <c r="O4" i="15"/>
  <c r="N4" i="15"/>
  <c r="M4" i="15"/>
  <c r="L4" i="15"/>
  <c r="O3" i="15"/>
  <c r="N3" i="15"/>
  <c r="M3" i="15"/>
  <c r="L3" i="15"/>
  <c r="O2" i="15"/>
  <c r="N2" i="15"/>
  <c r="M2" i="15"/>
  <c r="L2" i="15"/>
  <c r="N1" i="15"/>
  <c r="M1" i="15"/>
  <c r="L1" i="15"/>
  <c r="O2" i="3"/>
  <c r="O3" i="3"/>
  <c r="O4" i="3"/>
  <c r="O5" i="3"/>
  <c r="O6" i="3"/>
  <c r="O7" i="3"/>
  <c r="N1" i="3"/>
  <c r="N2" i="3"/>
  <c r="N3" i="3"/>
  <c r="N4" i="3"/>
  <c r="N5" i="3"/>
  <c r="N6" i="3"/>
  <c r="N7" i="3"/>
  <c r="M1" i="3"/>
  <c r="M2" i="3"/>
  <c r="M3" i="3"/>
  <c r="M4" i="3"/>
  <c r="M5" i="3"/>
  <c r="M6" i="3"/>
  <c r="M7" i="3"/>
  <c r="L7" i="3"/>
  <c r="L5" i="3"/>
  <c r="L4" i="3"/>
  <c r="L3" i="3"/>
  <c r="L2" i="3"/>
  <c r="L1" i="3"/>
  <c r="L6" i="3"/>
  <c r="K7" i="3"/>
  <c r="K6" i="3"/>
  <c r="K5" i="3"/>
  <c r="K4" i="3"/>
  <c r="K3" i="3"/>
  <c r="K2" i="3"/>
  <c r="K1" i="3"/>
  <c r="AO11" i="15" l="1"/>
  <c r="AM11" i="15"/>
  <c r="BD24" i="15"/>
  <c r="BC24" i="15"/>
  <c r="BB24" i="15"/>
  <c r="BA24" i="15"/>
  <c r="AZ24" i="15"/>
  <c r="AY24" i="15"/>
  <c r="AX24" i="15"/>
  <c r="AW24" i="15"/>
  <c r="BD23" i="15"/>
  <c r="BC23" i="15"/>
  <c r="BB23" i="15"/>
  <c r="BA23" i="15"/>
  <c r="AZ23" i="15"/>
  <c r="AY23" i="15"/>
  <c r="AX23" i="15"/>
  <c r="AW23" i="15"/>
  <c r="BD22" i="15"/>
  <c r="BC22" i="15"/>
  <c r="BB22" i="15"/>
  <c r="BA22" i="15"/>
  <c r="AZ22" i="15"/>
  <c r="AY22" i="15"/>
  <c r="AX22" i="15"/>
  <c r="AW22" i="15"/>
  <c r="BD21" i="15"/>
  <c r="BC21" i="15"/>
  <c r="BB21" i="15"/>
  <c r="BA21" i="15"/>
  <c r="AZ21" i="15"/>
  <c r="AY21" i="15"/>
  <c r="AX21" i="15"/>
  <c r="AW21" i="15"/>
  <c r="BD19" i="15"/>
  <c r="BC19" i="15"/>
  <c r="BB19" i="15"/>
  <c r="BA19" i="15"/>
  <c r="AZ19" i="15"/>
  <c r="AY19" i="15"/>
  <c r="AX19" i="15"/>
  <c r="AW19" i="15"/>
  <c r="BD18" i="15"/>
  <c r="BC18" i="15"/>
  <c r="BB18" i="15"/>
  <c r="BA18" i="15"/>
  <c r="AZ18" i="15"/>
  <c r="AY18" i="15"/>
  <c r="AX18" i="15"/>
  <c r="AW18" i="15"/>
  <c r="BD17" i="15"/>
  <c r="BC17" i="15"/>
  <c r="BB17" i="15"/>
  <c r="BA17" i="15"/>
  <c r="AZ17" i="15"/>
  <c r="AY17" i="15"/>
  <c r="AX17" i="15"/>
  <c r="AW17" i="15"/>
  <c r="BD16" i="15"/>
  <c r="BC16" i="15"/>
  <c r="BB16" i="15"/>
  <c r="BA16" i="15"/>
  <c r="AZ16" i="15"/>
  <c r="AY16" i="15"/>
  <c r="AX16" i="15"/>
  <c r="AW16" i="15"/>
  <c r="BD14" i="15"/>
  <c r="BC14" i="15"/>
  <c r="BB14" i="15"/>
  <c r="BA14" i="15"/>
  <c r="AZ14" i="15"/>
  <c r="AY14" i="15"/>
  <c r="AX14" i="15"/>
  <c r="AW14" i="15"/>
  <c r="BD13" i="15"/>
  <c r="BC13" i="15"/>
  <c r="BB13" i="15"/>
  <c r="BA13" i="15"/>
  <c r="AZ13" i="15"/>
  <c r="AY13" i="15"/>
  <c r="AX13" i="15"/>
  <c r="AW13" i="15"/>
  <c r="BD12" i="15"/>
  <c r="BC12" i="15"/>
  <c r="BB12" i="15"/>
  <c r="BA12" i="15"/>
  <c r="AZ12" i="15"/>
  <c r="AY12" i="15"/>
  <c r="AX12" i="15"/>
  <c r="AW12" i="15"/>
  <c r="BD11" i="15"/>
  <c r="BC11" i="15"/>
  <c r="BB11" i="15"/>
  <c r="BA11" i="15"/>
  <c r="AZ11" i="15"/>
  <c r="AY11" i="15"/>
  <c r="AX11" i="15"/>
  <c r="AW11" i="15"/>
  <c r="AT24" i="15"/>
  <c r="AS24" i="15"/>
  <c r="AR24" i="15"/>
  <c r="AQ24" i="15"/>
  <c r="AP24" i="15"/>
  <c r="AO24" i="15"/>
  <c r="AN24" i="15"/>
  <c r="AM24" i="15"/>
  <c r="AT23" i="15"/>
  <c r="AS23" i="15"/>
  <c r="AR23" i="15"/>
  <c r="AQ23" i="15"/>
  <c r="AP23" i="15"/>
  <c r="AO23" i="15"/>
  <c r="AN23" i="15"/>
  <c r="AM23" i="15"/>
  <c r="AT22" i="15"/>
  <c r="AS22" i="15"/>
  <c r="AR22" i="15"/>
  <c r="AQ22" i="15"/>
  <c r="AP22" i="15"/>
  <c r="AO22" i="15"/>
  <c r="AN22" i="15"/>
  <c r="AM22" i="15"/>
  <c r="AT21" i="15"/>
  <c r="AS21" i="15"/>
  <c r="AR21" i="15"/>
  <c r="AQ21" i="15"/>
  <c r="AP21" i="15"/>
  <c r="AO21" i="15"/>
  <c r="AN21" i="15"/>
  <c r="AM21" i="15"/>
  <c r="AT19" i="15"/>
  <c r="AS19" i="15"/>
  <c r="AR19" i="15"/>
  <c r="AQ19" i="15"/>
  <c r="AP19" i="15"/>
  <c r="AO19" i="15"/>
  <c r="AN19" i="15"/>
  <c r="AM19" i="15"/>
  <c r="AT18" i="15"/>
  <c r="AS18" i="15"/>
  <c r="AR18" i="15"/>
  <c r="AQ18" i="15"/>
  <c r="AP18" i="15"/>
  <c r="AO18" i="15"/>
  <c r="AN18" i="15"/>
  <c r="AM18" i="15"/>
  <c r="AT17" i="15"/>
  <c r="AS17" i="15"/>
  <c r="AR17" i="15"/>
  <c r="AQ17" i="15"/>
  <c r="AP17" i="15"/>
  <c r="AO17" i="15"/>
  <c r="AN17" i="15"/>
  <c r="AM17" i="15"/>
  <c r="AT16" i="15"/>
  <c r="AS16" i="15"/>
  <c r="AR16" i="15"/>
  <c r="AQ16" i="15"/>
  <c r="AP16" i="15"/>
  <c r="AO16" i="15"/>
  <c r="AN16" i="15"/>
  <c r="AM16" i="15"/>
  <c r="AT14" i="15"/>
  <c r="AS14" i="15"/>
  <c r="AR14" i="15"/>
  <c r="AQ14" i="15"/>
  <c r="AP14" i="15"/>
  <c r="AO14" i="15"/>
  <c r="AN14" i="15"/>
  <c r="AM14" i="15"/>
  <c r="AT13" i="15"/>
  <c r="AS13" i="15"/>
  <c r="AR13" i="15"/>
  <c r="AQ13" i="15"/>
  <c r="AP13" i="15"/>
  <c r="AO13" i="15"/>
  <c r="AN13" i="15"/>
  <c r="AM13" i="15"/>
  <c r="AT12" i="15"/>
  <c r="AS12" i="15"/>
  <c r="AR12" i="15"/>
  <c r="AQ12" i="15"/>
  <c r="AP12" i="15"/>
  <c r="AO12" i="15"/>
  <c r="AN12" i="15"/>
  <c r="AM12" i="15"/>
  <c r="AT11" i="15"/>
  <c r="AS11" i="15"/>
  <c r="AR11" i="15"/>
  <c r="AQ11" i="15"/>
  <c r="AP11" i="15"/>
  <c r="AN11" i="15"/>
  <c r="Z58" i="3" l="1"/>
  <c r="P57" i="3" l="1"/>
  <c r="AJ64" i="3" l="1"/>
  <c r="AJ63" i="3"/>
  <c r="AJ62" i="3"/>
  <c r="AJ61" i="3"/>
  <c r="AJ59" i="3"/>
  <c r="AJ58" i="3"/>
  <c r="AJ57" i="3"/>
  <c r="AJ56" i="3"/>
  <c r="Z64" i="3"/>
  <c r="Z63" i="3"/>
  <c r="Z62" i="3"/>
  <c r="Z61" i="3"/>
  <c r="Z59" i="3"/>
  <c r="Z57" i="3"/>
  <c r="Z56" i="3"/>
  <c r="AJ54" i="3" l="1"/>
  <c r="AJ53" i="3"/>
  <c r="AJ52" i="3"/>
  <c r="AJ51" i="3"/>
  <c r="Z51" i="3"/>
  <c r="Z54" i="3"/>
  <c r="Z53" i="3"/>
  <c r="Z52" i="3"/>
  <c r="P64" i="3"/>
  <c r="P63" i="3"/>
  <c r="P62" i="3"/>
  <c r="P61" i="3"/>
  <c r="P59" i="3"/>
  <c r="P58" i="3"/>
  <c r="P56" i="3"/>
  <c r="P52" i="3"/>
  <c r="P54" i="3"/>
  <c r="P53" i="3"/>
  <c r="P51" i="3"/>
  <c r="Z32" i="3"/>
  <c r="AJ32" i="3" l="1"/>
  <c r="AJ44" i="3" l="1"/>
  <c r="AJ43" i="3"/>
  <c r="AJ42" i="3"/>
  <c r="AJ41" i="3"/>
  <c r="AJ39" i="3"/>
  <c r="AJ38" i="3"/>
  <c r="AJ37" i="3"/>
  <c r="AJ36" i="3"/>
  <c r="AJ34" i="3"/>
  <c r="AJ33" i="3"/>
  <c r="AJ31" i="3"/>
  <c r="Z44" i="3"/>
  <c r="Z43" i="3"/>
  <c r="Z42" i="3"/>
  <c r="Z41" i="3"/>
  <c r="Z39" i="3"/>
  <c r="Z38" i="3"/>
  <c r="Z37" i="3"/>
  <c r="Z36" i="3"/>
  <c r="Z33" i="3"/>
  <c r="Z31" i="3"/>
  <c r="P44" i="3"/>
  <c r="P43" i="3"/>
  <c r="P42" i="3"/>
  <c r="P41" i="3"/>
  <c r="P39" i="3"/>
  <c r="P38" i="3"/>
  <c r="P37" i="3"/>
  <c r="P36" i="3"/>
  <c r="P33" i="3"/>
  <c r="P32" i="3"/>
  <c r="BD24" i="3" l="1"/>
  <c r="BC24" i="3"/>
  <c r="BB24" i="3"/>
  <c r="BA24" i="3"/>
  <c r="AZ24" i="3"/>
  <c r="AY24" i="3"/>
  <c r="AX24" i="3"/>
  <c r="AW24" i="3"/>
  <c r="BD23" i="3"/>
  <c r="BC23" i="3"/>
  <c r="BB23" i="3"/>
  <c r="BA23" i="3"/>
  <c r="AZ23" i="3"/>
  <c r="AY23" i="3"/>
  <c r="AX23" i="3"/>
  <c r="AW23" i="3"/>
  <c r="BD22" i="3"/>
  <c r="BC22" i="3"/>
  <c r="BB22" i="3"/>
  <c r="BA22" i="3"/>
  <c r="AZ22" i="3"/>
  <c r="AY22" i="3"/>
  <c r="AX22" i="3"/>
  <c r="AW22" i="3"/>
  <c r="BD21" i="3"/>
  <c r="BC21" i="3"/>
  <c r="BB21" i="3"/>
  <c r="BA21" i="3"/>
  <c r="AZ21" i="3"/>
  <c r="AY21" i="3"/>
  <c r="AX21" i="3"/>
  <c r="AW21" i="3"/>
  <c r="BD19" i="3"/>
  <c r="BC19" i="3"/>
  <c r="BB19" i="3"/>
  <c r="BA19" i="3"/>
  <c r="AZ19" i="3"/>
  <c r="AY19" i="3"/>
  <c r="AX19" i="3"/>
  <c r="AW19" i="3"/>
  <c r="BD18" i="3"/>
  <c r="BC18" i="3"/>
  <c r="BB18" i="3"/>
  <c r="BA18" i="3"/>
  <c r="AZ18" i="3"/>
  <c r="AY18" i="3"/>
  <c r="AX18" i="3"/>
  <c r="AW18" i="3"/>
  <c r="BD17" i="3"/>
  <c r="BC17" i="3"/>
  <c r="BB17" i="3"/>
  <c r="BA17" i="3"/>
  <c r="AZ17" i="3"/>
  <c r="AY17" i="3"/>
  <c r="AX17" i="3"/>
  <c r="AW17" i="3"/>
  <c r="BD16" i="3"/>
  <c r="BC16" i="3"/>
  <c r="BB16" i="3"/>
  <c r="BA16" i="3"/>
  <c r="AZ16" i="3"/>
  <c r="AY16" i="3"/>
  <c r="AX16" i="3"/>
  <c r="AW16" i="3"/>
  <c r="BD14" i="3"/>
  <c r="BC14" i="3"/>
  <c r="BB14" i="3"/>
  <c r="BA14" i="3"/>
  <c r="AZ14" i="3"/>
  <c r="AY14" i="3"/>
  <c r="AX14" i="3"/>
  <c r="AW14" i="3"/>
  <c r="BD13" i="3"/>
  <c r="BC13" i="3"/>
  <c r="BB13" i="3"/>
  <c r="BA13" i="3"/>
  <c r="AZ13" i="3"/>
  <c r="AY13" i="3"/>
  <c r="AX13" i="3"/>
  <c r="AW13" i="3"/>
  <c r="BD12" i="3"/>
  <c r="BC12" i="3"/>
  <c r="BB12" i="3"/>
  <c r="BA12" i="3"/>
  <c r="AZ12" i="3"/>
  <c r="AY12" i="3"/>
  <c r="AX12" i="3"/>
  <c r="AW12" i="3"/>
  <c r="BD11" i="3"/>
  <c r="AX11" i="3"/>
  <c r="AY11" i="3"/>
  <c r="AZ11" i="3"/>
  <c r="BA11" i="3"/>
  <c r="BB11" i="3"/>
  <c r="BC11" i="3"/>
  <c r="AW11" i="3"/>
  <c r="AT24" i="3"/>
  <c r="AS24" i="3"/>
  <c r="AR24" i="3"/>
  <c r="AQ24" i="3"/>
  <c r="AP24" i="3"/>
  <c r="AO24" i="3"/>
  <c r="AN24" i="3"/>
  <c r="AM24" i="3"/>
  <c r="AT23" i="3"/>
  <c r="AS23" i="3"/>
  <c r="AR23" i="3"/>
  <c r="AQ23" i="3"/>
  <c r="AP23" i="3"/>
  <c r="AO23" i="3"/>
  <c r="AN23" i="3"/>
  <c r="AM23" i="3"/>
  <c r="AT22" i="3"/>
  <c r="AS22" i="3"/>
  <c r="AR22" i="3"/>
  <c r="AQ22" i="3"/>
  <c r="AP22" i="3"/>
  <c r="AO22" i="3"/>
  <c r="AN22" i="3"/>
  <c r="AM22" i="3"/>
  <c r="AT21" i="3"/>
  <c r="AS21" i="3"/>
  <c r="AR21" i="3"/>
  <c r="AQ21" i="3"/>
  <c r="AP21" i="3"/>
  <c r="AO21" i="3"/>
  <c r="AN21" i="3"/>
  <c r="AM21" i="3"/>
  <c r="AT19" i="3"/>
  <c r="AS19" i="3"/>
  <c r="AR19" i="3"/>
  <c r="AQ19" i="3"/>
  <c r="AP19" i="3"/>
  <c r="AO19" i="3"/>
  <c r="AN19" i="3"/>
  <c r="AM19" i="3"/>
  <c r="AT18" i="3"/>
  <c r="AS18" i="3"/>
  <c r="AR18" i="3"/>
  <c r="AQ18" i="3"/>
  <c r="AP18" i="3"/>
  <c r="AO18" i="3"/>
  <c r="AN18" i="3"/>
  <c r="AM18" i="3"/>
  <c r="AT17" i="3"/>
  <c r="AS17" i="3"/>
  <c r="AR17" i="3"/>
  <c r="AQ17" i="3"/>
  <c r="AP17" i="3"/>
  <c r="AO17" i="3"/>
  <c r="AN17" i="3"/>
  <c r="AM17" i="3"/>
  <c r="AT16" i="3"/>
  <c r="AS16" i="3"/>
  <c r="AR16" i="3"/>
  <c r="AQ16" i="3"/>
  <c r="AP16" i="3"/>
  <c r="AO16" i="3"/>
  <c r="AN16" i="3"/>
  <c r="AM16" i="3"/>
  <c r="AT14" i="3"/>
  <c r="AS14" i="3"/>
  <c r="AR14" i="3"/>
  <c r="AQ14" i="3"/>
  <c r="AP14" i="3"/>
  <c r="AO14" i="3"/>
  <c r="AN14" i="3"/>
  <c r="AM14" i="3"/>
  <c r="AT13" i="3"/>
  <c r="AS13" i="3"/>
  <c r="AR13" i="3"/>
  <c r="AQ13" i="3"/>
  <c r="AP13" i="3"/>
  <c r="AO13" i="3"/>
  <c r="AN13" i="3"/>
  <c r="AM13" i="3"/>
  <c r="AT12" i="3"/>
  <c r="AS12" i="3"/>
  <c r="AR12" i="3"/>
  <c r="AQ12" i="3"/>
  <c r="AP12" i="3"/>
  <c r="AO12" i="3"/>
  <c r="AN12" i="3"/>
  <c r="AM12" i="3"/>
  <c r="AN11" i="3"/>
  <c r="AO11" i="3"/>
  <c r="AP11" i="3"/>
  <c r="AQ11" i="3"/>
  <c r="AR11" i="3"/>
  <c r="AS11" i="3"/>
  <c r="AT11" i="3"/>
  <c r="AM11" i="3"/>
</calcChain>
</file>

<file path=xl/sharedStrings.xml><?xml version="1.0" encoding="utf-8"?>
<sst xmlns="http://schemas.openxmlformats.org/spreadsheetml/2006/main" count="367" uniqueCount="40">
  <si>
    <t>Objective</t>
  </si>
  <si>
    <t>CPU</t>
  </si>
  <si>
    <t>n</t>
  </si>
  <si>
    <t>m</t>
  </si>
  <si>
    <t>w</t>
  </si>
  <si>
    <t>Average Tardiness</t>
  </si>
  <si>
    <t>Average Completion Time</t>
  </si>
  <si>
    <t>[Results SA - 10-3-3.xlsx]Summary'!$C$13</t>
  </si>
  <si>
    <t>[Results SA - 10-3-3.xlsx]Summary'!$D$13</t>
  </si>
  <si>
    <t>[Results SA - 10-3-3.xlsx]Summary'!$E$13</t>
  </si>
  <si>
    <t>[Results SA - 10-3-3.xlsx]Summary'!$F$13</t>
  </si>
  <si>
    <t>[Results SA - 10-3-3.xlsx]Summary'!$H$13</t>
  </si>
  <si>
    <t>[Results SA - 10-3-3.xlsx]Summary'!$G$13</t>
  </si>
  <si>
    <t>[Results SA - 10-3-3.xlsx]Summary'!$I$13</t>
  </si>
  <si>
    <t>(Z3-H3)/H3</t>
  </si>
  <si>
    <t>MILP-BVC</t>
  </si>
  <si>
    <t>ALNS-BVC</t>
  </si>
  <si>
    <t>MILP-BBA</t>
  </si>
  <si>
    <t>ALNS-BBA</t>
  </si>
  <si>
    <t>MILP-TPA</t>
  </si>
  <si>
    <t>ALNS-TPA</t>
  </si>
  <si>
    <t>Objective- Mean</t>
  </si>
  <si>
    <t>Objective- SD</t>
  </si>
  <si>
    <t># Batches</t>
  </si>
  <si>
    <t>Acceptance Rate (%)</t>
  </si>
  <si>
    <t>Average Batch Utilization (%)</t>
  </si>
  <si>
    <t>Gap</t>
  </si>
  <si>
    <t>Improvement BVC&amp;TPA (MILP)</t>
  </si>
  <si>
    <t>Improvement BVC&amp;BBA (MILP)</t>
  </si>
  <si>
    <t>SD</t>
  </si>
  <si>
    <t>SA-AOS-BVC</t>
  </si>
  <si>
    <t>SA-AOS-TPA</t>
  </si>
  <si>
    <t>SA-AOS-BBA</t>
  </si>
  <si>
    <t>Improvement BVC&amp;TPA (SA-AOS)</t>
  </si>
  <si>
    <t>Improvement BVC&amp;BBA (SA-AOS)</t>
  </si>
  <si>
    <t>Improvement BVC&amp;TPA (ALNS)</t>
  </si>
  <si>
    <t>Improvement BVC&amp;BBA (ALNS)</t>
  </si>
  <si>
    <t>Simple SA</t>
  </si>
  <si>
    <t>MILP- B_i=N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</si>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</sst>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5" tint="-0.499984740745262"/>
      <name val="Times New Roman"/>
      <family val="1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0" xfId="0" quotePrefix="1" applyFont="1" applyFill="1"/>
    <xf numFmtId="0" fontId="3" fillId="3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164" fontId="4" fillId="3" borderId="0" xfId="1" applyNumberFormat="1" applyFont="1" applyFill="1" applyBorder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" fontId="3" fillId="3" borderId="0" xfId="0" applyNumberFormat="1" applyFont="1" applyFill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164" fontId="4" fillId="3" borderId="2" xfId="1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4" borderId="1" xfId="1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164" fontId="4" fillId="4" borderId="0" xfId="1" applyNumberFormat="1" applyFont="1" applyFill="1" applyBorder="1" applyAlignment="1">
      <alignment horizontal="center" vertical="center"/>
    </xf>
    <xf numFmtId="165" fontId="5" fillId="4" borderId="0" xfId="0" applyNumberFormat="1" applyFont="1" applyFill="1" applyAlignment="1">
      <alignment horizontal="center" vertical="center"/>
    </xf>
    <xf numFmtId="1" fontId="3" fillId="4" borderId="0" xfId="0" applyNumberFormat="1" applyFont="1" applyFill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1" fontId="3" fillId="4" borderId="2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1" fontId="3" fillId="5" borderId="1" xfId="0" applyNumberFormat="1" applyFont="1" applyFill="1" applyBorder="1" applyAlignment="1">
      <alignment horizontal="center" vertical="center"/>
    </xf>
    <xf numFmtId="164" fontId="4" fillId="5" borderId="0" xfId="1" applyNumberFormat="1" applyFont="1" applyFill="1" applyBorder="1" applyAlignment="1">
      <alignment horizontal="center" vertical="center"/>
    </xf>
    <xf numFmtId="165" fontId="5" fillId="5" borderId="0" xfId="0" applyNumberFormat="1" applyFont="1" applyFill="1" applyAlignment="1">
      <alignment horizontal="center" vertical="center"/>
    </xf>
    <xf numFmtId="1" fontId="3" fillId="5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5" fontId="5" fillId="5" borderId="2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10" fontId="3" fillId="5" borderId="1" xfId="2" applyNumberFormat="1" applyFont="1" applyFill="1" applyBorder="1" applyAlignment="1">
      <alignment horizontal="center" vertical="center"/>
    </xf>
    <xf numFmtId="10" fontId="3" fillId="5" borderId="0" xfId="2" applyNumberFormat="1" applyFont="1" applyFill="1" applyAlignment="1">
      <alignment horizontal="center" vertical="center"/>
    </xf>
    <xf numFmtId="10" fontId="3" fillId="5" borderId="2" xfId="2" applyNumberFormat="1" applyFont="1" applyFill="1" applyBorder="1" applyAlignment="1">
      <alignment horizontal="center" vertical="center"/>
    </xf>
    <xf numFmtId="1" fontId="5" fillId="3" borderId="2" xfId="0" applyNumberFormat="1" applyFont="1" applyFill="1" applyBorder="1" applyAlignment="1">
      <alignment horizontal="center" vertical="center"/>
    </xf>
    <xf numFmtId="1" fontId="5" fillId="5" borderId="2" xfId="0" applyNumberFormat="1" applyFont="1" applyFill="1" applyBorder="1" applyAlignment="1">
      <alignment horizontal="center" vertical="center"/>
    </xf>
    <xf numFmtId="9" fontId="2" fillId="2" borderId="0" xfId="2" applyFont="1" applyFill="1"/>
    <xf numFmtId="9" fontId="0" fillId="0" borderId="3" xfId="2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0" xfId="0" applyNumberFormat="1" applyFont="1" applyFill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5" fillId="4" borderId="0" xfId="0" applyNumberFormat="1" applyFont="1" applyFill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5" borderId="0" xfId="0" applyNumberFormat="1" applyFont="1" applyFill="1" applyAlignment="1">
      <alignment horizontal="center" vertical="center"/>
    </xf>
    <xf numFmtId="1" fontId="2" fillId="2" borderId="0" xfId="0" applyNumberFormat="1" applyFont="1" applyFill="1"/>
    <xf numFmtId="10" fontId="3" fillId="3" borderId="1" xfId="2" applyNumberFormat="1" applyFon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9" fontId="5" fillId="3" borderId="1" xfId="2" applyFont="1" applyFill="1" applyBorder="1" applyAlignment="1">
      <alignment horizontal="center" vertical="center"/>
    </xf>
    <xf numFmtId="9" fontId="3" fillId="3" borderId="0" xfId="0" applyNumberFormat="1" applyFont="1" applyFill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9" fontId="3" fillId="3" borderId="2" xfId="0" applyNumberFormat="1" applyFont="1" applyFill="1" applyBorder="1" applyAlignment="1">
      <alignment horizontal="center" vertical="center"/>
    </xf>
    <xf numFmtId="9" fontId="5" fillId="3" borderId="2" xfId="0" applyNumberFormat="1" applyFont="1" applyFill="1" applyBorder="1" applyAlignment="1">
      <alignment horizontal="center" vertical="center"/>
    </xf>
    <xf numFmtId="10" fontId="3" fillId="3" borderId="2" xfId="0" applyNumberFormat="1" applyFont="1" applyFill="1" applyBorder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9" fontId="3" fillId="4" borderId="1" xfId="0" applyNumberFormat="1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/>
    </xf>
    <xf numFmtId="10" fontId="3" fillId="4" borderId="1" xfId="0" applyNumberFormat="1" applyFont="1" applyFill="1" applyBorder="1" applyAlignment="1">
      <alignment horizontal="center" vertical="center"/>
    </xf>
    <xf numFmtId="9" fontId="3" fillId="4" borderId="0" xfId="0" applyNumberFormat="1" applyFont="1" applyFill="1" applyAlignment="1">
      <alignment horizontal="center" vertical="center"/>
    </xf>
    <xf numFmtId="9" fontId="5" fillId="4" borderId="0" xfId="0" applyNumberFormat="1" applyFont="1" applyFill="1" applyAlignment="1">
      <alignment horizontal="center" vertical="center"/>
    </xf>
    <xf numFmtId="10" fontId="3" fillId="4" borderId="0" xfId="0" applyNumberFormat="1" applyFont="1" applyFill="1" applyAlignment="1">
      <alignment horizontal="center" vertical="center"/>
    </xf>
    <xf numFmtId="9" fontId="3" fillId="4" borderId="2" xfId="0" applyNumberFormat="1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10" fontId="3" fillId="4" borderId="2" xfId="0" applyNumberFormat="1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9" fontId="3" fillId="5" borderId="0" xfId="0" applyNumberFormat="1" applyFont="1" applyFill="1" applyAlignment="1">
      <alignment horizontal="center" vertical="center"/>
    </xf>
    <xf numFmtId="9" fontId="5" fillId="5" borderId="0" xfId="0" applyNumberFormat="1" applyFont="1" applyFill="1" applyAlignment="1">
      <alignment horizontal="center" vertical="center"/>
    </xf>
    <xf numFmtId="9" fontId="3" fillId="5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center" vertical="center"/>
    </xf>
    <xf numFmtId="1" fontId="5" fillId="3" borderId="1" xfId="2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2" xfId="0" applyNumberFormat="1" applyFont="1" applyFill="1" applyBorder="1" applyAlignment="1">
      <alignment horizontal="center" vertical="center"/>
    </xf>
    <xf numFmtId="2" fontId="3" fillId="3" borderId="1" xfId="2" applyNumberFormat="1" applyFont="1" applyFill="1" applyBorder="1" applyAlignment="1">
      <alignment horizontal="center" vertical="center"/>
    </xf>
    <xf numFmtId="2" fontId="3" fillId="5" borderId="1" xfId="2" applyNumberFormat="1" applyFont="1" applyFill="1" applyBorder="1" applyAlignment="1">
      <alignment horizontal="center" vertical="center"/>
    </xf>
    <xf numFmtId="2" fontId="3" fillId="5" borderId="0" xfId="2" applyNumberFormat="1" applyFont="1" applyFill="1" applyAlignment="1">
      <alignment horizontal="center" vertical="center"/>
    </xf>
    <xf numFmtId="2" fontId="3" fillId="5" borderId="2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ADEA0-13C2-C746-B144-BB18317C07E0}">
  <dimension ref="C1:BD64"/>
  <sheetViews>
    <sheetView zoomScale="130" zoomScaleNormal="130" workbookViewId="0">
      <pane xSplit="6" topLeftCell="G1" activePane="topRight" state="frozen"/>
      <selection pane="topRight" activeCell="E3" sqref="E3"/>
    </sheetView>
  </sheetViews>
  <sheetFormatPr baseColWidth="10" defaultRowHeight="16" x14ac:dyDescent="0.2"/>
  <cols>
    <col min="1" max="2" width="3.33203125" style="2" customWidth="1"/>
    <col min="3" max="3" width="1.5" style="2" customWidth="1"/>
    <col min="4" max="6" width="7.6640625" style="2" customWidth="1"/>
    <col min="7" max="7" width="1.5" style="2" customWidth="1"/>
    <col min="8" max="8" width="12.6640625" style="2" bestFit="1" customWidth="1"/>
    <col min="9" max="9" width="10.6640625" style="2" bestFit="1" customWidth="1"/>
    <col min="10" max="10" width="11.6640625" style="2" bestFit="1" customWidth="1"/>
    <col min="11" max="11" width="10.33203125" style="2" customWidth="1"/>
    <col min="12" max="12" width="15.5" style="2" bestFit="1" customWidth="1"/>
    <col min="13" max="13" width="13.33203125" style="2" bestFit="1" customWidth="1"/>
    <col min="14" max="14" width="16.6640625" style="2" bestFit="1" customWidth="1"/>
    <col min="15" max="15" width="19.1640625" style="2" bestFit="1" customWidth="1"/>
    <col min="16" max="16" width="10.83203125" style="2" customWidth="1"/>
    <col min="17" max="17" width="1.5" style="2" customWidth="1"/>
    <col min="18" max="18" width="12.6640625" style="2" bestFit="1" customWidth="1"/>
    <col min="19" max="19" width="10.6640625" style="2" bestFit="1" customWidth="1"/>
    <col min="20" max="20" width="6.6640625" style="2" bestFit="1" customWidth="1"/>
    <col min="21" max="21" width="8" style="2" bestFit="1" customWidth="1"/>
    <col min="22" max="22" width="15.5" style="2" customWidth="1"/>
    <col min="23" max="23" width="13.83203125" style="2" bestFit="1" customWidth="1"/>
    <col min="24" max="24" width="22.1640625" style="2" bestFit="1" customWidth="1"/>
    <col min="25" max="25" width="19.5" style="2" bestFit="1" customWidth="1"/>
    <col min="26" max="26" width="7.6640625" style="2" bestFit="1" customWidth="1"/>
    <col min="27" max="27" width="1.5" style="2" customWidth="1"/>
    <col min="28" max="29" width="10.83203125" style="2"/>
    <col min="30" max="30" width="11.6640625" style="2" bestFit="1" customWidth="1"/>
    <col min="31" max="31" width="10.33203125" style="2" customWidth="1"/>
    <col min="32" max="32" width="15.5" style="2" customWidth="1"/>
    <col min="33" max="33" width="13.33203125" style="2" bestFit="1" customWidth="1"/>
    <col min="34" max="34" width="19.33203125" style="2" bestFit="1" customWidth="1"/>
    <col min="35" max="35" width="19.6640625" style="2" bestFit="1" customWidth="1"/>
    <col min="36" max="36" width="10.83203125" style="2"/>
    <col min="37" max="37" width="1.6640625" style="2" customWidth="1"/>
    <col min="38" max="38" width="2" style="2" customWidth="1"/>
    <col min="39" max="39" width="20.1640625" style="2" bestFit="1" customWidth="1"/>
    <col min="40" max="40" width="4.1640625" style="2" customWidth="1"/>
    <col min="41" max="41" width="5.33203125" style="2" bestFit="1" customWidth="1"/>
    <col min="42" max="42" width="10.33203125" style="2" bestFit="1" customWidth="1"/>
    <col min="43" max="43" width="11.5" style="2" bestFit="1" customWidth="1"/>
    <col min="44" max="44" width="13.33203125" style="2" bestFit="1" customWidth="1"/>
    <col min="45" max="45" width="16.6640625" style="2" bestFit="1" customWidth="1"/>
    <col min="46" max="46" width="19.1640625" style="2" bestFit="1" customWidth="1"/>
    <col min="47" max="47" width="2" style="2" customWidth="1"/>
    <col min="48" max="48" width="1.6640625" style="2" customWidth="1"/>
    <col min="49" max="49" width="7.5" style="2" bestFit="1" customWidth="1"/>
    <col min="50" max="50" width="4.1640625" style="2" customWidth="1"/>
    <col min="51" max="51" width="6.33203125" style="2" bestFit="1" customWidth="1"/>
    <col min="52" max="52" width="10.33203125" style="2" bestFit="1" customWidth="1"/>
    <col min="53" max="53" width="11.5" style="2" bestFit="1" customWidth="1"/>
    <col min="54" max="54" width="13.33203125" style="2" bestFit="1" customWidth="1"/>
    <col min="55" max="55" width="16.6640625" style="2" bestFit="1" customWidth="1"/>
    <col min="56" max="56" width="19.1640625" style="2" bestFit="1" customWidth="1"/>
    <col min="57" max="57" width="1.6640625" style="2" customWidth="1"/>
    <col min="58" max="58" width="2.83203125" style="2" customWidth="1"/>
    <col min="59" max="59" width="2.5" style="2" customWidth="1"/>
    <col min="60" max="16384" width="10.83203125" style="2"/>
  </cols>
  <sheetData>
    <row r="1" spans="3:56" x14ac:dyDescent="0.2">
      <c r="K1" s="63">
        <f>AVERAGE(K11:K14)</f>
        <v>1.95</v>
      </c>
      <c r="L1" s="63">
        <f>AVERAGE(L11:L14)</f>
        <v>0.82499999999999984</v>
      </c>
      <c r="M1" s="63">
        <f>AVERAGE(M11:M14)</f>
        <v>3.5097391150809045</v>
      </c>
      <c r="N1" s="63">
        <f>AVERAGE(N11:N14)</f>
        <v>0.15429624677508275</v>
      </c>
      <c r="O1" s="63">
        <f>AVERAGE(O11:O14)</f>
        <v>1063.2191317774882</v>
      </c>
    </row>
    <row r="2" spans="3:56" x14ac:dyDescent="0.2">
      <c r="K2" s="63">
        <f>AVERAGE(K16:K19)</f>
        <v>2.2250000000000001</v>
      </c>
      <c r="L2" s="63">
        <f>AVERAGE(L16:L19)</f>
        <v>0.85250000000000004</v>
      </c>
      <c r="M2" s="63">
        <f>AVERAGE(M16:M19)</f>
        <v>14.044733423146512</v>
      </c>
      <c r="N2" s="63">
        <f>AVERAGE(N16:N19)</f>
        <v>0.23460287197331908</v>
      </c>
      <c r="O2" s="63">
        <f>AVERAGE(O16:O19)</f>
        <v>1484.4173997301048</v>
      </c>
    </row>
    <row r="3" spans="3:56" x14ac:dyDescent="0.2">
      <c r="K3" s="63">
        <f>AVERAGE(K21:K24)</f>
        <v>2.4750000000000001</v>
      </c>
      <c r="L3" s="63">
        <f>AVERAGE(L21:L24)</f>
        <v>0.87333333333333329</v>
      </c>
      <c r="M3" s="63">
        <f>AVERAGE(M21:M24)</f>
        <v>33.184172581691762</v>
      </c>
      <c r="N3" s="63">
        <f>AVERAGE(N21:N24)</f>
        <v>0.29112324304864817</v>
      </c>
      <c r="O3" s="63">
        <f>AVERAGE(O21:O24)</f>
        <v>1693.8113647809187</v>
      </c>
    </row>
    <row r="4" spans="3:56" x14ac:dyDescent="0.2">
      <c r="K4" s="63">
        <f>AVERAGE(K11:K12,K16:K17,K21:K22)</f>
        <v>2</v>
      </c>
      <c r="L4" s="63">
        <f>AVERAGE(L11:L12,L16:L17,L21:L22)</f>
        <v>0.7927777777777778</v>
      </c>
      <c r="M4" s="63">
        <f>AVERAGE(M11:M12,M16:M17,M21:M22)</f>
        <v>21.256407950072607</v>
      </c>
      <c r="N4" s="63">
        <f>AVERAGE(N11:N12,N16:N17,N21:N22)</f>
        <v>0.22536321482909374</v>
      </c>
      <c r="O4" s="63">
        <f>AVERAGE(O11:O12,O16:O17,O21:O22)</f>
        <v>1481.7574584997685</v>
      </c>
    </row>
    <row r="5" spans="3:56" x14ac:dyDescent="0.2">
      <c r="K5" s="63">
        <f>AVERAGE(K13:K14,K18:K19,K23:K24)</f>
        <v>2.4333333333333331</v>
      </c>
      <c r="L5" s="63">
        <f>AVERAGE(L13:L14,L18:L19,L23:L24)</f>
        <v>0.90777777777777768</v>
      </c>
      <c r="M5" s="63">
        <f>AVERAGE(M13:M14,M18:M19,M23:M24)</f>
        <v>12.569355463206845</v>
      </c>
      <c r="N5" s="63">
        <f>AVERAGE(N13:N14,N18:N19,N23:N24)</f>
        <v>0.22798502636893955</v>
      </c>
      <c r="O5" s="63">
        <f>AVERAGE(O13:O14,O18:O19,O23:O24)</f>
        <v>1345.8744723592392</v>
      </c>
      <c r="AB5" s="7" t="s">
        <v>7</v>
      </c>
      <c r="AC5" s="7"/>
      <c r="AD5" s="7" t="s">
        <v>8</v>
      </c>
      <c r="AE5" s="7" t="s">
        <v>9</v>
      </c>
      <c r="AF5" s="7" t="s">
        <v>10</v>
      </c>
      <c r="AG5" s="7" t="s">
        <v>11</v>
      </c>
      <c r="AH5" s="7" t="s">
        <v>12</v>
      </c>
      <c r="AI5" s="7" t="s">
        <v>13</v>
      </c>
      <c r="AJ5" s="2" t="s">
        <v>14</v>
      </c>
    </row>
    <row r="6" spans="3:56" x14ac:dyDescent="0.2">
      <c r="K6" s="63">
        <f t="shared" ref="K6:O7" si="0">AVERAGE(K11,K13,K16,K18,K21,K23)</f>
        <v>2.0833333333333335</v>
      </c>
      <c r="L6" s="63">
        <f t="shared" si="0"/>
        <v>0.8994444444444446</v>
      </c>
      <c r="M6" s="63">
        <f t="shared" si="0"/>
        <v>21.761363846282819</v>
      </c>
      <c r="N6" s="63">
        <f t="shared" si="0"/>
        <v>0.2570660829380203</v>
      </c>
      <c r="O6" s="63">
        <f t="shared" si="0"/>
        <v>1498.4718648295084</v>
      </c>
    </row>
    <row r="7" spans="3:56" x14ac:dyDescent="0.2">
      <c r="K7" s="63">
        <f t="shared" si="0"/>
        <v>2.35</v>
      </c>
      <c r="L7" s="63">
        <f t="shared" si="0"/>
        <v>0.80111111111111111</v>
      </c>
      <c r="M7" s="63">
        <f t="shared" si="0"/>
        <v>12.064399566996633</v>
      </c>
      <c r="N7" s="63">
        <f t="shared" si="0"/>
        <v>0.19628215826001302</v>
      </c>
      <c r="O7" s="63">
        <f t="shared" si="0"/>
        <v>1329.1600660294996</v>
      </c>
    </row>
    <row r="8" spans="3:56" x14ac:dyDescent="0.2">
      <c r="C8" s="1"/>
      <c r="D8" s="104" t="s">
        <v>2</v>
      </c>
      <c r="E8" s="104" t="s">
        <v>3</v>
      </c>
      <c r="F8" s="104" t="s">
        <v>4</v>
      </c>
      <c r="G8" s="1"/>
      <c r="H8" s="104" t="s">
        <v>15</v>
      </c>
      <c r="I8" s="104"/>
      <c r="J8" s="104"/>
      <c r="K8" s="104"/>
      <c r="L8" s="104"/>
      <c r="M8" s="104"/>
      <c r="N8" s="104"/>
      <c r="O8" s="104"/>
      <c r="P8" s="104"/>
      <c r="Q8" s="1"/>
      <c r="R8" s="104" t="s">
        <v>19</v>
      </c>
      <c r="S8" s="104"/>
      <c r="T8" s="104"/>
      <c r="U8" s="104"/>
      <c r="V8" s="104"/>
      <c r="W8" s="104"/>
      <c r="X8" s="104"/>
      <c r="Y8" s="104"/>
      <c r="Z8" s="104"/>
      <c r="AA8" s="1"/>
      <c r="AB8" s="104" t="s">
        <v>17</v>
      </c>
      <c r="AC8" s="104"/>
      <c r="AD8" s="104"/>
      <c r="AE8" s="104"/>
      <c r="AF8" s="104"/>
      <c r="AG8" s="104"/>
      <c r="AH8" s="104"/>
      <c r="AI8" s="104"/>
      <c r="AJ8" s="104"/>
      <c r="AM8" s="103" t="s">
        <v>27</v>
      </c>
      <c r="AN8" s="103"/>
      <c r="AO8" s="103"/>
      <c r="AP8" s="103"/>
      <c r="AQ8" s="103"/>
      <c r="AR8" s="103"/>
      <c r="AS8" s="103"/>
      <c r="AT8" s="103"/>
      <c r="AW8" s="103" t="s">
        <v>28</v>
      </c>
      <c r="AX8" s="103"/>
      <c r="AY8" s="103"/>
      <c r="AZ8" s="103"/>
      <c r="BA8" s="103"/>
      <c r="BB8" s="103"/>
      <c r="BC8" s="103"/>
      <c r="BD8" s="103"/>
    </row>
    <row r="9" spans="3:56" s="5" customFormat="1" ht="13" customHeight="1" x14ac:dyDescent="0.15">
      <c r="C9" s="3"/>
      <c r="D9" s="105"/>
      <c r="E9" s="105"/>
      <c r="F9" s="105"/>
      <c r="G9" s="3"/>
      <c r="H9" s="8" t="s">
        <v>21</v>
      </c>
      <c r="I9" s="8" t="s">
        <v>22</v>
      </c>
      <c r="J9" s="8" t="s">
        <v>1</v>
      </c>
      <c r="K9" s="8" t="s">
        <v>23</v>
      </c>
      <c r="L9" s="8" t="s">
        <v>24</v>
      </c>
      <c r="M9" s="8" t="s">
        <v>5</v>
      </c>
      <c r="N9" s="8" t="s">
        <v>25</v>
      </c>
      <c r="O9" s="8" t="s">
        <v>6</v>
      </c>
      <c r="P9" s="8" t="s">
        <v>26</v>
      </c>
      <c r="Q9" s="3"/>
      <c r="R9" s="23" t="s">
        <v>21</v>
      </c>
      <c r="S9" s="23" t="s">
        <v>22</v>
      </c>
      <c r="T9" s="23" t="s">
        <v>1</v>
      </c>
      <c r="U9" s="23" t="s">
        <v>23</v>
      </c>
      <c r="V9" s="23" t="s">
        <v>24</v>
      </c>
      <c r="W9" s="23" t="s">
        <v>5</v>
      </c>
      <c r="X9" s="23" t="s">
        <v>25</v>
      </c>
      <c r="Y9" s="23" t="s">
        <v>6</v>
      </c>
      <c r="Z9" s="23" t="s">
        <v>26</v>
      </c>
      <c r="AA9" s="3"/>
      <c r="AB9" s="35" t="s">
        <v>21</v>
      </c>
      <c r="AC9" s="35" t="s">
        <v>22</v>
      </c>
      <c r="AD9" s="35" t="s">
        <v>1</v>
      </c>
      <c r="AE9" s="35" t="s">
        <v>23</v>
      </c>
      <c r="AF9" s="35" t="s">
        <v>24</v>
      </c>
      <c r="AG9" s="35" t="s">
        <v>5</v>
      </c>
      <c r="AH9" s="35" t="s">
        <v>25</v>
      </c>
      <c r="AI9" s="35" t="s">
        <v>6</v>
      </c>
      <c r="AJ9" s="35" t="s">
        <v>26</v>
      </c>
      <c r="AM9" s="55" t="s">
        <v>0</v>
      </c>
      <c r="AN9" s="55" t="s">
        <v>29</v>
      </c>
      <c r="AO9" s="55" t="s">
        <v>1</v>
      </c>
      <c r="AP9" s="55" t="s">
        <v>23</v>
      </c>
      <c r="AQ9" s="55" t="s">
        <v>24</v>
      </c>
      <c r="AR9" s="55" t="s">
        <v>5</v>
      </c>
      <c r="AS9" s="55" t="s">
        <v>25</v>
      </c>
      <c r="AT9" s="55" t="s">
        <v>6</v>
      </c>
      <c r="AW9" s="55" t="s">
        <v>0</v>
      </c>
      <c r="AX9" s="55" t="s">
        <v>29</v>
      </c>
      <c r="AY9" s="55" t="s">
        <v>1</v>
      </c>
      <c r="AZ9" s="55" t="s">
        <v>23</v>
      </c>
      <c r="BA9" s="55" t="s">
        <v>24</v>
      </c>
      <c r="BB9" s="55" t="s">
        <v>5</v>
      </c>
      <c r="BC9" s="55" t="s">
        <v>25</v>
      </c>
      <c r="BD9" s="55" t="s">
        <v>6</v>
      </c>
    </row>
    <row r="10" spans="3:56" s="5" customFormat="1" ht="4" customHeight="1" x14ac:dyDescent="0.15">
      <c r="C10" s="3"/>
      <c r="D10" s="3"/>
      <c r="E10" s="3"/>
      <c r="F10" s="3"/>
      <c r="G10" s="3"/>
      <c r="H10" s="9"/>
      <c r="I10" s="9"/>
      <c r="J10" s="9"/>
      <c r="K10" s="9"/>
      <c r="L10" s="9"/>
      <c r="M10" s="9"/>
      <c r="N10" s="9"/>
      <c r="O10" s="9"/>
      <c r="P10" s="9"/>
      <c r="Q10" s="3"/>
      <c r="R10" s="24"/>
      <c r="S10" s="24"/>
      <c r="T10" s="24"/>
      <c r="U10" s="24"/>
      <c r="V10" s="24"/>
      <c r="W10" s="24"/>
      <c r="X10" s="24"/>
      <c r="Y10" s="24"/>
      <c r="Z10" s="24"/>
      <c r="AA10" s="3"/>
      <c r="AB10" s="36"/>
      <c r="AC10" s="36"/>
      <c r="AD10" s="36"/>
      <c r="AE10" s="36"/>
      <c r="AF10" s="36"/>
      <c r="AG10" s="36"/>
      <c r="AH10" s="36"/>
      <c r="AI10" s="36"/>
      <c r="AJ10" s="36"/>
    </row>
    <row r="11" spans="3:56" s="5" customFormat="1" ht="16" customHeight="1" x14ac:dyDescent="0.15">
      <c r="C11" s="3"/>
      <c r="D11" s="100">
        <v>10</v>
      </c>
      <c r="E11" s="6">
        <v>2</v>
      </c>
      <c r="F11" s="6">
        <v>2</v>
      </c>
      <c r="G11" s="3"/>
      <c r="H11" s="10">
        <v>33029.025995999997</v>
      </c>
      <c r="I11" s="10">
        <v>3720.7903125918688</v>
      </c>
      <c r="J11" s="11">
        <v>1.21633768E-2</v>
      </c>
      <c r="K11" s="12">
        <v>1.8</v>
      </c>
      <c r="L11" s="65">
        <v>0.85</v>
      </c>
      <c r="M11" s="12">
        <v>10.774864228397069</v>
      </c>
      <c r="N11" s="66">
        <v>0.16630694257371476</v>
      </c>
      <c r="O11" s="56">
        <v>1142.9953579106309</v>
      </c>
      <c r="P11" s="96">
        <v>0</v>
      </c>
      <c r="Q11" s="3"/>
      <c r="R11" s="25">
        <v>35473.281590999999</v>
      </c>
      <c r="S11" s="25">
        <v>2603.1695055351511</v>
      </c>
      <c r="T11" s="26">
        <v>1.1258745200000001E-2</v>
      </c>
      <c r="U11" s="27">
        <v>1.8</v>
      </c>
      <c r="V11" s="76">
        <v>0.78</v>
      </c>
      <c r="W11" s="27">
        <v>5.8743822733690205</v>
      </c>
      <c r="X11" s="77">
        <v>0.14501249125095356</v>
      </c>
      <c r="Y11" s="58">
        <v>1079.3685275860437</v>
      </c>
      <c r="Z11" s="93">
        <v>0</v>
      </c>
      <c r="AA11" s="3"/>
      <c r="AB11" s="37">
        <v>35185.986806000001</v>
      </c>
      <c r="AC11" s="37">
        <v>4348.5976744339659</v>
      </c>
      <c r="AD11" s="38">
        <v>1.2813282E-2</v>
      </c>
      <c r="AE11" s="39">
        <v>1.8</v>
      </c>
      <c r="AF11" s="85">
        <v>0.83000000000000007</v>
      </c>
      <c r="AG11" s="39">
        <v>31.753607173727964</v>
      </c>
      <c r="AH11" s="86">
        <v>0.30517567217872621</v>
      </c>
      <c r="AI11" s="61">
        <v>1557.8212824663281</v>
      </c>
      <c r="AJ11" s="97">
        <v>0</v>
      </c>
      <c r="AM11" s="54">
        <f>IFERROR((R11-H11)/H11, 0)</f>
        <v>7.4003259899217605E-2</v>
      </c>
      <c r="AN11" s="54">
        <f t="shared" ref="AN11:AT11" si="1">IFERROR((S11-I11)/I11, 0)</f>
        <v>-0.30037188692802019</v>
      </c>
      <c r="AO11" s="54">
        <f t="shared" si="1"/>
        <v>-7.4373392757182272E-2</v>
      </c>
      <c r="AP11" s="54">
        <f t="shared" si="1"/>
        <v>0</v>
      </c>
      <c r="AQ11" s="54">
        <f t="shared" si="1"/>
        <v>-8.2352941176470532E-2</v>
      </c>
      <c r="AR11" s="54">
        <f t="shared" si="1"/>
        <v>-0.45480684036025876</v>
      </c>
      <c r="AS11" s="54">
        <f t="shared" si="1"/>
        <v>-0.12804306899769102</v>
      </c>
      <c r="AT11" s="54">
        <f t="shared" si="1"/>
        <v>-5.5666744299728038E-2</v>
      </c>
      <c r="AW11" s="54">
        <f>IFERROR((AB11-H11)/H11, 0)</f>
        <v>6.5305008093827055E-2</v>
      </c>
      <c r="AX11" s="54">
        <f t="shared" ref="AX11:BC11" si="2">IFERROR((AC11-I11)/I11, 0)</f>
        <v>0.16872957331604432</v>
      </c>
      <c r="AY11" s="54">
        <f t="shared" si="2"/>
        <v>5.3431313580616868E-2</v>
      </c>
      <c r="AZ11" s="54">
        <f t="shared" si="2"/>
        <v>0</v>
      </c>
      <c r="BA11" s="54">
        <f t="shared" si="2"/>
        <v>-2.3529411764705774E-2</v>
      </c>
      <c r="BB11" s="54">
        <f t="shared" si="2"/>
        <v>1.9470076374643852</v>
      </c>
      <c r="BC11" s="54">
        <f t="shared" si="2"/>
        <v>0.83501462690565997</v>
      </c>
      <c r="BD11" s="54">
        <f>IFERROR((AI11-O11)/O11, 0)</f>
        <v>0.3629287920416312</v>
      </c>
    </row>
    <row r="12" spans="3:56" s="5" customFormat="1" x14ac:dyDescent="0.15">
      <c r="C12" s="3"/>
      <c r="D12" s="101"/>
      <c r="E12" s="3">
        <v>2</v>
      </c>
      <c r="F12" s="3">
        <v>3</v>
      </c>
      <c r="G12" s="3"/>
      <c r="H12" s="14">
        <v>37378.092651999992</v>
      </c>
      <c r="I12" s="14">
        <v>4514.382986937344</v>
      </c>
      <c r="J12" s="15">
        <v>1.066040993E-2</v>
      </c>
      <c r="K12" s="16">
        <v>1.8</v>
      </c>
      <c r="L12" s="67">
        <v>0.72</v>
      </c>
      <c r="M12" s="16">
        <v>0</v>
      </c>
      <c r="N12" s="68">
        <v>0.16128825778049521</v>
      </c>
      <c r="O12" s="57">
        <v>1079.2752029258966</v>
      </c>
      <c r="P12" s="17">
        <v>0</v>
      </c>
      <c r="Q12" s="3"/>
      <c r="R12" s="28">
        <v>41795.486225000001</v>
      </c>
      <c r="S12" s="28">
        <v>2606.7349859164219</v>
      </c>
      <c r="T12" s="29">
        <v>1.1511039759999999E-2</v>
      </c>
      <c r="U12" s="30">
        <v>1.4</v>
      </c>
      <c r="V12" s="79">
        <v>0.51</v>
      </c>
      <c r="W12" s="30">
        <v>0</v>
      </c>
      <c r="X12" s="80">
        <v>0.1094003914763704</v>
      </c>
      <c r="Y12" s="59">
        <v>896.45023487792093</v>
      </c>
      <c r="Z12" s="94">
        <v>0</v>
      </c>
      <c r="AA12" s="3"/>
      <c r="AB12" s="40">
        <v>39883.177982000001</v>
      </c>
      <c r="AC12" s="40">
        <v>5488.0647989229219</v>
      </c>
      <c r="AD12" s="41">
        <v>1.508889198E-2</v>
      </c>
      <c r="AE12" s="42">
        <v>1.6</v>
      </c>
      <c r="AF12" s="87">
        <v>0.62</v>
      </c>
      <c r="AG12" s="42">
        <v>48.632433810901901</v>
      </c>
      <c r="AH12" s="88">
        <v>0.3543241107325123</v>
      </c>
      <c r="AI12" s="62">
        <v>1517.0272687042034</v>
      </c>
      <c r="AJ12" s="98">
        <v>5.2999999999999998E-4</v>
      </c>
      <c r="AM12" s="54">
        <f t="shared" ref="AM12:AM14" si="3">IFERROR((R12-H12)/H12, 0)</f>
        <v>0.11818135328966944</v>
      </c>
      <c r="AN12" s="54">
        <f t="shared" ref="AN12:AN14" si="4">IFERROR((S12-I12)/I12, 0)</f>
        <v>-0.42257114793778544</v>
      </c>
      <c r="AO12" s="54">
        <f t="shared" ref="AO12:AO14" si="5">IFERROR((T12-J12)/J12, 0)</f>
        <v>7.9793350873515578E-2</v>
      </c>
      <c r="AP12" s="54">
        <f t="shared" ref="AP12:AP14" si="6">IFERROR((U12-K12)/K12, 0)</f>
        <v>-0.22222222222222229</v>
      </c>
      <c r="AQ12" s="54">
        <f t="shared" ref="AQ12:AQ14" si="7">IFERROR((V12-L12)/L12, 0)</f>
        <v>-0.29166666666666663</v>
      </c>
      <c r="AR12" s="54">
        <f t="shared" ref="AR12:AR14" si="8">IFERROR((W12-M12)/M12, 0)</f>
        <v>0</v>
      </c>
      <c r="AS12" s="54">
        <f t="shared" ref="AS12:AS14" si="9">IFERROR((X12-N12)/N12, 0)</f>
        <v>-0.32170888952586651</v>
      </c>
      <c r="AT12" s="54">
        <f t="shared" ref="AT12:AT14" si="10">IFERROR((Y12-O12)/O12, 0)</f>
        <v>-0.16939606094195464</v>
      </c>
      <c r="AW12" s="54">
        <f t="shared" ref="AW12:AW14" si="11">IFERROR((AB12-H12)/H12, 0)</f>
        <v>6.7020148762619358E-2</v>
      </c>
      <c r="AX12" s="54">
        <f t="shared" ref="AX12:AX14" si="12">IFERROR((AC12-I12)/I12, 0)</f>
        <v>0.21568436147375811</v>
      </c>
      <c r="AY12" s="54">
        <f t="shared" ref="AY12:AY14" si="13">IFERROR((AD12-J12)/J12, 0)</f>
        <v>0.41541386110655876</v>
      </c>
      <c r="AZ12" s="54">
        <f t="shared" ref="AZ12:AZ14" si="14">IFERROR((AE12-K12)/K12, 0)</f>
        <v>-0.11111111111111108</v>
      </c>
      <c r="BA12" s="54">
        <f t="shared" ref="BA12:BA14" si="15">IFERROR((AF12-L12)/L12, 0)</f>
        <v>-0.13888888888888887</v>
      </c>
      <c r="BB12" s="54">
        <f t="shared" ref="BB12:BB14" si="16">IFERROR((AG12-M12)/M12, 0)</f>
        <v>0</v>
      </c>
      <c r="BC12" s="54">
        <f t="shared" ref="BC12:BC14" si="17">IFERROR((AH12-N12)/N12, 0)</f>
        <v>1.1968376099314599</v>
      </c>
      <c r="BD12" s="54">
        <f t="shared" ref="BD12:BD14" si="18">IFERROR((AI12-O12)/O12, 0)</f>
        <v>0.40559818718299878</v>
      </c>
    </row>
    <row r="13" spans="3:56" s="5" customFormat="1" x14ac:dyDescent="0.15">
      <c r="C13" s="3"/>
      <c r="D13" s="101"/>
      <c r="E13" s="3">
        <v>3</v>
      </c>
      <c r="F13" s="3">
        <v>2</v>
      </c>
      <c r="G13" s="3"/>
      <c r="H13" s="14">
        <v>30528.641238</v>
      </c>
      <c r="I13" s="14">
        <v>3499.9005782653935</v>
      </c>
      <c r="J13" s="15">
        <v>1.894881725E-2</v>
      </c>
      <c r="K13" s="16">
        <v>1.9</v>
      </c>
      <c r="L13" s="67">
        <v>0.90999999999999992</v>
      </c>
      <c r="M13" s="16">
        <v>3.2640922319265484</v>
      </c>
      <c r="N13" s="68">
        <v>0.1720198288233383</v>
      </c>
      <c r="O13" s="57">
        <v>1078.4850530505878</v>
      </c>
      <c r="P13" s="17">
        <v>0</v>
      </c>
      <c r="Q13" s="3"/>
      <c r="R13" s="28">
        <v>32928.969824</v>
      </c>
      <c r="S13" s="28">
        <v>4310.9018314828454</v>
      </c>
      <c r="T13" s="29">
        <v>2.1163702030000002E-2</v>
      </c>
      <c r="U13" s="30">
        <v>2</v>
      </c>
      <c r="V13" s="79">
        <v>0.8600000000000001</v>
      </c>
      <c r="W13" s="30">
        <v>0</v>
      </c>
      <c r="X13" s="80">
        <v>0.12701927686693448</v>
      </c>
      <c r="Y13" s="59">
        <v>958.09633569358596</v>
      </c>
      <c r="Z13" s="94">
        <v>0</v>
      </c>
      <c r="AA13" s="3"/>
      <c r="AB13" s="40">
        <v>32491.010963000001</v>
      </c>
      <c r="AC13" s="40">
        <v>3822.5529060951844</v>
      </c>
      <c r="AD13" s="41">
        <v>2.5308680529999999E-2</v>
      </c>
      <c r="AE13" s="42">
        <v>1.9</v>
      </c>
      <c r="AF13" s="87">
        <v>0.89</v>
      </c>
      <c r="AG13" s="42">
        <v>15.625348110425739</v>
      </c>
      <c r="AH13" s="88">
        <v>0.29386348862415079</v>
      </c>
      <c r="AI13" s="62">
        <v>1470.3417784317098</v>
      </c>
      <c r="AJ13" s="98">
        <v>0</v>
      </c>
      <c r="AM13" s="54">
        <f t="shared" si="3"/>
        <v>7.8625464110477078E-2</v>
      </c>
      <c r="AN13" s="54">
        <f t="shared" si="4"/>
        <v>0.23172122609819878</v>
      </c>
      <c r="AO13" s="54">
        <f t="shared" si="5"/>
        <v>0.1168877587861059</v>
      </c>
      <c r="AP13" s="54">
        <f t="shared" si="6"/>
        <v>5.2631578947368474E-2</v>
      </c>
      <c r="AQ13" s="54">
        <f t="shared" si="7"/>
        <v>-5.4945054945054757E-2</v>
      </c>
      <c r="AR13" s="54">
        <f t="shared" si="8"/>
        <v>-1</v>
      </c>
      <c r="AS13" s="54">
        <f t="shared" si="9"/>
        <v>-0.26160095765830976</v>
      </c>
      <c r="AT13" s="54">
        <f t="shared" si="10"/>
        <v>-0.11162761784826965</v>
      </c>
      <c r="AW13" s="54">
        <f t="shared" si="11"/>
        <v>6.4279628749325884E-2</v>
      </c>
      <c r="AX13" s="54">
        <f t="shared" si="12"/>
        <v>9.2188998119970181E-2</v>
      </c>
      <c r="AY13" s="54">
        <f t="shared" si="13"/>
        <v>0.33563378632510688</v>
      </c>
      <c r="AZ13" s="54">
        <f t="shared" si="14"/>
        <v>0</v>
      </c>
      <c r="BA13" s="54">
        <f t="shared" si="15"/>
        <v>-2.1978021978021879E-2</v>
      </c>
      <c r="BB13" s="54">
        <f t="shared" si="16"/>
        <v>3.7870424608692104</v>
      </c>
      <c r="BC13" s="54">
        <f t="shared" si="17"/>
        <v>0.70831171402887538</v>
      </c>
      <c r="BD13" s="54">
        <f t="shared" si="18"/>
        <v>0.36333996866504692</v>
      </c>
    </row>
    <row r="14" spans="3:56" s="5" customFormat="1" x14ac:dyDescent="0.15">
      <c r="C14" s="3"/>
      <c r="D14" s="102"/>
      <c r="E14" s="4">
        <v>3</v>
      </c>
      <c r="F14" s="4">
        <v>3</v>
      </c>
      <c r="G14" s="3"/>
      <c r="H14" s="18">
        <v>37416.102807000003</v>
      </c>
      <c r="I14" s="18">
        <v>3226.485687068488</v>
      </c>
      <c r="J14" s="19">
        <v>1.637670993E-2</v>
      </c>
      <c r="K14" s="20">
        <v>2.2999999999999998</v>
      </c>
      <c r="L14" s="70">
        <v>0.82</v>
      </c>
      <c r="M14" s="20">
        <v>0</v>
      </c>
      <c r="N14" s="71">
        <v>0.11756995792278264</v>
      </c>
      <c r="O14" s="51">
        <v>952.12091322283777</v>
      </c>
      <c r="P14" s="21">
        <v>5.6299999999999992E-4</v>
      </c>
      <c r="Q14" s="3"/>
      <c r="R14" s="31">
        <v>39197.607480999999</v>
      </c>
      <c r="S14" s="31">
        <v>3024.5401449233186</v>
      </c>
      <c r="T14" s="32">
        <v>1.8404531470000002E-2</v>
      </c>
      <c r="U14" s="33">
        <v>2.1</v>
      </c>
      <c r="V14" s="82">
        <v>0.73000000000000009</v>
      </c>
      <c r="W14" s="33">
        <v>0</v>
      </c>
      <c r="X14" s="83">
        <v>0.10925239596347809</v>
      </c>
      <c r="Y14" s="60">
        <v>917.78939123826933</v>
      </c>
      <c r="Z14" s="95">
        <v>0</v>
      </c>
      <c r="AA14" s="3"/>
      <c r="AB14" s="44">
        <v>38021.317278000002</v>
      </c>
      <c r="AC14" s="44">
        <v>2825.9250640754267</v>
      </c>
      <c r="AD14" s="45">
        <v>1.8624615680000005E-2</v>
      </c>
      <c r="AE14" s="46">
        <v>2.2000000000000002</v>
      </c>
      <c r="AF14" s="89">
        <v>0.79</v>
      </c>
      <c r="AG14" s="46">
        <v>7.4861640998692778</v>
      </c>
      <c r="AH14" s="90">
        <v>0.2181385258459887</v>
      </c>
      <c r="AI14" s="52">
        <v>1260.5334214244235</v>
      </c>
      <c r="AJ14" s="99">
        <v>0</v>
      </c>
      <c r="AM14" s="54">
        <f t="shared" si="3"/>
        <v>4.7613314598512993E-2</v>
      </c>
      <c r="AN14" s="54">
        <f t="shared" si="4"/>
        <v>-6.2589938940238274E-2</v>
      </c>
      <c r="AO14" s="54">
        <f t="shared" si="5"/>
        <v>0.12382349987681573</v>
      </c>
      <c r="AP14" s="54">
        <f t="shared" si="6"/>
        <v>-8.6956521739130321E-2</v>
      </c>
      <c r="AQ14" s="54">
        <f t="shared" si="7"/>
        <v>-0.10975609756097544</v>
      </c>
      <c r="AR14" s="54">
        <f t="shared" si="8"/>
        <v>0</v>
      </c>
      <c r="AS14" s="54">
        <f t="shared" si="9"/>
        <v>-7.0745640351146041E-2</v>
      </c>
      <c r="AT14" s="54">
        <f t="shared" si="10"/>
        <v>-3.6057943384900072E-2</v>
      </c>
      <c r="AW14" s="54">
        <f t="shared" si="11"/>
        <v>1.6175240754544126E-2</v>
      </c>
      <c r="AX14" s="54">
        <f t="shared" si="12"/>
        <v>-0.12414765222684178</v>
      </c>
      <c r="AY14" s="54">
        <f t="shared" si="13"/>
        <v>0.13726235364785536</v>
      </c>
      <c r="AZ14" s="54">
        <f t="shared" si="14"/>
        <v>-4.3478260869565064E-2</v>
      </c>
      <c r="BA14" s="54">
        <f t="shared" si="15"/>
        <v>-3.6585365853658437E-2</v>
      </c>
      <c r="BB14" s="54">
        <f t="shared" si="16"/>
        <v>0</v>
      </c>
      <c r="BC14" s="54">
        <f t="shared" si="17"/>
        <v>0.85539341597159768</v>
      </c>
      <c r="BD14" s="54">
        <f t="shared" si="18"/>
        <v>0.32392157752069434</v>
      </c>
    </row>
    <row r="15" spans="3:56" s="5" customFormat="1" ht="4" customHeight="1" x14ac:dyDescent="0.15">
      <c r="C15" s="3"/>
      <c r="D15" s="3"/>
      <c r="E15" s="3"/>
      <c r="F15" s="3"/>
      <c r="G15" s="3"/>
      <c r="H15" s="22"/>
      <c r="I15" s="22"/>
      <c r="J15" s="15"/>
      <c r="K15" s="16"/>
      <c r="L15" s="16"/>
      <c r="M15" s="16"/>
      <c r="N15" s="57"/>
      <c r="O15" s="57"/>
      <c r="P15" s="17"/>
      <c r="Q15" s="3"/>
      <c r="R15" s="34"/>
      <c r="S15" s="34"/>
      <c r="T15" s="29"/>
      <c r="U15" s="30"/>
      <c r="V15" s="30"/>
      <c r="W15" s="30"/>
      <c r="X15" s="59"/>
      <c r="Y15" s="59"/>
      <c r="Z15" s="94"/>
      <c r="AA15" s="3"/>
      <c r="AB15" s="47"/>
      <c r="AC15" s="47"/>
      <c r="AD15" s="41"/>
      <c r="AE15" s="42"/>
      <c r="AF15" s="42"/>
      <c r="AG15" s="42"/>
      <c r="AH15" s="62"/>
      <c r="AI15" s="62"/>
      <c r="AJ15" s="43"/>
      <c r="AM15" s="54"/>
      <c r="AN15" s="54"/>
      <c r="AO15" s="54"/>
      <c r="AP15" s="54"/>
      <c r="AQ15" s="54"/>
      <c r="AR15" s="54"/>
      <c r="AS15" s="54"/>
      <c r="AT15" s="54"/>
      <c r="AW15" s="54"/>
      <c r="AX15" s="54"/>
      <c r="AY15" s="54"/>
      <c r="AZ15" s="54"/>
      <c r="BA15" s="54"/>
      <c r="BB15" s="54"/>
      <c r="BC15" s="54"/>
      <c r="BD15" s="54"/>
    </row>
    <row r="16" spans="3:56" s="5" customFormat="1" ht="16" customHeight="1" x14ac:dyDescent="0.15">
      <c r="C16" s="3"/>
      <c r="D16" s="100">
        <v>20</v>
      </c>
      <c r="E16" s="6">
        <v>2</v>
      </c>
      <c r="F16" s="6">
        <v>2</v>
      </c>
      <c r="G16" s="3"/>
      <c r="H16" s="10">
        <v>57683.299791000005</v>
      </c>
      <c r="I16" s="10">
        <v>7102.3635658833309</v>
      </c>
      <c r="J16" s="11">
        <v>6.7472362519999995E-2</v>
      </c>
      <c r="K16" s="12">
        <v>2</v>
      </c>
      <c r="L16" s="73">
        <v>0.86999999999999988</v>
      </c>
      <c r="M16" s="12">
        <v>19.391576078787029</v>
      </c>
      <c r="N16" s="74">
        <v>0.23762201562849219</v>
      </c>
      <c r="O16" s="56">
        <v>1647.123834659526</v>
      </c>
      <c r="P16" s="13">
        <v>0</v>
      </c>
      <c r="Q16" s="3"/>
      <c r="R16" s="25">
        <v>66410.129578000007</v>
      </c>
      <c r="S16" s="25">
        <v>7556.3611178905894</v>
      </c>
      <c r="T16" s="26">
        <v>4.0046048149999999E-2</v>
      </c>
      <c r="U16" s="27">
        <v>2</v>
      </c>
      <c r="V16" s="76">
        <v>0.70500000000000018</v>
      </c>
      <c r="W16" s="27">
        <v>3.0602286016015698</v>
      </c>
      <c r="X16" s="77">
        <v>0.17690524423960552</v>
      </c>
      <c r="Y16" s="58">
        <v>1412.105685001239</v>
      </c>
      <c r="Z16" s="93">
        <v>8.8699999999999998E-4</v>
      </c>
      <c r="AA16" s="3"/>
      <c r="AB16" s="37">
        <v>67954.318062999999</v>
      </c>
      <c r="AC16" s="37">
        <v>9270.6089609230075</v>
      </c>
      <c r="AD16" s="38">
        <v>0.18875343798999999</v>
      </c>
      <c r="AE16" s="39">
        <v>2</v>
      </c>
      <c r="AF16" s="85">
        <v>0.77</v>
      </c>
      <c r="AG16" s="39">
        <v>46.823906676154095</v>
      </c>
      <c r="AH16" s="86">
        <v>0.363054785921471</v>
      </c>
      <c r="AI16" s="61">
        <v>2023.2341885472815</v>
      </c>
      <c r="AJ16" s="97">
        <v>0</v>
      </c>
      <c r="AM16" s="54">
        <f t="shared" ref="AM16:AM19" si="19">IFERROR((R16-H16)/H16, 0)</f>
        <v>0.1512886713939621</v>
      </c>
      <c r="AN16" s="54">
        <f t="shared" ref="AN16:AN19" si="20">IFERROR((S16-I16)/I16, 0)</f>
        <v>6.392203775487719E-2</v>
      </c>
      <c r="AO16" s="54">
        <f t="shared" ref="AO16:AO19" si="21">IFERROR((T16-J16)/J16, 0)</f>
        <v>-0.40648220020264375</v>
      </c>
      <c r="AP16" s="54">
        <f t="shared" ref="AP16:AP19" si="22">IFERROR((U16-K16)/K16, 0)</f>
        <v>0</v>
      </c>
      <c r="AQ16" s="54">
        <f t="shared" ref="AQ16:AQ19" si="23">IFERROR((V16-L16)/L16, 0)</f>
        <v>-0.18965517241379279</v>
      </c>
      <c r="AR16" s="54">
        <f t="shared" ref="AR16:AR19" si="24">IFERROR((W16-M16)/M16, 0)</f>
        <v>-0.84218773197351215</v>
      </c>
      <c r="AS16" s="54">
        <f t="shared" ref="AS16:AS19" si="25">IFERROR((X16-N16)/N16, 0)</f>
        <v>-0.25551829121681097</v>
      </c>
      <c r="AT16" s="54">
        <f t="shared" ref="AT16:AT19" si="26">IFERROR((Y16-O16)/O16, 0)</f>
        <v>-0.14268395897923924</v>
      </c>
      <c r="AW16" s="54">
        <f t="shared" ref="AW16:AW19" si="27">IFERROR((AB16-H16)/H16, 0)</f>
        <v>0.17805878493800248</v>
      </c>
      <c r="AX16" s="54">
        <f t="shared" ref="AX16:AX19" si="28">IFERROR((AC16-I16)/I16, 0)</f>
        <v>0.30528504700251979</v>
      </c>
      <c r="AY16" s="54">
        <f t="shared" ref="AY16:AY19" si="29">IFERROR((AD16-J16)/J16, 0)</f>
        <v>1.7974926464750682</v>
      </c>
      <c r="AZ16" s="54">
        <f t="shared" ref="AZ16:AZ19" si="30">IFERROR((AE16-K16)/K16, 0)</f>
        <v>0</v>
      </c>
      <c r="BA16" s="54">
        <f t="shared" ref="BA16:BA19" si="31">IFERROR((AF16-L16)/L16, 0)</f>
        <v>-0.11494252873563204</v>
      </c>
      <c r="BB16" s="54">
        <f t="shared" ref="BB16:BB19" si="32">IFERROR((AG16-M16)/M16, 0)</f>
        <v>1.4146519337010486</v>
      </c>
      <c r="BC16" s="54">
        <f t="shared" ref="BC16:BC19" si="33">IFERROR((AH16-N16)/N16, 0)</f>
        <v>0.52786678861055303</v>
      </c>
      <c r="BD16" s="54">
        <f t="shared" ref="BD16:BD19" si="34">IFERROR((AI16-O16)/O16, 0)</f>
        <v>0.22834370189628192</v>
      </c>
    </row>
    <row r="17" spans="3:56" s="5" customFormat="1" x14ac:dyDescent="0.15">
      <c r="C17" s="3"/>
      <c r="D17" s="101"/>
      <c r="E17" s="3">
        <v>2</v>
      </c>
      <c r="F17" s="3">
        <v>3</v>
      </c>
      <c r="G17" s="3"/>
      <c r="H17" s="14">
        <v>65667.258300000001</v>
      </c>
      <c r="I17" s="14">
        <v>6210.5852060973402</v>
      </c>
      <c r="J17" s="15">
        <v>4.0181088449999999E-2</v>
      </c>
      <c r="K17" s="16">
        <v>2</v>
      </c>
      <c r="L17" s="67">
        <v>0.71000000000000008</v>
      </c>
      <c r="M17" s="16">
        <v>3.415430648083098</v>
      </c>
      <c r="N17" s="68">
        <v>0.18966693898137021</v>
      </c>
      <c r="O17" s="57">
        <v>1375.7170720575318</v>
      </c>
      <c r="P17" s="17">
        <v>0</v>
      </c>
      <c r="Q17" s="3"/>
      <c r="R17" s="28">
        <v>72469.253850999987</v>
      </c>
      <c r="S17" s="28">
        <v>4184.77366153396</v>
      </c>
      <c r="T17" s="29">
        <v>6.0622310639999996E-2</v>
      </c>
      <c r="U17" s="30">
        <v>2</v>
      </c>
      <c r="V17" s="79">
        <v>0.59499999999999997</v>
      </c>
      <c r="W17" s="30">
        <v>0</v>
      </c>
      <c r="X17" s="80">
        <v>0.14472543293046208</v>
      </c>
      <c r="Y17" s="59">
        <v>1196.8196889056787</v>
      </c>
      <c r="Z17" s="94">
        <v>6.1300000000000005E-4</v>
      </c>
      <c r="AA17" s="3"/>
      <c r="AB17" s="40">
        <v>73541.548970999997</v>
      </c>
      <c r="AC17" s="40">
        <v>6589.864702660494</v>
      </c>
      <c r="AD17" s="41">
        <v>9.839689732000001E-2</v>
      </c>
      <c r="AE17" s="42">
        <v>2</v>
      </c>
      <c r="AF17" s="87">
        <v>0.64499999999999991</v>
      </c>
      <c r="AG17" s="42">
        <v>17.804241743143951</v>
      </c>
      <c r="AH17" s="88">
        <v>0.31337734466257805</v>
      </c>
      <c r="AI17" s="62">
        <v>1779.9903002653336</v>
      </c>
      <c r="AJ17" s="98">
        <v>0</v>
      </c>
      <c r="AM17" s="54">
        <f t="shared" si="19"/>
        <v>0.10358275535008876</v>
      </c>
      <c r="AN17" s="54">
        <f t="shared" si="20"/>
        <v>-0.3261869014492399</v>
      </c>
      <c r="AO17" s="54">
        <f t="shared" si="21"/>
        <v>0.50872743816873878</v>
      </c>
      <c r="AP17" s="54">
        <f t="shared" si="22"/>
        <v>0</v>
      </c>
      <c r="AQ17" s="54">
        <f t="shared" si="23"/>
        <v>-0.16197183098591561</v>
      </c>
      <c r="AR17" s="54">
        <f t="shared" si="24"/>
        <v>-1</v>
      </c>
      <c r="AS17" s="54">
        <f t="shared" si="25"/>
        <v>-0.23694960382801586</v>
      </c>
      <c r="AT17" s="54">
        <f t="shared" si="26"/>
        <v>-0.13003937131076881</v>
      </c>
      <c r="AW17" s="54">
        <f t="shared" si="27"/>
        <v>0.11991197553926193</v>
      </c>
      <c r="AX17" s="54">
        <f t="shared" si="28"/>
        <v>6.1069848327785621E-2</v>
      </c>
      <c r="AY17" s="54">
        <f t="shared" si="29"/>
        <v>1.448836034953155</v>
      </c>
      <c r="AZ17" s="54">
        <f t="shared" si="30"/>
        <v>0</v>
      </c>
      <c r="BA17" s="54">
        <f t="shared" si="31"/>
        <v>-9.1549295774648112E-2</v>
      </c>
      <c r="BB17" s="54">
        <f t="shared" si="32"/>
        <v>4.2128834040698608</v>
      </c>
      <c r="BC17" s="54">
        <f t="shared" si="33"/>
        <v>0.65225076307768703</v>
      </c>
      <c r="BD17" s="54">
        <f t="shared" si="34"/>
        <v>0.29386364131046805</v>
      </c>
    </row>
    <row r="18" spans="3:56" s="5" customFormat="1" x14ac:dyDescent="0.15">
      <c r="C18" s="3"/>
      <c r="D18" s="101"/>
      <c r="E18" s="3">
        <v>3</v>
      </c>
      <c r="F18" s="3">
        <v>2</v>
      </c>
      <c r="G18" s="3"/>
      <c r="H18" s="14">
        <v>51475.691491999998</v>
      </c>
      <c r="I18" s="14">
        <v>6551.5847576638953</v>
      </c>
      <c r="J18" s="15">
        <v>0.37191767694</v>
      </c>
      <c r="K18" s="16">
        <v>2.2000000000000002</v>
      </c>
      <c r="L18" s="67">
        <v>0.95</v>
      </c>
      <c r="M18" s="16">
        <v>16.314632764786438</v>
      </c>
      <c r="N18" s="68">
        <v>0.31868036644494102</v>
      </c>
      <c r="O18" s="57">
        <v>1572.9171009867589</v>
      </c>
      <c r="P18" s="17">
        <v>0</v>
      </c>
      <c r="Q18" s="3"/>
      <c r="R18" s="28">
        <v>62047.654316000015</v>
      </c>
      <c r="S18" s="28">
        <v>6218.6677026906036</v>
      </c>
      <c r="T18" s="29">
        <v>1.12206292153</v>
      </c>
      <c r="U18" s="30">
        <v>2.7</v>
      </c>
      <c r="V18" s="79">
        <v>0.80999999999999994</v>
      </c>
      <c r="W18" s="30">
        <v>7.9429139750064826E-2</v>
      </c>
      <c r="X18" s="80">
        <v>0.19547051929324549</v>
      </c>
      <c r="Y18" s="59">
        <v>1244.7416758994229</v>
      </c>
      <c r="Z18" s="94">
        <v>0</v>
      </c>
      <c r="AA18" s="3"/>
      <c r="AB18" s="40">
        <v>60967.952158000007</v>
      </c>
      <c r="AC18" s="40">
        <v>7224.9638554407475</v>
      </c>
      <c r="AD18" s="41">
        <v>5.5249715328100004</v>
      </c>
      <c r="AE18" s="42">
        <v>2.6</v>
      </c>
      <c r="AF18" s="87">
        <v>0.86</v>
      </c>
      <c r="AG18" s="42">
        <v>35.624805028535569</v>
      </c>
      <c r="AH18" s="88">
        <v>0.43563748571937033</v>
      </c>
      <c r="AI18" s="62">
        <v>1782.804550511793</v>
      </c>
      <c r="AJ18" s="98">
        <v>1.0000000000000002E-6</v>
      </c>
      <c r="AM18" s="54">
        <f t="shared" si="19"/>
        <v>0.20537777186816497</v>
      </c>
      <c r="AN18" s="54">
        <f t="shared" si="20"/>
        <v>-5.0814736783165761E-2</v>
      </c>
      <c r="AO18" s="54">
        <f t="shared" si="21"/>
        <v>2.0169658263138106</v>
      </c>
      <c r="AP18" s="54">
        <f t="shared" si="22"/>
        <v>0.22727272727272727</v>
      </c>
      <c r="AQ18" s="54">
        <f t="shared" si="23"/>
        <v>-0.14736842105263159</v>
      </c>
      <c r="AR18" s="54">
        <f t="shared" si="24"/>
        <v>-0.99513141724394161</v>
      </c>
      <c r="AS18" s="54">
        <f t="shared" si="25"/>
        <v>-0.38662515838729183</v>
      </c>
      <c r="AT18" s="54">
        <f t="shared" si="26"/>
        <v>-0.20864127224597998</v>
      </c>
      <c r="AW18" s="54">
        <f t="shared" si="27"/>
        <v>0.18440278101898314</v>
      </c>
      <c r="AX18" s="54">
        <f t="shared" si="28"/>
        <v>0.1027811014715407</v>
      </c>
      <c r="AY18" s="54">
        <f t="shared" si="29"/>
        <v>13.855361482862032</v>
      </c>
      <c r="AZ18" s="54">
        <f t="shared" si="30"/>
        <v>0.18181818181818177</v>
      </c>
      <c r="BA18" s="54">
        <f t="shared" si="31"/>
        <v>-9.4736842105263133E-2</v>
      </c>
      <c r="BB18" s="54">
        <f t="shared" si="32"/>
        <v>1.1836105992792112</v>
      </c>
      <c r="BC18" s="54">
        <f t="shared" si="33"/>
        <v>0.3670044709034066</v>
      </c>
      <c r="BD18" s="54">
        <f t="shared" si="34"/>
        <v>0.13343834166044899</v>
      </c>
    </row>
    <row r="19" spans="3:56" s="5" customFormat="1" x14ac:dyDescent="0.15">
      <c r="C19" s="3"/>
      <c r="D19" s="102"/>
      <c r="E19" s="4">
        <v>3</v>
      </c>
      <c r="F19" s="4">
        <v>3</v>
      </c>
      <c r="G19" s="3"/>
      <c r="H19" s="18">
        <v>58762.989440999998</v>
      </c>
      <c r="I19" s="18">
        <v>5269.0838386042296</v>
      </c>
      <c r="J19" s="19">
        <v>0.27276277540999999</v>
      </c>
      <c r="K19" s="20">
        <v>2.7</v>
      </c>
      <c r="L19" s="70">
        <v>0.88000000000000012</v>
      </c>
      <c r="M19" s="20">
        <v>17.057294200929483</v>
      </c>
      <c r="N19" s="71">
        <v>0.19244216683847296</v>
      </c>
      <c r="O19" s="51">
        <v>1341.9115912166023</v>
      </c>
      <c r="P19" s="21">
        <v>0</v>
      </c>
      <c r="Q19" s="3"/>
      <c r="R19" s="31">
        <v>69375.066951000001</v>
      </c>
      <c r="S19" s="31">
        <v>6352.6987887124715</v>
      </c>
      <c r="T19" s="32">
        <v>0.7265945196100001</v>
      </c>
      <c r="U19" s="33">
        <v>2.8</v>
      </c>
      <c r="V19" s="82">
        <v>0.72</v>
      </c>
      <c r="W19" s="33">
        <v>1.7330481011799457</v>
      </c>
      <c r="X19" s="83">
        <v>0.14347466470488807</v>
      </c>
      <c r="Y19" s="60">
        <v>1152.7385856595924</v>
      </c>
      <c r="Z19" s="95">
        <v>9.1599999999999993E-4</v>
      </c>
      <c r="AA19" s="3"/>
      <c r="AB19" s="44">
        <v>65655.916399999987</v>
      </c>
      <c r="AC19" s="44">
        <v>8377.801346406859</v>
      </c>
      <c r="AD19" s="45">
        <v>1.21455430985</v>
      </c>
      <c r="AE19" s="46">
        <v>2.7</v>
      </c>
      <c r="AF19" s="89">
        <v>0.80999999999999994</v>
      </c>
      <c r="AG19" s="46">
        <v>33.844745899423252</v>
      </c>
      <c r="AH19" s="90">
        <v>0.32887086010227246</v>
      </c>
      <c r="AI19" s="52">
        <v>1672.4207262000255</v>
      </c>
      <c r="AJ19" s="99">
        <v>0</v>
      </c>
      <c r="AM19" s="54">
        <f t="shared" si="19"/>
        <v>0.18059117840924147</v>
      </c>
      <c r="AN19" s="54">
        <f t="shared" si="20"/>
        <v>0.20565528719985016</v>
      </c>
      <c r="AO19" s="54">
        <f t="shared" si="21"/>
        <v>1.6638331367534611</v>
      </c>
      <c r="AP19" s="54">
        <f t="shared" si="22"/>
        <v>3.7037037037036903E-2</v>
      </c>
      <c r="AQ19" s="54">
        <f t="shared" si="23"/>
        <v>-0.18181818181818196</v>
      </c>
      <c r="AR19" s="54">
        <f t="shared" si="24"/>
        <v>-0.89839841649178398</v>
      </c>
      <c r="AS19" s="54">
        <f t="shared" si="25"/>
        <v>-0.25445308031002345</v>
      </c>
      <c r="AT19" s="54">
        <f t="shared" si="26"/>
        <v>-0.14097277853118631</v>
      </c>
      <c r="AW19" s="54">
        <f t="shared" si="27"/>
        <v>0.11730048155430754</v>
      </c>
      <c r="AX19" s="54">
        <f t="shared" si="28"/>
        <v>0.58999203714058246</v>
      </c>
      <c r="AY19" s="54">
        <f t="shared" si="29"/>
        <v>3.4527861546516303</v>
      </c>
      <c r="AZ19" s="54">
        <f t="shared" si="30"/>
        <v>0</v>
      </c>
      <c r="BA19" s="54">
        <f t="shared" si="31"/>
        <v>-7.9545454545454738E-2</v>
      </c>
      <c r="BB19" s="54">
        <f t="shared" si="32"/>
        <v>0.9841802281618024</v>
      </c>
      <c r="BC19" s="54">
        <f t="shared" si="33"/>
        <v>0.70893347079339131</v>
      </c>
      <c r="BD19" s="54">
        <f t="shared" si="34"/>
        <v>0.24629725024118562</v>
      </c>
    </row>
    <row r="20" spans="3:56" s="5" customFormat="1" ht="4" customHeight="1" x14ac:dyDescent="0.15">
      <c r="C20" s="3"/>
      <c r="D20" s="3"/>
      <c r="E20" s="3"/>
      <c r="F20" s="3"/>
      <c r="G20" s="3"/>
      <c r="H20" s="22"/>
      <c r="I20" s="22"/>
      <c r="J20" s="15"/>
      <c r="K20" s="16"/>
      <c r="L20" s="16"/>
      <c r="M20" s="16"/>
      <c r="N20" s="57"/>
      <c r="O20" s="57"/>
      <c r="P20" s="17"/>
      <c r="Q20" s="3"/>
      <c r="R20" s="34"/>
      <c r="S20" s="34"/>
      <c r="T20" s="29"/>
      <c r="U20" s="30"/>
      <c r="V20" s="30"/>
      <c r="W20" s="30"/>
      <c r="X20" s="59"/>
      <c r="Y20" s="59"/>
      <c r="Z20" s="94"/>
      <c r="AA20" s="3"/>
      <c r="AB20" s="47"/>
      <c r="AC20" s="47"/>
      <c r="AD20" s="41"/>
      <c r="AE20" s="42"/>
      <c r="AF20" s="42"/>
      <c r="AG20" s="42"/>
      <c r="AH20" s="62"/>
      <c r="AI20" s="62"/>
      <c r="AJ20" s="43"/>
      <c r="AM20" s="54"/>
      <c r="AN20" s="54"/>
      <c r="AO20" s="54"/>
      <c r="AP20" s="54"/>
      <c r="AQ20" s="54"/>
      <c r="AR20" s="54"/>
      <c r="AS20" s="54"/>
      <c r="AT20" s="54"/>
      <c r="AW20" s="54"/>
      <c r="AX20" s="54"/>
      <c r="AY20" s="54"/>
      <c r="AZ20" s="54"/>
      <c r="BA20" s="54"/>
      <c r="BB20" s="54"/>
      <c r="BC20" s="54"/>
      <c r="BD20" s="54"/>
    </row>
    <row r="21" spans="3:56" s="5" customFormat="1" x14ac:dyDescent="0.15">
      <c r="C21" s="3"/>
      <c r="D21" s="100">
        <v>30</v>
      </c>
      <c r="E21" s="6">
        <v>2</v>
      </c>
      <c r="F21" s="6">
        <v>2</v>
      </c>
      <c r="G21" s="3"/>
      <c r="H21" s="10">
        <v>85971.006441000005</v>
      </c>
      <c r="I21" s="10">
        <v>13070.374610749699</v>
      </c>
      <c r="J21" s="11">
        <v>5.1001062870000009</v>
      </c>
      <c r="K21" s="12">
        <v>2.1</v>
      </c>
      <c r="L21" s="73">
        <v>0.86666666666666681</v>
      </c>
      <c r="M21" s="12">
        <v>57.486580365211275</v>
      </c>
      <c r="N21" s="74">
        <v>0.32966386134169251</v>
      </c>
      <c r="O21" s="56">
        <v>1868.7390502995136</v>
      </c>
      <c r="P21" s="13">
        <v>0</v>
      </c>
      <c r="Q21" s="3"/>
      <c r="R21" s="25">
        <v>101057.229272</v>
      </c>
      <c r="S21" s="25">
        <v>6522.3444737023647</v>
      </c>
      <c r="T21" s="26">
        <v>4.3372910738100003</v>
      </c>
      <c r="U21" s="27">
        <v>2.2000000000000002</v>
      </c>
      <c r="V21" s="76">
        <v>0.64666666666666661</v>
      </c>
      <c r="W21" s="27">
        <v>13.052512801928462</v>
      </c>
      <c r="X21" s="77">
        <v>0.20680619493635199</v>
      </c>
      <c r="Y21" s="58">
        <v>1495.3436269613956</v>
      </c>
      <c r="Z21" s="93">
        <v>0</v>
      </c>
      <c r="AA21" s="3"/>
      <c r="AB21" s="37">
        <v>101897.85993100001</v>
      </c>
      <c r="AC21" s="37">
        <v>12041.484029849549</v>
      </c>
      <c r="AD21" s="38">
        <v>228.16685438157</v>
      </c>
      <c r="AE21" s="39">
        <v>2</v>
      </c>
      <c r="AF21" s="85">
        <v>0.70333333333333325</v>
      </c>
      <c r="AG21" s="39">
        <v>61.968937974409315</v>
      </c>
      <c r="AH21" s="86">
        <v>0.39861164299789947</v>
      </c>
      <c r="AI21" s="61">
        <v>1999.906479033199</v>
      </c>
      <c r="AJ21" s="97">
        <v>5.5699999999999999E-4</v>
      </c>
      <c r="AM21" s="54">
        <f t="shared" ref="AM21:AM24" si="35">IFERROR((R21-H21)/H21, 0)</f>
        <v>0.1754803561751174</v>
      </c>
      <c r="AN21" s="54">
        <f t="shared" ref="AN21:AN24" si="36">IFERROR((S21-I21)/I21, 0)</f>
        <v>-0.50098259093981301</v>
      </c>
      <c r="AO21" s="54">
        <f t="shared" ref="AO21:AO24" si="37">IFERROR((T21-J21)/J21, 0)</f>
        <v>-0.1495684933340293</v>
      </c>
      <c r="AP21" s="54">
        <f t="shared" ref="AP21:AP24" si="38">IFERROR((U21-K21)/K21, 0)</f>
        <v>4.7619047619047658E-2</v>
      </c>
      <c r="AQ21" s="54">
        <f t="shared" ref="AQ21:AQ24" si="39">IFERROR((V21-L21)/L21, 0)</f>
        <v>-0.25384615384615405</v>
      </c>
      <c r="AR21" s="54">
        <f t="shared" ref="AR21:AR24" si="40">IFERROR((W21-M21)/M21, 0)</f>
        <v>-0.77294678655425197</v>
      </c>
      <c r="AS21" s="54">
        <f t="shared" ref="AS21:AS24" si="41">IFERROR((X21-N21)/N21, 0)</f>
        <v>-0.37267556687992581</v>
      </c>
      <c r="AT21" s="54">
        <f t="shared" ref="AT21:AT24" si="42">IFERROR((Y21-O21)/O21, 0)</f>
        <v>-0.19981143074966609</v>
      </c>
      <c r="AW21" s="54">
        <f t="shared" ref="AW21:AW24" si="43">IFERROR((AB21-H21)/H21, 0)</f>
        <v>0.18525842780414878</v>
      </c>
      <c r="AX21" s="54">
        <f t="shared" ref="AX21:AX24" si="44">IFERROR((AC21-I21)/I21, 0)</f>
        <v>-7.8719287820101291E-2</v>
      </c>
      <c r="AY21" s="54">
        <f t="shared" ref="AY21:AY24" si="45">IFERROR((AD21-J21)/J21, 0)</f>
        <v>43.737666539060108</v>
      </c>
      <c r="AZ21" s="54">
        <f t="shared" ref="AZ21:AZ24" si="46">IFERROR((AE21-K21)/K21, 0)</f>
        <v>-4.7619047619047658E-2</v>
      </c>
      <c r="BA21" s="54">
        <f t="shared" ref="BA21:BA24" si="47">IFERROR((AF21-L21)/L21, 0)</f>
        <v>-0.18846153846153868</v>
      </c>
      <c r="BB21" s="54">
        <f t="shared" ref="BB21:BB24" si="48">IFERROR((AG21-M21)/M21, 0)</f>
        <v>7.7972242925595805E-2</v>
      </c>
      <c r="BC21" s="54">
        <f t="shared" ref="BC21:BC24" si="49">IFERROR((AH21-N21)/N21, 0)</f>
        <v>0.20914570792078249</v>
      </c>
      <c r="BD21" s="54">
        <f t="shared" ref="BD21:BD24" si="50">IFERROR((AI21-O21)/O21, 0)</f>
        <v>7.0190339690639272E-2</v>
      </c>
    </row>
    <row r="22" spans="3:56" s="5" customFormat="1" x14ac:dyDescent="0.15">
      <c r="C22" s="3"/>
      <c r="D22" s="101"/>
      <c r="E22" s="3">
        <v>2</v>
      </c>
      <c r="F22" s="3">
        <v>3</v>
      </c>
      <c r="G22" s="3"/>
      <c r="H22" s="14">
        <v>97959.934508999999</v>
      </c>
      <c r="I22" s="14">
        <v>10076.567860193947</v>
      </c>
      <c r="J22" s="15">
        <v>1.6610633850100001</v>
      </c>
      <c r="K22" s="16">
        <v>2.2999999999999998</v>
      </c>
      <c r="L22" s="67">
        <v>0.74</v>
      </c>
      <c r="M22" s="16">
        <v>36.46999637995718</v>
      </c>
      <c r="N22" s="68">
        <v>0.26763127266879777</v>
      </c>
      <c r="O22" s="57">
        <v>1776.6942331455125</v>
      </c>
      <c r="P22" s="17">
        <v>1.0000000000000002E-6</v>
      </c>
      <c r="Q22" s="3"/>
      <c r="R22" s="28">
        <v>107080.98135900001</v>
      </c>
      <c r="S22" s="28">
        <v>5176.0837501765291</v>
      </c>
      <c r="T22" s="29">
        <v>0.89093625545999999</v>
      </c>
      <c r="U22" s="30">
        <v>2.2999999999999998</v>
      </c>
      <c r="V22" s="79">
        <v>0.59</v>
      </c>
      <c r="W22" s="30">
        <v>6.0605670918861421</v>
      </c>
      <c r="X22" s="80">
        <v>0.19587394119743889</v>
      </c>
      <c r="Y22" s="59">
        <v>1437.6911924020894</v>
      </c>
      <c r="Z22" s="94">
        <v>0</v>
      </c>
      <c r="AA22" s="3"/>
      <c r="AB22" s="40">
        <v>110495.37374799998</v>
      </c>
      <c r="AC22" s="40">
        <v>10190.303867626648</v>
      </c>
      <c r="AD22" s="41">
        <v>8.01412930489</v>
      </c>
      <c r="AE22" s="42">
        <v>2.2000000000000002</v>
      </c>
      <c r="AF22" s="87">
        <v>0.60666666666666669</v>
      </c>
      <c r="AG22" s="42">
        <v>24.455143091892257</v>
      </c>
      <c r="AH22" s="88">
        <v>0.35625262270711539</v>
      </c>
      <c r="AI22" s="62">
        <v>1949.2539213666416</v>
      </c>
      <c r="AJ22" s="98">
        <v>8.8100000000000006E-4</v>
      </c>
      <c r="AM22" s="54">
        <f t="shared" si="35"/>
        <v>9.3109972926350051E-2</v>
      </c>
      <c r="AN22" s="54">
        <f t="shared" si="36"/>
        <v>-0.48632472663396492</v>
      </c>
      <c r="AO22" s="54">
        <f t="shared" si="37"/>
        <v>-0.4636350042387839</v>
      </c>
      <c r="AP22" s="54">
        <f t="shared" si="38"/>
        <v>0</v>
      </c>
      <c r="AQ22" s="54">
        <f t="shared" si="39"/>
        <v>-0.20270270270270274</v>
      </c>
      <c r="AR22" s="54">
        <f t="shared" si="40"/>
        <v>-0.83382046357380912</v>
      </c>
      <c r="AS22" s="54">
        <f t="shared" si="41"/>
        <v>-0.26812012944451696</v>
      </c>
      <c r="AT22" s="54">
        <f t="shared" si="42"/>
        <v>-0.19080550520121967</v>
      </c>
      <c r="AW22" s="54">
        <f t="shared" si="43"/>
        <v>0.12796496140826125</v>
      </c>
      <c r="AX22" s="54">
        <f t="shared" si="44"/>
        <v>1.1287177242362322E-2</v>
      </c>
      <c r="AY22" s="54">
        <f t="shared" si="45"/>
        <v>3.8246980682448504</v>
      </c>
      <c r="AZ22" s="54">
        <f t="shared" si="46"/>
        <v>-4.3478260869565064E-2</v>
      </c>
      <c r="BA22" s="54">
        <f t="shared" si="47"/>
        <v>-0.18018018018018014</v>
      </c>
      <c r="BB22" s="54">
        <f t="shared" si="48"/>
        <v>-0.32944487196790423</v>
      </c>
      <c r="BC22" s="54">
        <f t="shared" si="49"/>
        <v>0.3311322669977711</v>
      </c>
      <c r="BD22" s="54">
        <f t="shared" si="50"/>
        <v>9.7124021118492804E-2</v>
      </c>
    </row>
    <row r="23" spans="3:56" s="5" customFormat="1" x14ac:dyDescent="0.15">
      <c r="C23" s="3"/>
      <c r="D23" s="101"/>
      <c r="E23" s="3">
        <v>3</v>
      </c>
      <c r="F23" s="3">
        <v>2</v>
      </c>
      <c r="G23" s="3"/>
      <c r="H23" s="14">
        <v>75151.31880600001</v>
      </c>
      <c r="I23" s="14">
        <v>7580.4738969000437</v>
      </c>
      <c r="J23" s="15">
        <v>3.1064312219699999</v>
      </c>
      <c r="K23" s="16">
        <v>2.5</v>
      </c>
      <c r="L23" s="67">
        <v>0.95</v>
      </c>
      <c r="M23" s="16">
        <v>23.336437408588562</v>
      </c>
      <c r="N23" s="68">
        <v>0.31810348281594308</v>
      </c>
      <c r="O23" s="57">
        <v>1680.5707920700329</v>
      </c>
      <c r="P23" s="17">
        <v>9.5200000000000005E-4</v>
      </c>
      <c r="Q23" s="3"/>
      <c r="R23" s="28">
        <v>92969.045888999986</v>
      </c>
      <c r="S23" s="28">
        <v>9296.6202524951441</v>
      </c>
      <c r="T23" s="29">
        <v>2.3174523353600005</v>
      </c>
      <c r="U23" s="30">
        <v>3</v>
      </c>
      <c r="V23" s="79">
        <v>0.74333333333333329</v>
      </c>
      <c r="W23" s="30">
        <v>3.3471032845930608</v>
      </c>
      <c r="X23" s="80">
        <v>0.19144401643709347</v>
      </c>
      <c r="Y23" s="59">
        <v>1311.9162079516673</v>
      </c>
      <c r="Z23" s="94">
        <v>0</v>
      </c>
      <c r="AA23" s="3"/>
      <c r="AB23" s="40">
        <v>91522.021995000003</v>
      </c>
      <c r="AC23" s="40">
        <v>10156.573996282139</v>
      </c>
      <c r="AD23" s="41">
        <v>11.656358742730001</v>
      </c>
      <c r="AE23" s="42">
        <v>2.6</v>
      </c>
      <c r="AF23" s="87">
        <v>0.80999999999999994</v>
      </c>
      <c r="AG23" s="42">
        <v>38.117464980313031</v>
      </c>
      <c r="AH23" s="88">
        <v>0.39921813124922773</v>
      </c>
      <c r="AI23" s="62">
        <v>1868.8973323444359</v>
      </c>
      <c r="AJ23" s="98">
        <v>0</v>
      </c>
      <c r="AM23" s="54">
        <f t="shared" si="35"/>
        <v>0.2370913427214191</v>
      </c>
      <c r="AN23" s="54">
        <f t="shared" si="36"/>
        <v>0.22639037861431074</v>
      </c>
      <c r="AO23" s="54">
        <f t="shared" si="37"/>
        <v>-0.25398240947039352</v>
      </c>
      <c r="AP23" s="54">
        <f t="shared" si="38"/>
        <v>0.2</v>
      </c>
      <c r="AQ23" s="54">
        <f t="shared" si="39"/>
        <v>-0.21754385964912282</v>
      </c>
      <c r="AR23" s="54">
        <f t="shared" si="40"/>
        <v>-0.85657179688613405</v>
      </c>
      <c r="AS23" s="54">
        <f t="shared" si="41"/>
        <v>-0.39817063698147459</v>
      </c>
      <c r="AT23" s="54">
        <f t="shared" si="42"/>
        <v>-0.21936272239045496</v>
      </c>
      <c r="AW23" s="54">
        <f t="shared" si="43"/>
        <v>0.21783653898689762</v>
      </c>
      <c r="AX23" s="54">
        <f t="shared" si="44"/>
        <v>0.33983364818861322</v>
      </c>
      <c r="AY23" s="54">
        <f t="shared" si="45"/>
        <v>2.7523311832212105</v>
      </c>
      <c r="AZ23" s="54">
        <f t="shared" si="46"/>
        <v>4.0000000000000036E-2</v>
      </c>
      <c r="BA23" s="54">
        <f t="shared" si="47"/>
        <v>-0.14736842105263159</v>
      </c>
      <c r="BB23" s="54">
        <f t="shared" si="48"/>
        <v>0.63338834942665989</v>
      </c>
      <c r="BC23" s="54">
        <f t="shared" si="49"/>
        <v>0.25499453107282749</v>
      </c>
      <c r="BD23" s="54">
        <f t="shared" si="50"/>
        <v>0.11206105756630039</v>
      </c>
    </row>
    <row r="24" spans="3:56" s="5" customFormat="1" x14ac:dyDescent="0.15">
      <c r="C24" s="3"/>
      <c r="D24" s="102"/>
      <c r="E24" s="4">
        <v>3</v>
      </c>
      <c r="F24" s="4">
        <v>3</v>
      </c>
      <c r="G24" s="3"/>
      <c r="H24" s="18">
        <v>74673.920634999988</v>
      </c>
      <c r="I24" s="18">
        <v>9886.748328933847</v>
      </c>
      <c r="J24" s="19">
        <v>2.3706833839400003</v>
      </c>
      <c r="K24" s="20">
        <v>3</v>
      </c>
      <c r="L24" s="70">
        <v>0.93666666666666676</v>
      </c>
      <c r="M24" s="20">
        <v>15.443676173010028</v>
      </c>
      <c r="N24" s="71">
        <v>0.24909435536815935</v>
      </c>
      <c r="O24" s="51">
        <v>1449.2413836086166</v>
      </c>
      <c r="P24" s="21">
        <v>0</v>
      </c>
      <c r="Q24" s="3"/>
      <c r="R24" s="31">
        <v>91338.145715999999</v>
      </c>
      <c r="S24" s="31">
        <v>8391.3876495862369</v>
      </c>
      <c r="T24" s="32">
        <v>1.6264808416400001</v>
      </c>
      <c r="U24" s="33">
        <v>3.1</v>
      </c>
      <c r="V24" s="82">
        <v>0.7533333333333333</v>
      </c>
      <c r="W24" s="33">
        <v>3.3495313301280518</v>
      </c>
      <c r="X24" s="83">
        <v>0.18241301467879401</v>
      </c>
      <c r="Y24" s="60">
        <v>1245.5971547067452</v>
      </c>
      <c r="Z24" s="95">
        <v>0</v>
      </c>
      <c r="AA24" s="3"/>
      <c r="AB24" s="44">
        <v>89000.461481000006</v>
      </c>
      <c r="AC24" s="44">
        <v>10831.832431220362</v>
      </c>
      <c r="AD24" s="45">
        <v>15.65070824623</v>
      </c>
      <c r="AE24" s="46">
        <v>3</v>
      </c>
      <c r="AF24" s="89">
        <v>0.86666666666666681</v>
      </c>
      <c r="AG24" s="46">
        <v>47.777910912313196</v>
      </c>
      <c r="AH24" s="90">
        <v>0.40038458721390924</v>
      </c>
      <c r="AI24" s="52">
        <v>1856.4704958742998</v>
      </c>
      <c r="AJ24" s="99">
        <v>0</v>
      </c>
      <c r="AM24" s="54">
        <f t="shared" si="35"/>
        <v>0.22315990561756333</v>
      </c>
      <c r="AN24" s="54">
        <f t="shared" si="36"/>
        <v>-0.15124898799855105</v>
      </c>
      <c r="AO24" s="54">
        <f t="shared" si="37"/>
        <v>-0.31391899371360138</v>
      </c>
      <c r="AP24" s="54">
        <f t="shared" si="38"/>
        <v>3.3333333333333361E-2</v>
      </c>
      <c r="AQ24" s="54">
        <f t="shared" si="39"/>
        <v>-0.19572953736654816</v>
      </c>
      <c r="AR24" s="54">
        <f t="shared" si="40"/>
        <v>-0.78311308184628836</v>
      </c>
      <c r="AS24" s="54">
        <f t="shared" si="41"/>
        <v>-0.26769510931233625</v>
      </c>
      <c r="AT24" s="54">
        <f t="shared" si="42"/>
        <v>-0.14051781242597181</v>
      </c>
      <c r="AW24" s="54">
        <f t="shared" si="43"/>
        <v>0.19185467595878589</v>
      </c>
      <c r="AX24" s="54">
        <f t="shared" si="44"/>
        <v>9.5590994211989799E-2</v>
      </c>
      <c r="AY24" s="54">
        <f t="shared" si="45"/>
        <v>5.6017707603868301</v>
      </c>
      <c r="AZ24" s="54">
        <f t="shared" si="46"/>
        <v>0</v>
      </c>
      <c r="BA24" s="54">
        <f t="shared" si="47"/>
        <v>-7.4733096085409192E-2</v>
      </c>
      <c r="BB24" s="54">
        <f t="shared" si="48"/>
        <v>2.0936876930773609</v>
      </c>
      <c r="BC24" s="54">
        <f t="shared" si="49"/>
        <v>0.60736114081005244</v>
      </c>
      <c r="BD24" s="54">
        <f t="shared" si="50"/>
        <v>0.28099467547061147</v>
      </c>
    </row>
    <row r="26" spans="3:56" x14ac:dyDescent="0.2">
      <c r="R26" s="53"/>
      <c r="S26" s="53"/>
      <c r="T26" s="53"/>
      <c r="U26" s="53"/>
      <c r="V26" s="53"/>
      <c r="W26" s="53"/>
      <c r="X26" s="53"/>
      <c r="Y26" s="53"/>
    </row>
    <row r="27" spans="3:56" x14ac:dyDescent="0.2">
      <c r="R27" s="53"/>
      <c r="S27" s="53"/>
      <c r="T27" s="53"/>
      <c r="U27" s="53"/>
      <c r="V27" s="53"/>
      <c r="W27" s="53"/>
      <c r="X27" s="53"/>
      <c r="Y27" s="53"/>
    </row>
    <row r="28" spans="3:56" x14ac:dyDescent="0.2">
      <c r="C28" s="1"/>
      <c r="D28" s="104" t="s">
        <v>2</v>
      </c>
      <c r="E28" s="104" t="s">
        <v>3</v>
      </c>
      <c r="F28" s="104" t="s">
        <v>4</v>
      </c>
      <c r="G28" s="1"/>
      <c r="H28" s="104" t="s">
        <v>30</v>
      </c>
      <c r="I28" s="104"/>
      <c r="J28" s="104"/>
      <c r="K28" s="104"/>
      <c r="L28" s="104"/>
      <c r="M28" s="104"/>
      <c r="N28" s="104"/>
      <c r="O28" s="104"/>
      <c r="P28" s="104"/>
      <c r="Q28" s="1"/>
      <c r="R28" s="104" t="s">
        <v>31</v>
      </c>
      <c r="S28" s="104"/>
      <c r="T28" s="104"/>
      <c r="U28" s="104"/>
      <c r="V28" s="104"/>
      <c r="W28" s="104"/>
      <c r="X28" s="104"/>
      <c r="Y28" s="104"/>
      <c r="Z28" s="104"/>
      <c r="AA28" s="1"/>
      <c r="AB28" s="104" t="s">
        <v>32</v>
      </c>
      <c r="AC28" s="104"/>
      <c r="AD28" s="104"/>
      <c r="AE28" s="104"/>
      <c r="AF28" s="104"/>
      <c r="AG28" s="104"/>
      <c r="AH28" s="104"/>
      <c r="AI28" s="104"/>
      <c r="AJ28" s="104"/>
      <c r="AM28" s="103" t="s">
        <v>27</v>
      </c>
      <c r="AN28" s="103"/>
      <c r="AO28" s="103"/>
      <c r="AP28" s="103"/>
      <c r="AQ28" s="103"/>
      <c r="AR28" s="103"/>
      <c r="AS28" s="103"/>
      <c r="AT28" s="103"/>
      <c r="AW28" s="103" t="s">
        <v>28</v>
      </c>
      <c r="AX28" s="103"/>
      <c r="AY28" s="103"/>
      <c r="AZ28" s="103"/>
      <c r="BA28" s="103"/>
      <c r="BB28" s="103"/>
      <c r="BC28" s="103"/>
      <c r="BD28" s="103"/>
    </row>
    <row r="29" spans="3:56" s="5" customFormat="1" ht="13" customHeight="1" x14ac:dyDescent="0.15">
      <c r="C29" s="3"/>
      <c r="D29" s="105"/>
      <c r="E29" s="105"/>
      <c r="F29" s="105"/>
      <c r="G29" s="3"/>
      <c r="H29" s="8" t="s">
        <v>21</v>
      </c>
      <c r="I29" s="8" t="s">
        <v>22</v>
      </c>
      <c r="J29" s="8" t="s">
        <v>1</v>
      </c>
      <c r="K29" s="8" t="s">
        <v>23</v>
      </c>
      <c r="L29" s="8" t="s">
        <v>24</v>
      </c>
      <c r="M29" s="8" t="s">
        <v>5</v>
      </c>
      <c r="N29" s="8" t="s">
        <v>25</v>
      </c>
      <c r="O29" s="8" t="s">
        <v>6</v>
      </c>
      <c r="P29" s="8" t="s">
        <v>26</v>
      </c>
      <c r="Q29" s="3"/>
      <c r="R29" s="23" t="s">
        <v>21</v>
      </c>
      <c r="S29" s="23" t="s">
        <v>22</v>
      </c>
      <c r="T29" s="23" t="s">
        <v>1</v>
      </c>
      <c r="U29" s="23" t="s">
        <v>23</v>
      </c>
      <c r="V29" s="23" t="s">
        <v>24</v>
      </c>
      <c r="W29" s="23" t="s">
        <v>5</v>
      </c>
      <c r="X29" s="23" t="s">
        <v>25</v>
      </c>
      <c r="Y29" s="23" t="s">
        <v>6</v>
      </c>
      <c r="Z29" s="23" t="s">
        <v>26</v>
      </c>
      <c r="AA29" s="3"/>
      <c r="AB29" s="35" t="s">
        <v>21</v>
      </c>
      <c r="AC29" s="35" t="s">
        <v>22</v>
      </c>
      <c r="AD29" s="35" t="s">
        <v>1</v>
      </c>
      <c r="AE29" s="35" t="s">
        <v>23</v>
      </c>
      <c r="AF29" s="35" t="s">
        <v>24</v>
      </c>
      <c r="AG29" s="35" t="s">
        <v>5</v>
      </c>
      <c r="AH29" s="35" t="s">
        <v>25</v>
      </c>
      <c r="AI29" s="35" t="s">
        <v>6</v>
      </c>
      <c r="AJ29" s="35" t="s">
        <v>26</v>
      </c>
      <c r="AM29" s="55" t="s">
        <v>0</v>
      </c>
      <c r="AN29" s="55" t="s">
        <v>29</v>
      </c>
      <c r="AO29" s="55" t="s">
        <v>1</v>
      </c>
      <c r="AP29" s="55" t="s">
        <v>23</v>
      </c>
      <c r="AQ29" s="55" t="s">
        <v>24</v>
      </c>
      <c r="AR29" s="55" t="s">
        <v>5</v>
      </c>
      <c r="AS29" s="55" t="s">
        <v>25</v>
      </c>
      <c r="AT29" s="55" t="s">
        <v>6</v>
      </c>
      <c r="AW29" s="55" t="s">
        <v>0</v>
      </c>
      <c r="AX29" s="55" t="s">
        <v>29</v>
      </c>
      <c r="AY29" s="55" t="s">
        <v>1</v>
      </c>
      <c r="AZ29" s="55" t="s">
        <v>23</v>
      </c>
      <c r="BA29" s="55" t="s">
        <v>24</v>
      </c>
      <c r="BB29" s="55" t="s">
        <v>5</v>
      </c>
      <c r="BC29" s="55" t="s">
        <v>25</v>
      </c>
      <c r="BD29" s="55" t="s">
        <v>6</v>
      </c>
    </row>
    <row r="30" spans="3:56" s="5" customFormat="1" ht="4" customHeight="1" x14ac:dyDescent="0.15">
      <c r="C30" s="3"/>
      <c r="D30" s="3"/>
      <c r="E30" s="3"/>
      <c r="F30" s="3"/>
      <c r="G30" s="3"/>
      <c r="H30" s="9"/>
      <c r="I30" s="9"/>
      <c r="J30" s="9"/>
      <c r="K30" s="9"/>
      <c r="L30" s="9"/>
      <c r="M30" s="9"/>
      <c r="N30" s="9"/>
      <c r="O30" s="9"/>
      <c r="P30" s="9"/>
      <c r="Q30" s="3"/>
      <c r="R30" s="24"/>
      <c r="S30" s="24"/>
      <c r="T30" s="24"/>
      <c r="U30" s="24"/>
      <c r="V30" s="24"/>
      <c r="W30" s="24"/>
      <c r="X30" s="24"/>
      <c r="Y30" s="24"/>
      <c r="Z30" s="24"/>
      <c r="AA30" s="3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3:56" s="5" customFormat="1" ht="16" customHeight="1" x14ac:dyDescent="0.15">
      <c r="C31" s="3"/>
      <c r="D31" s="100">
        <v>10</v>
      </c>
      <c r="E31" s="6">
        <v>2</v>
      </c>
      <c r="F31" s="6">
        <v>2</v>
      </c>
      <c r="G31" s="3"/>
      <c r="H31" s="10">
        <v>33029.025994237651</v>
      </c>
      <c r="I31" s="10">
        <v>3720.7903122672956</v>
      </c>
      <c r="J31" s="11">
        <v>1.8819475710002735</v>
      </c>
      <c r="K31" s="12">
        <v>1.8</v>
      </c>
      <c r="L31" s="91">
        <v>85</v>
      </c>
      <c r="M31" s="12">
        <v>10.774864228395739</v>
      </c>
      <c r="N31" s="92">
        <v>16.630694257371466</v>
      </c>
      <c r="O31" s="56">
        <v>1142.9953579106677</v>
      </c>
      <c r="P31" s="64">
        <f>(H31-H11)/H11</f>
        <v>-5.33574945180905E-11</v>
      </c>
      <c r="Q31" s="3"/>
      <c r="R31" s="25">
        <v>35473.281590962273</v>
      </c>
      <c r="S31" s="25">
        <v>2603.1695055231526</v>
      </c>
      <c r="T31" s="26">
        <v>1.870748220900714</v>
      </c>
      <c r="U31" s="27">
        <v>1.8</v>
      </c>
      <c r="V31" s="27">
        <v>78</v>
      </c>
      <c r="W31" s="27">
        <v>5.8743822733682212</v>
      </c>
      <c r="X31" s="58">
        <v>14.501249125095351</v>
      </c>
      <c r="Y31" s="58">
        <v>1079.3685275860723</v>
      </c>
      <c r="Z31" s="78">
        <f>(R31-R11)/R11</f>
        <v>-1.0635001482104932E-12</v>
      </c>
      <c r="AA31" s="3"/>
      <c r="AB31" s="37">
        <v>35185.98680641895</v>
      </c>
      <c r="AC31" s="37">
        <v>4348.5976744554582</v>
      </c>
      <c r="AD31" s="38">
        <v>1.9694555500002024</v>
      </c>
      <c r="AE31" s="39">
        <v>1.8</v>
      </c>
      <c r="AF31" s="39">
        <v>83</v>
      </c>
      <c r="AG31" s="39">
        <v>31.753607173734565</v>
      </c>
      <c r="AH31" s="61">
        <v>30.517567217872617</v>
      </c>
      <c r="AI31" s="61">
        <v>1557.8212824663638</v>
      </c>
      <c r="AJ31" s="48">
        <f>(AB31-AB11)/AB11</f>
        <v>1.1906718482405653E-11</v>
      </c>
      <c r="AM31" s="54"/>
      <c r="AN31" s="54"/>
      <c r="AO31" s="54"/>
      <c r="AP31" s="54"/>
      <c r="AQ31" s="54"/>
      <c r="AR31" s="54"/>
      <c r="AS31" s="54"/>
      <c r="AT31" s="54"/>
      <c r="AW31" s="54"/>
      <c r="AX31" s="54"/>
      <c r="AY31" s="54"/>
      <c r="AZ31" s="54"/>
      <c r="BA31" s="54"/>
      <c r="BB31" s="54"/>
      <c r="BC31" s="54"/>
      <c r="BD31" s="54"/>
    </row>
    <row r="32" spans="3:56" s="5" customFormat="1" x14ac:dyDescent="0.15">
      <c r="C32" s="3"/>
      <c r="D32" s="101"/>
      <c r="E32" s="3">
        <v>2</v>
      </c>
      <c r="F32" s="3">
        <v>3</v>
      </c>
      <c r="G32" s="3"/>
      <c r="H32" s="14">
        <v>37378.092652265419</v>
      </c>
      <c r="I32" s="14">
        <v>4514.3829869658866</v>
      </c>
      <c r="J32" s="15">
        <v>1.7073324667002452</v>
      </c>
      <c r="K32" s="16">
        <v>1.8</v>
      </c>
      <c r="L32" s="16">
        <v>72</v>
      </c>
      <c r="M32" s="16">
        <v>0</v>
      </c>
      <c r="N32" s="57">
        <v>16.128825778049517</v>
      </c>
      <c r="O32" s="57">
        <v>1079.2752029259134</v>
      </c>
      <c r="P32" s="69">
        <f t="shared" ref="P32:P33" si="51">(H32-H12)/H12</f>
        <v>7.101136385866633E-12</v>
      </c>
      <c r="Q32" s="3"/>
      <c r="R32" s="28">
        <v>41840.148967640729</v>
      </c>
      <c r="S32" s="28">
        <v>2688.5200894664194</v>
      </c>
      <c r="T32" s="29">
        <v>1.692070983400481</v>
      </c>
      <c r="U32" s="30">
        <v>1.5</v>
      </c>
      <c r="V32" s="30">
        <v>53</v>
      </c>
      <c r="W32" s="30">
        <v>0</v>
      </c>
      <c r="X32" s="59">
        <v>10.783115834886265</v>
      </c>
      <c r="Y32" s="59">
        <v>889.68358778012839</v>
      </c>
      <c r="Z32" s="81">
        <f>(R32-R12)/R12</f>
        <v>1.0686020590906175E-3</v>
      </c>
      <c r="AA32" s="3"/>
      <c r="AB32" s="40">
        <v>40131.584709750969</v>
      </c>
      <c r="AC32" s="40">
        <v>5801.465635960486</v>
      </c>
      <c r="AD32" s="41">
        <v>1.6631746084996848</v>
      </c>
      <c r="AE32" s="42">
        <v>1.7</v>
      </c>
      <c r="AF32" s="42">
        <v>65</v>
      </c>
      <c r="AG32" s="42">
        <v>54.835648194159127</v>
      </c>
      <c r="AH32" s="62">
        <v>36.452223743899566</v>
      </c>
      <c r="AI32" s="62">
        <v>1668.8466840763899</v>
      </c>
      <c r="AJ32" s="49">
        <f>(AB32-AB12)/AB12</f>
        <v>6.228358428786141E-3</v>
      </c>
      <c r="AM32" s="54"/>
      <c r="AN32" s="54"/>
      <c r="AO32" s="54"/>
      <c r="AP32" s="54"/>
      <c r="AQ32" s="54"/>
      <c r="AR32" s="54"/>
      <c r="AS32" s="54"/>
      <c r="AT32" s="54"/>
      <c r="AW32" s="54"/>
      <c r="AX32" s="54"/>
      <c r="AY32" s="54"/>
      <c r="AZ32" s="54"/>
      <c r="BA32" s="54"/>
      <c r="BB32" s="54"/>
      <c r="BC32" s="54"/>
      <c r="BD32" s="54"/>
    </row>
    <row r="33" spans="3:56" s="5" customFormat="1" x14ac:dyDescent="0.15">
      <c r="C33" s="3"/>
      <c r="D33" s="101"/>
      <c r="E33" s="3">
        <v>3</v>
      </c>
      <c r="F33" s="3">
        <v>2</v>
      </c>
      <c r="G33" s="3"/>
      <c r="H33" s="14">
        <v>30528.641237674448</v>
      </c>
      <c r="I33" s="14">
        <v>3499.900579449225</v>
      </c>
      <c r="J33" s="15">
        <v>1.5125456625009974</v>
      </c>
      <c r="K33" s="16">
        <v>1.9</v>
      </c>
      <c r="L33" s="16">
        <v>91</v>
      </c>
      <c r="M33" s="16">
        <v>3.2640922319288115</v>
      </c>
      <c r="N33" s="57">
        <v>17.201982882333816</v>
      </c>
      <c r="O33" s="57">
        <v>1078.4850530506014</v>
      </c>
      <c r="P33" s="69">
        <f t="shared" si="51"/>
        <v>-1.0663815889224414E-11</v>
      </c>
      <c r="Q33" s="3"/>
      <c r="R33" s="28">
        <v>32928.96982467889</v>
      </c>
      <c r="S33" s="28">
        <v>4310.9018331035068</v>
      </c>
      <c r="T33" s="29">
        <v>1.5745955084001253</v>
      </c>
      <c r="U33" s="30">
        <v>2</v>
      </c>
      <c r="V33" s="30">
        <v>86</v>
      </c>
      <c r="W33" s="30">
        <v>0</v>
      </c>
      <c r="X33" s="59">
        <v>12.701927686693443</v>
      </c>
      <c r="Y33" s="59">
        <v>958.09633569357663</v>
      </c>
      <c r="Z33" s="81">
        <f t="shared" ref="Z33" si="52">(R33-R13)/R13</f>
        <v>2.0616815672569117E-11</v>
      </c>
      <c r="AA33" s="3"/>
      <c r="AB33" s="40">
        <v>32491.010963062861</v>
      </c>
      <c r="AC33" s="40">
        <v>3822.5529058611664</v>
      </c>
      <c r="AD33" s="41">
        <v>1.4387217165998663</v>
      </c>
      <c r="AE33" s="42">
        <v>1.9</v>
      </c>
      <c r="AF33" s="42">
        <v>89</v>
      </c>
      <c r="AG33" s="42">
        <v>15.625348110424264</v>
      </c>
      <c r="AH33" s="62">
        <v>29.386348862415076</v>
      </c>
      <c r="AI33" s="62">
        <v>1470.3417784317232</v>
      </c>
      <c r="AJ33" s="49">
        <f t="shared" ref="AJ33:AJ34" si="53">(AB33-AB13)/AB13</f>
        <v>1.9347085222839608E-12</v>
      </c>
      <c r="AM33" s="54"/>
      <c r="AN33" s="54"/>
      <c r="AO33" s="54"/>
      <c r="AP33" s="54"/>
      <c r="AQ33" s="54"/>
      <c r="AR33" s="54"/>
      <c r="AS33" s="54"/>
      <c r="AT33" s="54"/>
      <c r="AW33" s="54"/>
      <c r="AX33" s="54"/>
      <c r="AY33" s="54"/>
      <c r="AZ33" s="54"/>
      <c r="BA33" s="54"/>
      <c r="BB33" s="54"/>
      <c r="BC33" s="54"/>
      <c r="BD33" s="54"/>
    </row>
    <row r="34" spans="3:56" s="5" customFormat="1" x14ac:dyDescent="0.15">
      <c r="C34" s="3"/>
      <c r="D34" s="102"/>
      <c r="E34" s="4">
        <v>3</v>
      </c>
      <c r="F34" s="4">
        <v>3</v>
      </c>
      <c r="G34" s="3"/>
      <c r="H34" s="18">
        <v>37448.200994432336</v>
      </c>
      <c r="I34" s="18">
        <v>3212.327111646407</v>
      </c>
      <c r="J34" s="19">
        <v>1.8470051040992304</v>
      </c>
      <c r="K34" s="20">
        <v>2.4</v>
      </c>
      <c r="L34" s="20">
        <v>84</v>
      </c>
      <c r="M34" s="20">
        <v>0</v>
      </c>
      <c r="N34" s="51">
        <v>11.038273384984247</v>
      </c>
      <c r="O34" s="51">
        <v>935.45755245977398</v>
      </c>
      <c r="P34" s="72">
        <f>(H34-H14)/H14</f>
        <v>8.5787094390622266E-4</v>
      </c>
      <c r="Q34" s="3"/>
      <c r="R34" s="31">
        <v>39480.141932962244</v>
      </c>
      <c r="S34" s="31">
        <v>3277.9653960628125</v>
      </c>
      <c r="T34" s="32">
        <v>1.8315938291998464</v>
      </c>
      <c r="U34" s="33">
        <v>2.4</v>
      </c>
      <c r="V34" s="33">
        <v>79</v>
      </c>
      <c r="W34" s="33">
        <v>0</v>
      </c>
      <c r="X34" s="60">
        <v>9.8745988555412971</v>
      </c>
      <c r="Y34" s="60">
        <v>897.36243065542385</v>
      </c>
      <c r="Z34" s="84">
        <f>(R34-R14)/R14</f>
        <v>7.2079514572208521E-3</v>
      </c>
      <c r="AA34" s="3"/>
      <c r="AB34" s="44">
        <v>38053.485185900434</v>
      </c>
      <c r="AC34" s="44">
        <v>2900.0967794926887</v>
      </c>
      <c r="AD34" s="45">
        <v>1.6697856916998717</v>
      </c>
      <c r="AE34" s="46">
        <v>2.2000000000000002</v>
      </c>
      <c r="AF34" s="46">
        <v>79</v>
      </c>
      <c r="AG34" s="46">
        <v>11.582808676107177</v>
      </c>
      <c r="AH34" s="52">
        <v>22.08316072776055</v>
      </c>
      <c r="AI34" s="52">
        <v>1272.8233551531598</v>
      </c>
      <c r="AJ34" s="50">
        <f t="shared" si="53"/>
        <v>8.4604927454853547E-4</v>
      </c>
      <c r="AM34" s="54"/>
      <c r="AN34" s="54"/>
      <c r="AO34" s="54"/>
      <c r="AP34" s="54"/>
      <c r="AQ34" s="54"/>
      <c r="AR34" s="54"/>
      <c r="AS34" s="54"/>
      <c r="AT34" s="54"/>
      <c r="AW34" s="54"/>
      <c r="AX34" s="54"/>
      <c r="AY34" s="54"/>
      <c r="AZ34" s="54"/>
      <c r="BA34" s="54"/>
      <c r="BB34" s="54"/>
      <c r="BC34" s="54"/>
      <c r="BD34" s="54"/>
    </row>
    <row r="35" spans="3:56" s="5" customFormat="1" ht="4" customHeight="1" x14ac:dyDescent="0.15">
      <c r="C35" s="3"/>
      <c r="D35" s="3"/>
      <c r="E35" s="3"/>
      <c r="F35" s="3"/>
      <c r="G35" s="3"/>
      <c r="H35" s="22"/>
      <c r="I35" s="22"/>
      <c r="J35" s="15"/>
      <c r="K35" s="16"/>
      <c r="L35" s="16"/>
      <c r="M35" s="16"/>
      <c r="N35" s="57"/>
      <c r="O35" s="57"/>
      <c r="P35" s="9"/>
      <c r="Q35" s="3"/>
      <c r="R35" s="34"/>
      <c r="S35" s="34"/>
      <c r="T35" s="29"/>
      <c r="U35" s="30"/>
      <c r="V35" s="30"/>
      <c r="W35" s="30"/>
      <c r="X35" s="59"/>
      <c r="Y35" s="59"/>
      <c r="Z35" s="24"/>
      <c r="AA35" s="3"/>
      <c r="AB35" s="47"/>
      <c r="AC35" s="47"/>
      <c r="AD35" s="41"/>
      <c r="AE35" s="42"/>
      <c r="AF35" s="42"/>
      <c r="AG35" s="42"/>
      <c r="AH35" s="62"/>
      <c r="AI35" s="62"/>
      <c r="AJ35" s="36"/>
      <c r="AM35" s="54"/>
      <c r="AN35" s="54"/>
      <c r="AO35" s="54"/>
      <c r="AP35" s="54"/>
      <c r="AQ35" s="54"/>
      <c r="AR35" s="54"/>
      <c r="AS35" s="54"/>
      <c r="AT35" s="54"/>
      <c r="AW35" s="54"/>
      <c r="AX35" s="54"/>
      <c r="AY35" s="54"/>
      <c r="AZ35" s="54"/>
      <c r="BA35" s="54"/>
      <c r="BB35" s="54"/>
      <c r="BC35" s="54"/>
      <c r="BD35" s="54"/>
    </row>
    <row r="36" spans="3:56" s="5" customFormat="1" ht="16" customHeight="1" x14ac:dyDescent="0.15">
      <c r="C36" s="3"/>
      <c r="D36" s="100">
        <v>20</v>
      </c>
      <c r="E36" s="6">
        <v>2</v>
      </c>
      <c r="F36" s="6">
        <v>2</v>
      </c>
      <c r="G36" s="3"/>
      <c r="H36" s="10">
        <v>57683.299792592137</v>
      </c>
      <c r="I36" s="10">
        <v>7102.3635669574169</v>
      </c>
      <c r="J36" s="11">
        <v>4.9048636834998662</v>
      </c>
      <c r="K36" s="12">
        <v>2</v>
      </c>
      <c r="L36" s="12">
        <v>87</v>
      </c>
      <c r="M36" s="12">
        <v>19.391576078793587</v>
      </c>
      <c r="N36" s="56">
        <v>23.762201562849217</v>
      </c>
      <c r="O36" s="56">
        <v>1647.1238346595551</v>
      </c>
      <c r="P36" s="75">
        <f t="shared" ref="P36:P39" si="54">(H36-H16)/H16</f>
        <v>2.7601269810532626E-11</v>
      </c>
      <c r="Q36" s="3"/>
      <c r="R36" s="25">
        <v>66410.129576780775</v>
      </c>
      <c r="S36" s="25">
        <v>7556.3611173306172</v>
      </c>
      <c r="T36" s="26">
        <v>4.589330933500241</v>
      </c>
      <c r="U36" s="27">
        <v>2</v>
      </c>
      <c r="V36" s="27">
        <v>70.5</v>
      </c>
      <c r="W36" s="27">
        <v>3.0602286016037175</v>
      </c>
      <c r="X36" s="58">
        <v>17.690524423960554</v>
      </c>
      <c r="Y36" s="58">
        <v>1412.105685001299</v>
      </c>
      <c r="Z36" s="78">
        <f t="shared" ref="Z36:Z39" si="55">(R36-R16)/R16</f>
        <v>-1.8359130228419513E-11</v>
      </c>
      <c r="AA36" s="3"/>
      <c r="AB36" s="37">
        <v>67954.318062413033</v>
      </c>
      <c r="AC36" s="37">
        <v>9270.6089632270377</v>
      </c>
      <c r="AD36" s="38">
        <v>4.4195700879001381</v>
      </c>
      <c r="AE36" s="39">
        <v>2</v>
      </c>
      <c r="AF36" s="39">
        <v>77</v>
      </c>
      <c r="AG36" s="39">
        <v>46.823906676165002</v>
      </c>
      <c r="AH36" s="61">
        <v>36.305478592147097</v>
      </c>
      <c r="AI36" s="61">
        <v>2023.2341885473313</v>
      </c>
      <c r="AJ36" s="48">
        <f t="shared" ref="AJ36:AJ39" si="56">(AB36-AB16)/AB16</f>
        <v>-8.6376564342420895E-12</v>
      </c>
      <c r="AM36" s="54"/>
      <c r="AN36" s="54"/>
      <c r="AO36" s="54"/>
      <c r="AP36" s="54"/>
      <c r="AQ36" s="54"/>
      <c r="AR36" s="54"/>
      <c r="AS36" s="54"/>
      <c r="AT36" s="54"/>
      <c r="AW36" s="54"/>
      <c r="AX36" s="54"/>
      <c r="AY36" s="54"/>
      <c r="AZ36" s="54"/>
      <c r="BA36" s="54"/>
      <c r="BB36" s="54"/>
      <c r="BC36" s="54"/>
      <c r="BD36" s="54"/>
    </row>
    <row r="37" spans="3:56" s="5" customFormat="1" x14ac:dyDescent="0.15">
      <c r="C37" s="3"/>
      <c r="D37" s="101"/>
      <c r="E37" s="3">
        <v>2</v>
      </c>
      <c r="F37" s="3">
        <v>3</v>
      </c>
      <c r="G37" s="3"/>
      <c r="H37" s="14">
        <v>65667.258302215341</v>
      </c>
      <c r="I37" s="14">
        <v>6210.5852053755998</v>
      </c>
      <c r="J37" s="15">
        <v>3.713130999900204</v>
      </c>
      <c r="K37" s="16">
        <v>2</v>
      </c>
      <c r="L37" s="16">
        <v>71</v>
      </c>
      <c r="M37" s="16">
        <v>3.4154306480852306</v>
      </c>
      <c r="N37" s="57">
        <v>18.96669389813702</v>
      </c>
      <c r="O37" s="57">
        <v>1375.7170720575571</v>
      </c>
      <c r="P37" s="69">
        <f t="shared" si="54"/>
        <v>3.3735836944800304E-11</v>
      </c>
      <c r="Q37" s="3"/>
      <c r="R37" s="28">
        <v>72469.303894968849</v>
      </c>
      <c r="S37" s="28">
        <v>4184.8110668973422</v>
      </c>
      <c r="T37" s="29">
        <v>3.9212388665997424</v>
      </c>
      <c r="U37" s="30">
        <v>2</v>
      </c>
      <c r="V37" s="30">
        <v>59.5</v>
      </c>
      <c r="W37" s="30">
        <v>0</v>
      </c>
      <c r="X37" s="59">
        <v>14.472543369945882</v>
      </c>
      <c r="Y37" s="59">
        <v>1196.8243459856992</v>
      </c>
      <c r="Z37" s="81">
        <f t="shared" si="55"/>
        <v>6.9055449315164854E-7</v>
      </c>
      <c r="AA37" s="3"/>
      <c r="AB37" s="40">
        <v>73541.548971312499</v>
      </c>
      <c r="AC37" s="40">
        <v>6589.8647031428673</v>
      </c>
      <c r="AD37" s="41">
        <v>3.867268700100067</v>
      </c>
      <c r="AE37" s="42">
        <v>2</v>
      </c>
      <c r="AF37" s="42">
        <v>64.5</v>
      </c>
      <c r="AG37" s="42">
        <v>17.804241743146783</v>
      </c>
      <c r="AH37" s="62">
        <v>31.337734466257803</v>
      </c>
      <c r="AI37" s="62">
        <v>1779.9903002653805</v>
      </c>
      <c r="AJ37" s="49">
        <f t="shared" si="56"/>
        <v>4.249330941511835E-12</v>
      </c>
      <c r="AM37" s="54"/>
      <c r="AN37" s="54"/>
      <c r="AO37" s="54"/>
      <c r="AP37" s="54"/>
      <c r="AQ37" s="54"/>
      <c r="AR37" s="54"/>
      <c r="AS37" s="54"/>
      <c r="AT37" s="54"/>
      <c r="AW37" s="54"/>
      <c r="AX37" s="54"/>
      <c r="AY37" s="54"/>
      <c r="AZ37" s="54"/>
      <c r="BA37" s="54"/>
      <c r="BB37" s="54"/>
      <c r="BC37" s="54"/>
      <c r="BD37" s="54"/>
    </row>
    <row r="38" spans="3:56" s="5" customFormat="1" x14ac:dyDescent="0.15">
      <c r="C38" s="3"/>
      <c r="D38" s="101"/>
      <c r="E38" s="3">
        <v>3</v>
      </c>
      <c r="F38" s="3">
        <v>2</v>
      </c>
      <c r="G38" s="3"/>
      <c r="H38" s="14">
        <v>51475.733547674819</v>
      </c>
      <c r="I38" s="14">
        <v>6551.5594776244097</v>
      </c>
      <c r="J38" s="15">
        <v>2.5374975500002619</v>
      </c>
      <c r="K38" s="16">
        <v>2.2000000000000002</v>
      </c>
      <c r="L38" s="16">
        <v>95</v>
      </c>
      <c r="M38" s="16">
        <v>16.314632764790325</v>
      </c>
      <c r="N38" s="57">
        <v>31.868036641594852</v>
      </c>
      <c r="O38" s="57">
        <v>1572.9189610263725</v>
      </c>
      <c r="P38" s="69">
        <f t="shared" si="54"/>
        <v>8.1700067745275477E-7</v>
      </c>
      <c r="Q38" s="3"/>
      <c r="R38" s="28">
        <v>62081.023147375417</v>
      </c>
      <c r="S38" s="28">
        <v>6236.3369814493853</v>
      </c>
      <c r="T38" s="29">
        <v>3.8750699457999871</v>
      </c>
      <c r="U38" s="30">
        <v>2.7</v>
      </c>
      <c r="V38" s="30">
        <v>80.5</v>
      </c>
      <c r="W38" s="30">
        <v>7.9429139750649289E-2</v>
      </c>
      <c r="X38" s="59">
        <v>19.123463443970245</v>
      </c>
      <c r="Y38" s="59">
        <v>1219.4215181105387</v>
      </c>
      <c r="Z38" s="81">
        <f t="shared" si="55"/>
        <v>5.3779359982667548E-4</v>
      </c>
      <c r="AA38" s="3"/>
      <c r="AB38" s="40">
        <v>60967.952159611115</v>
      </c>
      <c r="AC38" s="40">
        <v>7224.9638540079632</v>
      </c>
      <c r="AD38" s="41">
        <v>3.3376033083994114</v>
      </c>
      <c r="AE38" s="42">
        <v>2.6</v>
      </c>
      <c r="AF38" s="42">
        <v>86</v>
      </c>
      <c r="AG38" s="42">
        <v>35.624805028544664</v>
      </c>
      <c r="AH38" s="62">
        <v>43.563748571937019</v>
      </c>
      <c r="AI38" s="62">
        <v>1782.8045505118175</v>
      </c>
      <c r="AJ38" s="49">
        <f t="shared" si="56"/>
        <v>2.6425490139078219E-11</v>
      </c>
      <c r="AM38" s="54"/>
      <c r="AN38" s="54"/>
      <c r="AO38" s="54"/>
      <c r="AP38" s="54"/>
      <c r="AQ38" s="54"/>
      <c r="AR38" s="54"/>
      <c r="AS38" s="54"/>
      <c r="AT38" s="54"/>
      <c r="AW38" s="54"/>
      <c r="AX38" s="54"/>
      <c r="AY38" s="54"/>
      <c r="AZ38" s="54"/>
      <c r="BA38" s="54"/>
      <c r="BB38" s="54"/>
      <c r="BC38" s="54"/>
      <c r="BD38" s="54"/>
    </row>
    <row r="39" spans="3:56" s="5" customFormat="1" x14ac:dyDescent="0.15">
      <c r="C39" s="3"/>
      <c r="D39" s="102"/>
      <c r="E39" s="4">
        <v>3</v>
      </c>
      <c r="F39" s="4">
        <v>3</v>
      </c>
      <c r="G39" s="3"/>
      <c r="H39" s="18">
        <v>58762.989442068465</v>
      </c>
      <c r="I39" s="18">
        <v>5269.0838378546532</v>
      </c>
      <c r="J39" s="19">
        <v>4.3332377415999188</v>
      </c>
      <c r="K39" s="20">
        <v>2.7</v>
      </c>
      <c r="L39" s="20">
        <v>88</v>
      </c>
      <c r="M39" s="20">
        <v>17.057294200931928</v>
      </c>
      <c r="N39" s="51">
        <v>19.244216683847291</v>
      </c>
      <c r="O39" s="51">
        <v>1341.911591216644</v>
      </c>
      <c r="P39" s="72">
        <f t="shared" si="54"/>
        <v>1.8182653909362433E-11</v>
      </c>
      <c r="Q39" s="3"/>
      <c r="R39" s="31">
        <v>69375.066952546331</v>
      </c>
      <c r="S39" s="31">
        <v>6352.698789089146</v>
      </c>
      <c r="T39" s="32">
        <v>4.7154381456992267</v>
      </c>
      <c r="U39" s="33">
        <v>2.8</v>
      </c>
      <c r="V39" s="33">
        <v>72</v>
      </c>
      <c r="W39" s="33">
        <v>1.7330481011822694</v>
      </c>
      <c r="X39" s="60">
        <v>14.347466470488808</v>
      </c>
      <c r="Y39" s="60">
        <v>1152.7385856596272</v>
      </c>
      <c r="Z39" s="84">
        <f t="shared" si="55"/>
        <v>2.228942235117594E-11</v>
      </c>
      <c r="AA39" s="3"/>
      <c r="AB39" s="44">
        <v>65655.923464022228</v>
      </c>
      <c r="AC39" s="44">
        <v>8377.803851924522</v>
      </c>
      <c r="AD39" s="45">
        <v>4.0753174959005261</v>
      </c>
      <c r="AE39" s="46">
        <v>2.7</v>
      </c>
      <c r="AF39" s="46">
        <v>81</v>
      </c>
      <c r="AG39" s="46">
        <v>33.844932617297893</v>
      </c>
      <c r="AH39" s="52">
        <v>32.887086010701772</v>
      </c>
      <c r="AI39" s="52">
        <v>1672.4211421431016</v>
      </c>
      <c r="AJ39" s="50">
        <f t="shared" si="56"/>
        <v>1.0759155652009074E-7</v>
      </c>
      <c r="AM39" s="54"/>
      <c r="AN39" s="54"/>
      <c r="AO39" s="54"/>
      <c r="AP39" s="54"/>
      <c r="AQ39" s="54"/>
      <c r="AR39" s="54"/>
      <c r="AS39" s="54"/>
      <c r="AT39" s="54"/>
      <c r="AW39" s="54"/>
      <c r="AX39" s="54"/>
      <c r="AY39" s="54"/>
      <c r="AZ39" s="54"/>
      <c r="BA39" s="54"/>
      <c r="BB39" s="54"/>
      <c r="BC39" s="54"/>
      <c r="BD39" s="54"/>
    </row>
    <row r="40" spans="3:56" s="5" customFormat="1" ht="4" customHeight="1" x14ac:dyDescent="0.15">
      <c r="C40" s="3"/>
      <c r="D40" s="3"/>
      <c r="E40" s="3"/>
      <c r="F40" s="3"/>
      <c r="G40" s="3"/>
      <c r="H40" s="22"/>
      <c r="I40" s="22"/>
      <c r="J40" s="15"/>
      <c r="K40" s="16"/>
      <c r="L40" s="16"/>
      <c r="M40" s="16"/>
      <c r="N40" s="57"/>
      <c r="O40" s="57"/>
      <c r="P40" s="9"/>
      <c r="Q40" s="3"/>
      <c r="R40" s="34"/>
      <c r="S40" s="34"/>
      <c r="T40" s="29"/>
      <c r="U40" s="30"/>
      <c r="V40" s="30"/>
      <c r="W40" s="30"/>
      <c r="X40" s="59"/>
      <c r="Y40" s="59"/>
      <c r="Z40" s="24"/>
      <c r="AA40" s="3"/>
      <c r="AB40" s="47"/>
      <c r="AC40" s="47"/>
      <c r="AD40" s="41"/>
      <c r="AE40" s="42"/>
      <c r="AF40" s="42"/>
      <c r="AG40" s="42"/>
      <c r="AH40" s="62"/>
      <c r="AI40" s="62"/>
      <c r="AJ40" s="36"/>
      <c r="AM40" s="54"/>
      <c r="AN40" s="54"/>
      <c r="AO40" s="54"/>
      <c r="AP40" s="54"/>
      <c r="AQ40" s="54"/>
      <c r="AR40" s="54"/>
      <c r="AS40" s="54"/>
      <c r="AT40" s="54"/>
      <c r="AW40" s="54"/>
      <c r="AX40" s="54"/>
      <c r="AY40" s="54"/>
      <c r="AZ40" s="54"/>
      <c r="BA40" s="54"/>
      <c r="BB40" s="54"/>
      <c r="BC40" s="54"/>
      <c r="BD40" s="54"/>
    </row>
    <row r="41" spans="3:56" s="5" customFormat="1" x14ac:dyDescent="0.15">
      <c r="C41" s="3"/>
      <c r="D41" s="100">
        <v>30</v>
      </c>
      <c r="E41" s="6">
        <v>2</v>
      </c>
      <c r="F41" s="6">
        <v>2</v>
      </c>
      <c r="G41" s="3"/>
      <c r="H41" s="10">
        <v>85971.0064409966</v>
      </c>
      <c r="I41" s="10">
        <v>13070.374612170983</v>
      </c>
      <c r="J41" s="11">
        <v>7.4871327541000881</v>
      </c>
      <c r="K41" s="12">
        <v>2.1</v>
      </c>
      <c r="L41" s="12">
        <v>86.666666666666671</v>
      </c>
      <c r="M41" s="12">
        <v>57.486580365216206</v>
      </c>
      <c r="N41" s="56">
        <v>32.966386134169241</v>
      </c>
      <c r="O41" s="56">
        <v>1868.7390502995502</v>
      </c>
      <c r="P41" s="75">
        <f t="shared" ref="P41:P44" si="57">(H41-H21)/H21</f>
        <v>-3.9608099339568871E-14</v>
      </c>
      <c r="Q41" s="3"/>
      <c r="R41" s="25">
        <v>101057.22927183901</v>
      </c>
      <c r="S41" s="25">
        <v>6522.3444732216249</v>
      </c>
      <c r="T41" s="26">
        <v>8.8353792875012012</v>
      </c>
      <c r="U41" s="27">
        <v>2.2000000000000002</v>
      </c>
      <c r="V41" s="27">
        <v>64.666666666666671</v>
      </c>
      <c r="W41" s="27">
        <v>13.052512801929847</v>
      </c>
      <c r="X41" s="58">
        <v>20.680619493635199</v>
      </c>
      <c r="Y41" s="58">
        <v>1495.3436269614238</v>
      </c>
      <c r="Z41" s="78">
        <f t="shared" ref="Z41:Z44" si="58">(R41-R21)/R21</f>
        <v>-1.5930363352642156E-12</v>
      </c>
      <c r="AA41" s="3"/>
      <c r="AB41" s="37">
        <v>101897.87085269313</v>
      </c>
      <c r="AC41" s="37">
        <v>12041.473315012123</v>
      </c>
      <c r="AD41" s="38">
        <v>6.7359477250000053</v>
      </c>
      <c r="AE41" s="39">
        <v>2</v>
      </c>
      <c r="AF41" s="39">
        <v>70.333333333333343</v>
      </c>
      <c r="AG41" s="39">
        <v>61.969078781912195</v>
      </c>
      <c r="AH41" s="61">
        <v>39.861163184477732</v>
      </c>
      <c r="AI41" s="61">
        <v>1999.9068779248653</v>
      </c>
      <c r="AJ41" s="48">
        <f t="shared" ref="AJ41:AJ44" si="59">(AB41-AB21)/AB21</f>
        <v>1.0718275264423036E-7</v>
      </c>
      <c r="AM41" s="54"/>
      <c r="AN41" s="54"/>
      <c r="AO41" s="54"/>
      <c r="AP41" s="54"/>
      <c r="AQ41" s="54"/>
      <c r="AR41" s="54"/>
      <c r="AS41" s="54"/>
      <c r="AT41" s="54"/>
      <c r="AW41" s="54"/>
      <c r="AX41" s="54"/>
      <c r="AY41" s="54"/>
      <c r="AZ41" s="54"/>
      <c r="BA41" s="54"/>
      <c r="BB41" s="54"/>
      <c r="BC41" s="54"/>
      <c r="BD41" s="54"/>
    </row>
    <row r="42" spans="3:56" s="5" customFormat="1" x14ac:dyDescent="0.15">
      <c r="C42" s="3"/>
      <c r="D42" s="101"/>
      <c r="E42" s="3">
        <v>2</v>
      </c>
      <c r="F42" s="3">
        <v>3</v>
      </c>
      <c r="G42" s="3"/>
      <c r="H42" s="14">
        <v>97959.934509889848</v>
      </c>
      <c r="I42" s="14">
        <v>10076.567858668341</v>
      </c>
      <c r="J42" s="15">
        <v>7.195732375100488</v>
      </c>
      <c r="K42" s="16">
        <v>2.2999999999999998</v>
      </c>
      <c r="L42" s="16">
        <v>74</v>
      </c>
      <c r="M42" s="16">
        <v>36.469996379957067</v>
      </c>
      <c r="N42" s="57">
        <v>26.763127266879774</v>
      </c>
      <c r="O42" s="57">
        <v>1776.6942331455296</v>
      </c>
      <c r="P42" s="69">
        <f t="shared" si="57"/>
        <v>9.0838118734438181E-12</v>
      </c>
      <c r="Q42" s="3"/>
      <c r="R42" s="28">
        <v>107080.98135968696</v>
      </c>
      <c r="S42" s="28">
        <v>5176.0837520318028</v>
      </c>
      <c r="T42" s="29">
        <v>7.6635839958991712</v>
      </c>
      <c r="U42" s="30">
        <v>2.2999999999999998</v>
      </c>
      <c r="V42" s="30">
        <v>59</v>
      </c>
      <c r="W42" s="30">
        <v>6.0605670918872612</v>
      </c>
      <c r="X42" s="59">
        <v>19.587394119743863</v>
      </c>
      <c r="Y42" s="59">
        <v>1437.6911924021265</v>
      </c>
      <c r="Z42" s="81">
        <f t="shared" si="58"/>
        <v>6.4152593062481918E-12</v>
      </c>
      <c r="AA42" s="3"/>
      <c r="AB42" s="40">
        <v>110622.699724387</v>
      </c>
      <c r="AC42" s="40">
        <v>10298.678648656676</v>
      </c>
      <c r="AD42" s="41">
        <v>6.7403889917004562</v>
      </c>
      <c r="AE42" s="42">
        <v>2.2999999999999998</v>
      </c>
      <c r="AF42" s="42">
        <v>62.333333333333336</v>
      </c>
      <c r="AG42" s="42">
        <v>23.833810299195076</v>
      </c>
      <c r="AH42" s="62">
        <v>35.023360922021197</v>
      </c>
      <c r="AI42" s="62">
        <v>1982.69586837721</v>
      </c>
      <c r="AJ42" s="49">
        <f t="shared" si="59"/>
        <v>1.1523195231449245E-3</v>
      </c>
      <c r="AM42" s="54"/>
      <c r="AN42" s="54"/>
      <c r="AO42" s="54"/>
      <c r="AP42" s="54"/>
      <c r="AQ42" s="54"/>
      <c r="AR42" s="54"/>
      <c r="AS42" s="54"/>
      <c r="AT42" s="54"/>
      <c r="AW42" s="54"/>
      <c r="AX42" s="54"/>
      <c r="AY42" s="54"/>
      <c r="AZ42" s="54"/>
      <c r="BA42" s="54"/>
      <c r="BB42" s="54"/>
      <c r="BC42" s="54"/>
      <c r="BD42" s="54"/>
    </row>
    <row r="43" spans="3:56" s="5" customFormat="1" x14ac:dyDescent="0.15">
      <c r="C43" s="3"/>
      <c r="D43" s="101"/>
      <c r="E43" s="3">
        <v>3</v>
      </c>
      <c r="F43" s="3">
        <v>2</v>
      </c>
      <c r="G43" s="3"/>
      <c r="H43" s="14">
        <v>75151.33263343545</v>
      </c>
      <c r="I43" s="14">
        <v>7580.493075038783</v>
      </c>
      <c r="J43" s="15">
        <v>4.3441159835994769</v>
      </c>
      <c r="K43" s="16">
        <v>2.5</v>
      </c>
      <c r="L43" s="16">
        <v>95</v>
      </c>
      <c r="M43" s="16">
        <v>23.336437335766718</v>
      </c>
      <c r="N43" s="57">
        <v>31.810348275468215</v>
      </c>
      <c r="O43" s="57">
        <v>1680.5711793335304</v>
      </c>
      <c r="P43" s="69">
        <f t="shared" si="57"/>
        <v>1.8399458132128695E-7</v>
      </c>
      <c r="Q43" s="3"/>
      <c r="R43" s="28">
        <v>93110.224427316163</v>
      </c>
      <c r="S43" s="28">
        <v>9528.6199645947418</v>
      </c>
      <c r="T43" s="29">
        <v>8.5395951916994814</v>
      </c>
      <c r="U43" s="30">
        <v>3.1</v>
      </c>
      <c r="V43" s="30">
        <v>75.000000000000014</v>
      </c>
      <c r="W43" s="30">
        <v>3.3471032845956001</v>
      </c>
      <c r="X43" s="59">
        <v>18.827500311863844</v>
      </c>
      <c r="Y43" s="59">
        <v>1306.9298725679162</v>
      </c>
      <c r="Z43" s="81">
        <f t="shared" si="58"/>
        <v>1.5185542345431445E-3</v>
      </c>
      <c r="AA43" s="3"/>
      <c r="AB43" s="40">
        <v>91522.021995569332</v>
      </c>
      <c r="AC43" s="40">
        <v>10156.573996375702</v>
      </c>
      <c r="AD43" s="41">
        <v>4.9701472954991912</v>
      </c>
      <c r="AE43" s="42">
        <v>2.6</v>
      </c>
      <c r="AF43" s="42">
        <v>81</v>
      </c>
      <c r="AG43" s="42">
        <v>38.117464980308952</v>
      </c>
      <c r="AH43" s="62">
        <v>39.921813124922771</v>
      </c>
      <c r="AI43" s="62">
        <v>1868.8973323444327</v>
      </c>
      <c r="AJ43" s="49">
        <f t="shared" si="59"/>
        <v>6.220679121640561E-12</v>
      </c>
      <c r="AM43" s="54"/>
      <c r="AN43" s="54"/>
      <c r="AO43" s="54"/>
      <c r="AP43" s="54"/>
      <c r="AQ43" s="54"/>
      <c r="AR43" s="54"/>
      <c r="AS43" s="54"/>
      <c r="AT43" s="54"/>
      <c r="AW43" s="54"/>
      <c r="AX43" s="54"/>
      <c r="AY43" s="54"/>
      <c r="AZ43" s="54"/>
      <c r="BA43" s="54"/>
      <c r="BB43" s="54"/>
      <c r="BC43" s="54"/>
      <c r="BD43" s="54"/>
    </row>
    <row r="44" spans="3:56" s="5" customFormat="1" x14ac:dyDescent="0.15">
      <c r="C44" s="3"/>
      <c r="D44" s="102"/>
      <c r="E44" s="4">
        <v>3</v>
      </c>
      <c r="F44" s="4">
        <v>3</v>
      </c>
      <c r="G44" s="3"/>
      <c r="H44" s="18">
        <v>74673.920635833623</v>
      </c>
      <c r="I44" s="18">
        <v>9886.7483288956064</v>
      </c>
      <c r="J44" s="19">
        <v>7.4955670917992396</v>
      </c>
      <c r="K44" s="20">
        <v>3</v>
      </c>
      <c r="L44" s="20">
        <v>93.666666666666671</v>
      </c>
      <c r="M44" s="20">
        <v>15.443676173009132</v>
      </c>
      <c r="N44" s="51">
        <v>24.909435536815927</v>
      </c>
      <c r="O44" s="51">
        <v>1449.2413836086209</v>
      </c>
      <c r="P44" s="72">
        <f t="shared" si="57"/>
        <v>1.1163677500772918E-11</v>
      </c>
      <c r="Q44" s="3"/>
      <c r="R44" s="31">
        <v>91596.340582561301</v>
      </c>
      <c r="S44" s="31">
        <v>8475.3817043168438</v>
      </c>
      <c r="T44" s="32">
        <v>8.8626381083995529</v>
      </c>
      <c r="U44" s="33">
        <v>3.2</v>
      </c>
      <c r="V44" s="33">
        <v>76.666666666666657</v>
      </c>
      <c r="W44" s="33">
        <v>10.590695866906453</v>
      </c>
      <c r="X44" s="60">
        <v>18.28887336684906</v>
      </c>
      <c r="Y44" s="60">
        <v>1282.7694790109738</v>
      </c>
      <c r="Z44" s="84">
        <f t="shared" si="58"/>
        <v>2.8268021486237914E-3</v>
      </c>
      <c r="AA44" s="3"/>
      <c r="AB44" s="44">
        <v>89000.46148024009</v>
      </c>
      <c r="AC44" s="44">
        <v>10831.83243001029</v>
      </c>
      <c r="AD44" s="45">
        <v>7.772992862600586</v>
      </c>
      <c r="AE44" s="46">
        <v>3</v>
      </c>
      <c r="AF44" s="46">
        <v>86.666666666666671</v>
      </c>
      <c r="AG44" s="46">
        <v>47.777910912316408</v>
      </c>
      <c r="AH44" s="52">
        <v>40.038458721390924</v>
      </c>
      <c r="AI44" s="52">
        <v>1856.4704958743266</v>
      </c>
      <c r="AJ44" s="50">
        <f t="shared" si="59"/>
        <v>-8.5383328636197429E-12</v>
      </c>
      <c r="AM44" s="54"/>
      <c r="AN44" s="54"/>
      <c r="AO44" s="54"/>
      <c r="AP44" s="54"/>
      <c r="AQ44" s="54"/>
      <c r="AR44" s="54"/>
      <c r="AS44" s="54"/>
      <c r="AT44" s="54"/>
      <c r="AW44" s="54"/>
      <c r="AX44" s="54"/>
      <c r="AY44" s="54"/>
      <c r="AZ44" s="54"/>
      <c r="BA44" s="54"/>
      <c r="BB44" s="54"/>
      <c r="BC44" s="54"/>
      <c r="BD44" s="54"/>
    </row>
    <row r="48" spans="3:56" x14ac:dyDescent="0.2">
      <c r="C48" s="1"/>
      <c r="D48" s="104" t="s">
        <v>2</v>
      </c>
      <c r="E48" s="104" t="s">
        <v>3</v>
      </c>
      <c r="F48" s="104" t="s">
        <v>4</v>
      </c>
      <c r="G48" s="1"/>
      <c r="H48" s="104" t="s">
        <v>16</v>
      </c>
      <c r="I48" s="104"/>
      <c r="J48" s="104"/>
      <c r="K48" s="104"/>
      <c r="L48" s="104"/>
      <c r="M48" s="104"/>
      <c r="N48" s="104"/>
      <c r="O48" s="104"/>
      <c r="P48" s="104"/>
      <c r="Q48" s="1"/>
      <c r="R48" s="104" t="s">
        <v>20</v>
      </c>
      <c r="S48" s="104"/>
      <c r="T48" s="104"/>
      <c r="U48" s="104"/>
      <c r="V48" s="104"/>
      <c r="W48" s="104"/>
      <c r="X48" s="104"/>
      <c r="Y48" s="104"/>
      <c r="Z48" s="104"/>
      <c r="AA48" s="1"/>
      <c r="AB48" s="104" t="s">
        <v>18</v>
      </c>
      <c r="AC48" s="104"/>
      <c r="AD48" s="104"/>
      <c r="AE48" s="104"/>
      <c r="AF48" s="104"/>
      <c r="AG48" s="104"/>
      <c r="AH48" s="104"/>
      <c r="AI48" s="104"/>
      <c r="AJ48" s="104"/>
      <c r="AM48" s="103" t="s">
        <v>27</v>
      </c>
      <c r="AN48" s="103"/>
      <c r="AO48" s="103"/>
      <c r="AP48" s="103"/>
      <c r="AQ48" s="103"/>
      <c r="AR48" s="103"/>
      <c r="AS48" s="103"/>
      <c r="AT48" s="103"/>
      <c r="AW48" s="103" t="s">
        <v>28</v>
      </c>
      <c r="AX48" s="103"/>
      <c r="AY48" s="103"/>
      <c r="AZ48" s="103"/>
      <c r="BA48" s="103"/>
      <c r="BB48" s="103"/>
      <c r="BC48" s="103"/>
      <c r="BD48" s="103"/>
    </row>
    <row r="49" spans="3:56" s="5" customFormat="1" ht="13" customHeight="1" x14ac:dyDescent="0.15">
      <c r="C49" s="3"/>
      <c r="D49" s="105"/>
      <c r="E49" s="105"/>
      <c r="F49" s="105"/>
      <c r="G49" s="3"/>
      <c r="H49" s="8" t="s">
        <v>21</v>
      </c>
      <c r="I49" s="8" t="s">
        <v>22</v>
      </c>
      <c r="J49" s="8" t="s">
        <v>1</v>
      </c>
      <c r="K49" s="8" t="s">
        <v>23</v>
      </c>
      <c r="L49" s="8" t="s">
        <v>24</v>
      </c>
      <c r="M49" s="8" t="s">
        <v>5</v>
      </c>
      <c r="N49" s="8" t="s">
        <v>25</v>
      </c>
      <c r="O49" s="8" t="s">
        <v>6</v>
      </c>
      <c r="P49" s="8" t="s">
        <v>26</v>
      </c>
      <c r="Q49" s="3"/>
      <c r="R49" s="23" t="s">
        <v>21</v>
      </c>
      <c r="S49" s="23" t="s">
        <v>22</v>
      </c>
      <c r="T49" s="23" t="s">
        <v>1</v>
      </c>
      <c r="U49" s="23" t="s">
        <v>23</v>
      </c>
      <c r="V49" s="23" t="s">
        <v>24</v>
      </c>
      <c r="W49" s="23" t="s">
        <v>5</v>
      </c>
      <c r="X49" s="23" t="s">
        <v>25</v>
      </c>
      <c r="Y49" s="23" t="s">
        <v>6</v>
      </c>
      <c r="Z49" s="23" t="s">
        <v>26</v>
      </c>
      <c r="AA49" s="3"/>
      <c r="AB49" s="35" t="s">
        <v>21</v>
      </c>
      <c r="AC49" s="35" t="s">
        <v>22</v>
      </c>
      <c r="AD49" s="35" t="s">
        <v>1</v>
      </c>
      <c r="AE49" s="35" t="s">
        <v>23</v>
      </c>
      <c r="AF49" s="35" t="s">
        <v>24</v>
      </c>
      <c r="AG49" s="35" t="s">
        <v>5</v>
      </c>
      <c r="AH49" s="35" t="s">
        <v>25</v>
      </c>
      <c r="AI49" s="35" t="s">
        <v>6</v>
      </c>
      <c r="AJ49" s="35" t="s">
        <v>26</v>
      </c>
      <c r="AM49" s="55" t="s">
        <v>0</v>
      </c>
      <c r="AN49" s="55" t="s">
        <v>29</v>
      </c>
      <c r="AO49" s="55" t="s">
        <v>1</v>
      </c>
      <c r="AP49" s="55" t="s">
        <v>23</v>
      </c>
      <c r="AQ49" s="55" t="s">
        <v>24</v>
      </c>
      <c r="AR49" s="55" t="s">
        <v>5</v>
      </c>
      <c r="AS49" s="55" t="s">
        <v>25</v>
      </c>
      <c r="AT49" s="55" t="s">
        <v>6</v>
      </c>
      <c r="AW49" s="55" t="s">
        <v>0</v>
      </c>
      <c r="AX49" s="55" t="s">
        <v>29</v>
      </c>
      <c r="AY49" s="55" t="s">
        <v>1</v>
      </c>
      <c r="AZ49" s="55" t="s">
        <v>23</v>
      </c>
      <c r="BA49" s="55" t="s">
        <v>24</v>
      </c>
      <c r="BB49" s="55" t="s">
        <v>5</v>
      </c>
      <c r="BC49" s="55" t="s">
        <v>25</v>
      </c>
      <c r="BD49" s="55" t="s">
        <v>6</v>
      </c>
    </row>
    <row r="50" spans="3:56" s="5" customFormat="1" ht="4" customHeight="1" x14ac:dyDescent="0.15">
      <c r="C50" s="3"/>
      <c r="D50" s="3"/>
      <c r="E50" s="3"/>
      <c r="F50" s="3"/>
      <c r="G50" s="3"/>
      <c r="H50" s="9"/>
      <c r="I50" s="9"/>
      <c r="J50" s="9"/>
      <c r="K50" s="9"/>
      <c r="L50" s="9"/>
      <c r="M50" s="9"/>
      <c r="N50" s="9"/>
      <c r="O50" s="9"/>
      <c r="P50" s="9"/>
      <c r="Q50" s="3"/>
      <c r="R50" s="24"/>
      <c r="S50" s="24"/>
      <c r="T50" s="24"/>
      <c r="U50" s="24"/>
      <c r="V50" s="24"/>
      <c r="W50" s="24"/>
      <c r="X50" s="24"/>
      <c r="Y50" s="24"/>
      <c r="Z50" s="24"/>
      <c r="AA50" s="3"/>
      <c r="AB50" s="36"/>
      <c r="AC50" s="36"/>
      <c r="AD50" s="36"/>
      <c r="AE50" s="36"/>
      <c r="AF50" s="36"/>
      <c r="AG50" s="36"/>
      <c r="AH50" s="36"/>
      <c r="AI50" s="36"/>
      <c r="AJ50" s="36"/>
    </row>
    <row r="51" spans="3:56" s="5" customFormat="1" ht="16" customHeight="1" x14ac:dyDescent="0.15">
      <c r="C51" s="3"/>
      <c r="D51" s="100">
        <v>10</v>
      </c>
      <c r="E51" s="6">
        <v>2</v>
      </c>
      <c r="F51" s="6">
        <v>2</v>
      </c>
      <c r="G51" s="3"/>
      <c r="H51" s="10">
        <v>33029.025994237651</v>
      </c>
      <c r="I51" s="10">
        <v>3720.7903122672956</v>
      </c>
      <c r="J51" s="11">
        <v>4.2012816600004041E-2</v>
      </c>
      <c r="K51" s="12">
        <v>1.8</v>
      </c>
      <c r="L51" s="91">
        <v>85</v>
      </c>
      <c r="M51" s="12">
        <v>10.774864228395739</v>
      </c>
      <c r="N51" s="92">
        <v>16.630694257371466</v>
      </c>
      <c r="O51" s="56">
        <v>1142.9953579106677</v>
      </c>
      <c r="P51" s="64">
        <f>(H51-H11)/H11</f>
        <v>-5.33574945180905E-11</v>
      </c>
      <c r="Q51" s="3"/>
      <c r="R51" s="25">
        <v>35473.281590962273</v>
      </c>
      <c r="S51" s="25">
        <v>2603.1695055231526</v>
      </c>
      <c r="T51" s="26">
        <v>5.5973533300129927E-2</v>
      </c>
      <c r="U51" s="27">
        <v>1.8</v>
      </c>
      <c r="V51" s="27">
        <v>78</v>
      </c>
      <c r="W51" s="27">
        <v>5.8743822733682212</v>
      </c>
      <c r="X51" s="58">
        <v>14.501249125095351</v>
      </c>
      <c r="Y51" s="58">
        <v>1079.3685275860723</v>
      </c>
      <c r="Z51" s="78">
        <f>(R51-R11)/R11</f>
        <v>-1.0635001482104932E-12</v>
      </c>
      <c r="AA51" s="3"/>
      <c r="AB51" s="37">
        <v>35185.98680641895</v>
      </c>
      <c r="AC51" s="37">
        <v>4348.5976744554582</v>
      </c>
      <c r="AD51" s="38">
        <v>4.7024587700070695E-2</v>
      </c>
      <c r="AE51" s="39">
        <v>1.8</v>
      </c>
      <c r="AF51" s="39">
        <v>83</v>
      </c>
      <c r="AG51" s="39">
        <v>31.753607173734565</v>
      </c>
      <c r="AH51" s="61">
        <v>30.517567217872617</v>
      </c>
      <c r="AI51" s="61">
        <v>1557.8212824663638</v>
      </c>
      <c r="AJ51" s="48">
        <f>(AB51-AB11)/AB11</f>
        <v>1.1906718482405653E-11</v>
      </c>
      <c r="AM51" s="54"/>
      <c r="AN51" s="54"/>
      <c r="AO51" s="54"/>
      <c r="AP51" s="54"/>
      <c r="AQ51" s="54"/>
      <c r="AR51" s="54"/>
      <c r="AS51" s="54"/>
      <c r="AT51" s="54"/>
      <c r="AW51" s="54"/>
      <c r="AX51" s="54"/>
      <c r="AY51" s="54"/>
      <c r="AZ51" s="54"/>
      <c r="BA51" s="54"/>
      <c r="BB51" s="54"/>
      <c r="BC51" s="54"/>
      <c r="BD51" s="54"/>
    </row>
    <row r="52" spans="3:56" s="5" customFormat="1" x14ac:dyDescent="0.15">
      <c r="C52" s="3"/>
      <c r="D52" s="101"/>
      <c r="E52" s="3">
        <v>2</v>
      </c>
      <c r="F52" s="3">
        <v>3</v>
      </c>
      <c r="G52" s="3"/>
      <c r="H52" s="14">
        <v>37378.092652265419</v>
      </c>
      <c r="I52" s="14">
        <v>4514.3829869658866</v>
      </c>
      <c r="J52" s="15">
        <v>5.1784020899958705E-2</v>
      </c>
      <c r="K52" s="16">
        <v>1.8</v>
      </c>
      <c r="L52" s="16">
        <v>72</v>
      </c>
      <c r="M52" s="16">
        <v>0</v>
      </c>
      <c r="N52" s="57">
        <v>16.128825778049517</v>
      </c>
      <c r="O52" s="57">
        <v>1079.2752029259134</v>
      </c>
      <c r="P52" s="69">
        <f>(H52-H12)/H12</f>
        <v>7.101136385866633E-12</v>
      </c>
      <c r="Q52" s="3"/>
      <c r="R52" s="28">
        <v>41795.486223956257</v>
      </c>
      <c r="S52" s="28">
        <v>2606.7349854869894</v>
      </c>
      <c r="T52" s="29">
        <v>4.9477171000035014E-2</v>
      </c>
      <c r="U52" s="30">
        <v>1.4</v>
      </c>
      <c r="V52" s="30">
        <v>51</v>
      </c>
      <c r="W52" s="30">
        <v>0</v>
      </c>
      <c r="X52" s="59">
        <v>10.940039147637041</v>
      </c>
      <c r="Y52" s="59">
        <v>896.45023487797948</v>
      </c>
      <c r="Z52" s="81">
        <f>(R52-R12)/R12</f>
        <v>-2.4972634367581798E-11</v>
      </c>
      <c r="AA52" s="3"/>
      <c r="AB52" s="40">
        <v>39883.177982016554</v>
      </c>
      <c r="AC52" s="40">
        <v>5488.0647978961006</v>
      </c>
      <c r="AD52" s="41">
        <v>5.1173162600025537E-2</v>
      </c>
      <c r="AE52" s="42">
        <v>1.6</v>
      </c>
      <c r="AF52" s="42">
        <v>62</v>
      </c>
      <c r="AG52" s="42">
        <v>48.632433810910371</v>
      </c>
      <c r="AH52" s="62">
        <v>35.43241107325121</v>
      </c>
      <c r="AI52" s="62">
        <v>1517.0272687042684</v>
      </c>
      <c r="AJ52" s="49">
        <f>(AB52-AB12)/AB12</f>
        <v>4.1503221181967678E-13</v>
      </c>
      <c r="AM52" s="54"/>
      <c r="AN52" s="54"/>
      <c r="AO52" s="54"/>
      <c r="AP52" s="54"/>
      <c r="AQ52" s="54"/>
      <c r="AR52" s="54"/>
      <c r="AS52" s="54"/>
      <c r="AT52" s="54"/>
      <c r="AW52" s="54"/>
      <c r="AX52" s="54"/>
      <c r="AY52" s="54"/>
      <c r="AZ52" s="54"/>
      <c r="BA52" s="54"/>
      <c r="BB52" s="54"/>
      <c r="BC52" s="54"/>
      <c r="BD52" s="54"/>
    </row>
    <row r="53" spans="3:56" s="5" customFormat="1" x14ac:dyDescent="0.15">
      <c r="C53" s="3"/>
      <c r="D53" s="101"/>
      <c r="E53" s="3">
        <v>3</v>
      </c>
      <c r="F53" s="3">
        <v>2</v>
      </c>
      <c r="G53" s="3"/>
      <c r="H53" s="14">
        <v>30528.641237674456</v>
      </c>
      <c r="I53" s="14">
        <v>3499.9005794491336</v>
      </c>
      <c r="J53" s="15">
        <v>7.6024966699969804E-2</v>
      </c>
      <c r="K53" s="16">
        <v>1.9</v>
      </c>
      <c r="L53" s="16">
        <v>91</v>
      </c>
      <c r="M53" s="16">
        <v>3.2640922319288115</v>
      </c>
      <c r="N53" s="57">
        <v>17.201982882333819</v>
      </c>
      <c r="O53" s="57">
        <v>1078.4850530506014</v>
      </c>
      <c r="P53" s="69">
        <f t="shared" ref="P53:P54" si="60">(H53-H13)/H13</f>
        <v>-1.0663577557044563E-11</v>
      </c>
      <c r="Q53" s="3"/>
      <c r="R53" s="28">
        <v>32938.123231119789</v>
      </c>
      <c r="S53" s="28">
        <v>4329.398993895039</v>
      </c>
      <c r="T53" s="29">
        <v>8.7002770798790152E-2</v>
      </c>
      <c r="U53" s="30">
        <v>2</v>
      </c>
      <c r="V53" s="30">
        <v>86</v>
      </c>
      <c r="W53" s="30">
        <v>0</v>
      </c>
      <c r="X53" s="59">
        <v>12.624365315294266</v>
      </c>
      <c r="Y53" s="59">
        <v>955.95324474629092</v>
      </c>
      <c r="Z53" s="81">
        <f t="shared" ref="Z53:Z54" si="61">(R53-R13)/R13</f>
        <v>2.7797429341740149E-4</v>
      </c>
      <c r="AA53" s="3"/>
      <c r="AB53" s="40">
        <v>32491.010963062872</v>
      </c>
      <c r="AC53" s="40">
        <v>3822.5529058610277</v>
      </c>
      <c r="AD53" s="41">
        <v>0.10148584190064866</v>
      </c>
      <c r="AE53" s="42">
        <v>1.9</v>
      </c>
      <c r="AF53" s="42">
        <v>89</v>
      </c>
      <c r="AG53" s="42">
        <v>15.625348110424264</v>
      </c>
      <c r="AH53" s="62">
        <v>29.386348862415083</v>
      </c>
      <c r="AI53" s="62">
        <v>1470.3417784317235</v>
      </c>
      <c r="AJ53" s="49">
        <f t="shared" ref="AJ53:AJ54" si="62">(AB53-AB13)/AB13</f>
        <v>1.9350444286192148E-12</v>
      </c>
      <c r="AM53" s="54"/>
      <c r="AN53" s="54"/>
      <c r="AO53" s="54"/>
      <c r="AP53" s="54"/>
      <c r="AQ53" s="54"/>
      <c r="AR53" s="54"/>
      <c r="AS53" s="54"/>
      <c r="AT53" s="54"/>
      <c r="AW53" s="54"/>
      <c r="AX53" s="54"/>
      <c r="AY53" s="54"/>
      <c r="AZ53" s="54"/>
      <c r="BA53" s="54"/>
      <c r="BB53" s="54"/>
      <c r="BC53" s="54"/>
      <c r="BD53" s="54"/>
    </row>
    <row r="54" spans="3:56" s="5" customFormat="1" x14ac:dyDescent="0.15">
      <c r="C54" s="3"/>
      <c r="D54" s="102"/>
      <c r="E54" s="4">
        <v>3</v>
      </c>
      <c r="F54" s="4">
        <v>3</v>
      </c>
      <c r="G54" s="3"/>
      <c r="H54" s="18">
        <v>37416.10280719999</v>
      </c>
      <c r="I54" s="18">
        <v>3226.485688526981</v>
      </c>
      <c r="J54" s="19">
        <v>5.7311712400132817E-2</v>
      </c>
      <c r="K54" s="20">
        <v>2.2999999999999998</v>
      </c>
      <c r="L54" s="20">
        <v>82</v>
      </c>
      <c r="M54" s="20">
        <v>0</v>
      </c>
      <c r="N54" s="51">
        <v>11.756995792278264</v>
      </c>
      <c r="O54" s="51">
        <v>952.12091322284118</v>
      </c>
      <c r="P54" s="72">
        <f t="shared" si="60"/>
        <v>5.3449439139885784E-12</v>
      </c>
      <c r="Q54" s="3"/>
      <c r="R54" s="31">
        <v>39197.607481091902</v>
      </c>
      <c r="S54" s="31">
        <v>3024.5401443914607</v>
      </c>
      <c r="T54" s="32">
        <v>5.9496900100202768E-2</v>
      </c>
      <c r="U54" s="33">
        <v>2.1</v>
      </c>
      <c r="V54" s="33">
        <v>73</v>
      </c>
      <c r="W54" s="33">
        <v>0</v>
      </c>
      <c r="X54" s="60">
        <v>10.925239596347811</v>
      </c>
      <c r="Y54" s="60">
        <v>917.78939123828786</v>
      </c>
      <c r="Z54" s="84">
        <f t="shared" si="61"/>
        <v>2.3445977071253191E-12</v>
      </c>
      <c r="AA54" s="3"/>
      <c r="AB54" s="44">
        <v>38021.317278431823</v>
      </c>
      <c r="AC54" s="44">
        <v>2825.925062358087</v>
      </c>
      <c r="AD54" s="45">
        <v>6.9912679199842384E-2</v>
      </c>
      <c r="AE54" s="46">
        <v>2.2000000000000002</v>
      </c>
      <c r="AF54" s="46">
        <v>79</v>
      </c>
      <c r="AG54" s="46">
        <v>7.4861640998714805</v>
      </c>
      <c r="AH54" s="52">
        <v>21.813852584598866</v>
      </c>
      <c r="AI54" s="52">
        <v>1260.5334214244526</v>
      </c>
      <c r="AJ54" s="50">
        <f t="shared" si="62"/>
        <v>1.1357334236655537E-11</v>
      </c>
      <c r="AM54" s="54"/>
      <c r="AN54" s="54"/>
      <c r="AO54" s="54"/>
      <c r="AP54" s="54"/>
      <c r="AQ54" s="54"/>
      <c r="AR54" s="54"/>
      <c r="AS54" s="54"/>
      <c r="AT54" s="54"/>
      <c r="AW54" s="54"/>
      <c r="AX54" s="54"/>
      <c r="AY54" s="54"/>
      <c r="AZ54" s="54"/>
      <c r="BA54" s="54"/>
      <c r="BB54" s="54"/>
      <c r="BC54" s="54"/>
      <c r="BD54" s="54"/>
    </row>
    <row r="55" spans="3:56" s="5" customFormat="1" ht="4" customHeight="1" x14ac:dyDescent="0.15">
      <c r="C55" s="3"/>
      <c r="D55" s="3"/>
      <c r="E55" s="3"/>
      <c r="F55" s="3"/>
      <c r="G55" s="3"/>
      <c r="H55" s="22"/>
      <c r="I55" s="22"/>
      <c r="J55" s="15"/>
      <c r="K55" s="16"/>
      <c r="L55" s="16"/>
      <c r="M55" s="16"/>
      <c r="N55" s="57"/>
      <c r="O55" s="57"/>
      <c r="P55" s="9"/>
      <c r="Q55" s="3"/>
      <c r="R55" s="34"/>
      <c r="S55" s="34"/>
      <c r="T55" s="29"/>
      <c r="U55" s="30"/>
      <c r="V55" s="30"/>
      <c r="W55" s="30"/>
      <c r="X55" s="59"/>
      <c r="Y55" s="59"/>
      <c r="Z55" s="24"/>
      <c r="AA55" s="3"/>
      <c r="AB55" s="47"/>
      <c r="AC55" s="47"/>
      <c r="AD55" s="41"/>
      <c r="AE55" s="42"/>
      <c r="AF55" s="42"/>
      <c r="AG55" s="42"/>
      <c r="AH55" s="62"/>
      <c r="AI55" s="62"/>
      <c r="AJ55" s="36"/>
      <c r="AM55" s="54"/>
      <c r="AN55" s="54"/>
      <c r="AO55" s="54"/>
      <c r="AP55" s="54"/>
      <c r="AQ55" s="54"/>
      <c r="AR55" s="54"/>
      <c r="AS55" s="54"/>
      <c r="AT55" s="54"/>
      <c r="AW55" s="54"/>
      <c r="AX55" s="54"/>
      <c r="AY55" s="54"/>
      <c r="AZ55" s="54"/>
      <c r="BA55" s="54"/>
      <c r="BB55" s="54"/>
      <c r="BC55" s="54"/>
      <c r="BD55" s="54"/>
    </row>
    <row r="56" spans="3:56" s="5" customFormat="1" ht="16" customHeight="1" x14ac:dyDescent="0.15">
      <c r="C56" s="3"/>
      <c r="D56" s="100">
        <v>20</v>
      </c>
      <c r="E56" s="6">
        <v>2</v>
      </c>
      <c r="F56" s="6">
        <v>2</v>
      </c>
      <c r="G56" s="3"/>
      <c r="H56" s="10">
        <v>57683.299792592137</v>
      </c>
      <c r="I56" s="10">
        <v>7102.3635669574169</v>
      </c>
      <c r="J56" s="11">
        <v>0.30483708340016163</v>
      </c>
      <c r="K56" s="12">
        <v>2</v>
      </c>
      <c r="L56" s="12">
        <v>87</v>
      </c>
      <c r="M56" s="12">
        <v>19.391576078793587</v>
      </c>
      <c r="N56" s="56">
        <v>23.762201562849217</v>
      </c>
      <c r="O56" s="56">
        <v>1647.1238346595551</v>
      </c>
      <c r="P56" s="75">
        <f>(H56-H16)/H16</f>
        <v>2.7601269810532626E-11</v>
      </c>
      <c r="Q56" s="3"/>
      <c r="R56" s="25">
        <v>66410.129576780775</v>
      </c>
      <c r="S56" s="25">
        <v>7556.3611173306172</v>
      </c>
      <c r="T56" s="26">
        <v>0.26120748740031557</v>
      </c>
      <c r="U56" s="27">
        <v>2</v>
      </c>
      <c r="V56" s="27">
        <v>70.5</v>
      </c>
      <c r="W56" s="27">
        <v>3.060228601603717</v>
      </c>
      <c r="X56" s="58">
        <v>17.690524423960547</v>
      </c>
      <c r="Y56" s="58">
        <v>1412.1056850012992</v>
      </c>
      <c r="Z56" s="78">
        <f>(R56-R16)/R16</f>
        <v>-1.8359130228419513E-11</v>
      </c>
      <c r="AA56" s="3"/>
      <c r="AB56" s="37">
        <v>67954.92826456562</v>
      </c>
      <c r="AC56" s="37">
        <v>9271.9223200934448</v>
      </c>
      <c r="AD56" s="38">
        <v>0.34773919180006485</v>
      </c>
      <c r="AE56" s="39">
        <v>2</v>
      </c>
      <c r="AF56" s="39">
        <v>77</v>
      </c>
      <c r="AG56" s="39">
        <v>45.414815767074089</v>
      </c>
      <c r="AH56" s="61">
        <v>36.347841216209069</v>
      </c>
      <c r="AI56" s="61">
        <v>2026.9250976382414</v>
      </c>
      <c r="AJ56" s="48">
        <f>(AB56-AB16)/AB16</f>
        <v>8.9795848595790967E-6</v>
      </c>
      <c r="AM56" s="54"/>
      <c r="AN56" s="54"/>
      <c r="AO56" s="54"/>
      <c r="AP56" s="54"/>
      <c r="AQ56" s="54"/>
      <c r="AR56" s="54"/>
      <c r="AS56" s="54"/>
      <c r="AT56" s="54"/>
      <c r="AW56" s="54"/>
      <c r="AX56" s="54"/>
      <c r="AY56" s="54"/>
      <c r="AZ56" s="54"/>
      <c r="BA56" s="54"/>
      <c r="BB56" s="54"/>
      <c r="BC56" s="54"/>
      <c r="BD56" s="54"/>
    </row>
    <row r="57" spans="3:56" s="5" customFormat="1" x14ac:dyDescent="0.15">
      <c r="C57" s="3"/>
      <c r="D57" s="101"/>
      <c r="E57" s="3">
        <v>2</v>
      </c>
      <c r="F57" s="3">
        <v>3</v>
      </c>
      <c r="G57" s="3"/>
      <c r="H57" s="14">
        <v>65667.258302215341</v>
      </c>
      <c r="I57" s="14">
        <v>6210.5852053755998</v>
      </c>
      <c r="J57" s="15">
        <v>0.25009743340033308</v>
      </c>
      <c r="K57" s="16">
        <v>2</v>
      </c>
      <c r="L57" s="16">
        <v>71</v>
      </c>
      <c r="M57" s="16">
        <v>3.4154306480852306</v>
      </c>
      <c r="N57" s="57">
        <v>18.96669389813702</v>
      </c>
      <c r="O57" s="57">
        <v>1375.7170720575571</v>
      </c>
      <c r="P57" s="69">
        <f>(H57-H17)/H17</f>
        <v>3.3735836944800304E-11</v>
      </c>
      <c r="Q57" s="3"/>
      <c r="R57" s="28">
        <v>72485.918188275318</v>
      </c>
      <c r="S57" s="28">
        <v>4197.5402900172649</v>
      </c>
      <c r="T57" s="29">
        <v>0.23636934569913137</v>
      </c>
      <c r="U57" s="30">
        <v>2</v>
      </c>
      <c r="V57" s="30">
        <v>59.5</v>
      </c>
      <c r="W57" s="30">
        <v>0</v>
      </c>
      <c r="X57" s="59">
        <v>14.252071034479641</v>
      </c>
      <c r="Y57" s="59">
        <v>1191.2542525277554</v>
      </c>
      <c r="Z57" s="81">
        <f>(R57-R17)/R17</f>
        <v>2.2995044642786181E-4</v>
      </c>
      <c r="AA57" s="3"/>
      <c r="AB57" s="40">
        <v>73541.548971312499</v>
      </c>
      <c r="AC57" s="40">
        <v>6589.8647031428673</v>
      </c>
      <c r="AD57" s="41">
        <v>0.29387086270035068</v>
      </c>
      <c r="AE57" s="42">
        <v>2</v>
      </c>
      <c r="AF57" s="42">
        <v>64.5</v>
      </c>
      <c r="AG57" s="42">
        <v>17.804241743146783</v>
      </c>
      <c r="AH57" s="62">
        <v>31.337734466257803</v>
      </c>
      <c r="AI57" s="62">
        <v>1779.9903002653805</v>
      </c>
      <c r="AJ57" s="49">
        <f>(AB57-AB17)/AB17</f>
        <v>4.249330941511835E-12</v>
      </c>
      <c r="AM57" s="54"/>
      <c r="AN57" s="54"/>
      <c r="AO57" s="54"/>
      <c r="AP57" s="54"/>
      <c r="AQ57" s="54"/>
      <c r="AR57" s="54"/>
      <c r="AS57" s="54"/>
      <c r="AT57" s="54"/>
      <c r="AW57" s="54"/>
      <c r="AX57" s="54"/>
      <c r="AY57" s="54"/>
      <c r="AZ57" s="54"/>
      <c r="BA57" s="54"/>
      <c r="BB57" s="54"/>
      <c r="BC57" s="54"/>
      <c r="BD57" s="54"/>
    </row>
    <row r="58" spans="3:56" s="5" customFormat="1" x14ac:dyDescent="0.15">
      <c r="C58" s="3"/>
      <c r="D58" s="101"/>
      <c r="E58" s="3">
        <v>3</v>
      </c>
      <c r="F58" s="3">
        <v>2</v>
      </c>
      <c r="G58" s="3"/>
      <c r="H58" s="14">
        <v>51520.693864503875</v>
      </c>
      <c r="I58" s="14">
        <v>6590.7722652048787</v>
      </c>
      <c r="J58" s="15">
        <v>0.48122842929988108</v>
      </c>
      <c r="K58" s="16">
        <v>2.2000000000000002</v>
      </c>
      <c r="L58" s="16">
        <v>95</v>
      </c>
      <c r="M58" s="16">
        <v>16.401108760064666</v>
      </c>
      <c r="N58" s="57">
        <v>31.816189644895587</v>
      </c>
      <c r="O58" s="57">
        <v>1574.076046445105</v>
      </c>
      <c r="P58" s="69">
        <f t="shared" ref="P58:P59" si="63">(H58-H18)/H18</f>
        <v>8.7424512812754021E-4</v>
      </c>
      <c r="Q58" s="3"/>
      <c r="R58" s="28">
        <v>62460.330368924791</v>
      </c>
      <c r="S58" s="28">
        <v>6464.560250309306</v>
      </c>
      <c r="T58" s="29">
        <v>0.44411224600007698</v>
      </c>
      <c r="U58" s="30">
        <v>2.7</v>
      </c>
      <c r="V58" s="30">
        <v>80</v>
      </c>
      <c r="W58" s="30">
        <v>0.35579205235928379</v>
      </c>
      <c r="X58" s="59">
        <v>18.693166880422364</v>
      </c>
      <c r="Y58" s="59">
        <v>1216.9152233276511</v>
      </c>
      <c r="Z58" s="81">
        <f>(R58-R18)/R18</f>
        <v>6.650953327309932E-3</v>
      </c>
      <c r="AA58" s="3"/>
      <c r="AB58" s="40">
        <v>61005.103288219238</v>
      </c>
      <c r="AC58" s="40">
        <v>7262.3107332068312</v>
      </c>
      <c r="AD58" s="41">
        <v>0.57878370409962376</v>
      </c>
      <c r="AE58" s="42">
        <v>2.6</v>
      </c>
      <c r="AF58" s="42">
        <v>86</v>
      </c>
      <c r="AG58" s="42">
        <v>35.388883691882377</v>
      </c>
      <c r="AH58" s="62">
        <v>43.594265066606205</v>
      </c>
      <c r="AI58" s="62">
        <v>1784.5635355400427</v>
      </c>
      <c r="AJ58" s="49">
        <f t="shared" ref="AJ58:AJ59" si="64">(AB58-AB18)/AB18</f>
        <v>6.0935506121235876E-4</v>
      </c>
      <c r="AM58" s="54"/>
      <c r="AN58" s="54"/>
      <c r="AO58" s="54"/>
      <c r="AP58" s="54"/>
      <c r="AQ58" s="54"/>
      <c r="AR58" s="54"/>
      <c r="AS58" s="54"/>
      <c r="AT58" s="54"/>
      <c r="AW58" s="54"/>
      <c r="AX58" s="54"/>
      <c r="AY58" s="54"/>
      <c r="AZ58" s="54"/>
      <c r="BA58" s="54"/>
      <c r="BB58" s="54"/>
      <c r="BC58" s="54"/>
      <c r="BD58" s="54"/>
    </row>
    <row r="59" spans="3:56" s="5" customFormat="1" x14ac:dyDescent="0.15">
      <c r="C59" s="3"/>
      <c r="D59" s="102"/>
      <c r="E59" s="4">
        <v>3</v>
      </c>
      <c r="F59" s="4">
        <v>3</v>
      </c>
      <c r="G59" s="3"/>
      <c r="H59" s="18">
        <v>58780.560233342032</v>
      </c>
      <c r="I59" s="18">
        <v>5272.8427924475382</v>
      </c>
      <c r="J59" s="19">
        <v>0.33190507080034876</v>
      </c>
      <c r="K59" s="20">
        <v>2.7</v>
      </c>
      <c r="L59" s="20">
        <v>88</v>
      </c>
      <c r="M59" s="20">
        <v>17.057294200931928</v>
      </c>
      <c r="N59" s="51">
        <v>19.187589167068769</v>
      </c>
      <c r="O59" s="51">
        <v>1341.1808952395047</v>
      </c>
      <c r="P59" s="72">
        <f t="shared" si="63"/>
        <v>2.9901120601898194E-4</v>
      </c>
      <c r="Q59" s="3"/>
      <c r="R59" s="31">
        <v>69409.666458882726</v>
      </c>
      <c r="S59" s="31">
        <v>6403.8799272343531</v>
      </c>
      <c r="T59" s="32">
        <v>0.35367257479992986</v>
      </c>
      <c r="U59" s="33">
        <v>2.8</v>
      </c>
      <c r="V59" s="33">
        <v>72</v>
      </c>
      <c r="W59" s="33">
        <v>1.7330481011822698</v>
      </c>
      <c r="X59" s="60">
        <v>14.356874660300857</v>
      </c>
      <c r="Y59" s="60">
        <v>1156.4050323228232</v>
      </c>
      <c r="Z59" s="84">
        <f t="shared" ref="Z59" si="65">(R59-R19)/R19</f>
        <v>4.9873116385117545E-4</v>
      </c>
      <c r="AA59" s="3"/>
      <c r="AB59" s="44">
        <v>65773.540940067862</v>
      </c>
      <c r="AC59" s="44">
        <v>8399.0529671772802</v>
      </c>
      <c r="AD59" s="45">
        <v>0.33948475819925078</v>
      </c>
      <c r="AE59" s="46">
        <v>2.7</v>
      </c>
      <c r="AF59" s="46">
        <v>81</v>
      </c>
      <c r="AG59" s="46">
        <v>40.653071891641886</v>
      </c>
      <c r="AH59" s="52">
        <v>32.940221416760913</v>
      </c>
      <c r="AI59" s="52">
        <v>1675.795820548652</v>
      </c>
      <c r="AJ59" s="50">
        <f t="shared" si="64"/>
        <v>1.7915299415099551E-3</v>
      </c>
      <c r="AM59" s="54"/>
      <c r="AN59" s="54"/>
      <c r="AO59" s="54"/>
      <c r="AP59" s="54"/>
      <c r="AQ59" s="54"/>
      <c r="AR59" s="54"/>
      <c r="AS59" s="54"/>
      <c r="AT59" s="54"/>
      <c r="AW59" s="54"/>
      <c r="AX59" s="54"/>
      <c r="AY59" s="54"/>
      <c r="AZ59" s="54"/>
      <c r="BA59" s="54"/>
      <c r="BB59" s="54"/>
      <c r="BC59" s="54"/>
      <c r="BD59" s="54"/>
    </row>
    <row r="60" spans="3:56" s="5" customFormat="1" ht="4" customHeight="1" x14ac:dyDescent="0.15">
      <c r="C60" s="3"/>
      <c r="D60" s="3"/>
      <c r="E60" s="3"/>
      <c r="F60" s="3"/>
      <c r="G60" s="3"/>
      <c r="H60" s="22"/>
      <c r="I60" s="22"/>
      <c r="J60" s="15"/>
      <c r="K60" s="16"/>
      <c r="L60" s="16"/>
      <c r="M60" s="16"/>
      <c r="N60" s="57"/>
      <c r="O60" s="57"/>
      <c r="P60" s="9"/>
      <c r="Q60" s="3"/>
      <c r="R60" s="34"/>
      <c r="S60" s="34"/>
      <c r="T60" s="29"/>
      <c r="U60" s="30"/>
      <c r="V60" s="30"/>
      <c r="W60" s="30"/>
      <c r="X60" s="59"/>
      <c r="Y60" s="59"/>
      <c r="Z60" s="24"/>
      <c r="AA60" s="3"/>
      <c r="AB60" s="47"/>
      <c r="AC60" s="47"/>
      <c r="AD60" s="41"/>
      <c r="AE60" s="42"/>
      <c r="AF60" s="42"/>
      <c r="AG60" s="42"/>
      <c r="AH60" s="62"/>
      <c r="AI60" s="62"/>
      <c r="AJ60" s="36"/>
      <c r="AM60" s="54"/>
      <c r="AN60" s="54"/>
      <c r="AO60" s="54"/>
      <c r="AP60" s="54"/>
      <c r="AQ60" s="54"/>
      <c r="AR60" s="54"/>
      <c r="AS60" s="54"/>
      <c r="AT60" s="54"/>
      <c r="AW60" s="54"/>
      <c r="AX60" s="54"/>
      <c r="AY60" s="54"/>
      <c r="AZ60" s="54"/>
      <c r="BA60" s="54"/>
      <c r="BB60" s="54"/>
      <c r="BC60" s="54"/>
      <c r="BD60" s="54"/>
    </row>
    <row r="61" spans="3:56" s="5" customFormat="1" x14ac:dyDescent="0.15">
      <c r="C61" s="3"/>
      <c r="D61" s="100">
        <v>30</v>
      </c>
      <c r="E61" s="6">
        <v>2</v>
      </c>
      <c r="F61" s="6">
        <v>2</v>
      </c>
      <c r="G61" s="3"/>
      <c r="H61" s="10">
        <v>85993.619717563837</v>
      </c>
      <c r="I61" s="10">
        <v>13061.277661644421</v>
      </c>
      <c r="J61" s="11">
        <v>1.1473255959001107</v>
      </c>
      <c r="K61" s="12">
        <v>2</v>
      </c>
      <c r="L61" s="12">
        <v>86.333333333333329</v>
      </c>
      <c r="M61" s="12">
        <v>61.139823550102889</v>
      </c>
      <c r="N61" s="56">
        <v>34.066618208659499</v>
      </c>
      <c r="O61" s="56">
        <v>1886.865516568138</v>
      </c>
      <c r="P61" s="75">
        <f>(H61-H21)/H21</f>
        <v>2.6303375405231736E-4</v>
      </c>
      <c r="Q61" s="3"/>
      <c r="R61" s="25">
        <v>101083.44518838273</v>
      </c>
      <c r="S61" s="25">
        <v>6519.2398037342527</v>
      </c>
      <c r="T61" s="26">
        <v>0.67846969569982318</v>
      </c>
      <c r="U61" s="27">
        <v>2.2000000000000002</v>
      </c>
      <c r="V61" s="27">
        <v>64.666666666666671</v>
      </c>
      <c r="W61" s="27">
        <v>13.96657786829034</v>
      </c>
      <c r="X61" s="58">
        <v>20.525462028741</v>
      </c>
      <c r="Y61" s="58">
        <v>1490.1966502412129</v>
      </c>
      <c r="Z61" s="78">
        <f>(R61-R21)/R21</f>
        <v>2.5941653626946015E-4</v>
      </c>
      <c r="AA61" s="3"/>
      <c r="AB61" s="37">
        <v>101915.72801324163</v>
      </c>
      <c r="AC61" s="37">
        <v>12050.754171333943</v>
      </c>
      <c r="AD61" s="38">
        <v>1.1721363376000227</v>
      </c>
      <c r="AE61" s="39">
        <v>2</v>
      </c>
      <c r="AF61" s="39">
        <v>70.333333333333343</v>
      </c>
      <c r="AG61" s="39">
        <v>61.545048272268652</v>
      </c>
      <c r="AH61" s="61">
        <v>39.578121525241492</v>
      </c>
      <c r="AI61" s="61">
        <v>1996.8453689937692</v>
      </c>
      <c r="AJ61" s="48">
        <f>(AB61-AB21)/AB21</f>
        <v>1.7535287054821577E-4</v>
      </c>
      <c r="AM61" s="54"/>
      <c r="AN61" s="54"/>
      <c r="AO61" s="54"/>
      <c r="AP61" s="54"/>
      <c r="AQ61" s="54"/>
      <c r="AR61" s="54"/>
      <c r="AS61" s="54"/>
      <c r="AT61" s="54"/>
      <c r="AW61" s="54"/>
      <c r="AX61" s="54"/>
      <c r="AY61" s="54"/>
      <c r="AZ61" s="54"/>
      <c r="BA61" s="54"/>
      <c r="BB61" s="54"/>
      <c r="BC61" s="54"/>
      <c r="BD61" s="54"/>
    </row>
    <row r="62" spans="3:56" s="5" customFormat="1" x14ac:dyDescent="0.15">
      <c r="C62" s="3"/>
      <c r="D62" s="101"/>
      <c r="E62" s="3">
        <v>2</v>
      </c>
      <c r="F62" s="3">
        <v>3</v>
      </c>
      <c r="G62" s="3"/>
      <c r="H62" s="14">
        <v>97959.934509889848</v>
      </c>
      <c r="I62" s="14">
        <v>10076.567858668341</v>
      </c>
      <c r="J62" s="15">
        <v>0.90121110420077455</v>
      </c>
      <c r="K62" s="16">
        <v>2.2999999999999998</v>
      </c>
      <c r="L62" s="16">
        <v>74</v>
      </c>
      <c r="M62" s="16">
        <v>36.469996379957067</v>
      </c>
      <c r="N62" s="57">
        <v>26.763127266879774</v>
      </c>
      <c r="O62" s="57">
        <v>1776.6942331455296</v>
      </c>
      <c r="P62" s="69">
        <f>(H62-H22)/H22</f>
        <v>9.0838118734438181E-12</v>
      </c>
      <c r="Q62" s="3"/>
      <c r="R62" s="28">
        <v>107080.98135968696</v>
      </c>
      <c r="S62" s="28">
        <v>5176.0837520318028</v>
      </c>
      <c r="T62" s="29">
        <v>0.698931995699968</v>
      </c>
      <c r="U62" s="30">
        <v>2.2999999999999998</v>
      </c>
      <c r="V62" s="30">
        <v>59</v>
      </c>
      <c r="W62" s="30">
        <v>6.0605670918872612</v>
      </c>
      <c r="X62" s="59">
        <v>19.587394119743859</v>
      </c>
      <c r="Y62" s="59">
        <v>1437.6911924021265</v>
      </c>
      <c r="Z62" s="81">
        <f>(R62-R22)/R22</f>
        <v>6.4152593062481918E-12</v>
      </c>
      <c r="AA62" s="3"/>
      <c r="AB62" s="40">
        <v>110515.49765201467</v>
      </c>
      <c r="AC62" s="40">
        <v>10181.59568016248</v>
      </c>
      <c r="AD62" s="41">
        <v>0.94115112509971366</v>
      </c>
      <c r="AE62" s="42">
        <v>2.2000000000000002</v>
      </c>
      <c r="AF62" s="42">
        <v>60.666666666666664</v>
      </c>
      <c r="AG62" s="42">
        <v>23.842455892782695</v>
      </c>
      <c r="AH62" s="62">
        <v>35.809058628688625</v>
      </c>
      <c r="AI62" s="62">
        <v>1955.0724729498083</v>
      </c>
      <c r="AJ62" s="49">
        <f>(AB62-AB22)/AB22</f>
        <v>1.8212440333099873E-4</v>
      </c>
      <c r="AM62" s="54"/>
      <c r="AN62" s="54"/>
      <c r="AO62" s="54"/>
      <c r="AP62" s="54"/>
      <c r="AQ62" s="54"/>
      <c r="AR62" s="54"/>
      <c r="AS62" s="54"/>
      <c r="AT62" s="54"/>
      <c r="AW62" s="54"/>
      <c r="AX62" s="54"/>
      <c r="AY62" s="54"/>
      <c r="AZ62" s="54"/>
      <c r="BA62" s="54"/>
      <c r="BB62" s="54"/>
      <c r="BC62" s="54"/>
      <c r="BD62" s="54"/>
    </row>
    <row r="63" spans="3:56" s="5" customFormat="1" x14ac:dyDescent="0.15">
      <c r="C63" s="3"/>
      <c r="D63" s="101"/>
      <c r="E63" s="3">
        <v>3</v>
      </c>
      <c r="F63" s="3">
        <v>2</v>
      </c>
      <c r="G63" s="3"/>
      <c r="H63" s="14">
        <v>75169.766479702041</v>
      </c>
      <c r="I63" s="14">
        <v>7601.029393361915</v>
      </c>
      <c r="J63" s="15">
        <v>1.2430418086001738</v>
      </c>
      <c r="K63" s="16">
        <v>2.5</v>
      </c>
      <c r="L63" s="16">
        <v>95</v>
      </c>
      <c r="M63" s="16">
        <v>23.558678663283303</v>
      </c>
      <c r="N63" s="57">
        <v>31.842062430858874</v>
      </c>
      <c r="O63" s="57">
        <v>1681.6600849061815</v>
      </c>
      <c r="P63" s="69">
        <f t="shared" ref="P63:P64" si="66">(H63-H23)/H23</f>
        <v>2.4547371882657629E-4</v>
      </c>
      <c r="Q63" s="3"/>
      <c r="R63" s="28">
        <v>93507.390974145354</v>
      </c>
      <c r="S63" s="28">
        <v>9742.9199468970855</v>
      </c>
      <c r="T63" s="29">
        <v>0.99217252100024778</v>
      </c>
      <c r="U63" s="30">
        <v>3</v>
      </c>
      <c r="V63" s="30">
        <v>74.333333333333343</v>
      </c>
      <c r="W63" s="30">
        <v>3.5891709758321655</v>
      </c>
      <c r="X63" s="59">
        <v>19.362904271523103</v>
      </c>
      <c r="Y63" s="59">
        <v>1339.275765104413</v>
      </c>
      <c r="Z63" s="81">
        <f t="shared" ref="Z63:Z64" si="67">(R63-R23)/R23</f>
        <v>5.7905841669938412E-3</v>
      </c>
      <c r="AA63" s="3"/>
      <c r="AB63" s="40">
        <v>91980.051331089679</v>
      </c>
      <c r="AC63" s="40">
        <v>10264.899012566466</v>
      </c>
      <c r="AD63" s="41">
        <v>1.4781140458999289</v>
      </c>
      <c r="AE63" s="42">
        <v>2.6</v>
      </c>
      <c r="AF63" s="42">
        <v>81.333333333333343</v>
      </c>
      <c r="AG63" s="42">
        <v>46.738602445111596</v>
      </c>
      <c r="AH63" s="62">
        <v>40.857897835325637</v>
      </c>
      <c r="AI63" s="62">
        <v>1900.8111116432326</v>
      </c>
      <c r="AJ63" s="49">
        <f t="shared" ref="AJ63:AJ64" si="68">(AB63-AB23)/AB23</f>
        <v>5.0045806037228796E-3</v>
      </c>
      <c r="AM63" s="54"/>
      <c r="AN63" s="54"/>
      <c r="AO63" s="54"/>
      <c r="AP63" s="54"/>
      <c r="AQ63" s="54"/>
      <c r="AR63" s="54"/>
      <c r="AS63" s="54"/>
      <c r="AT63" s="54"/>
      <c r="AW63" s="54"/>
      <c r="AX63" s="54"/>
      <c r="AY63" s="54"/>
      <c r="AZ63" s="54"/>
      <c r="BA63" s="54"/>
      <c r="BB63" s="54"/>
      <c r="BC63" s="54"/>
      <c r="BD63" s="54"/>
    </row>
    <row r="64" spans="3:56" s="5" customFormat="1" x14ac:dyDescent="0.15">
      <c r="C64" s="3"/>
      <c r="D64" s="102"/>
      <c r="E64" s="4">
        <v>3</v>
      </c>
      <c r="F64" s="4">
        <v>3</v>
      </c>
      <c r="G64" s="3"/>
      <c r="H64" s="18">
        <v>74673.920635833623</v>
      </c>
      <c r="I64" s="18">
        <v>9886.7483288956064</v>
      </c>
      <c r="J64" s="19">
        <v>1.2839908835001552</v>
      </c>
      <c r="K64" s="20">
        <v>3</v>
      </c>
      <c r="L64" s="20">
        <v>93.666666666666671</v>
      </c>
      <c r="M64" s="20">
        <v>15.443676173009132</v>
      </c>
      <c r="N64" s="51">
        <v>24.909435536815927</v>
      </c>
      <c r="O64" s="51">
        <v>1449.2413836086209</v>
      </c>
      <c r="P64" s="72">
        <f t="shared" si="66"/>
        <v>1.1163677500772918E-11</v>
      </c>
      <c r="Q64" s="3"/>
      <c r="R64" s="31">
        <v>91475.816129607585</v>
      </c>
      <c r="S64" s="31">
        <v>8573.6131903341611</v>
      </c>
      <c r="T64" s="32">
        <v>0.99776205410016705</v>
      </c>
      <c r="U64" s="33">
        <v>3.1</v>
      </c>
      <c r="V64" s="33">
        <v>75.333333333333329</v>
      </c>
      <c r="W64" s="33">
        <v>2.7561206996332395</v>
      </c>
      <c r="X64" s="60">
        <v>18.238132181422923</v>
      </c>
      <c r="Y64" s="60">
        <v>1250.4656752574842</v>
      </c>
      <c r="Z64" s="84">
        <f t="shared" si="67"/>
        <v>1.5072608769138803E-3</v>
      </c>
      <c r="AA64" s="3"/>
      <c r="AB64" s="44">
        <v>89000.46148024009</v>
      </c>
      <c r="AC64" s="44">
        <v>10831.83243001029</v>
      </c>
      <c r="AD64" s="45">
        <v>1.3596844875006355</v>
      </c>
      <c r="AE64" s="46">
        <v>3</v>
      </c>
      <c r="AF64" s="46">
        <v>86.666666666666671</v>
      </c>
      <c r="AG64" s="46">
        <v>47.777910912316408</v>
      </c>
      <c r="AH64" s="52">
        <v>40.038458721390931</v>
      </c>
      <c r="AI64" s="52">
        <v>1856.4704958743266</v>
      </c>
      <c r="AJ64" s="50">
        <f t="shared" si="68"/>
        <v>-8.5383328636197429E-12</v>
      </c>
      <c r="AM64" s="54"/>
      <c r="AN64" s="54"/>
      <c r="AO64" s="54"/>
      <c r="AP64" s="54"/>
      <c r="AQ64" s="54"/>
      <c r="AR64" s="54"/>
      <c r="AS64" s="54"/>
      <c r="AT64" s="54"/>
      <c r="AW64" s="54"/>
      <c r="AX64" s="54"/>
      <c r="AY64" s="54"/>
      <c r="AZ64" s="54"/>
      <c r="BA64" s="54"/>
      <c r="BB64" s="54"/>
      <c r="BC64" s="54"/>
      <c r="BD64" s="54"/>
    </row>
  </sheetData>
  <mergeCells count="33">
    <mergeCell ref="D11:D14"/>
    <mergeCell ref="D16:D19"/>
    <mergeCell ref="D21:D24"/>
    <mergeCell ref="D8:D9"/>
    <mergeCell ref="E8:E9"/>
    <mergeCell ref="E28:E29"/>
    <mergeCell ref="F28:F29"/>
    <mergeCell ref="H28:P28"/>
    <mergeCell ref="R28:Z28"/>
    <mergeCell ref="AW8:BD8"/>
    <mergeCell ref="AB8:AJ8"/>
    <mergeCell ref="R8:Z8"/>
    <mergeCell ref="F8:F9"/>
    <mergeCell ref="H8:P8"/>
    <mergeCell ref="AB28:AJ28"/>
    <mergeCell ref="AM8:AT8"/>
    <mergeCell ref="AM28:AT28"/>
    <mergeCell ref="D51:D54"/>
    <mergeCell ref="D56:D59"/>
    <mergeCell ref="D61:D64"/>
    <mergeCell ref="AW28:BD28"/>
    <mergeCell ref="D31:D34"/>
    <mergeCell ref="D36:D39"/>
    <mergeCell ref="D41:D44"/>
    <mergeCell ref="D48:D49"/>
    <mergeCell ref="E48:E49"/>
    <mergeCell ref="F48:F49"/>
    <mergeCell ref="H48:P48"/>
    <mergeCell ref="R48:Z48"/>
    <mergeCell ref="AB48:AJ48"/>
    <mergeCell ref="AM48:AT48"/>
    <mergeCell ref="AW48:BD48"/>
    <mergeCell ref="D28: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81FE-5244-6646-868F-94208E6C9857}">
  <dimension ref="C1:AJ21"/>
  <sheetViews>
    <sheetView zoomScale="130" zoomScaleNormal="130" workbookViewId="0">
      <pane xSplit="6" topLeftCell="G1" activePane="topRight" state="frozen"/>
      <selection pane="topRight" activeCell="H2" sqref="H2"/>
    </sheetView>
  </sheetViews>
  <sheetFormatPr baseColWidth="10" defaultRowHeight="16" x14ac:dyDescent="0.2"/>
  <cols>
    <col min="1" max="2" width="3.33203125" style="2" customWidth="1"/>
    <col min="3" max="3" width="1.5" style="2" customWidth="1"/>
    <col min="4" max="6" width="7.6640625" style="2" customWidth="1"/>
    <col min="7" max="7" width="1.5" style="2" customWidth="1"/>
    <col min="8" max="8" width="12.6640625" style="2" bestFit="1" customWidth="1"/>
    <col min="9" max="9" width="10.6640625" style="2" bestFit="1" customWidth="1"/>
    <col min="10" max="10" width="11.6640625" style="2" bestFit="1" customWidth="1"/>
    <col min="11" max="11" width="10.33203125" style="2" customWidth="1"/>
    <col min="12" max="12" width="15.5" style="2" bestFit="1" customWidth="1"/>
    <col min="13" max="13" width="13.33203125" style="2" bestFit="1" customWidth="1"/>
    <col min="14" max="14" width="16.6640625" style="2" bestFit="1" customWidth="1"/>
    <col min="15" max="15" width="19.1640625" style="2" bestFit="1" customWidth="1"/>
    <col min="16" max="16" width="10.83203125" style="2" customWidth="1"/>
    <col min="17" max="17" width="1.5" style="2" customWidth="1"/>
    <col min="18" max="18" width="12.6640625" style="2" bestFit="1" customWidth="1"/>
    <col min="19" max="19" width="10.6640625" style="2" bestFit="1" customWidth="1"/>
    <col min="20" max="20" width="6.6640625" style="2" bestFit="1" customWidth="1"/>
    <col min="21" max="21" width="8" style="2" bestFit="1" customWidth="1"/>
    <col min="22" max="22" width="15.5" style="2" customWidth="1"/>
    <col min="23" max="23" width="13.83203125" style="2" bestFit="1" customWidth="1"/>
    <col min="24" max="24" width="22.1640625" style="2" bestFit="1" customWidth="1"/>
    <col min="25" max="25" width="19.5" style="2" bestFit="1" customWidth="1"/>
    <col min="26" max="26" width="7.6640625" style="2" bestFit="1" customWidth="1"/>
    <col min="27" max="27" width="1.5" style="2" customWidth="1"/>
    <col min="28" max="28" width="2" style="2" customWidth="1"/>
    <col min="29" max="29" width="20.1640625" style="2" bestFit="1" customWidth="1"/>
    <col min="30" max="30" width="4.1640625" style="2" customWidth="1"/>
    <col min="31" max="31" width="5.6640625" style="2" bestFit="1" customWidth="1"/>
    <col min="32" max="32" width="10.33203125" style="2" bestFit="1" customWidth="1"/>
    <col min="33" max="33" width="11.5" style="2" bestFit="1" customWidth="1"/>
    <col min="34" max="34" width="13.33203125" style="2" bestFit="1" customWidth="1"/>
    <col min="35" max="35" width="16.6640625" style="2" bestFit="1" customWidth="1"/>
    <col min="36" max="36" width="19.1640625" style="2" bestFit="1" customWidth="1"/>
    <col min="37" max="37" width="1.6640625" style="2" customWidth="1"/>
    <col min="38" max="38" width="2.83203125" style="2" customWidth="1"/>
    <col min="39" max="39" width="2.5" style="2" customWidth="1"/>
    <col min="40" max="16384" width="10.83203125" style="2"/>
  </cols>
  <sheetData>
    <row r="1" spans="3:36" x14ac:dyDescent="0.2">
      <c r="K1" s="63"/>
      <c r="L1" s="63"/>
      <c r="M1" s="63"/>
      <c r="N1" s="63"/>
      <c r="O1" s="63"/>
    </row>
    <row r="2" spans="3:36" x14ac:dyDescent="0.2">
      <c r="K2" s="63"/>
      <c r="L2" s="63"/>
      <c r="M2" s="63"/>
      <c r="N2" s="63"/>
      <c r="O2" s="63"/>
    </row>
    <row r="3" spans="3:36" x14ac:dyDescent="0.2">
      <c r="K3" s="63"/>
      <c r="L3" s="63"/>
      <c r="M3" s="63"/>
      <c r="N3" s="63"/>
      <c r="O3" s="63"/>
    </row>
    <row r="4" spans="3:36" x14ac:dyDescent="0.2">
      <c r="R4" s="53"/>
      <c r="S4" s="53"/>
      <c r="T4" s="53"/>
      <c r="U4" s="53"/>
      <c r="V4" s="53"/>
      <c r="W4" s="53"/>
      <c r="X4" s="53"/>
      <c r="Y4" s="53"/>
    </row>
    <row r="5" spans="3:36" x14ac:dyDescent="0.2">
      <c r="C5" s="1"/>
      <c r="D5" s="104" t="s">
        <v>2</v>
      </c>
      <c r="E5" s="104" t="s">
        <v>3</v>
      </c>
      <c r="F5" s="104" t="s">
        <v>4</v>
      </c>
      <c r="G5" s="1"/>
      <c r="H5" s="104" t="s">
        <v>30</v>
      </c>
      <c r="I5" s="104"/>
      <c r="J5" s="104"/>
      <c r="K5" s="104"/>
      <c r="L5" s="104"/>
      <c r="M5" s="104"/>
      <c r="N5" s="104"/>
      <c r="O5" s="104"/>
      <c r="P5" s="104"/>
      <c r="Q5" s="1"/>
      <c r="R5" s="104" t="s">
        <v>37</v>
      </c>
      <c r="S5" s="104"/>
      <c r="T5" s="104"/>
      <c r="U5" s="104"/>
      <c r="V5" s="104"/>
      <c r="W5" s="104"/>
      <c r="X5" s="104"/>
      <c r="Y5" s="104"/>
      <c r="Z5" s="104"/>
      <c r="AA5" s="1"/>
      <c r="AC5" s="103" t="s">
        <v>27</v>
      </c>
      <c r="AD5" s="103"/>
      <c r="AE5" s="103"/>
      <c r="AF5" s="103"/>
      <c r="AG5" s="103"/>
      <c r="AH5" s="103"/>
      <c r="AI5" s="103"/>
      <c r="AJ5" s="103"/>
    </row>
    <row r="6" spans="3:36" s="5" customFormat="1" ht="13" customHeight="1" x14ac:dyDescent="0.15">
      <c r="C6" s="3"/>
      <c r="D6" s="105"/>
      <c r="E6" s="105"/>
      <c r="F6" s="105"/>
      <c r="G6" s="3"/>
      <c r="H6" s="8" t="s">
        <v>21</v>
      </c>
      <c r="I6" s="8" t="s">
        <v>22</v>
      </c>
      <c r="J6" s="8" t="s">
        <v>1</v>
      </c>
      <c r="K6" s="8" t="s">
        <v>23</v>
      </c>
      <c r="L6" s="8" t="s">
        <v>24</v>
      </c>
      <c r="M6" s="8" t="s">
        <v>5</v>
      </c>
      <c r="N6" s="8" t="s">
        <v>25</v>
      </c>
      <c r="O6" s="8" t="s">
        <v>6</v>
      </c>
      <c r="P6" s="8" t="s">
        <v>26</v>
      </c>
      <c r="Q6" s="3"/>
      <c r="R6" s="23" t="s">
        <v>21</v>
      </c>
      <c r="S6" s="23" t="s">
        <v>22</v>
      </c>
      <c r="T6" s="23" t="s">
        <v>1</v>
      </c>
      <c r="U6" s="23" t="s">
        <v>23</v>
      </c>
      <c r="V6" s="23" t="s">
        <v>24</v>
      </c>
      <c r="W6" s="23" t="s">
        <v>5</v>
      </c>
      <c r="X6" s="23" t="s">
        <v>25</v>
      </c>
      <c r="Y6" s="23" t="s">
        <v>6</v>
      </c>
      <c r="Z6" s="23" t="s">
        <v>26</v>
      </c>
      <c r="AA6" s="3"/>
      <c r="AC6" s="55" t="s">
        <v>0</v>
      </c>
      <c r="AD6" s="55" t="s">
        <v>29</v>
      </c>
      <c r="AE6" s="55" t="s">
        <v>1</v>
      </c>
      <c r="AF6" s="55" t="s">
        <v>23</v>
      </c>
      <c r="AG6" s="55" t="s">
        <v>24</v>
      </c>
      <c r="AH6" s="55" t="s">
        <v>5</v>
      </c>
      <c r="AI6" s="55" t="s">
        <v>25</v>
      </c>
      <c r="AJ6" s="55" t="s">
        <v>6</v>
      </c>
    </row>
    <row r="7" spans="3:36" s="5" customFormat="1" ht="4" customHeight="1" x14ac:dyDescent="0.15">
      <c r="C7" s="3"/>
      <c r="D7" s="3"/>
      <c r="E7" s="3"/>
      <c r="F7" s="3"/>
      <c r="G7" s="3"/>
      <c r="H7" s="9"/>
      <c r="I7" s="9"/>
      <c r="J7" s="9"/>
      <c r="K7" s="9"/>
      <c r="L7" s="9"/>
      <c r="M7" s="9"/>
      <c r="N7" s="9"/>
      <c r="O7" s="9"/>
      <c r="P7" s="9"/>
      <c r="Q7" s="3"/>
      <c r="R7" s="24"/>
      <c r="S7" s="24"/>
      <c r="T7" s="24"/>
      <c r="U7" s="24"/>
      <c r="V7" s="24"/>
      <c r="W7" s="24"/>
      <c r="X7" s="24"/>
      <c r="Y7" s="24"/>
      <c r="Z7" s="24"/>
      <c r="AA7" s="3"/>
    </row>
    <row r="8" spans="3:36" s="5" customFormat="1" ht="16" customHeight="1" x14ac:dyDescent="0.15">
      <c r="C8" s="3"/>
      <c r="D8" s="100">
        <v>10</v>
      </c>
      <c r="E8" s="6">
        <v>2</v>
      </c>
      <c r="F8" s="6">
        <v>2</v>
      </c>
      <c r="G8" s="3"/>
      <c r="H8" s="10">
        <v>33491.432121618986</v>
      </c>
      <c r="I8" s="10">
        <v>3087.5477274269497</v>
      </c>
      <c r="J8" s="11">
        <v>2.0067773867998042</v>
      </c>
      <c r="K8" s="12">
        <v>2</v>
      </c>
      <c r="L8" s="91">
        <v>90</v>
      </c>
      <c r="M8" s="12">
        <v>21.549728456791481</v>
      </c>
      <c r="N8" s="92">
        <v>15.633315444535734</v>
      </c>
      <c r="O8" s="56">
        <v>1198.8351738085032</v>
      </c>
      <c r="P8" s="64"/>
      <c r="Q8" s="3"/>
      <c r="R8" s="25">
        <v>33491.432121618986</v>
      </c>
      <c r="S8" s="25">
        <v>3087.5477274269497</v>
      </c>
      <c r="T8" s="26">
        <v>1.870275809960003</v>
      </c>
      <c r="U8" s="27">
        <v>2</v>
      </c>
      <c r="V8" s="27">
        <v>90</v>
      </c>
      <c r="W8" s="27">
        <v>21.549728456791481</v>
      </c>
      <c r="X8" s="58">
        <v>15.633315444535736</v>
      </c>
      <c r="Y8" s="58">
        <v>1198.8351738085032</v>
      </c>
      <c r="Z8" s="78"/>
      <c r="AA8" s="3"/>
      <c r="AC8" s="54">
        <f t="shared" ref="AC8:AJ11" si="0">IFERROR((R8-H8)/H8, 0)</f>
        <v>0</v>
      </c>
      <c r="AD8" s="54">
        <f t="shared" si="0"/>
        <v>0</v>
      </c>
      <c r="AE8" s="54">
        <f t="shared" si="0"/>
        <v>-6.8020288517143146E-2</v>
      </c>
      <c r="AF8" s="54">
        <f t="shared" si="0"/>
        <v>0</v>
      </c>
      <c r="AG8" s="54">
        <f t="shared" si="0"/>
        <v>0</v>
      </c>
      <c r="AH8" s="54">
        <f t="shared" si="0"/>
        <v>0</v>
      </c>
      <c r="AI8" s="54">
        <f t="shared" si="0"/>
        <v>1.1362636708140723E-16</v>
      </c>
      <c r="AJ8" s="54">
        <f t="shared" si="0"/>
        <v>0</v>
      </c>
    </row>
    <row r="9" spans="3:36" s="5" customFormat="1" x14ac:dyDescent="0.15">
      <c r="C9" s="3"/>
      <c r="D9" s="101"/>
      <c r="E9" s="3">
        <v>2</v>
      </c>
      <c r="F9" s="3">
        <v>3</v>
      </c>
      <c r="G9" s="3"/>
      <c r="H9" s="14">
        <v>37510.873502364382</v>
      </c>
      <c r="I9" s="14">
        <v>3860.4941179319849</v>
      </c>
      <c r="J9" s="15">
        <v>1.6025389650401483</v>
      </c>
      <c r="K9" s="16">
        <v>1.8</v>
      </c>
      <c r="L9" s="16">
        <v>71.2</v>
      </c>
      <c r="M9" s="16">
        <v>0</v>
      </c>
      <c r="N9" s="57">
        <v>15.127061506776986</v>
      </c>
      <c r="O9" s="57">
        <v>990.56435827408836</v>
      </c>
      <c r="P9" s="69"/>
      <c r="Q9" s="3"/>
      <c r="R9" s="28">
        <v>37510.873502364382</v>
      </c>
      <c r="S9" s="28">
        <v>3860.4941179319849</v>
      </c>
      <c r="T9" s="29">
        <v>1.5081180533603764</v>
      </c>
      <c r="U9" s="30">
        <v>1.8</v>
      </c>
      <c r="V9" s="30">
        <v>71.2</v>
      </c>
      <c r="W9" s="30">
        <v>0</v>
      </c>
      <c r="X9" s="59">
        <v>15.127061506776986</v>
      </c>
      <c r="Y9" s="59">
        <v>990.56435827408836</v>
      </c>
      <c r="Z9" s="81"/>
      <c r="AA9" s="3"/>
      <c r="AC9" s="54">
        <f t="shared" si="0"/>
        <v>0</v>
      </c>
      <c r="AD9" s="54">
        <f t="shared" si="0"/>
        <v>0</v>
      </c>
      <c r="AE9" s="54">
        <f t="shared" si="0"/>
        <v>-5.8919573089697905E-2</v>
      </c>
      <c r="AF9" s="54">
        <f t="shared" si="0"/>
        <v>0</v>
      </c>
      <c r="AG9" s="54">
        <f t="shared" si="0"/>
        <v>0</v>
      </c>
      <c r="AH9" s="54">
        <f t="shared" si="0"/>
        <v>0</v>
      </c>
      <c r="AI9" s="54">
        <f t="shared" si="0"/>
        <v>0</v>
      </c>
      <c r="AJ9" s="54">
        <f t="shared" si="0"/>
        <v>0</v>
      </c>
    </row>
    <row r="10" spans="3:36" s="5" customFormat="1" x14ac:dyDescent="0.15">
      <c r="C10" s="3"/>
      <c r="D10" s="101"/>
      <c r="E10" s="3">
        <v>3</v>
      </c>
      <c r="F10" s="3">
        <v>2</v>
      </c>
      <c r="G10" s="3"/>
      <c r="H10" s="14">
        <v>32939.422341571633</v>
      </c>
      <c r="I10" s="14">
        <v>2265.5495585512326</v>
      </c>
      <c r="J10" s="15">
        <v>1.629621498399938</v>
      </c>
      <c r="K10" s="16">
        <v>2</v>
      </c>
      <c r="L10" s="16">
        <v>88</v>
      </c>
      <c r="M10" s="16">
        <v>5.222547571086098</v>
      </c>
      <c r="N10" s="57">
        <v>14.817922434162242</v>
      </c>
      <c r="O10" s="57">
        <v>1075.5913856667771</v>
      </c>
      <c r="P10" s="69"/>
      <c r="Q10" s="3"/>
      <c r="R10" s="28">
        <v>32939.422341571633</v>
      </c>
      <c r="S10" s="28">
        <v>2265.5495585512326</v>
      </c>
      <c r="T10" s="29">
        <v>1.4588164549594513</v>
      </c>
      <c r="U10" s="30">
        <v>2</v>
      </c>
      <c r="V10" s="30">
        <v>88</v>
      </c>
      <c r="W10" s="30">
        <v>5.222547571086098</v>
      </c>
      <c r="X10" s="59">
        <v>14.817922434162242</v>
      </c>
      <c r="Y10" s="59">
        <v>1075.5913856667771</v>
      </c>
      <c r="Z10" s="81"/>
      <c r="AA10" s="3"/>
      <c r="AC10" s="54">
        <f t="shared" si="0"/>
        <v>0</v>
      </c>
      <c r="AD10" s="54">
        <f t="shared" si="0"/>
        <v>0</v>
      </c>
      <c r="AE10" s="54">
        <f t="shared" si="0"/>
        <v>-0.10481270872297246</v>
      </c>
      <c r="AF10" s="54">
        <f t="shared" si="0"/>
        <v>0</v>
      </c>
      <c r="AG10" s="54">
        <f t="shared" si="0"/>
        <v>0</v>
      </c>
      <c r="AH10" s="54">
        <f t="shared" si="0"/>
        <v>0</v>
      </c>
      <c r="AI10" s="54">
        <f t="shared" si="0"/>
        <v>0</v>
      </c>
      <c r="AJ10" s="54">
        <f t="shared" si="0"/>
        <v>0</v>
      </c>
    </row>
    <row r="11" spans="3:36" s="5" customFormat="1" x14ac:dyDescent="0.15">
      <c r="C11" s="3"/>
      <c r="D11" s="102"/>
      <c r="E11" s="4">
        <v>3</v>
      </c>
      <c r="F11" s="4">
        <v>3</v>
      </c>
      <c r="G11" s="3"/>
      <c r="H11" s="18">
        <v>38316.312830882074</v>
      </c>
      <c r="I11" s="18">
        <v>3677.0642738464639</v>
      </c>
      <c r="J11" s="19">
        <v>2.025510774839836</v>
      </c>
      <c r="K11" s="20">
        <v>3</v>
      </c>
      <c r="L11" s="20">
        <v>94</v>
      </c>
      <c r="M11" s="20">
        <v>0</v>
      </c>
      <c r="N11" s="51">
        <v>9.4788959300620501</v>
      </c>
      <c r="O11" s="51">
        <v>848.84564496889402</v>
      </c>
      <c r="P11" s="72"/>
      <c r="Q11" s="3"/>
      <c r="R11" s="31">
        <v>38316.312830882074</v>
      </c>
      <c r="S11" s="31">
        <v>3677.0642738464639</v>
      </c>
      <c r="T11" s="32">
        <v>1.8736162883194627</v>
      </c>
      <c r="U11" s="33">
        <v>3</v>
      </c>
      <c r="V11" s="33">
        <v>94</v>
      </c>
      <c r="W11" s="33">
        <v>0</v>
      </c>
      <c r="X11" s="60">
        <v>9.4788959300620501</v>
      </c>
      <c r="Y11" s="60">
        <v>848.84564496889402</v>
      </c>
      <c r="Z11" s="84"/>
      <c r="AA11" s="3"/>
      <c r="AC11" s="54">
        <f t="shared" si="0"/>
        <v>0</v>
      </c>
      <c r="AD11" s="54">
        <f t="shared" si="0"/>
        <v>0</v>
      </c>
      <c r="AE11" s="54">
        <f t="shared" si="0"/>
        <v>-7.4990707730194187E-2</v>
      </c>
      <c r="AF11" s="54">
        <f t="shared" si="0"/>
        <v>0</v>
      </c>
      <c r="AG11" s="54">
        <f t="shared" si="0"/>
        <v>0</v>
      </c>
      <c r="AH11" s="54">
        <f t="shared" si="0"/>
        <v>0</v>
      </c>
      <c r="AI11" s="54">
        <f t="shared" si="0"/>
        <v>0</v>
      </c>
      <c r="AJ11" s="54">
        <f t="shared" si="0"/>
        <v>0</v>
      </c>
    </row>
    <row r="12" spans="3:36" s="5" customFormat="1" ht="4" customHeight="1" x14ac:dyDescent="0.15">
      <c r="C12" s="3"/>
      <c r="D12" s="3"/>
      <c r="E12" s="3"/>
      <c r="F12" s="3"/>
      <c r="G12" s="3"/>
      <c r="H12" s="22"/>
      <c r="I12" s="22"/>
      <c r="J12" s="15"/>
      <c r="K12" s="16"/>
      <c r="L12" s="16"/>
      <c r="M12" s="16"/>
      <c r="N12" s="57"/>
      <c r="O12" s="57"/>
      <c r="P12" s="9"/>
      <c r="Q12" s="3"/>
      <c r="R12" s="34"/>
      <c r="S12" s="34"/>
      <c r="T12" s="29"/>
      <c r="U12" s="30"/>
      <c r="V12" s="30"/>
      <c r="W12" s="30"/>
      <c r="X12" s="59"/>
      <c r="Y12" s="59"/>
      <c r="Z12" s="24"/>
      <c r="AA12" s="3"/>
      <c r="AC12" s="54"/>
      <c r="AD12" s="54"/>
      <c r="AE12" s="54"/>
      <c r="AF12" s="54"/>
      <c r="AG12" s="54"/>
      <c r="AH12" s="54"/>
      <c r="AI12" s="54"/>
      <c r="AJ12" s="54"/>
    </row>
    <row r="13" spans="3:36" s="5" customFormat="1" ht="16" customHeight="1" x14ac:dyDescent="0.15">
      <c r="C13" s="3"/>
      <c r="D13" s="100">
        <v>20</v>
      </c>
      <c r="E13" s="6">
        <v>2</v>
      </c>
      <c r="F13" s="6">
        <v>2</v>
      </c>
      <c r="G13" s="3"/>
      <c r="H13" s="10">
        <v>62932.522168178388</v>
      </c>
      <c r="I13" s="10">
        <v>5827.0615666598087</v>
      </c>
      <c r="J13" s="11">
        <v>4.7440798883600657</v>
      </c>
      <c r="K13" s="12">
        <v>2</v>
      </c>
      <c r="L13" s="12">
        <v>85</v>
      </c>
      <c r="M13" s="12">
        <v>35.314407957325948</v>
      </c>
      <c r="N13" s="56">
        <v>21.872732483483773</v>
      </c>
      <c r="O13" s="56">
        <v>1853.1952061690354</v>
      </c>
      <c r="P13" s="75"/>
      <c r="Q13" s="3"/>
      <c r="R13" s="25">
        <v>62932.522168178388</v>
      </c>
      <c r="S13" s="25">
        <v>5827.0615666598087</v>
      </c>
      <c r="T13" s="26">
        <v>5.0591797066785507</v>
      </c>
      <c r="U13" s="27">
        <v>2</v>
      </c>
      <c r="V13" s="27">
        <v>85</v>
      </c>
      <c r="W13" s="27">
        <v>35.314407957325955</v>
      </c>
      <c r="X13" s="58">
        <v>21.872732483483773</v>
      </c>
      <c r="Y13" s="58">
        <v>1853.1952061690358</v>
      </c>
      <c r="Z13" s="78"/>
      <c r="AA13" s="3"/>
      <c r="AC13" s="54">
        <f t="shared" ref="AC13:AJ16" si="1">IFERROR((R13-H13)/H13, 0)</f>
        <v>0</v>
      </c>
      <c r="AD13" s="54">
        <f t="shared" si="1"/>
        <v>0</v>
      </c>
      <c r="AE13" s="54">
        <f t="shared" si="1"/>
        <v>6.6419585195351502E-2</v>
      </c>
      <c r="AF13" s="54">
        <f t="shared" si="1"/>
        <v>0</v>
      </c>
      <c r="AG13" s="54">
        <f t="shared" si="1"/>
        <v>0</v>
      </c>
      <c r="AH13" s="54">
        <f t="shared" si="1"/>
        <v>2.0120477076062622E-16</v>
      </c>
      <c r="AI13" s="54">
        <f t="shared" si="1"/>
        <v>0</v>
      </c>
      <c r="AJ13" s="54">
        <f t="shared" si="1"/>
        <v>2.4538556401002546E-16</v>
      </c>
    </row>
    <row r="14" spans="3:36" s="5" customFormat="1" x14ac:dyDescent="0.15">
      <c r="C14" s="3"/>
      <c r="D14" s="101"/>
      <c r="E14" s="3">
        <v>2</v>
      </c>
      <c r="F14" s="3">
        <v>3</v>
      </c>
      <c r="G14" s="3"/>
      <c r="H14" s="14">
        <v>63419.804504223539</v>
      </c>
      <c r="I14" s="14">
        <v>6840.3005890681052</v>
      </c>
      <c r="J14" s="15">
        <v>3.7963972299998572</v>
      </c>
      <c r="K14" s="16">
        <v>2</v>
      </c>
      <c r="L14" s="16">
        <v>72.8</v>
      </c>
      <c r="M14" s="16">
        <v>2.184388444000541</v>
      </c>
      <c r="N14" s="57">
        <v>16.728448366146054</v>
      </c>
      <c r="O14" s="57">
        <v>1284.6791840900737</v>
      </c>
      <c r="P14" s="69"/>
      <c r="Q14" s="3"/>
      <c r="R14" s="28">
        <v>63419.804504223539</v>
      </c>
      <c r="S14" s="28">
        <v>6840.3005890681052</v>
      </c>
      <c r="T14" s="29">
        <v>3.9396465517202159</v>
      </c>
      <c r="U14" s="30">
        <v>2</v>
      </c>
      <c r="V14" s="30">
        <v>72.8</v>
      </c>
      <c r="W14" s="30">
        <v>2.184388444000541</v>
      </c>
      <c r="X14" s="59">
        <v>16.728448366146054</v>
      </c>
      <c r="Y14" s="59">
        <v>1284.6791840900737</v>
      </c>
      <c r="Z14" s="81"/>
      <c r="AA14" s="3"/>
      <c r="AC14" s="54">
        <f t="shared" si="1"/>
        <v>0</v>
      </c>
      <c r="AD14" s="54">
        <f t="shared" si="1"/>
        <v>0</v>
      </c>
      <c r="AE14" s="54">
        <f t="shared" si="1"/>
        <v>3.773296445071006E-2</v>
      </c>
      <c r="AF14" s="54">
        <f t="shared" si="1"/>
        <v>0</v>
      </c>
      <c r="AG14" s="54">
        <f t="shared" si="1"/>
        <v>0</v>
      </c>
      <c r="AH14" s="54">
        <f t="shared" si="1"/>
        <v>0</v>
      </c>
      <c r="AI14" s="54">
        <f t="shared" si="1"/>
        <v>0</v>
      </c>
      <c r="AJ14" s="54">
        <f t="shared" si="1"/>
        <v>0</v>
      </c>
    </row>
    <row r="15" spans="3:36" s="5" customFormat="1" x14ac:dyDescent="0.15">
      <c r="C15" s="3"/>
      <c r="D15" s="101"/>
      <c r="E15" s="3">
        <v>3</v>
      </c>
      <c r="F15" s="3">
        <v>2</v>
      </c>
      <c r="G15" s="3"/>
      <c r="H15" s="14">
        <v>49992.088336828725</v>
      </c>
      <c r="I15" s="14">
        <v>7274.3433809492399</v>
      </c>
      <c r="J15" s="15">
        <v>2.3054562401201109</v>
      </c>
      <c r="K15" s="16">
        <v>2</v>
      </c>
      <c r="L15" s="16">
        <v>94</v>
      </c>
      <c r="M15" s="16">
        <v>18.086875285632754</v>
      </c>
      <c r="N15" s="57">
        <v>28.754997278263595</v>
      </c>
      <c r="O15" s="57">
        <v>1491.8805648923526</v>
      </c>
      <c r="P15" s="69"/>
      <c r="Q15" s="3"/>
      <c r="R15" s="28">
        <v>49992.088336828725</v>
      </c>
      <c r="S15" s="28">
        <v>7274.3433809492399</v>
      </c>
      <c r="T15" s="29">
        <v>2.232162519959966</v>
      </c>
      <c r="U15" s="30">
        <v>2</v>
      </c>
      <c r="V15" s="30">
        <v>94</v>
      </c>
      <c r="W15" s="30">
        <v>18.086875285632754</v>
      </c>
      <c r="X15" s="59">
        <v>28.754997278263595</v>
      </c>
      <c r="Y15" s="59">
        <v>1491.8805648923526</v>
      </c>
      <c r="Z15" s="81"/>
      <c r="AA15" s="3"/>
      <c r="AC15" s="54">
        <f t="shared" si="1"/>
        <v>0</v>
      </c>
      <c r="AD15" s="54">
        <f t="shared" si="1"/>
        <v>0</v>
      </c>
      <c r="AE15" s="54">
        <f t="shared" si="1"/>
        <v>-3.1791416763705914E-2</v>
      </c>
      <c r="AF15" s="54">
        <f t="shared" si="1"/>
        <v>0</v>
      </c>
      <c r="AG15" s="54">
        <f t="shared" si="1"/>
        <v>0</v>
      </c>
      <c r="AH15" s="54">
        <f t="shared" si="1"/>
        <v>0</v>
      </c>
      <c r="AI15" s="54">
        <f t="shared" si="1"/>
        <v>0</v>
      </c>
      <c r="AJ15" s="54">
        <f t="shared" si="1"/>
        <v>0</v>
      </c>
    </row>
    <row r="16" spans="3:36" s="5" customFormat="1" x14ac:dyDescent="0.15">
      <c r="C16" s="3"/>
      <c r="D16" s="102"/>
      <c r="E16" s="4">
        <v>3</v>
      </c>
      <c r="F16" s="4">
        <v>3</v>
      </c>
      <c r="G16" s="3"/>
      <c r="H16" s="18">
        <v>55742.478270046005</v>
      </c>
      <c r="I16" s="18">
        <v>3386.6658343019653</v>
      </c>
      <c r="J16" s="19">
        <v>4.7035473216000359</v>
      </c>
      <c r="K16" s="20">
        <v>3</v>
      </c>
      <c r="L16" s="20">
        <v>93</v>
      </c>
      <c r="M16" s="20">
        <v>7.6961794382852036</v>
      </c>
      <c r="N16" s="51">
        <v>19.304561788921148</v>
      </c>
      <c r="O16" s="51">
        <v>1227.3526958816256</v>
      </c>
      <c r="P16" s="72"/>
      <c r="Q16" s="3"/>
      <c r="R16" s="31">
        <v>55742.478270046005</v>
      </c>
      <c r="S16" s="31">
        <v>3386.6658343019653</v>
      </c>
      <c r="T16" s="32">
        <v>4.786040323519992</v>
      </c>
      <c r="U16" s="33">
        <v>3</v>
      </c>
      <c r="V16" s="33">
        <v>93</v>
      </c>
      <c r="W16" s="33">
        <v>7.6961794382852036</v>
      </c>
      <c r="X16" s="60">
        <v>19.304561788921148</v>
      </c>
      <c r="Y16" s="60">
        <v>1227.3526958816258</v>
      </c>
      <c r="Z16" s="84"/>
      <c r="AA16" s="3"/>
      <c r="AC16" s="54">
        <f t="shared" si="1"/>
        <v>0</v>
      </c>
      <c r="AD16" s="54">
        <f t="shared" si="1"/>
        <v>0</v>
      </c>
      <c r="AE16" s="54">
        <f t="shared" si="1"/>
        <v>1.7538465392093461E-2</v>
      </c>
      <c r="AF16" s="54">
        <f t="shared" si="1"/>
        <v>0</v>
      </c>
      <c r="AG16" s="54">
        <f t="shared" si="1"/>
        <v>0</v>
      </c>
      <c r="AH16" s="54">
        <f t="shared" si="1"/>
        <v>0</v>
      </c>
      <c r="AI16" s="54">
        <f t="shared" si="1"/>
        <v>0</v>
      </c>
      <c r="AJ16" s="54">
        <f t="shared" si="1"/>
        <v>1.8525536808301561E-16</v>
      </c>
    </row>
    <row r="17" spans="3:36" s="5" customFormat="1" ht="4" customHeight="1" x14ac:dyDescent="0.15">
      <c r="C17" s="3"/>
      <c r="D17" s="3"/>
      <c r="E17" s="3"/>
      <c r="F17" s="3"/>
      <c r="G17" s="3"/>
      <c r="H17" s="22"/>
      <c r="I17" s="22"/>
      <c r="J17" s="15"/>
      <c r="K17" s="16"/>
      <c r="L17" s="16"/>
      <c r="M17" s="16"/>
      <c r="N17" s="57"/>
      <c r="O17" s="57"/>
      <c r="P17" s="9"/>
      <c r="Q17" s="3"/>
      <c r="R17" s="34"/>
      <c r="S17" s="34"/>
      <c r="T17" s="29"/>
      <c r="U17" s="30"/>
      <c r="V17" s="30"/>
      <c r="W17" s="30"/>
      <c r="X17" s="59"/>
      <c r="Y17" s="59"/>
      <c r="Z17" s="24"/>
      <c r="AA17" s="3"/>
      <c r="AC17" s="54"/>
      <c r="AD17" s="54"/>
      <c r="AE17" s="54"/>
      <c r="AF17" s="54"/>
      <c r="AG17" s="54"/>
      <c r="AH17" s="54"/>
      <c r="AI17" s="54"/>
      <c r="AJ17" s="54"/>
    </row>
    <row r="18" spans="3:36" s="5" customFormat="1" x14ac:dyDescent="0.15">
      <c r="C18" s="3"/>
      <c r="D18" s="100">
        <v>30</v>
      </c>
      <c r="E18" s="6">
        <v>2</v>
      </c>
      <c r="F18" s="6">
        <v>2</v>
      </c>
      <c r="G18" s="3"/>
      <c r="H18" s="10">
        <v>96519.907462870033</v>
      </c>
      <c r="I18" s="10">
        <v>4502.6620001270294</v>
      </c>
      <c r="J18" s="11">
        <v>8.9636132316799912</v>
      </c>
      <c r="K18" s="12">
        <v>2</v>
      </c>
      <c r="L18" s="12">
        <v>80.666666666666671</v>
      </c>
      <c r="M18" s="12">
        <v>85.928752773410054</v>
      </c>
      <c r="N18" s="56">
        <v>27.330681761014386</v>
      </c>
      <c r="O18" s="56">
        <v>2006.0903711284664</v>
      </c>
      <c r="P18" s="75"/>
      <c r="Q18" s="3"/>
      <c r="R18" s="25">
        <v>96519.907462870033</v>
      </c>
      <c r="S18" s="25">
        <v>4502.6620001270294</v>
      </c>
      <c r="T18" s="26">
        <v>10.656809235040054</v>
      </c>
      <c r="U18" s="27">
        <v>2</v>
      </c>
      <c r="V18" s="27">
        <v>80.666666666666671</v>
      </c>
      <c r="W18" s="27">
        <v>85.928752773410054</v>
      </c>
      <c r="X18" s="58">
        <v>27.330681761014386</v>
      </c>
      <c r="Y18" s="58">
        <v>2006.0903711284664</v>
      </c>
      <c r="Z18" s="78"/>
      <c r="AA18" s="3"/>
      <c r="AC18" s="54">
        <f t="shared" ref="AC18:AJ21" si="2">IFERROR((R18-H18)/H18, 0)</f>
        <v>0</v>
      </c>
      <c r="AD18" s="54">
        <f t="shared" si="2"/>
        <v>0</v>
      </c>
      <c r="AE18" s="54">
        <f t="shared" si="2"/>
        <v>0.18889659332643005</v>
      </c>
      <c r="AF18" s="54">
        <f t="shared" si="2"/>
        <v>0</v>
      </c>
      <c r="AG18" s="54">
        <f t="shared" si="2"/>
        <v>0</v>
      </c>
      <c r="AH18" s="54">
        <f t="shared" si="2"/>
        <v>0</v>
      </c>
      <c r="AI18" s="54">
        <f t="shared" si="2"/>
        <v>0</v>
      </c>
      <c r="AJ18" s="54">
        <f t="shared" si="2"/>
        <v>0</v>
      </c>
    </row>
    <row r="19" spans="3:36" s="5" customFormat="1" x14ac:dyDescent="0.15">
      <c r="C19" s="3"/>
      <c r="D19" s="101"/>
      <c r="E19" s="3">
        <v>2</v>
      </c>
      <c r="F19" s="3">
        <v>3</v>
      </c>
      <c r="G19" s="3"/>
      <c r="H19" s="14">
        <v>99683.810868953922</v>
      </c>
      <c r="I19" s="14">
        <v>11948.859949855276</v>
      </c>
      <c r="J19" s="15">
        <v>8.8047443784005015</v>
      </c>
      <c r="K19" s="16">
        <v>2.4</v>
      </c>
      <c r="L19" s="16">
        <v>76.933333333333337</v>
      </c>
      <c r="M19" s="16">
        <v>52.11690002149377</v>
      </c>
      <c r="N19" s="57">
        <v>27.533669668105567</v>
      </c>
      <c r="O19" s="57">
        <v>1926.8135798065953</v>
      </c>
      <c r="P19" s="69"/>
      <c r="Q19" s="3"/>
      <c r="R19" s="28">
        <v>99683.810868953922</v>
      </c>
      <c r="S19" s="28">
        <v>11948.859949855276</v>
      </c>
      <c r="T19" s="29">
        <v>9.6526706800000479</v>
      </c>
      <c r="U19" s="30">
        <v>2.4</v>
      </c>
      <c r="V19" s="30">
        <v>76.933333333333337</v>
      </c>
      <c r="W19" s="30">
        <v>52.11690002149377</v>
      </c>
      <c r="X19" s="59">
        <v>27.533669668105567</v>
      </c>
      <c r="Y19" s="59">
        <v>1926.8135798065953</v>
      </c>
      <c r="Z19" s="81"/>
      <c r="AA19" s="3"/>
      <c r="AC19" s="54">
        <f t="shared" si="2"/>
        <v>0</v>
      </c>
      <c r="AD19" s="54">
        <f t="shared" si="2"/>
        <v>0</v>
      </c>
      <c r="AE19" s="54">
        <f t="shared" si="2"/>
        <v>9.6303341148625543E-2</v>
      </c>
      <c r="AF19" s="54">
        <f t="shared" si="2"/>
        <v>0</v>
      </c>
      <c r="AG19" s="54">
        <f t="shared" si="2"/>
        <v>0</v>
      </c>
      <c r="AH19" s="54">
        <f t="shared" si="2"/>
        <v>0</v>
      </c>
      <c r="AI19" s="54">
        <f t="shared" si="2"/>
        <v>0</v>
      </c>
      <c r="AJ19" s="54">
        <f t="shared" si="2"/>
        <v>0</v>
      </c>
    </row>
    <row r="20" spans="3:36" s="5" customFormat="1" x14ac:dyDescent="0.15">
      <c r="C20" s="3"/>
      <c r="D20" s="101"/>
      <c r="E20" s="3">
        <v>3</v>
      </c>
      <c r="F20" s="3">
        <v>2</v>
      </c>
      <c r="G20" s="3"/>
      <c r="H20" s="14">
        <v>75600.71675952911</v>
      </c>
      <c r="I20" s="14">
        <v>7216.4318206371154</v>
      </c>
      <c r="J20" s="15">
        <v>4.2002881717600395</v>
      </c>
      <c r="K20" s="16">
        <v>2.4</v>
      </c>
      <c r="L20" s="16">
        <v>93.333333333333343</v>
      </c>
      <c r="M20" s="16">
        <v>18.708516761718862</v>
      </c>
      <c r="N20" s="57">
        <v>30.631268804840101</v>
      </c>
      <c r="O20" s="57">
        <v>1656.1073072706927</v>
      </c>
      <c r="P20" s="69"/>
      <c r="Q20" s="3"/>
      <c r="R20" s="28">
        <v>76103.389133431017</v>
      </c>
      <c r="S20" s="28">
        <v>7495.9235934731705</v>
      </c>
      <c r="T20" s="29">
        <v>5.1101061966407002</v>
      </c>
      <c r="U20" s="30">
        <v>2.44</v>
      </c>
      <c r="V20" s="30">
        <v>93.066666666666663</v>
      </c>
      <c r="W20" s="30">
        <v>19.463288508616024</v>
      </c>
      <c r="X20" s="59">
        <v>30.075692758381358</v>
      </c>
      <c r="Y20" s="59">
        <v>1650.4790094700013</v>
      </c>
      <c r="Z20" s="81"/>
      <c r="AA20" s="3"/>
      <c r="AC20" s="54">
        <f t="shared" si="2"/>
        <v>6.6490424356796547E-3</v>
      </c>
      <c r="AD20" s="54">
        <f t="shared" si="2"/>
        <v>3.8729912480677982E-2</v>
      </c>
      <c r="AE20" s="54">
        <f t="shared" si="2"/>
        <v>0.2166084772463174</v>
      </c>
      <c r="AF20" s="54">
        <f t="shared" si="2"/>
        <v>1.6666666666666684E-2</v>
      </c>
      <c r="AG20" s="54">
        <f t="shared" si="2"/>
        <v>-2.857142857142999E-3</v>
      </c>
      <c r="AH20" s="54">
        <f t="shared" si="2"/>
        <v>4.0343751271697141E-2</v>
      </c>
      <c r="AI20" s="54">
        <f t="shared" si="2"/>
        <v>-1.8137545982781993E-2</v>
      </c>
      <c r="AJ20" s="54">
        <f t="shared" si="2"/>
        <v>-3.3985103356418069E-3</v>
      </c>
    </row>
    <row r="21" spans="3:36" s="5" customFormat="1" x14ac:dyDescent="0.15">
      <c r="C21" s="3"/>
      <c r="D21" s="102"/>
      <c r="E21" s="4">
        <v>3</v>
      </c>
      <c r="F21" s="4">
        <v>3</v>
      </c>
      <c r="G21" s="3"/>
      <c r="H21" s="18">
        <v>75410.693567646173</v>
      </c>
      <c r="I21" s="18">
        <v>11428.514652481337</v>
      </c>
      <c r="J21" s="19">
        <v>9.7327094366791425</v>
      </c>
      <c r="K21" s="20">
        <v>3</v>
      </c>
      <c r="L21" s="20">
        <v>93.333333333333343</v>
      </c>
      <c r="M21" s="20">
        <v>17.072599697394093</v>
      </c>
      <c r="N21" s="51">
        <v>22.503642542155809</v>
      </c>
      <c r="O21" s="51">
        <v>1461.0301352582544</v>
      </c>
      <c r="P21" s="72"/>
      <c r="Q21" s="3"/>
      <c r="R21" s="31">
        <v>75410.693567646173</v>
      </c>
      <c r="S21" s="31">
        <v>11428.514652481337</v>
      </c>
      <c r="T21" s="32">
        <v>10.682412568240036</v>
      </c>
      <c r="U21" s="33">
        <v>3</v>
      </c>
      <c r="V21" s="33">
        <v>93.333333333333343</v>
      </c>
      <c r="W21" s="33">
        <v>17.072599697394093</v>
      </c>
      <c r="X21" s="60">
        <v>22.503642542155809</v>
      </c>
      <c r="Y21" s="60">
        <v>1461.0301352582544</v>
      </c>
      <c r="Z21" s="84"/>
      <c r="AA21" s="3"/>
      <c r="AC21" s="54">
        <f t="shared" si="2"/>
        <v>0</v>
      </c>
      <c r="AD21" s="54">
        <f t="shared" si="2"/>
        <v>0</v>
      </c>
      <c r="AE21" s="54">
        <f t="shared" si="2"/>
        <v>9.757849422503026E-2</v>
      </c>
      <c r="AF21" s="54">
        <f t="shared" si="2"/>
        <v>0</v>
      </c>
      <c r="AG21" s="54">
        <f t="shared" si="2"/>
        <v>0</v>
      </c>
      <c r="AH21" s="54">
        <f t="shared" si="2"/>
        <v>0</v>
      </c>
      <c r="AI21" s="54">
        <f t="shared" si="2"/>
        <v>0</v>
      </c>
      <c r="AJ21" s="54">
        <f t="shared" si="2"/>
        <v>0</v>
      </c>
    </row>
  </sheetData>
  <mergeCells count="9">
    <mergeCell ref="AC5:AJ5"/>
    <mergeCell ref="D8:D11"/>
    <mergeCell ref="D13:D16"/>
    <mergeCell ref="D18:D21"/>
    <mergeCell ref="R5:Z5"/>
    <mergeCell ref="H5:P5"/>
    <mergeCell ref="F5:F6"/>
    <mergeCell ref="E5:E6"/>
    <mergeCell ref="D5:D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3E6CC-1782-C44F-945C-AB14F150A8B4}">
  <dimension ref="C1:AJ22"/>
  <sheetViews>
    <sheetView zoomScale="130" zoomScaleNormal="130" workbookViewId="0">
      <pane xSplit="6" topLeftCell="G1" activePane="topRight" state="frozen"/>
      <selection pane="topRight" activeCell="H2" sqref="H2"/>
    </sheetView>
  </sheetViews>
  <sheetFormatPr baseColWidth="10" defaultRowHeight="16" x14ac:dyDescent="0.2"/>
  <cols>
    <col min="1" max="2" width="3.33203125" style="2" customWidth="1"/>
    <col min="3" max="3" width="1.5" style="2" customWidth="1"/>
    <col min="4" max="6" width="7.6640625" style="2" customWidth="1"/>
    <col min="7" max="7" width="1.5" style="2" customWidth="1"/>
    <col min="8" max="8" width="12.6640625" style="2" bestFit="1" customWidth="1"/>
    <col min="9" max="9" width="10.6640625" style="2" bestFit="1" customWidth="1"/>
    <col min="10" max="10" width="11.6640625" style="2" bestFit="1" customWidth="1"/>
    <col min="11" max="11" width="10.33203125" style="2" customWidth="1"/>
    <col min="12" max="12" width="15.5" style="2" bestFit="1" customWidth="1"/>
    <col min="13" max="13" width="13.33203125" style="2" bestFit="1" customWidth="1"/>
    <col min="14" max="14" width="16.6640625" style="2" bestFit="1" customWidth="1"/>
    <col min="15" max="15" width="19.1640625" style="2" bestFit="1" customWidth="1"/>
    <col min="16" max="16" width="10.83203125" style="2" customWidth="1"/>
    <col min="17" max="17" width="1.5" style="2" customWidth="1"/>
    <col min="18" max="18" width="12.6640625" style="2" bestFit="1" customWidth="1"/>
    <col min="19" max="19" width="10.6640625" style="2" bestFit="1" customWidth="1"/>
    <col min="20" max="20" width="8.5" style="2" bestFit="1" customWidth="1"/>
    <col min="21" max="21" width="8" style="2" bestFit="1" customWidth="1"/>
    <col min="22" max="22" width="15.5" style="2" customWidth="1"/>
    <col min="23" max="23" width="13.83203125" style="2" bestFit="1" customWidth="1"/>
    <col min="24" max="24" width="22.1640625" style="2" bestFit="1" customWidth="1"/>
    <col min="25" max="25" width="19.5" style="2" bestFit="1" customWidth="1"/>
    <col min="26" max="26" width="7.6640625" style="2" bestFit="1" customWidth="1"/>
    <col min="27" max="27" width="1.5" style="2" customWidth="1"/>
    <col min="28" max="28" width="2" style="2" customWidth="1"/>
    <col min="29" max="29" width="20.1640625" style="2" bestFit="1" customWidth="1"/>
    <col min="30" max="30" width="4.1640625" style="2" customWidth="1"/>
    <col min="31" max="31" width="9.6640625" style="2" bestFit="1" customWidth="1"/>
    <col min="32" max="32" width="10.33203125" style="2" bestFit="1" customWidth="1"/>
    <col min="33" max="33" width="11.5" style="2" bestFit="1" customWidth="1"/>
    <col min="34" max="34" width="13.33203125" style="2" bestFit="1" customWidth="1"/>
    <col min="35" max="35" width="16.6640625" style="2" bestFit="1" customWidth="1"/>
    <col min="36" max="36" width="19.1640625" style="2" bestFit="1" customWidth="1"/>
    <col min="37" max="37" width="1.6640625" style="2" customWidth="1"/>
    <col min="38" max="38" width="2.83203125" style="2" customWidth="1"/>
    <col min="39" max="39" width="2.5" style="2" customWidth="1"/>
    <col min="40" max="16384" width="10.83203125" style="2"/>
  </cols>
  <sheetData>
    <row r="1" spans="3:36" x14ac:dyDescent="0.2">
      <c r="K1" s="63"/>
      <c r="L1" s="63"/>
      <c r="M1" s="63"/>
      <c r="N1" s="63"/>
      <c r="O1" s="63"/>
    </row>
    <row r="2" spans="3:36" x14ac:dyDescent="0.2">
      <c r="K2" s="63"/>
      <c r="L2" s="63"/>
      <c r="M2" s="63"/>
      <c r="N2" s="63"/>
      <c r="O2" s="63"/>
    </row>
    <row r="3" spans="3:36" x14ac:dyDescent="0.2">
      <c r="K3" s="63"/>
      <c r="L3" s="63"/>
      <c r="M3" s="63"/>
      <c r="N3" s="63"/>
      <c r="O3" s="63"/>
    </row>
    <row r="4" spans="3:36" x14ac:dyDescent="0.2">
      <c r="C4" s="1"/>
      <c r="D4" s="104" t="s">
        <v>2</v>
      </c>
      <c r="E4" s="104" t="s">
        <v>3</v>
      </c>
      <c r="F4" s="104" t="s">
        <v>4</v>
      </c>
      <c r="G4" s="1"/>
      <c r="H4" s="104" t="s">
        <v>15</v>
      </c>
      <c r="I4" s="104"/>
      <c r="J4" s="104"/>
      <c r="K4" s="104"/>
      <c r="L4" s="104"/>
      <c r="M4" s="104"/>
      <c r="N4" s="104"/>
      <c r="O4" s="104"/>
      <c r="P4" s="104"/>
      <c r="Q4" s="1"/>
      <c r="R4" s="104" t="s">
        <v>38</v>
      </c>
      <c r="S4" s="104"/>
      <c r="T4" s="104"/>
      <c r="U4" s="104"/>
      <c r="V4" s="104"/>
      <c r="W4" s="104"/>
      <c r="X4" s="104"/>
      <c r="Y4" s="104"/>
      <c r="Z4" s="104"/>
      <c r="AA4" s="1"/>
      <c r="AC4" s="103" t="s">
        <v>39</v>
      </c>
      <c r="AD4" s="103"/>
      <c r="AE4" s="103"/>
      <c r="AF4" s="103"/>
      <c r="AG4" s="103"/>
      <c r="AH4" s="103"/>
      <c r="AI4" s="103"/>
      <c r="AJ4" s="103"/>
    </row>
    <row r="5" spans="3:36" s="5" customFormat="1" ht="13" customHeight="1" x14ac:dyDescent="0.15">
      <c r="C5" s="3"/>
      <c r="D5" s="105"/>
      <c r="E5" s="105"/>
      <c r="F5" s="105"/>
      <c r="G5" s="3"/>
      <c r="H5" s="8" t="s">
        <v>21</v>
      </c>
      <c r="I5" s="8" t="s">
        <v>22</v>
      </c>
      <c r="J5" s="8" t="s">
        <v>1</v>
      </c>
      <c r="K5" s="8" t="s">
        <v>23</v>
      </c>
      <c r="L5" s="8" t="s">
        <v>24</v>
      </c>
      <c r="M5" s="8" t="s">
        <v>5</v>
      </c>
      <c r="N5" s="8" t="s">
        <v>25</v>
      </c>
      <c r="O5" s="8" t="s">
        <v>6</v>
      </c>
      <c r="P5" s="8" t="s">
        <v>26</v>
      </c>
      <c r="Q5" s="3"/>
      <c r="R5" s="23" t="s">
        <v>21</v>
      </c>
      <c r="S5" s="23" t="s">
        <v>22</v>
      </c>
      <c r="T5" s="23" t="s">
        <v>1</v>
      </c>
      <c r="U5" s="23" t="s">
        <v>23</v>
      </c>
      <c r="V5" s="23" t="s">
        <v>24</v>
      </c>
      <c r="W5" s="23" t="s">
        <v>5</v>
      </c>
      <c r="X5" s="23" t="s">
        <v>25</v>
      </c>
      <c r="Y5" s="23" t="s">
        <v>6</v>
      </c>
      <c r="Z5" s="23" t="s">
        <v>26</v>
      </c>
      <c r="AA5" s="3"/>
      <c r="AC5" s="55" t="s">
        <v>0</v>
      </c>
      <c r="AD5" s="55" t="s">
        <v>29</v>
      </c>
      <c r="AE5" s="55" t="s">
        <v>1</v>
      </c>
      <c r="AF5" s="55" t="s">
        <v>23</v>
      </c>
      <c r="AG5" s="55" t="s">
        <v>24</v>
      </c>
      <c r="AH5" s="55" t="s">
        <v>5</v>
      </c>
      <c r="AI5" s="55" t="s">
        <v>25</v>
      </c>
      <c r="AJ5" s="55" t="s">
        <v>6</v>
      </c>
    </row>
    <row r="6" spans="3:36" s="5" customFormat="1" ht="4" customHeight="1" x14ac:dyDescent="0.15">
      <c r="C6" s="3"/>
      <c r="D6" s="3"/>
      <c r="E6" s="3"/>
      <c r="F6" s="3"/>
      <c r="G6" s="3"/>
      <c r="H6" s="9"/>
      <c r="I6" s="9"/>
      <c r="J6" s="9"/>
      <c r="K6" s="9"/>
      <c r="L6" s="9"/>
      <c r="M6" s="9"/>
      <c r="N6" s="9"/>
      <c r="O6" s="9"/>
      <c r="P6" s="9"/>
      <c r="Q6" s="3"/>
      <c r="R6" s="24"/>
      <c r="S6" s="24"/>
      <c r="T6" s="24"/>
      <c r="U6" s="24"/>
      <c r="V6" s="24"/>
      <c r="W6" s="24"/>
      <c r="X6" s="24"/>
      <c r="Y6" s="24"/>
      <c r="Z6" s="24"/>
      <c r="AA6" s="3"/>
    </row>
    <row r="7" spans="3:36" s="5" customFormat="1" ht="16" customHeight="1" x14ac:dyDescent="0.15">
      <c r="C7" s="3"/>
      <c r="D7" s="100">
        <v>10</v>
      </c>
      <c r="E7" s="6">
        <v>2</v>
      </c>
      <c r="F7" s="6">
        <v>2</v>
      </c>
      <c r="G7" s="3"/>
      <c r="H7" s="10">
        <v>33381.947820000001</v>
      </c>
      <c r="I7" s="10">
        <v>2895.120980842612</v>
      </c>
      <c r="J7" s="56">
        <v>1.0820198059999999E-2</v>
      </c>
      <c r="K7" s="12">
        <v>2</v>
      </c>
      <c r="L7" s="65">
        <v>0.88000000000000012</v>
      </c>
      <c r="M7" s="12">
        <v>21.549728456794139</v>
      </c>
      <c r="N7" s="66">
        <v>0.15875650544688713</v>
      </c>
      <c r="O7" s="56">
        <v>1168.4864906424641</v>
      </c>
      <c r="P7" s="96">
        <v>0</v>
      </c>
      <c r="Q7" s="3"/>
      <c r="R7" s="25">
        <v>33381.947820000001</v>
      </c>
      <c r="S7" s="25">
        <v>2895.120980842612</v>
      </c>
      <c r="T7" s="58">
        <v>1.3816042423399999</v>
      </c>
      <c r="U7" s="27">
        <v>2</v>
      </c>
      <c r="V7" s="76">
        <v>0.88000000000000012</v>
      </c>
      <c r="W7" s="27">
        <v>21.549728456797062</v>
      </c>
      <c r="X7" s="77">
        <v>0.1587565054468871</v>
      </c>
      <c r="Y7" s="58">
        <v>1168.4864906424598</v>
      </c>
      <c r="Z7" s="93">
        <v>0</v>
      </c>
      <c r="AA7" s="3"/>
      <c r="AC7" s="54">
        <f t="shared" ref="AC7:AJ10" si="0">IFERROR((R7-H7)/H7, 0)</f>
        <v>0</v>
      </c>
      <c r="AD7" s="54">
        <f t="shared" si="0"/>
        <v>0</v>
      </c>
      <c r="AE7" s="54">
        <f t="shared" si="0"/>
        <v>126.68751871996695</v>
      </c>
      <c r="AF7" s="54">
        <f t="shared" si="0"/>
        <v>0</v>
      </c>
      <c r="AG7" s="54">
        <f t="shared" si="0"/>
        <v>0</v>
      </c>
      <c r="AH7" s="54">
        <f t="shared" si="0"/>
        <v>1.3568075177907767E-13</v>
      </c>
      <c r="AI7" s="54">
        <f t="shared" si="0"/>
        <v>-1.7483110715683204E-16</v>
      </c>
      <c r="AJ7" s="54">
        <f t="shared" si="0"/>
        <v>-3.6971756781253894E-15</v>
      </c>
    </row>
    <row r="8" spans="3:36" s="5" customFormat="1" x14ac:dyDescent="0.15">
      <c r="C8" s="3"/>
      <c r="D8" s="101"/>
      <c r="E8" s="3">
        <v>2</v>
      </c>
      <c r="F8" s="3">
        <v>3</v>
      </c>
      <c r="G8" s="3"/>
      <c r="H8" s="14">
        <v>40603.264034000007</v>
      </c>
      <c r="I8" s="14">
        <v>1551.4970404035842</v>
      </c>
      <c r="J8" s="57">
        <v>1.1811018000000001E-2</v>
      </c>
      <c r="K8" s="16">
        <v>2</v>
      </c>
      <c r="L8" s="67">
        <v>0.7</v>
      </c>
      <c r="M8" s="16">
        <v>0</v>
      </c>
      <c r="N8" s="68">
        <v>0.14552303885346524</v>
      </c>
      <c r="O8" s="57">
        <v>1160.435503613922</v>
      </c>
      <c r="P8" s="17">
        <v>0</v>
      </c>
      <c r="Q8" s="3"/>
      <c r="R8" s="28">
        <v>40603.264034000007</v>
      </c>
      <c r="S8" s="28">
        <v>1551.4970404035842</v>
      </c>
      <c r="T8" s="59">
        <v>2.0540842056399997</v>
      </c>
      <c r="U8" s="30">
        <v>2</v>
      </c>
      <c r="V8" s="79">
        <v>0.7</v>
      </c>
      <c r="W8" s="30">
        <v>0</v>
      </c>
      <c r="X8" s="80">
        <v>0.14552303885346524</v>
      </c>
      <c r="Y8" s="59">
        <v>1160.4355036139023</v>
      </c>
      <c r="Z8" s="94">
        <v>0</v>
      </c>
      <c r="AA8" s="3"/>
      <c r="AC8" s="54">
        <f t="shared" si="0"/>
        <v>0</v>
      </c>
      <c r="AD8" s="54">
        <f t="shared" si="0"/>
        <v>0</v>
      </c>
      <c r="AE8" s="54">
        <f t="shared" si="0"/>
        <v>172.91254552655829</v>
      </c>
      <c r="AF8" s="54">
        <f t="shared" si="0"/>
        <v>0</v>
      </c>
      <c r="AG8" s="54">
        <f t="shared" si="0"/>
        <v>0</v>
      </c>
      <c r="AH8" s="54">
        <f t="shared" si="0"/>
        <v>0</v>
      </c>
      <c r="AI8" s="54">
        <f t="shared" si="0"/>
        <v>0</v>
      </c>
      <c r="AJ8" s="54">
        <f t="shared" si="0"/>
        <v>-1.7046625772786175E-14</v>
      </c>
    </row>
    <row r="9" spans="3:36" s="5" customFormat="1" x14ac:dyDescent="0.15">
      <c r="C9" s="3"/>
      <c r="D9" s="101"/>
      <c r="E9" s="3">
        <v>3</v>
      </c>
      <c r="F9" s="3">
        <v>2</v>
      </c>
      <c r="G9" s="3"/>
      <c r="H9" s="14">
        <v>29132.368362000001</v>
      </c>
      <c r="I9" s="14">
        <v>3125.761853900081</v>
      </c>
      <c r="J9" s="57">
        <v>1.5224027640000002E-2</v>
      </c>
      <c r="K9" s="16">
        <v>2</v>
      </c>
      <c r="L9" s="67">
        <v>0.96</v>
      </c>
      <c r="M9" s="16">
        <v>0</v>
      </c>
      <c r="N9" s="68">
        <v>0.14144326573590474</v>
      </c>
      <c r="O9" s="57">
        <v>1031.7226175999706</v>
      </c>
      <c r="P9" s="17">
        <v>0</v>
      </c>
      <c r="Q9" s="3"/>
      <c r="R9" s="28">
        <v>29132.368362000001</v>
      </c>
      <c r="S9" s="28">
        <v>3125.761853900081</v>
      </c>
      <c r="T9" s="59">
        <v>2.6706123828800004</v>
      </c>
      <c r="U9" s="30">
        <v>2</v>
      </c>
      <c r="V9" s="79">
        <v>0.96</v>
      </c>
      <c r="W9" s="30">
        <v>0</v>
      </c>
      <c r="X9" s="80">
        <v>0.14144326573590474</v>
      </c>
      <c r="Y9" s="59">
        <v>1031.722617599944</v>
      </c>
      <c r="Z9" s="94">
        <v>0</v>
      </c>
      <c r="AA9" s="3"/>
      <c r="AC9" s="54">
        <f t="shared" si="0"/>
        <v>0</v>
      </c>
      <c r="AD9" s="54">
        <f t="shared" si="0"/>
        <v>0</v>
      </c>
      <c r="AE9" s="54">
        <f t="shared" si="0"/>
        <v>174.42088375241548</v>
      </c>
      <c r="AF9" s="54">
        <f t="shared" si="0"/>
        <v>0</v>
      </c>
      <c r="AG9" s="54">
        <f t="shared" si="0"/>
        <v>0</v>
      </c>
      <c r="AH9" s="54">
        <f t="shared" si="0"/>
        <v>0</v>
      </c>
      <c r="AI9" s="54">
        <f t="shared" si="0"/>
        <v>0</v>
      </c>
      <c r="AJ9" s="54">
        <f t="shared" si="0"/>
        <v>-2.5784759947147745E-14</v>
      </c>
    </row>
    <row r="10" spans="3:36" s="5" customFormat="1" x14ac:dyDescent="0.15">
      <c r="C10" s="3"/>
      <c r="D10" s="102"/>
      <c r="E10" s="4">
        <v>3</v>
      </c>
      <c r="F10" s="4">
        <v>3</v>
      </c>
      <c r="G10" s="3"/>
      <c r="H10" s="18">
        <v>35849.781547999999</v>
      </c>
      <c r="I10" s="18">
        <v>3097.6729173467825</v>
      </c>
      <c r="J10" s="51">
        <v>1.6284990300000003E-2</v>
      </c>
      <c r="K10" s="20">
        <v>2.8</v>
      </c>
      <c r="L10" s="70">
        <v>0.96</v>
      </c>
      <c r="M10" s="20">
        <v>0</v>
      </c>
      <c r="N10" s="71">
        <v>9.7646670030721708E-2</v>
      </c>
      <c r="O10" s="51">
        <v>871.44610661983256</v>
      </c>
      <c r="P10" s="21">
        <v>0</v>
      </c>
      <c r="Q10" s="3"/>
      <c r="R10" s="31">
        <v>35849.781547999999</v>
      </c>
      <c r="S10" s="31">
        <v>3097.6729173467825</v>
      </c>
      <c r="T10" s="60">
        <v>3.1189797878400003</v>
      </c>
      <c r="U10" s="33">
        <v>2.8</v>
      </c>
      <c r="V10" s="82">
        <v>0.96</v>
      </c>
      <c r="W10" s="33">
        <v>0</v>
      </c>
      <c r="X10" s="83">
        <v>9.7646670030721708E-2</v>
      </c>
      <c r="Y10" s="60">
        <v>871.44610661981312</v>
      </c>
      <c r="Z10" s="95">
        <v>0</v>
      </c>
      <c r="AA10" s="3"/>
      <c r="AC10" s="54">
        <f t="shared" si="0"/>
        <v>0</v>
      </c>
      <c r="AD10" s="54">
        <f t="shared" si="0"/>
        <v>0</v>
      </c>
      <c r="AE10" s="54">
        <f t="shared" si="0"/>
        <v>190.52481704824839</v>
      </c>
      <c r="AF10" s="54">
        <f t="shared" si="0"/>
        <v>0</v>
      </c>
      <c r="AG10" s="54">
        <f t="shared" si="0"/>
        <v>0</v>
      </c>
      <c r="AH10" s="54">
        <f t="shared" si="0"/>
        <v>0</v>
      </c>
      <c r="AI10" s="54">
        <f t="shared" si="0"/>
        <v>0</v>
      </c>
      <c r="AJ10" s="54">
        <f t="shared" si="0"/>
        <v>-2.2308263359855959E-14</v>
      </c>
    </row>
    <row r="11" spans="3:36" s="5" customFormat="1" ht="4" customHeight="1" x14ac:dyDescent="0.15">
      <c r="C11" s="3"/>
      <c r="D11" s="3"/>
      <c r="E11" s="3"/>
      <c r="F11" s="3"/>
      <c r="G11" s="3"/>
      <c r="H11" s="22"/>
      <c r="I11" s="22"/>
      <c r="J11" s="57"/>
      <c r="K11" s="16"/>
      <c r="L11" s="16"/>
      <c r="M11" s="16"/>
      <c r="N11" s="57"/>
      <c r="O11" s="57"/>
      <c r="P11" s="17"/>
      <c r="Q11" s="3"/>
      <c r="R11" s="34"/>
      <c r="S11" s="34"/>
      <c r="T11" s="59"/>
      <c r="U11" s="30"/>
      <c r="V11" s="30"/>
      <c r="W11" s="30"/>
      <c r="X11" s="59"/>
      <c r="Y11" s="59"/>
      <c r="Z11" s="94"/>
      <c r="AA11" s="3"/>
      <c r="AC11" s="54"/>
      <c r="AD11" s="54"/>
      <c r="AE11" s="54"/>
      <c r="AF11" s="54"/>
      <c r="AG11" s="54"/>
      <c r="AH11" s="54"/>
      <c r="AI11" s="54"/>
      <c r="AJ11" s="54"/>
    </row>
    <row r="12" spans="3:36" s="5" customFormat="1" ht="16" customHeight="1" x14ac:dyDescent="0.15">
      <c r="C12" s="3"/>
      <c r="D12" s="100">
        <v>20</v>
      </c>
      <c r="E12" s="6">
        <v>2</v>
      </c>
      <c r="F12" s="6">
        <v>2</v>
      </c>
      <c r="G12" s="3"/>
      <c r="H12" s="10">
        <v>62017.622973999998</v>
      </c>
      <c r="I12" s="10">
        <v>7686.3212851993867</v>
      </c>
      <c r="J12" s="56">
        <v>9.9410772320000007E-2</v>
      </c>
      <c r="K12" s="12">
        <v>2</v>
      </c>
      <c r="L12" s="73">
        <v>0.85</v>
      </c>
      <c r="M12" s="12">
        <v>34.226454706088361</v>
      </c>
      <c r="N12" s="74">
        <v>0.21733812977709302</v>
      </c>
      <c r="O12" s="56">
        <v>1805.1648848852521</v>
      </c>
      <c r="P12" s="13">
        <v>0</v>
      </c>
      <c r="Q12" s="3"/>
      <c r="R12" s="25">
        <v>62017.602014000004</v>
      </c>
      <c r="S12" s="25">
        <v>7686.2993977943161</v>
      </c>
      <c r="T12" s="58">
        <v>1686.6150024414001</v>
      </c>
      <c r="U12" s="27">
        <v>2</v>
      </c>
      <c r="V12" s="76">
        <v>0.85</v>
      </c>
      <c r="W12" s="27">
        <v>34.226096402198593</v>
      </c>
      <c r="X12" s="77">
        <v>0.21733812977203493</v>
      </c>
      <c r="Y12" s="58">
        <v>1805.1637195164174</v>
      </c>
      <c r="Z12" s="93">
        <v>0</v>
      </c>
      <c r="AA12" s="3"/>
      <c r="AC12" s="54">
        <f t="shared" ref="AC12:AJ15" si="1">IFERROR((R12-H12)/H12, 0)</f>
        <v>-3.3796845137328133E-7</v>
      </c>
      <c r="AD12" s="54">
        <f t="shared" si="1"/>
        <v>-2.8475787387101476E-6</v>
      </c>
      <c r="AE12" s="54">
        <f t="shared" si="1"/>
        <v>16965.119094339614</v>
      </c>
      <c r="AF12" s="54">
        <f t="shared" si="1"/>
        <v>0</v>
      </c>
      <c r="AG12" s="54">
        <f t="shared" si="1"/>
        <v>0</v>
      </c>
      <c r="AH12" s="54">
        <f t="shared" si="1"/>
        <v>-1.0468624134331569E-5</v>
      </c>
      <c r="AI12" s="54">
        <f t="shared" si="1"/>
        <v>-2.3272919660498884E-11</v>
      </c>
      <c r="AJ12" s="54">
        <f t="shared" si="1"/>
        <v>-6.4557473090035667E-7</v>
      </c>
    </row>
    <row r="13" spans="3:36" s="5" customFormat="1" x14ac:dyDescent="0.15">
      <c r="C13" s="3"/>
      <c r="D13" s="101"/>
      <c r="E13" s="3">
        <v>2</v>
      </c>
      <c r="F13" s="3">
        <v>3</v>
      </c>
      <c r="G13" s="3"/>
      <c r="H13" s="14">
        <v>65144.035004000005</v>
      </c>
      <c r="I13" s="14">
        <v>7832.719762851636</v>
      </c>
      <c r="J13" s="57">
        <v>4.9263525000000002E-2</v>
      </c>
      <c r="K13" s="16">
        <v>2</v>
      </c>
      <c r="L13" s="67">
        <v>0.74</v>
      </c>
      <c r="M13" s="16">
        <v>6.8308612961661961</v>
      </c>
      <c r="N13" s="68">
        <v>0.21307518363351646</v>
      </c>
      <c r="O13" s="57">
        <v>1524.7862334374358</v>
      </c>
      <c r="P13" s="17">
        <v>0</v>
      </c>
      <c r="Q13" s="3"/>
      <c r="R13" s="28">
        <v>65143.313836000001</v>
      </c>
      <c r="S13" s="28">
        <v>7833.2069053856658</v>
      </c>
      <c r="T13" s="59">
        <v>428.71454720498002</v>
      </c>
      <c r="U13" s="30">
        <v>2</v>
      </c>
      <c r="V13" s="79">
        <v>0.74</v>
      </c>
      <c r="W13" s="30">
        <v>6.8308612961730004</v>
      </c>
      <c r="X13" s="80">
        <v>0.21307519441037784</v>
      </c>
      <c r="Y13" s="59">
        <v>1524.739622645254</v>
      </c>
      <c r="Z13" s="94">
        <v>2.0000000000000003E-6</v>
      </c>
      <c r="AA13" s="3"/>
      <c r="AC13" s="54">
        <f t="shared" si="1"/>
        <v>-1.1070361238130103E-5</v>
      </c>
      <c r="AD13" s="54">
        <f t="shared" si="1"/>
        <v>6.219328008390528E-5</v>
      </c>
      <c r="AE13" s="54">
        <f t="shared" si="1"/>
        <v>8701.4740354040841</v>
      </c>
      <c r="AF13" s="54">
        <f t="shared" si="1"/>
        <v>0</v>
      </c>
      <c r="AG13" s="54">
        <f t="shared" si="1"/>
        <v>0</v>
      </c>
      <c r="AH13" s="54">
        <f t="shared" si="1"/>
        <v>9.9611667962597557E-13</v>
      </c>
      <c r="AI13" s="54">
        <f t="shared" si="1"/>
        <v>5.057774064413103E-8</v>
      </c>
      <c r="AJ13" s="54">
        <f t="shared" si="1"/>
        <v>-3.0568738856417417E-5</v>
      </c>
    </row>
    <row r="14" spans="3:36" s="5" customFormat="1" x14ac:dyDescent="0.15">
      <c r="C14" s="3"/>
      <c r="D14" s="101"/>
      <c r="E14" s="3">
        <v>3</v>
      </c>
      <c r="F14" s="3">
        <v>2</v>
      </c>
      <c r="G14" s="3"/>
      <c r="H14" s="14">
        <v>52517.463828000007</v>
      </c>
      <c r="I14" s="14">
        <v>8720.6531062861213</v>
      </c>
      <c r="J14" s="57">
        <v>0.41279392244000002</v>
      </c>
      <c r="K14" s="16">
        <v>2.4</v>
      </c>
      <c r="L14" s="67">
        <v>0.97</v>
      </c>
      <c r="M14" s="16">
        <v>24.097527691515634</v>
      </c>
      <c r="N14" s="68">
        <v>0.30131730119662903</v>
      </c>
      <c r="O14" s="57">
        <v>1592.9560095006525</v>
      </c>
      <c r="P14" s="17">
        <v>0</v>
      </c>
      <c r="Q14" s="3"/>
      <c r="R14" s="28">
        <v>52517.463828000007</v>
      </c>
      <c r="S14" s="28">
        <v>8720.6531062861213</v>
      </c>
      <c r="T14" s="59">
        <v>176.60292105673997</v>
      </c>
      <c r="U14" s="30">
        <v>2.4</v>
      </c>
      <c r="V14" s="79">
        <v>0.97</v>
      </c>
      <c r="W14" s="30">
        <v>24.097527691517534</v>
      </c>
      <c r="X14" s="80">
        <v>0.30131730119662903</v>
      </c>
      <c r="Y14" s="59">
        <v>1592.95600950056</v>
      </c>
      <c r="Z14" s="94">
        <v>8.0000000000000013E-6</v>
      </c>
      <c r="AA14" s="3"/>
      <c r="AC14" s="54">
        <f t="shared" si="1"/>
        <v>0</v>
      </c>
      <c r="AD14" s="54">
        <f t="shared" si="1"/>
        <v>0</v>
      </c>
      <c r="AE14" s="54">
        <f t="shared" si="1"/>
        <v>426.82345246957794</v>
      </c>
      <c r="AF14" s="54">
        <f t="shared" si="1"/>
        <v>0</v>
      </c>
      <c r="AG14" s="54">
        <f t="shared" si="1"/>
        <v>0</v>
      </c>
      <c r="AH14" s="54">
        <f t="shared" si="1"/>
        <v>7.8875386823498726E-14</v>
      </c>
      <c r="AI14" s="54">
        <f t="shared" si="1"/>
        <v>0</v>
      </c>
      <c r="AJ14" s="54">
        <f t="shared" si="1"/>
        <v>-5.8093936903131755E-14</v>
      </c>
    </row>
    <row r="15" spans="3:36" s="5" customFormat="1" x14ac:dyDescent="0.15">
      <c r="C15" s="3"/>
      <c r="D15" s="102"/>
      <c r="E15" s="4">
        <v>3</v>
      </c>
      <c r="F15" s="4">
        <v>3</v>
      </c>
      <c r="G15" s="3"/>
      <c r="H15" s="18">
        <v>58731.619143999997</v>
      </c>
      <c r="I15" s="18">
        <v>6306.285205872794</v>
      </c>
      <c r="J15" s="51">
        <v>9.1556787479999999E-2</v>
      </c>
      <c r="K15" s="20">
        <v>2.6</v>
      </c>
      <c r="L15" s="70">
        <v>0.9</v>
      </c>
      <c r="M15" s="20">
        <v>30.280041459917516</v>
      </c>
      <c r="N15" s="71">
        <v>0.18768848354024067</v>
      </c>
      <c r="O15" s="51">
        <v>1437.1268499450973</v>
      </c>
      <c r="P15" s="21">
        <v>0</v>
      </c>
      <c r="Q15" s="3"/>
      <c r="R15" s="31">
        <v>58730.976135999997</v>
      </c>
      <c r="S15" s="31">
        <v>6306.532254366909</v>
      </c>
      <c r="T15" s="60">
        <v>149.9734473705</v>
      </c>
      <c r="U15" s="33">
        <v>2.6</v>
      </c>
      <c r="V15" s="82">
        <v>0.9</v>
      </c>
      <c r="W15" s="33">
        <v>30.279882802974214</v>
      </c>
      <c r="X15" s="83">
        <v>0.1876884667044989</v>
      </c>
      <c r="Y15" s="60">
        <v>1437.0911502257302</v>
      </c>
      <c r="Z15" s="95">
        <v>0</v>
      </c>
      <c r="AA15" s="3"/>
      <c r="AC15" s="54">
        <f t="shared" si="1"/>
        <v>-1.0948242350045765E-5</v>
      </c>
      <c r="AD15" s="54">
        <f t="shared" si="1"/>
        <v>3.917496371476185E-5</v>
      </c>
      <c r="AE15" s="54">
        <f t="shared" si="1"/>
        <v>1637.0374573896092</v>
      </c>
      <c r="AF15" s="54">
        <f t="shared" si="1"/>
        <v>0</v>
      </c>
      <c r="AG15" s="54">
        <f t="shared" si="1"/>
        <v>0</v>
      </c>
      <c r="AH15" s="54">
        <f t="shared" si="1"/>
        <v>-5.2396540973143236E-6</v>
      </c>
      <c r="AI15" s="54">
        <f t="shared" si="1"/>
        <v>-8.9700451809042855E-8</v>
      </c>
      <c r="AJ15" s="54">
        <f t="shared" si="1"/>
        <v>-2.4841035687625135E-5</v>
      </c>
    </row>
    <row r="16" spans="3:36" s="5" customFormat="1" ht="4" customHeight="1" x14ac:dyDescent="0.15">
      <c r="C16" s="3"/>
      <c r="D16" s="3"/>
      <c r="E16" s="3"/>
      <c r="F16" s="3"/>
      <c r="G16" s="3"/>
      <c r="H16" s="22"/>
      <c r="I16" s="22"/>
      <c r="J16" s="57"/>
      <c r="K16" s="16"/>
      <c r="L16" s="16"/>
      <c r="M16" s="16"/>
      <c r="N16" s="57"/>
      <c r="O16" s="57"/>
      <c r="P16" s="17"/>
      <c r="Q16" s="3"/>
      <c r="R16" s="34"/>
      <c r="S16" s="34"/>
      <c r="T16" s="59"/>
      <c r="U16" s="30"/>
      <c r="V16" s="30"/>
      <c r="W16" s="30"/>
      <c r="X16" s="59"/>
      <c r="Y16" s="59"/>
      <c r="Z16" s="94"/>
      <c r="AA16" s="3"/>
      <c r="AC16" s="54"/>
      <c r="AD16" s="54"/>
      <c r="AE16" s="54"/>
      <c r="AF16" s="54"/>
      <c r="AG16" s="54"/>
      <c r="AH16" s="54"/>
      <c r="AI16" s="54"/>
      <c r="AJ16" s="54"/>
    </row>
    <row r="17" spans="3:36" s="5" customFormat="1" x14ac:dyDescent="0.15">
      <c r="C17" s="3"/>
      <c r="D17" s="100">
        <v>30</v>
      </c>
      <c r="E17" s="6">
        <v>2</v>
      </c>
      <c r="F17" s="6">
        <v>2</v>
      </c>
      <c r="G17" s="3"/>
      <c r="H17" s="10">
        <v>85179.137756000011</v>
      </c>
      <c r="I17" s="10">
        <v>13390.372333408155</v>
      </c>
      <c r="J17" s="56">
        <v>9.2758992195000012</v>
      </c>
      <c r="K17" s="12">
        <v>2</v>
      </c>
      <c r="L17" s="73">
        <v>0.88000000000000012</v>
      </c>
      <c r="M17" s="12">
        <v>54.611139954554105</v>
      </c>
      <c r="N17" s="74">
        <v>0.35328822365559331</v>
      </c>
      <c r="O17" s="56">
        <v>1929.6450580261535</v>
      </c>
      <c r="P17" s="13">
        <v>0</v>
      </c>
      <c r="Q17" s="3"/>
      <c r="R17" s="25">
        <v>85173.49322199999</v>
      </c>
      <c r="S17" s="25">
        <v>13386.328332958597</v>
      </c>
      <c r="T17" s="58">
        <v>5809.7701501846204</v>
      </c>
      <c r="U17" s="27">
        <v>2</v>
      </c>
      <c r="V17" s="76">
        <v>0.88000000000000012</v>
      </c>
      <c r="W17" s="27">
        <v>54.540129153179976</v>
      </c>
      <c r="X17" s="77">
        <v>0.35328815438270811</v>
      </c>
      <c r="Y17" s="58">
        <v>1929.4870190327933</v>
      </c>
      <c r="Z17" s="93">
        <v>18.272511999999999</v>
      </c>
      <c r="AA17" s="3"/>
      <c r="AC17" s="54">
        <f t="shared" ref="AC17:AJ20" si="2">IFERROR((R17-H17)/H17, 0)</f>
        <v>-6.6266625240912815E-5</v>
      </c>
      <c r="AD17" s="54">
        <f t="shared" si="2"/>
        <v>-3.0200806585998439E-4</v>
      </c>
      <c r="AE17" s="54">
        <f t="shared" si="2"/>
        <v>625.32958947755628</v>
      </c>
      <c r="AF17" s="54">
        <f t="shared" si="2"/>
        <v>0</v>
      </c>
      <c r="AG17" s="54">
        <f t="shared" si="2"/>
        <v>0</v>
      </c>
      <c r="AH17" s="54">
        <f t="shared" si="2"/>
        <v>-1.300298829748332E-3</v>
      </c>
      <c r="AI17" s="54">
        <f t="shared" si="2"/>
        <v>-1.9608036885314795E-7</v>
      </c>
      <c r="AJ17" s="54">
        <f t="shared" si="2"/>
        <v>-8.1900550934382735E-5</v>
      </c>
    </row>
    <row r="18" spans="3:36" s="5" customFormat="1" x14ac:dyDescent="0.15">
      <c r="C18" s="3"/>
      <c r="D18" s="101"/>
      <c r="E18" s="3">
        <v>2</v>
      </c>
      <c r="F18" s="3">
        <v>3</v>
      </c>
      <c r="G18" s="3"/>
      <c r="H18" s="14">
        <v>91412.240001999991</v>
      </c>
      <c r="I18" s="14">
        <v>8342.630516464862</v>
      </c>
      <c r="J18" s="57">
        <v>2.9124660015199999</v>
      </c>
      <c r="K18" s="16">
        <v>2.6</v>
      </c>
      <c r="L18" s="67">
        <v>0.83999999999999986</v>
      </c>
      <c r="M18" s="16">
        <v>38.901319004250482</v>
      </c>
      <c r="N18" s="68">
        <v>0.32699768584522271</v>
      </c>
      <c r="O18" s="57">
        <v>1846.9158451584128</v>
      </c>
      <c r="P18" s="17">
        <v>2.0000000000000003E-6</v>
      </c>
      <c r="Q18" s="3"/>
      <c r="R18" s="28">
        <v>91403.616627999989</v>
      </c>
      <c r="S18" s="28">
        <v>8339.5317671357952</v>
      </c>
      <c r="T18" s="59">
        <v>6823.5629906177801</v>
      </c>
      <c r="U18" s="30">
        <v>2.6</v>
      </c>
      <c r="V18" s="79">
        <v>0.83999999999999986</v>
      </c>
      <c r="W18" s="30">
        <v>38.875998117688042</v>
      </c>
      <c r="X18" s="80">
        <v>0.3269976889346814</v>
      </c>
      <c r="Y18" s="59">
        <v>1846.6157448885631</v>
      </c>
      <c r="Z18" s="94">
        <v>15.193097999999997</v>
      </c>
      <c r="AA18" s="3"/>
      <c r="AC18" s="54">
        <f t="shared" si="2"/>
        <v>-9.4335003713002152E-5</v>
      </c>
      <c r="AD18" s="54">
        <f t="shared" si="2"/>
        <v>-3.7143552299854853E-4</v>
      </c>
      <c r="AE18" s="54">
        <f t="shared" si="2"/>
        <v>2341.8815948603692</v>
      </c>
      <c r="AF18" s="54">
        <f t="shared" si="2"/>
        <v>0</v>
      </c>
      <c r="AG18" s="54">
        <f t="shared" si="2"/>
        <v>0</v>
      </c>
      <c r="AH18" s="54">
        <f t="shared" si="2"/>
        <v>-6.5090046328952235E-4</v>
      </c>
      <c r="AI18" s="54">
        <f t="shared" si="2"/>
        <v>9.4479527611662139E-9</v>
      </c>
      <c r="AJ18" s="54">
        <f t="shared" si="2"/>
        <v>-1.6248724631197036E-4</v>
      </c>
    </row>
    <row r="19" spans="3:36" s="5" customFormat="1" x14ac:dyDescent="0.15">
      <c r="C19" s="3"/>
      <c r="D19" s="101"/>
      <c r="E19" s="3">
        <v>3</v>
      </c>
      <c r="F19" s="3">
        <v>2</v>
      </c>
      <c r="G19" s="3"/>
      <c r="H19" s="14">
        <v>72732.137894</v>
      </c>
      <c r="I19" s="14">
        <v>8859.5035541992202</v>
      </c>
      <c r="J19" s="57">
        <v>5.2902830123999998</v>
      </c>
      <c r="K19" s="16">
        <v>2.6</v>
      </c>
      <c r="L19" s="67">
        <v>0.95333333333333337</v>
      </c>
      <c r="M19" s="16">
        <v>11.844382371552419</v>
      </c>
      <c r="N19" s="68">
        <v>0.29548168718981244</v>
      </c>
      <c r="O19" s="57">
        <v>1558.6113978473852</v>
      </c>
      <c r="P19" s="17">
        <v>1.9040000000000001E-3</v>
      </c>
      <c r="Q19" s="3"/>
      <c r="R19" s="28">
        <v>72725.335248000003</v>
      </c>
      <c r="S19" s="28">
        <v>8849.9636165991724</v>
      </c>
      <c r="T19" s="59">
        <v>2282.3165073871596</v>
      </c>
      <c r="U19" s="30">
        <v>2.6</v>
      </c>
      <c r="V19" s="79">
        <v>0.95333333333333337</v>
      </c>
      <c r="W19" s="30">
        <v>11.844382371539449</v>
      </c>
      <c r="X19" s="80">
        <v>0.29548170724073425</v>
      </c>
      <c r="Y19" s="59">
        <v>1558.4093707819109</v>
      </c>
      <c r="Z19" s="94">
        <v>4.2692740000000002</v>
      </c>
      <c r="AA19" s="3"/>
      <c r="AC19" s="54">
        <f t="shared" si="2"/>
        <v>-9.3530125704687118E-5</v>
      </c>
      <c r="AD19" s="54">
        <f t="shared" si="2"/>
        <v>-1.0768027284695932E-3</v>
      </c>
      <c r="AE19" s="54">
        <f t="shared" si="2"/>
        <v>430.41671287482967</v>
      </c>
      <c r="AF19" s="54">
        <f t="shared" si="2"/>
        <v>0</v>
      </c>
      <c r="AG19" s="54">
        <f t="shared" si="2"/>
        <v>0</v>
      </c>
      <c r="AH19" s="54">
        <f t="shared" si="2"/>
        <v>-1.0949647586192698E-12</v>
      </c>
      <c r="AI19" s="54">
        <f t="shared" si="2"/>
        <v>6.7858424670855746E-8</v>
      </c>
      <c r="AJ19" s="54">
        <f t="shared" si="2"/>
        <v>-1.2961990766483655E-4</v>
      </c>
    </row>
    <row r="20" spans="3:36" s="5" customFormat="1" x14ac:dyDescent="0.15">
      <c r="C20" s="3"/>
      <c r="D20" s="102"/>
      <c r="E20" s="4">
        <v>3</v>
      </c>
      <c r="F20" s="4">
        <v>3</v>
      </c>
      <c r="G20" s="3"/>
      <c r="H20" s="18">
        <v>78074.867341999983</v>
      </c>
      <c r="I20" s="18">
        <v>9343.0576272042344</v>
      </c>
      <c r="J20" s="51">
        <v>4.5797048091799999</v>
      </c>
      <c r="K20" s="20">
        <v>3</v>
      </c>
      <c r="L20" s="70">
        <v>0.93333333333333335</v>
      </c>
      <c r="M20" s="20">
        <v>27.176528904709954</v>
      </c>
      <c r="N20" s="71">
        <v>0.25995756310164564</v>
      </c>
      <c r="O20" s="51">
        <v>1548.2984048249614</v>
      </c>
      <c r="P20" s="21">
        <v>0</v>
      </c>
      <c r="Q20" s="3"/>
      <c r="R20" s="31">
        <v>78043.101547999991</v>
      </c>
      <c r="S20" s="31">
        <v>9307.4242607513697</v>
      </c>
      <c r="T20" s="60">
        <v>7356.5672454357191</v>
      </c>
      <c r="U20" s="33">
        <v>3</v>
      </c>
      <c r="V20" s="82">
        <v>0.93333333333333335</v>
      </c>
      <c r="W20" s="33">
        <v>26.961468002128136</v>
      </c>
      <c r="X20" s="83">
        <v>0.25995750470293477</v>
      </c>
      <c r="Y20" s="60">
        <v>1547.2844845827349</v>
      </c>
      <c r="Z20" s="95">
        <v>12.924879999999998</v>
      </c>
      <c r="AA20" s="3"/>
      <c r="AC20" s="54">
        <f t="shared" si="2"/>
        <v>-4.0686324654058654E-4</v>
      </c>
      <c r="AD20" s="54">
        <f t="shared" si="2"/>
        <v>-3.8138870458329236E-3</v>
      </c>
      <c r="AE20" s="54">
        <f t="shared" si="2"/>
        <v>1605.3409219497094</v>
      </c>
      <c r="AF20" s="54">
        <f t="shared" si="2"/>
        <v>0</v>
      </c>
      <c r="AG20" s="54">
        <f t="shared" si="2"/>
        <v>0</v>
      </c>
      <c r="AH20" s="54">
        <f t="shared" si="2"/>
        <v>-7.9134794342535144E-3</v>
      </c>
      <c r="AI20" s="54">
        <f t="shared" si="2"/>
        <v>-2.2464709304983008E-7</v>
      </c>
      <c r="AJ20" s="54">
        <f t="shared" si="2"/>
        <v>-6.5486100035162819E-4</v>
      </c>
    </row>
    <row r="22" spans="3:36" x14ac:dyDescent="0.2">
      <c r="R22" s="53"/>
      <c r="S22" s="53"/>
      <c r="T22" s="53"/>
      <c r="U22" s="53"/>
      <c r="V22" s="53"/>
      <c r="W22" s="53"/>
      <c r="X22" s="53"/>
      <c r="Y22" s="53"/>
    </row>
  </sheetData>
  <mergeCells count="9">
    <mergeCell ref="AC4:AJ4"/>
    <mergeCell ref="D7:D10"/>
    <mergeCell ref="D12:D15"/>
    <mergeCell ref="D17:D20"/>
    <mergeCell ref="D4:D5"/>
    <mergeCell ref="E4:E5"/>
    <mergeCell ref="F4:F5"/>
    <mergeCell ref="H4:P4"/>
    <mergeCell ref="R4:Z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A1B6-261D-8C44-AF16-88615C82BCB0}">
  <dimension ref="C1:BD44"/>
  <sheetViews>
    <sheetView zoomScale="130" zoomScaleNormal="130" workbookViewId="0">
      <pane xSplit="6" topLeftCell="G1" activePane="topRight" state="frozen"/>
      <selection pane="topRight" activeCell="H1" sqref="H1"/>
    </sheetView>
  </sheetViews>
  <sheetFormatPr baseColWidth="10" defaultRowHeight="16" x14ac:dyDescent="0.2"/>
  <cols>
    <col min="1" max="2" width="3.33203125" style="2" customWidth="1"/>
    <col min="3" max="3" width="1.5" style="2" customWidth="1"/>
    <col min="4" max="6" width="7.6640625" style="2" customWidth="1"/>
    <col min="7" max="7" width="1.5" style="2" customWidth="1"/>
    <col min="8" max="8" width="12.6640625" style="2" bestFit="1" customWidth="1"/>
    <col min="9" max="9" width="10.6640625" style="2" bestFit="1" customWidth="1"/>
    <col min="10" max="10" width="11.6640625" style="2" bestFit="1" customWidth="1"/>
    <col min="11" max="11" width="10.33203125" style="2" customWidth="1"/>
    <col min="12" max="12" width="15.5" style="2" bestFit="1" customWidth="1"/>
    <col min="13" max="13" width="13.33203125" style="2" bestFit="1" customWidth="1"/>
    <col min="14" max="14" width="16.6640625" style="2" bestFit="1" customWidth="1"/>
    <col min="15" max="15" width="19.1640625" style="2" bestFit="1" customWidth="1"/>
    <col min="16" max="16" width="10.83203125" style="2" customWidth="1"/>
    <col min="17" max="17" width="1.5" style="2" customWidth="1"/>
    <col min="18" max="18" width="12.6640625" style="2" bestFit="1" customWidth="1"/>
    <col min="19" max="19" width="10.6640625" style="2" bestFit="1" customWidth="1"/>
    <col min="20" max="20" width="8.5" style="2" bestFit="1" customWidth="1"/>
    <col min="21" max="21" width="8" style="2" bestFit="1" customWidth="1"/>
    <col min="22" max="22" width="15.5" style="2" customWidth="1"/>
    <col min="23" max="23" width="13.83203125" style="2" bestFit="1" customWidth="1"/>
    <col min="24" max="24" width="22.1640625" style="2" bestFit="1" customWidth="1"/>
    <col min="25" max="25" width="19.5" style="2" bestFit="1" customWidth="1"/>
    <col min="26" max="26" width="7.6640625" style="2" bestFit="1" customWidth="1"/>
    <col min="27" max="27" width="1.5" style="2" customWidth="1"/>
    <col min="28" max="29" width="10.83203125" style="2"/>
    <col min="30" max="30" width="11.6640625" style="2" bestFit="1" customWidth="1"/>
    <col min="31" max="31" width="10.33203125" style="2" customWidth="1"/>
    <col min="32" max="32" width="15.5" style="2" customWidth="1"/>
    <col min="33" max="33" width="13.33203125" style="2" bestFit="1" customWidth="1"/>
    <col min="34" max="34" width="19.33203125" style="2" bestFit="1" customWidth="1"/>
    <col min="35" max="35" width="19.6640625" style="2" bestFit="1" customWidth="1"/>
    <col min="36" max="36" width="10.83203125" style="2"/>
    <col min="37" max="37" width="1.6640625" style="2" customWidth="1"/>
    <col min="38" max="38" width="2" style="2" customWidth="1"/>
    <col min="39" max="39" width="20.1640625" style="2" bestFit="1" customWidth="1"/>
    <col min="40" max="40" width="4.1640625" style="2" customWidth="1"/>
    <col min="41" max="41" width="5.33203125" style="2" bestFit="1" customWidth="1"/>
    <col min="42" max="42" width="10.33203125" style="2" bestFit="1" customWidth="1"/>
    <col min="43" max="43" width="11.5" style="2" bestFit="1" customWidth="1"/>
    <col min="44" max="44" width="13.33203125" style="2" bestFit="1" customWidth="1"/>
    <col min="45" max="45" width="16.6640625" style="2" bestFit="1" customWidth="1"/>
    <col min="46" max="46" width="19.1640625" style="2" bestFit="1" customWidth="1"/>
    <col min="47" max="47" width="2" style="2" customWidth="1"/>
    <col min="48" max="48" width="1.6640625" style="2" customWidth="1"/>
    <col min="49" max="49" width="7.5" style="2" bestFit="1" customWidth="1"/>
    <col min="50" max="50" width="4.1640625" style="2" customWidth="1"/>
    <col min="51" max="51" width="6.33203125" style="2" bestFit="1" customWidth="1"/>
    <col min="52" max="52" width="10.33203125" style="2" bestFit="1" customWidth="1"/>
    <col min="53" max="53" width="11.5" style="2" bestFit="1" customWidth="1"/>
    <col min="54" max="54" width="13.33203125" style="2" bestFit="1" customWidth="1"/>
    <col min="55" max="55" width="16.6640625" style="2" bestFit="1" customWidth="1"/>
    <col min="56" max="56" width="19.1640625" style="2" bestFit="1" customWidth="1"/>
    <col min="57" max="57" width="1.6640625" style="2" customWidth="1"/>
    <col min="58" max="58" width="2.83203125" style="2" customWidth="1"/>
    <col min="59" max="59" width="2.5" style="2" customWidth="1"/>
    <col min="60" max="16384" width="10.83203125" style="2"/>
  </cols>
  <sheetData>
    <row r="1" spans="3:56" x14ac:dyDescent="0.2">
      <c r="K1" s="63">
        <f>AVERAGE(K11:K14)</f>
        <v>10.175000000000001</v>
      </c>
      <c r="L1" s="63">
        <f>AVERAGE(L11:L14)</f>
        <v>92.2</v>
      </c>
      <c r="M1" s="63">
        <f>AVERAGE(M11:M14)</f>
        <v>611.41102392626226</v>
      </c>
      <c r="N1" s="63">
        <f>AVERAGE(N11:N14)</f>
        <v>35.137051092901608</v>
      </c>
      <c r="O1" s="63">
        <f>AVERAGE(O11:O14)</f>
        <v>5334.3317066383315</v>
      </c>
    </row>
    <row r="2" spans="3:56" x14ac:dyDescent="0.2">
      <c r="K2" s="63">
        <f>AVERAGE(K16:K19)</f>
        <v>11.649999999999999</v>
      </c>
      <c r="L2" s="63">
        <f>AVERAGE(L16:L19)</f>
        <v>87.733333333333334</v>
      </c>
      <c r="M2" s="63">
        <f>AVERAGE(M16:M19)</f>
        <v>959.45374574400944</v>
      </c>
      <c r="N2" s="63">
        <f>AVERAGE(N16:N19)</f>
        <v>41.525929791619717</v>
      </c>
      <c r="O2" s="63">
        <f>AVERAGE(O16:O19)</f>
        <v>6146.2029176387559</v>
      </c>
    </row>
    <row r="3" spans="3:56" x14ac:dyDescent="0.2">
      <c r="K3" s="63">
        <f>AVERAGE(K21:K24)</f>
        <v>13.324999999999999</v>
      </c>
      <c r="L3" s="63">
        <f>AVERAGE(L21:L24)</f>
        <v>80.974999999999994</v>
      </c>
      <c r="M3" s="63">
        <f>AVERAGE(M21:M24)</f>
        <v>1174.3317898626765</v>
      </c>
      <c r="N3" s="63">
        <f>AVERAGE(N21:N24)</f>
        <v>43.518881455857951</v>
      </c>
      <c r="O3" s="63">
        <f>AVERAGE(O21:O24)</f>
        <v>6481.4468319661801</v>
      </c>
      <c r="AB3" s="7" t="s">
        <v>7</v>
      </c>
      <c r="AC3" s="7"/>
      <c r="AD3" s="7" t="s">
        <v>8</v>
      </c>
      <c r="AE3" s="7" t="s">
        <v>9</v>
      </c>
      <c r="AF3" s="7" t="s">
        <v>10</v>
      </c>
      <c r="AG3" s="7" t="s">
        <v>11</v>
      </c>
      <c r="AH3" s="7" t="s">
        <v>12</v>
      </c>
      <c r="AI3" s="7" t="s">
        <v>13</v>
      </c>
      <c r="AJ3" s="2" t="s">
        <v>14</v>
      </c>
    </row>
    <row r="4" spans="3:56" x14ac:dyDescent="0.2">
      <c r="K4" s="63">
        <f>AVERAGE(K11:K12,K16:K17,K21:K22)</f>
        <v>10.083333333333334</v>
      </c>
      <c r="L4" s="63">
        <f>AVERAGE(L11:L12,L16:L17,L21:L22)</f>
        <v>78.675000000000011</v>
      </c>
      <c r="M4" s="63">
        <f>AVERAGE(M11:M12,M16:M17,M21:M22)</f>
        <v>1359.1742502400684</v>
      </c>
      <c r="N4" s="63">
        <f>AVERAGE(N11:N12,N16:N17,N21:N22)</f>
        <v>40.579918776573287</v>
      </c>
      <c r="O4" s="63">
        <f>AVERAGE(O11:O12,O16:O17,O21:O22)</f>
        <v>6628.1985913876379</v>
      </c>
      <c r="R4" s="53"/>
      <c r="S4" s="53"/>
      <c r="T4" s="53"/>
      <c r="U4" s="53"/>
      <c r="V4" s="53"/>
      <c r="W4" s="53"/>
      <c r="X4" s="53"/>
      <c r="Y4" s="53"/>
    </row>
    <row r="5" spans="3:56" x14ac:dyDescent="0.2">
      <c r="K5" s="63">
        <f>AVERAGE(K13:K14,K18:K19,K23:K24)</f>
        <v>13.35</v>
      </c>
      <c r="L5" s="63">
        <f>AVERAGE(L13:L14,L18:L19,L23:L24)</f>
        <v>95.2638888888889</v>
      </c>
      <c r="M5" s="63">
        <f>AVERAGE(M13:M14,M18:M19,M23:M24)</f>
        <v>470.95678944856354</v>
      </c>
      <c r="N5" s="63">
        <f>AVERAGE(N13:N14,N18:N19,N23:N24)</f>
        <v>39.541322783679568</v>
      </c>
      <c r="O5" s="63">
        <f>AVERAGE(O13:O14,O18:O19,O23:O24)</f>
        <v>5346.4557127745402</v>
      </c>
      <c r="R5" s="53"/>
      <c r="S5" s="53"/>
      <c r="T5" s="53"/>
      <c r="U5" s="53"/>
      <c r="V5" s="53"/>
      <c r="W5" s="53"/>
      <c r="X5" s="53"/>
      <c r="Y5" s="53"/>
    </row>
    <row r="6" spans="3:56" x14ac:dyDescent="0.2">
      <c r="K6" s="63">
        <f t="shared" ref="K6:O7" si="0">AVERAGE(K11,K13,K16,K18,K21,K23)</f>
        <v>11.35</v>
      </c>
      <c r="L6" s="63">
        <f t="shared" si="0"/>
        <v>88.427777777777763</v>
      </c>
      <c r="M6" s="63">
        <f t="shared" si="0"/>
        <v>889.28746371812122</v>
      </c>
      <c r="N6" s="63">
        <f t="shared" si="0"/>
        <v>41.98056730738228</v>
      </c>
      <c r="O6" s="63">
        <f t="shared" si="0"/>
        <v>6037.1609255107142</v>
      </c>
      <c r="R6" s="53"/>
      <c r="S6" s="53"/>
      <c r="T6" s="53"/>
      <c r="U6" s="53"/>
      <c r="V6" s="53"/>
      <c r="W6" s="53"/>
      <c r="X6" s="53"/>
      <c r="Y6" s="53"/>
    </row>
    <row r="7" spans="3:56" x14ac:dyDescent="0.2">
      <c r="K7" s="63">
        <f t="shared" si="0"/>
        <v>12.083333333333334</v>
      </c>
      <c r="L7" s="63">
        <f t="shared" si="0"/>
        <v>85.511111111111106</v>
      </c>
      <c r="M7" s="63">
        <f t="shared" si="0"/>
        <v>940.84357597051076</v>
      </c>
      <c r="N7" s="63">
        <f t="shared" si="0"/>
        <v>38.140674252870568</v>
      </c>
      <c r="O7" s="63">
        <f t="shared" si="0"/>
        <v>5937.4933786514639</v>
      </c>
      <c r="R7" s="53"/>
      <c r="S7" s="53"/>
      <c r="T7" s="53"/>
      <c r="U7" s="53"/>
      <c r="V7" s="53"/>
      <c r="W7" s="53"/>
      <c r="X7" s="53"/>
      <c r="Y7" s="53"/>
    </row>
    <row r="8" spans="3:56" x14ac:dyDescent="0.2">
      <c r="C8" s="1"/>
      <c r="D8" s="104" t="s">
        <v>2</v>
      </c>
      <c r="E8" s="104" t="s">
        <v>3</v>
      </c>
      <c r="F8" s="104" t="s">
        <v>4</v>
      </c>
      <c r="G8" s="1"/>
      <c r="H8" s="104" t="s">
        <v>30</v>
      </c>
      <c r="I8" s="104"/>
      <c r="J8" s="104"/>
      <c r="K8" s="104"/>
      <c r="L8" s="104"/>
      <c r="M8" s="104"/>
      <c r="N8" s="104"/>
      <c r="O8" s="104"/>
      <c r="P8" s="104"/>
      <c r="Q8" s="1"/>
      <c r="R8" s="104" t="s">
        <v>31</v>
      </c>
      <c r="S8" s="104"/>
      <c r="T8" s="104"/>
      <c r="U8" s="104"/>
      <c r="V8" s="104"/>
      <c r="W8" s="104"/>
      <c r="X8" s="104"/>
      <c r="Y8" s="104"/>
      <c r="Z8" s="104"/>
      <c r="AA8" s="1"/>
      <c r="AB8" s="104" t="s">
        <v>32</v>
      </c>
      <c r="AC8" s="104"/>
      <c r="AD8" s="104"/>
      <c r="AE8" s="104"/>
      <c r="AF8" s="104"/>
      <c r="AG8" s="104"/>
      <c r="AH8" s="104"/>
      <c r="AI8" s="104"/>
      <c r="AJ8" s="104"/>
      <c r="AM8" s="103" t="s">
        <v>33</v>
      </c>
      <c r="AN8" s="103"/>
      <c r="AO8" s="103"/>
      <c r="AP8" s="103"/>
      <c r="AQ8" s="103"/>
      <c r="AR8" s="103"/>
      <c r="AS8" s="103"/>
      <c r="AT8" s="103"/>
      <c r="AW8" s="103" t="s">
        <v>34</v>
      </c>
      <c r="AX8" s="103"/>
      <c r="AY8" s="103"/>
      <c r="AZ8" s="103"/>
      <c r="BA8" s="103"/>
      <c r="BB8" s="103"/>
      <c r="BC8" s="103"/>
      <c r="BD8" s="103"/>
    </row>
    <row r="9" spans="3:56" s="5" customFormat="1" ht="13" customHeight="1" x14ac:dyDescent="0.15">
      <c r="C9" s="3"/>
      <c r="D9" s="105"/>
      <c r="E9" s="105"/>
      <c r="F9" s="105"/>
      <c r="G9" s="3"/>
      <c r="H9" s="8" t="s">
        <v>21</v>
      </c>
      <c r="I9" s="8" t="s">
        <v>22</v>
      </c>
      <c r="J9" s="8" t="s">
        <v>1</v>
      </c>
      <c r="K9" s="8" t="s">
        <v>23</v>
      </c>
      <c r="L9" s="8" t="s">
        <v>24</v>
      </c>
      <c r="M9" s="8" t="s">
        <v>5</v>
      </c>
      <c r="N9" s="8" t="s">
        <v>25</v>
      </c>
      <c r="O9" s="8" t="s">
        <v>6</v>
      </c>
      <c r="P9" s="8" t="s">
        <v>26</v>
      </c>
      <c r="Q9" s="3"/>
      <c r="R9" s="23" t="s">
        <v>21</v>
      </c>
      <c r="S9" s="23" t="s">
        <v>22</v>
      </c>
      <c r="T9" s="23" t="s">
        <v>1</v>
      </c>
      <c r="U9" s="23" t="s">
        <v>23</v>
      </c>
      <c r="V9" s="23" t="s">
        <v>24</v>
      </c>
      <c r="W9" s="23" t="s">
        <v>5</v>
      </c>
      <c r="X9" s="23" t="s">
        <v>25</v>
      </c>
      <c r="Y9" s="23" t="s">
        <v>6</v>
      </c>
      <c r="Z9" s="23" t="s">
        <v>26</v>
      </c>
      <c r="AA9" s="3"/>
      <c r="AB9" s="35" t="s">
        <v>21</v>
      </c>
      <c r="AC9" s="35" t="s">
        <v>22</v>
      </c>
      <c r="AD9" s="35" t="s">
        <v>1</v>
      </c>
      <c r="AE9" s="35" t="s">
        <v>23</v>
      </c>
      <c r="AF9" s="35" t="s">
        <v>24</v>
      </c>
      <c r="AG9" s="35" t="s">
        <v>5</v>
      </c>
      <c r="AH9" s="35" t="s">
        <v>25</v>
      </c>
      <c r="AI9" s="35" t="s">
        <v>6</v>
      </c>
      <c r="AJ9" s="35" t="s">
        <v>26</v>
      </c>
      <c r="AM9" s="55" t="s">
        <v>0</v>
      </c>
      <c r="AN9" s="55" t="s">
        <v>29</v>
      </c>
      <c r="AO9" s="55" t="s">
        <v>1</v>
      </c>
      <c r="AP9" s="55" t="s">
        <v>23</v>
      </c>
      <c r="AQ9" s="55" t="s">
        <v>24</v>
      </c>
      <c r="AR9" s="55" t="s">
        <v>5</v>
      </c>
      <c r="AS9" s="55" t="s">
        <v>25</v>
      </c>
      <c r="AT9" s="55" t="s">
        <v>6</v>
      </c>
      <c r="AW9" s="55" t="s">
        <v>0</v>
      </c>
      <c r="AX9" s="55" t="s">
        <v>29</v>
      </c>
      <c r="AY9" s="55" t="s">
        <v>1</v>
      </c>
      <c r="AZ9" s="55" t="s">
        <v>23</v>
      </c>
      <c r="BA9" s="55" t="s">
        <v>24</v>
      </c>
      <c r="BB9" s="55" t="s">
        <v>5</v>
      </c>
      <c r="BC9" s="55" t="s">
        <v>25</v>
      </c>
      <c r="BD9" s="55" t="s">
        <v>6</v>
      </c>
    </row>
    <row r="10" spans="3:56" s="5" customFormat="1" ht="4" customHeight="1" x14ac:dyDescent="0.15">
      <c r="C10" s="3"/>
      <c r="D10" s="3"/>
      <c r="E10" s="3"/>
      <c r="F10" s="3"/>
      <c r="G10" s="3"/>
      <c r="H10" s="9"/>
      <c r="I10" s="9"/>
      <c r="J10" s="9"/>
      <c r="K10" s="9"/>
      <c r="L10" s="9"/>
      <c r="M10" s="9"/>
      <c r="N10" s="9"/>
      <c r="O10" s="9"/>
      <c r="P10" s="9"/>
      <c r="Q10" s="3"/>
      <c r="R10" s="24"/>
      <c r="S10" s="24"/>
      <c r="T10" s="24"/>
      <c r="U10" s="24"/>
      <c r="V10" s="24"/>
      <c r="W10" s="24"/>
      <c r="X10" s="24"/>
      <c r="Y10" s="24"/>
      <c r="Z10" s="24"/>
      <c r="AA10" s="3"/>
      <c r="AB10" s="36"/>
      <c r="AC10" s="36"/>
      <c r="AD10" s="36"/>
      <c r="AE10" s="36"/>
      <c r="AF10" s="36"/>
      <c r="AG10" s="36"/>
      <c r="AH10" s="36"/>
      <c r="AI10" s="36"/>
      <c r="AJ10" s="36"/>
    </row>
    <row r="11" spans="3:56" s="5" customFormat="1" ht="16" customHeight="1" x14ac:dyDescent="0.15">
      <c r="C11" s="3"/>
      <c r="D11" s="100">
        <v>100</v>
      </c>
      <c r="E11" s="6">
        <v>5</v>
      </c>
      <c r="F11" s="6">
        <v>5</v>
      </c>
      <c r="G11" s="3"/>
      <c r="H11" s="10">
        <v>886896.5966259999</v>
      </c>
      <c r="I11" s="10">
        <v>86139.974425631721</v>
      </c>
      <c r="J11" s="11">
        <v>65.217689591598543</v>
      </c>
      <c r="K11" s="12">
        <v>9</v>
      </c>
      <c r="L11" s="91">
        <v>94.2</v>
      </c>
      <c r="M11" s="12">
        <v>972.65169769615443</v>
      </c>
      <c r="N11" s="92">
        <v>41.853282738029698</v>
      </c>
      <c r="O11" s="56">
        <v>6108.4688226809049</v>
      </c>
      <c r="P11" s="64"/>
      <c r="Q11" s="3"/>
      <c r="R11" s="25">
        <v>1125133.3252052418</v>
      </c>
      <c r="S11" s="25">
        <v>72623.705426616638</v>
      </c>
      <c r="T11" s="26">
        <v>123.28544326240008</v>
      </c>
      <c r="U11" s="27">
        <v>15.3</v>
      </c>
      <c r="V11" s="27">
        <v>79.900000000000006</v>
      </c>
      <c r="W11" s="27">
        <v>741.87009962241905</v>
      </c>
      <c r="X11" s="58">
        <v>19.650321069401013</v>
      </c>
      <c r="Y11" s="58">
        <v>5266.6715816126571</v>
      </c>
      <c r="Z11" s="78"/>
      <c r="AA11" s="3"/>
      <c r="AB11" s="37">
        <v>1178994.8911818746</v>
      </c>
      <c r="AC11" s="37">
        <v>86942.492286627603</v>
      </c>
      <c r="AD11" s="38">
        <v>89.944954591599895</v>
      </c>
      <c r="AE11" s="39">
        <v>8.4</v>
      </c>
      <c r="AF11" s="39">
        <v>73.400000000000006</v>
      </c>
      <c r="AG11" s="39">
        <v>1283.2002321082568</v>
      </c>
      <c r="AH11" s="61">
        <v>54.72820946514215</v>
      </c>
      <c r="AI11" s="61">
        <v>6673.0865711619936</v>
      </c>
      <c r="AJ11" s="48"/>
      <c r="AM11" s="54">
        <f>IFERROR((R11-H11)/H11, 0)</f>
        <v>0.26861838176576652</v>
      </c>
      <c r="AN11" s="54">
        <f t="shared" ref="AN11:AT14" si="1">IFERROR((S11-I11)/I11, 0)</f>
        <v>-0.15691052950897089</v>
      </c>
      <c r="AO11" s="54">
        <f>IFERROR((T11-J11)/J11, 0)</f>
        <v>0.89036815064178432</v>
      </c>
      <c r="AP11" s="54">
        <f t="shared" si="1"/>
        <v>0.70000000000000007</v>
      </c>
      <c r="AQ11" s="54">
        <f t="shared" si="1"/>
        <v>-0.15180467091295113</v>
      </c>
      <c r="AR11" s="54">
        <f t="shared" si="1"/>
        <v>-0.23727054465680786</v>
      </c>
      <c r="AS11" s="54">
        <f t="shared" si="1"/>
        <v>-0.53049510614502204</v>
      </c>
      <c r="AT11" s="54">
        <f t="shared" si="1"/>
        <v>-0.13780822420548872</v>
      </c>
      <c r="AW11" s="54">
        <f>IFERROR((AB11-H11)/H11, 0)</f>
        <v>0.32934876023551946</v>
      </c>
      <c r="AX11" s="54">
        <f t="shared" ref="AX11:BD14" si="2">IFERROR((AC11-I11)/I11, 0)</f>
        <v>9.3164395084506281E-3</v>
      </c>
      <c r="AY11" s="54">
        <f t="shared" si="2"/>
        <v>0.37914966253552723</v>
      </c>
      <c r="AZ11" s="54">
        <f t="shared" si="2"/>
        <v>-6.6666666666666624E-2</v>
      </c>
      <c r="BA11" s="54">
        <f t="shared" si="2"/>
        <v>-0.22080679405520165</v>
      </c>
      <c r="BB11" s="54">
        <f t="shared" si="2"/>
        <v>0.31928030881730318</v>
      </c>
      <c r="BC11" s="54">
        <f t="shared" si="2"/>
        <v>0.30762047526116126</v>
      </c>
      <c r="BD11" s="54">
        <f>IFERROR((AI11-O11)/O11, 0)</f>
        <v>9.2431960425933296E-2</v>
      </c>
    </row>
    <row r="12" spans="3:56" s="5" customFormat="1" x14ac:dyDescent="0.15">
      <c r="C12" s="3"/>
      <c r="D12" s="101"/>
      <c r="E12" s="3">
        <v>5</v>
      </c>
      <c r="F12" s="3">
        <v>10</v>
      </c>
      <c r="G12" s="3"/>
      <c r="H12" s="14">
        <v>1066831.9336034399</v>
      </c>
      <c r="I12" s="14">
        <v>77552.201983998544</v>
      </c>
      <c r="J12" s="15">
        <v>58.368834849900303</v>
      </c>
      <c r="K12" s="16">
        <v>10.6</v>
      </c>
      <c r="L12" s="16">
        <v>85.1</v>
      </c>
      <c r="M12" s="16">
        <v>1243.5648041441398</v>
      </c>
      <c r="N12" s="57">
        <v>29.924656620432405</v>
      </c>
      <c r="O12" s="57">
        <v>6168.0533330877815</v>
      </c>
      <c r="P12" s="69"/>
      <c r="Q12" s="3"/>
      <c r="R12" s="28">
        <v>1258141.7414142573</v>
      </c>
      <c r="S12" s="28">
        <v>79139.298548121369</v>
      </c>
      <c r="T12" s="29">
        <v>71.399041466600096</v>
      </c>
      <c r="U12" s="30">
        <v>14.8</v>
      </c>
      <c r="V12" s="30">
        <v>73.400000000000006</v>
      </c>
      <c r="W12" s="30">
        <v>1071.9703618373624</v>
      </c>
      <c r="X12" s="59">
        <v>17.556102162203427</v>
      </c>
      <c r="Y12" s="59">
        <v>5665.8304604831519</v>
      </c>
      <c r="Z12" s="81"/>
      <c r="AA12" s="3"/>
      <c r="AB12" s="40">
        <v>1302398.5193450844</v>
      </c>
      <c r="AC12" s="40">
        <v>68901.089058294441</v>
      </c>
      <c r="AD12" s="41">
        <v>64.99318543749996</v>
      </c>
      <c r="AE12" s="42">
        <v>9.6</v>
      </c>
      <c r="AF12" s="42">
        <v>66.7</v>
      </c>
      <c r="AG12" s="42">
        <v>1433.7821341604554</v>
      </c>
      <c r="AH12" s="62">
        <v>41.014377168411457</v>
      </c>
      <c r="AI12" s="62">
        <v>6639.5990762485771</v>
      </c>
      <c r="AJ12" s="49"/>
      <c r="AM12" s="54">
        <f t="shared" ref="AM12:AM14" si="3">IFERROR((R12-H12)/H12, 0)</f>
        <v>0.17932516058516351</v>
      </c>
      <c r="AN12" s="54">
        <f t="shared" si="1"/>
        <v>2.046488073221045E-2</v>
      </c>
      <c r="AO12" s="54">
        <f t="shared" si="1"/>
        <v>0.22323910782539888</v>
      </c>
      <c r="AP12" s="54">
        <f t="shared" si="1"/>
        <v>0.39622641509433976</v>
      </c>
      <c r="AQ12" s="54">
        <f t="shared" si="1"/>
        <v>-0.13748531139835476</v>
      </c>
      <c r="AR12" s="54">
        <f t="shared" si="1"/>
        <v>-0.1379859270179925</v>
      </c>
      <c r="AS12" s="54">
        <f t="shared" si="1"/>
        <v>-0.41332318746754781</v>
      </c>
      <c r="AT12" s="54">
        <f t="shared" si="1"/>
        <v>-8.1423237686761768E-2</v>
      </c>
      <c r="AW12" s="54">
        <f t="shared" ref="AW12:AW14" si="4">IFERROR((AB12-H12)/H12, 0)</f>
        <v>0.22080946241079497</v>
      </c>
      <c r="AX12" s="54">
        <f t="shared" si="2"/>
        <v>-0.11155212494790412</v>
      </c>
      <c r="AY12" s="54">
        <f t="shared" si="2"/>
        <v>0.11349122531972167</v>
      </c>
      <c r="AZ12" s="54">
        <f t="shared" si="2"/>
        <v>-9.4339622641509441E-2</v>
      </c>
      <c r="BA12" s="54">
        <f t="shared" si="2"/>
        <v>-0.21621621621621612</v>
      </c>
      <c r="BB12" s="54">
        <f t="shared" si="2"/>
        <v>0.1529613329216318</v>
      </c>
      <c r="BC12" s="54">
        <f t="shared" si="2"/>
        <v>0.37058806350369439</v>
      </c>
      <c r="BD12" s="54">
        <f t="shared" si="2"/>
        <v>7.6449686423955693E-2</v>
      </c>
    </row>
    <row r="13" spans="3:56" s="5" customFormat="1" x14ac:dyDescent="0.15">
      <c r="C13" s="3"/>
      <c r="D13" s="101"/>
      <c r="E13" s="3">
        <v>10</v>
      </c>
      <c r="F13" s="3">
        <v>5</v>
      </c>
      <c r="G13" s="3"/>
      <c r="H13" s="14">
        <v>677195.16998772637</v>
      </c>
      <c r="I13" s="14">
        <v>93552.283117310246</v>
      </c>
      <c r="J13" s="15">
        <v>73.439577958100557</v>
      </c>
      <c r="K13" s="16">
        <v>10.199999999999999</v>
      </c>
      <c r="L13" s="16">
        <v>96.5</v>
      </c>
      <c r="M13" s="16">
        <v>130.12376608299971</v>
      </c>
      <c r="N13" s="57">
        <v>36.805223007681164</v>
      </c>
      <c r="O13" s="57">
        <v>4655.2422119388157</v>
      </c>
      <c r="P13" s="69"/>
      <c r="Q13" s="3"/>
      <c r="R13" s="28">
        <v>904870.37550296425</v>
      </c>
      <c r="S13" s="28">
        <v>67364.339212195133</v>
      </c>
      <c r="T13" s="29">
        <v>170.73333806680003</v>
      </c>
      <c r="U13" s="30">
        <v>18.2</v>
      </c>
      <c r="V13" s="30">
        <v>88.4</v>
      </c>
      <c r="W13" s="30">
        <v>91.96772319753299</v>
      </c>
      <c r="X13" s="59">
        <v>18.420752465188755</v>
      </c>
      <c r="Y13" s="59">
        <v>4043.5509915258945</v>
      </c>
      <c r="Z13" s="81"/>
      <c r="AA13" s="3"/>
      <c r="AB13" s="40">
        <v>906186.36762807856</v>
      </c>
      <c r="AC13" s="40">
        <v>130486.22080615307</v>
      </c>
      <c r="AD13" s="41">
        <v>103.97036456669994</v>
      </c>
      <c r="AE13" s="42">
        <v>12.5</v>
      </c>
      <c r="AF13" s="42">
        <v>90.8</v>
      </c>
      <c r="AG13" s="42">
        <v>671.37818608731141</v>
      </c>
      <c r="AH13" s="62">
        <v>50.657065179105061</v>
      </c>
      <c r="AI13" s="62">
        <v>5906.4764033681931</v>
      </c>
      <c r="AJ13" s="49"/>
      <c r="AM13" s="54">
        <f t="shared" si="3"/>
        <v>0.33620323299022392</v>
      </c>
      <c r="AN13" s="54">
        <f t="shared" si="1"/>
        <v>-0.27992843180830379</v>
      </c>
      <c r="AO13" s="54">
        <f t="shared" si="1"/>
        <v>1.3248137150816475</v>
      </c>
      <c r="AP13" s="54">
        <f t="shared" si="1"/>
        <v>0.78431372549019618</v>
      </c>
      <c r="AQ13" s="54">
        <f t="shared" si="1"/>
        <v>-8.3937823834196831E-2</v>
      </c>
      <c r="AR13" s="54">
        <f t="shared" si="1"/>
        <v>-0.29322885460545928</v>
      </c>
      <c r="AS13" s="54">
        <f t="shared" si="1"/>
        <v>-0.49950710904959367</v>
      </c>
      <c r="AT13" s="54">
        <f t="shared" si="1"/>
        <v>-0.13139836609235506</v>
      </c>
      <c r="AW13" s="54">
        <f t="shared" si="4"/>
        <v>0.33814653114626092</v>
      </c>
      <c r="AX13" s="54">
        <f t="shared" si="2"/>
        <v>0.39479461599594923</v>
      </c>
      <c r="AY13" s="54">
        <f t="shared" si="2"/>
        <v>0.41572660760684244</v>
      </c>
      <c r="AZ13" s="54">
        <f t="shared" si="2"/>
        <v>0.22549019607843146</v>
      </c>
      <c r="BA13" s="54">
        <f t="shared" si="2"/>
        <v>-5.9067357512953396E-2</v>
      </c>
      <c r="BB13" s="54">
        <f t="shared" si="2"/>
        <v>4.1595354660967274</v>
      </c>
      <c r="BC13" s="54">
        <f t="shared" si="2"/>
        <v>0.37635533871192817</v>
      </c>
      <c r="BD13" s="54">
        <f t="shared" si="2"/>
        <v>0.26877961112753002</v>
      </c>
    </row>
    <row r="14" spans="3:56" s="5" customFormat="1" x14ac:dyDescent="0.15">
      <c r="C14" s="3"/>
      <c r="D14" s="102"/>
      <c r="E14" s="4">
        <v>10</v>
      </c>
      <c r="F14" s="4">
        <v>10</v>
      </c>
      <c r="G14" s="3"/>
      <c r="H14" s="18">
        <v>721753.56242655718</v>
      </c>
      <c r="I14" s="18">
        <v>25893.730029741608</v>
      </c>
      <c r="J14" s="19">
        <v>43.151955183197423</v>
      </c>
      <c r="K14" s="20">
        <v>10.9</v>
      </c>
      <c r="L14" s="20">
        <v>93</v>
      </c>
      <c r="M14" s="20">
        <v>99.303827781755146</v>
      </c>
      <c r="N14" s="51">
        <v>31.965042005463168</v>
      </c>
      <c r="O14" s="51">
        <v>4405.5624588458213</v>
      </c>
      <c r="P14" s="72"/>
      <c r="Q14" s="3"/>
      <c r="R14" s="31">
        <v>968236.76626322861</v>
      </c>
      <c r="S14" s="31">
        <v>38783.931659483926</v>
      </c>
      <c r="T14" s="32">
        <v>95.712251762601952</v>
      </c>
      <c r="U14" s="33">
        <v>18.899999999999999</v>
      </c>
      <c r="V14" s="33">
        <v>85.2</v>
      </c>
      <c r="W14" s="33">
        <v>109.50823186513848</v>
      </c>
      <c r="X14" s="60">
        <v>16.491326062049431</v>
      </c>
      <c r="Y14" s="60">
        <v>3944.8216955582307</v>
      </c>
      <c r="Z14" s="84"/>
      <c r="AA14" s="3"/>
      <c r="AB14" s="44">
        <v>911599.00746935303</v>
      </c>
      <c r="AC14" s="44">
        <v>41776.656966666946</v>
      </c>
      <c r="AD14" s="45">
        <v>86.52679060419905</v>
      </c>
      <c r="AE14" s="46">
        <v>13.2</v>
      </c>
      <c r="AF14" s="46">
        <v>90.1</v>
      </c>
      <c r="AG14" s="46">
        <v>625.85075324264403</v>
      </c>
      <c r="AH14" s="52">
        <v>48.914692742721442</v>
      </c>
      <c r="AI14" s="52">
        <v>5740.5099770536444</v>
      </c>
      <c r="AJ14" s="50"/>
      <c r="AM14" s="54">
        <f t="shared" si="3"/>
        <v>0.34150604398541168</v>
      </c>
      <c r="AN14" s="54">
        <f t="shared" si="1"/>
        <v>0.49781169475917908</v>
      </c>
      <c r="AO14" s="54">
        <f t="shared" si="1"/>
        <v>1.2180281601671328</v>
      </c>
      <c r="AP14" s="54">
        <f t="shared" si="1"/>
        <v>0.73394495412844019</v>
      </c>
      <c r="AQ14" s="54">
        <f t="shared" si="1"/>
        <v>-8.3870967741935448E-2</v>
      </c>
      <c r="AR14" s="54">
        <f t="shared" si="1"/>
        <v>0.1027594233911109</v>
      </c>
      <c r="AS14" s="54">
        <f t="shared" si="1"/>
        <v>-0.4840824529737553</v>
      </c>
      <c r="AT14" s="54">
        <f t="shared" si="1"/>
        <v>-0.10458159828434177</v>
      </c>
      <c r="AW14" s="54">
        <f t="shared" si="4"/>
        <v>0.26303360998251224</v>
      </c>
      <c r="AX14" s="54">
        <f t="shared" si="2"/>
        <v>0.61338891379041049</v>
      </c>
      <c r="AY14" s="54">
        <f t="shared" si="2"/>
        <v>1.0051650090212132</v>
      </c>
      <c r="AZ14" s="54">
        <f t="shared" si="2"/>
        <v>0.21100917431192651</v>
      </c>
      <c r="BA14" s="54">
        <f t="shared" si="2"/>
        <v>-3.1182795698924792E-2</v>
      </c>
      <c r="BB14" s="54">
        <f t="shared" si="2"/>
        <v>5.3023829717632509</v>
      </c>
      <c r="BC14" s="54">
        <f t="shared" si="2"/>
        <v>0.53025585683139087</v>
      </c>
      <c r="BD14" s="54">
        <f t="shared" si="2"/>
        <v>0.30301409426789866</v>
      </c>
    </row>
    <row r="15" spans="3:56" s="5" customFormat="1" ht="4" customHeight="1" x14ac:dyDescent="0.15">
      <c r="C15" s="3"/>
      <c r="D15" s="3"/>
      <c r="E15" s="3"/>
      <c r="F15" s="3"/>
      <c r="G15" s="3"/>
      <c r="H15" s="22"/>
      <c r="I15" s="22"/>
      <c r="J15" s="15"/>
      <c r="K15" s="16"/>
      <c r="L15" s="16"/>
      <c r="M15" s="16"/>
      <c r="N15" s="57"/>
      <c r="O15" s="57"/>
      <c r="P15" s="9"/>
      <c r="Q15" s="3"/>
      <c r="R15" s="34"/>
      <c r="S15" s="34"/>
      <c r="T15" s="29"/>
      <c r="U15" s="30"/>
      <c r="V15" s="30"/>
      <c r="W15" s="30"/>
      <c r="X15" s="59"/>
      <c r="Y15" s="59"/>
      <c r="Z15" s="24"/>
      <c r="AA15" s="3"/>
      <c r="AB15" s="47"/>
      <c r="AC15" s="47"/>
      <c r="AD15" s="41"/>
      <c r="AE15" s="42"/>
      <c r="AF15" s="42"/>
      <c r="AG15" s="42"/>
      <c r="AH15" s="62"/>
      <c r="AI15" s="62"/>
      <c r="AJ15" s="36"/>
      <c r="AM15" s="54"/>
      <c r="AN15" s="54"/>
      <c r="AO15" s="54"/>
      <c r="AP15" s="54"/>
      <c r="AQ15" s="54"/>
      <c r="AR15" s="54"/>
      <c r="AS15" s="54"/>
      <c r="AT15" s="54"/>
      <c r="AW15" s="54"/>
      <c r="AX15" s="54"/>
      <c r="AY15" s="54"/>
      <c r="AZ15" s="54"/>
      <c r="BA15" s="54"/>
      <c r="BB15" s="54"/>
      <c r="BC15" s="54"/>
      <c r="BD15" s="54"/>
    </row>
    <row r="16" spans="3:56" s="5" customFormat="1" ht="16" customHeight="1" x14ac:dyDescent="0.15">
      <c r="C16" s="3"/>
      <c r="D16" s="100">
        <v>150</v>
      </c>
      <c r="E16" s="6">
        <v>5</v>
      </c>
      <c r="F16" s="6">
        <v>5</v>
      </c>
      <c r="G16" s="3"/>
      <c r="H16" s="10">
        <v>1582423.3516813491</v>
      </c>
      <c r="I16" s="10">
        <v>165953.76752569061</v>
      </c>
      <c r="J16" s="11">
        <v>167.5757188044463</v>
      </c>
      <c r="K16" s="12">
        <v>9.6</v>
      </c>
      <c r="L16" s="12">
        <v>83.066666666666663</v>
      </c>
      <c r="M16" s="12">
        <v>1299.2828513691195</v>
      </c>
      <c r="N16" s="56">
        <v>46.202716741330683</v>
      </c>
      <c r="O16" s="56">
        <v>6698.5996760386142</v>
      </c>
      <c r="P16" s="75"/>
      <c r="Q16" s="3"/>
      <c r="R16" s="25">
        <v>1893470.2154198554</v>
      </c>
      <c r="S16" s="25">
        <v>114408.00155833486</v>
      </c>
      <c r="T16" s="26">
        <v>272.08415173555778</v>
      </c>
      <c r="U16" s="27">
        <v>15.9</v>
      </c>
      <c r="V16" s="27">
        <v>67.333333333333329</v>
      </c>
      <c r="W16" s="27">
        <v>1022.9631780969621</v>
      </c>
      <c r="X16" s="58">
        <v>21.032336952831521</v>
      </c>
      <c r="Y16" s="58">
        <v>5727.6577853838335</v>
      </c>
      <c r="Z16" s="78"/>
      <c r="AA16" s="3"/>
      <c r="AB16" s="37">
        <v>1978490.943974732</v>
      </c>
      <c r="AC16" s="37">
        <v>118607.96175415993</v>
      </c>
      <c r="AD16" s="38">
        <v>171.17372433778104</v>
      </c>
      <c r="AE16" s="39">
        <v>9.6999999999999993</v>
      </c>
      <c r="AF16" s="39">
        <v>62.800000000000011</v>
      </c>
      <c r="AG16" s="39">
        <v>1552.867876937067</v>
      </c>
      <c r="AH16" s="61">
        <v>51.763637572107577</v>
      </c>
      <c r="AI16" s="61">
        <v>6981.7811058691295</v>
      </c>
      <c r="AJ16" s="48"/>
      <c r="AM16" s="54">
        <f t="shared" ref="AM16:AT19" si="5">IFERROR((R16-H16)/H16, 0)</f>
        <v>0.1965636208591173</v>
      </c>
      <c r="AN16" s="54">
        <f t="shared" si="5"/>
        <v>-0.31060316819487793</v>
      </c>
      <c r="AO16" s="54">
        <f t="shared" si="5"/>
        <v>0.6236490207335369</v>
      </c>
      <c r="AP16" s="54">
        <f t="shared" si="5"/>
        <v>0.65625000000000011</v>
      </c>
      <c r="AQ16" s="54">
        <f t="shared" si="5"/>
        <v>-0.18940609951845908</v>
      </c>
      <c r="AR16" s="54">
        <f t="shared" si="5"/>
        <v>-0.21267091532916446</v>
      </c>
      <c r="AS16" s="54">
        <f t="shared" si="5"/>
        <v>-0.54478138005211663</v>
      </c>
      <c r="AT16" s="54">
        <f t="shared" si="5"/>
        <v>-0.14494699453796464</v>
      </c>
      <c r="AW16" s="54">
        <f t="shared" ref="AW16:BD19" si="6">IFERROR((AB16-H16)/H16, 0)</f>
        <v>0.25029180204687634</v>
      </c>
      <c r="AX16" s="54">
        <f t="shared" si="6"/>
        <v>-0.28529515465324568</v>
      </c>
      <c r="AY16" s="54">
        <f t="shared" si="6"/>
        <v>2.1470924063488345E-2</v>
      </c>
      <c r="AZ16" s="54">
        <f t="shared" si="6"/>
        <v>1.041666666666663E-2</v>
      </c>
      <c r="BA16" s="54">
        <f t="shared" si="6"/>
        <v>-0.24398073836276066</v>
      </c>
      <c r="BB16" s="54">
        <f t="shared" si="6"/>
        <v>0.19517307205335022</v>
      </c>
      <c r="BC16" s="54">
        <f t="shared" si="6"/>
        <v>0.12035917415657869</v>
      </c>
      <c r="BD16" s="54">
        <f t="shared" si="6"/>
        <v>4.2274720617127816E-2</v>
      </c>
    </row>
    <row r="17" spans="3:56" s="5" customFormat="1" x14ac:dyDescent="0.15">
      <c r="C17" s="3"/>
      <c r="D17" s="101"/>
      <c r="E17" s="3">
        <v>5</v>
      </c>
      <c r="F17" s="3">
        <v>10</v>
      </c>
      <c r="G17" s="3"/>
      <c r="H17" s="14">
        <v>1759768.3652446661</v>
      </c>
      <c r="I17" s="14">
        <v>91662.459459656064</v>
      </c>
      <c r="J17" s="15">
        <v>168.02216994864915</v>
      </c>
      <c r="K17" s="16">
        <v>10.6</v>
      </c>
      <c r="L17" s="16">
        <v>76.933333333333323</v>
      </c>
      <c r="M17" s="16">
        <v>1523.3667213144331</v>
      </c>
      <c r="N17" s="57">
        <v>38.03006521246683</v>
      </c>
      <c r="O17" s="57">
        <v>6786.6487834805348</v>
      </c>
      <c r="P17" s="69"/>
      <c r="Q17" s="3"/>
      <c r="R17" s="28">
        <v>2019442.1945211652</v>
      </c>
      <c r="S17" s="28">
        <v>63747.031219414421</v>
      </c>
      <c r="T17" s="29">
        <v>220.42186547297439</v>
      </c>
      <c r="U17" s="30">
        <v>14.7</v>
      </c>
      <c r="V17" s="30">
        <v>62.266666666666673</v>
      </c>
      <c r="W17" s="30">
        <v>1222.0824168603954</v>
      </c>
      <c r="X17" s="59">
        <v>20.3598233156902</v>
      </c>
      <c r="Y17" s="59">
        <v>5950.8154680443931</v>
      </c>
      <c r="Z17" s="81"/>
      <c r="AA17" s="3"/>
      <c r="AB17" s="40">
        <v>2098322.2589542572</v>
      </c>
      <c r="AC17" s="40">
        <v>86441.195537264663</v>
      </c>
      <c r="AD17" s="41">
        <v>184.64993993783781</v>
      </c>
      <c r="AE17" s="42">
        <v>10.199999999999999</v>
      </c>
      <c r="AF17" s="42">
        <v>58.733333333333327</v>
      </c>
      <c r="AG17" s="42">
        <v>1669.8186753836076</v>
      </c>
      <c r="AH17" s="62">
        <v>44.00625143323758</v>
      </c>
      <c r="AI17" s="62">
        <v>7107.2435954330986</v>
      </c>
      <c r="AJ17" s="49"/>
      <c r="AM17" s="54">
        <f t="shared" si="5"/>
        <v>0.14756136910120887</v>
      </c>
      <c r="AN17" s="54">
        <f t="shared" si="5"/>
        <v>-0.30454592212342091</v>
      </c>
      <c r="AO17" s="54">
        <f t="shared" si="5"/>
        <v>0.31186179502585643</v>
      </c>
      <c r="AP17" s="54">
        <f t="shared" si="5"/>
        <v>0.38679245283018865</v>
      </c>
      <c r="AQ17" s="54">
        <f t="shared" si="5"/>
        <v>-0.19064124783362199</v>
      </c>
      <c r="AR17" s="54">
        <f t="shared" si="5"/>
        <v>-0.19777529615067035</v>
      </c>
      <c r="AS17" s="54">
        <f t="shared" si="5"/>
        <v>-0.4646387482655186</v>
      </c>
      <c r="AT17" s="54">
        <f t="shared" si="5"/>
        <v>-0.12315847513291889</v>
      </c>
      <c r="AW17" s="54">
        <f t="shared" si="6"/>
        <v>0.1923854868606647</v>
      </c>
      <c r="AX17" s="54">
        <f t="shared" si="6"/>
        <v>-5.6961857156903654E-2</v>
      </c>
      <c r="AY17" s="54">
        <f t="shared" si="6"/>
        <v>9.8961761976234658E-2</v>
      </c>
      <c r="AZ17" s="54">
        <f t="shared" si="6"/>
        <v>-3.7735849056603807E-2</v>
      </c>
      <c r="BA17" s="54">
        <f t="shared" si="6"/>
        <v>-0.23656845753899478</v>
      </c>
      <c r="BB17" s="54">
        <f t="shared" si="6"/>
        <v>9.6137031234874798E-2</v>
      </c>
      <c r="BC17" s="54">
        <f t="shared" si="6"/>
        <v>0.15714372792638981</v>
      </c>
      <c r="BD17" s="54">
        <f t="shared" si="6"/>
        <v>4.7239045688194078E-2</v>
      </c>
    </row>
    <row r="18" spans="3:56" s="5" customFormat="1" x14ac:dyDescent="0.15">
      <c r="C18" s="3"/>
      <c r="D18" s="101"/>
      <c r="E18" s="3">
        <v>10</v>
      </c>
      <c r="F18" s="3">
        <v>5</v>
      </c>
      <c r="G18" s="3"/>
      <c r="H18" s="14">
        <v>1206490.523143355</v>
      </c>
      <c r="I18" s="14">
        <v>118590.7485652649</v>
      </c>
      <c r="J18" s="15">
        <v>283.17239049714658</v>
      </c>
      <c r="K18" s="16">
        <v>13.2</v>
      </c>
      <c r="L18" s="16">
        <v>95.6</v>
      </c>
      <c r="M18" s="16">
        <v>615.05887131134273</v>
      </c>
      <c r="N18" s="57">
        <v>41.168889895709739</v>
      </c>
      <c r="O18" s="57">
        <v>5749.3749092576545</v>
      </c>
      <c r="P18" s="69"/>
      <c r="Q18" s="3"/>
      <c r="R18" s="28">
        <v>1525828.214442272</v>
      </c>
      <c r="S18" s="28">
        <v>104035.0337774902</v>
      </c>
      <c r="T18" s="29">
        <v>421.63644158857142</v>
      </c>
      <c r="U18" s="30">
        <v>24.6</v>
      </c>
      <c r="V18" s="30">
        <v>85.933333333333337</v>
      </c>
      <c r="W18" s="30">
        <v>492.77388182252599</v>
      </c>
      <c r="X18" s="59">
        <v>19.093255678083615</v>
      </c>
      <c r="Y18" s="59">
        <v>4967.2285202414387</v>
      </c>
      <c r="Z18" s="81"/>
      <c r="AA18" s="3"/>
      <c r="AB18" s="40">
        <v>1636906.4942022329</v>
      </c>
      <c r="AC18" s="40">
        <v>133484.58140141473</v>
      </c>
      <c r="AD18" s="41">
        <v>277.34188626000457</v>
      </c>
      <c r="AE18" s="42">
        <v>13.7</v>
      </c>
      <c r="AF18" s="42">
        <v>78.533333333333331</v>
      </c>
      <c r="AG18" s="42">
        <v>1004.2382301362502</v>
      </c>
      <c r="AH18" s="62">
        <v>51.672763778390923</v>
      </c>
      <c r="AI18" s="62">
        <v>6427.7211773591853</v>
      </c>
      <c r="AJ18" s="49"/>
      <c r="AM18" s="54">
        <f t="shared" si="5"/>
        <v>0.26468313275012212</v>
      </c>
      <c r="AN18" s="54">
        <f t="shared" si="5"/>
        <v>-0.12273904131538686</v>
      </c>
      <c r="AO18" s="54">
        <f t="shared" si="5"/>
        <v>0.48897440477277071</v>
      </c>
      <c r="AP18" s="54">
        <f t="shared" si="5"/>
        <v>0.86363636363636387</v>
      </c>
      <c r="AQ18" s="54">
        <f t="shared" si="5"/>
        <v>-0.10111576011157591</v>
      </c>
      <c r="AR18" s="54">
        <f t="shared" si="5"/>
        <v>-0.19881834925508471</v>
      </c>
      <c r="AS18" s="54">
        <f t="shared" si="5"/>
        <v>-0.53622126497820999</v>
      </c>
      <c r="AT18" s="54">
        <f t="shared" si="5"/>
        <v>-0.13604024808971879</v>
      </c>
      <c r="AW18" s="54">
        <f t="shared" si="6"/>
        <v>0.35675039530147717</v>
      </c>
      <c r="AX18" s="54">
        <f t="shared" si="6"/>
        <v>0.12559017475088452</v>
      </c>
      <c r="AY18" s="54">
        <f t="shared" si="6"/>
        <v>-2.0589946028656915E-2</v>
      </c>
      <c r="AZ18" s="54">
        <f t="shared" si="6"/>
        <v>3.787878787878788E-2</v>
      </c>
      <c r="BA18" s="54">
        <f t="shared" si="6"/>
        <v>-0.17852161785216175</v>
      </c>
      <c r="BB18" s="54">
        <f t="shared" si="6"/>
        <v>0.63275139499273225</v>
      </c>
      <c r="BC18" s="54">
        <f t="shared" si="6"/>
        <v>0.25514105212187915</v>
      </c>
      <c r="BD18" s="54">
        <f t="shared" si="6"/>
        <v>0.11798609045467817</v>
      </c>
    </row>
    <row r="19" spans="3:56" s="5" customFormat="1" x14ac:dyDescent="0.15">
      <c r="C19" s="3"/>
      <c r="D19" s="102"/>
      <c r="E19" s="4">
        <v>10</v>
      </c>
      <c r="F19" s="4">
        <v>10</v>
      </c>
      <c r="G19" s="3"/>
      <c r="H19" s="18">
        <v>1136911.2815311528</v>
      </c>
      <c r="I19" s="18">
        <v>91332.492135595632</v>
      </c>
      <c r="J19" s="19">
        <v>210.58956673600247</v>
      </c>
      <c r="K19" s="20">
        <v>13.2</v>
      </c>
      <c r="L19" s="20">
        <v>95.333333333333329</v>
      </c>
      <c r="M19" s="20">
        <v>400.1065389811418</v>
      </c>
      <c r="N19" s="51">
        <v>40.702047316971608</v>
      </c>
      <c r="O19" s="51">
        <v>5350.1883017782193</v>
      </c>
      <c r="P19" s="72"/>
      <c r="Q19" s="3"/>
      <c r="R19" s="31">
        <v>1499255.1452363643</v>
      </c>
      <c r="S19" s="31">
        <v>61828.573717282823</v>
      </c>
      <c r="T19" s="32">
        <v>347.25455110000212</v>
      </c>
      <c r="U19" s="33">
        <v>24.8</v>
      </c>
      <c r="V19" s="33">
        <v>85.26666666666668</v>
      </c>
      <c r="W19" s="33">
        <v>377.22766683147586</v>
      </c>
      <c r="X19" s="60">
        <v>18.548684089156954</v>
      </c>
      <c r="Y19" s="60">
        <v>4651.1461460744586</v>
      </c>
      <c r="Z19" s="84"/>
      <c r="AA19" s="3"/>
      <c r="AB19" s="44">
        <v>1546127.7269172757</v>
      </c>
      <c r="AC19" s="44">
        <v>101407.98778276065</v>
      </c>
      <c r="AD19" s="45">
        <v>282.47892131799716</v>
      </c>
      <c r="AE19" s="46">
        <v>14.1</v>
      </c>
      <c r="AF19" s="46">
        <v>82.933333333333337</v>
      </c>
      <c r="AG19" s="46">
        <v>964.00369491067488</v>
      </c>
      <c r="AH19" s="52">
        <v>55.727914984992559</v>
      </c>
      <c r="AI19" s="52">
        <v>6379.1431216563788</v>
      </c>
      <c r="AJ19" s="50"/>
      <c r="AM19" s="54">
        <f t="shared" si="5"/>
        <v>0.31870900534755831</v>
      </c>
      <c r="AN19" s="54">
        <f t="shared" si="5"/>
        <v>-0.32303857836825683</v>
      </c>
      <c r="AO19" s="54">
        <f t="shared" si="5"/>
        <v>0.64896369977969737</v>
      </c>
      <c r="AP19" s="54">
        <f t="shared" si="5"/>
        <v>0.8787878787878789</v>
      </c>
      <c r="AQ19" s="54">
        <f t="shared" si="5"/>
        <v>-0.10559440559440542</v>
      </c>
      <c r="AR19" s="54">
        <f t="shared" si="5"/>
        <v>-5.7181950107404483E-2</v>
      </c>
      <c r="AS19" s="54">
        <f t="shared" si="5"/>
        <v>-0.54428130003616126</v>
      </c>
      <c r="AT19" s="54">
        <f t="shared" si="5"/>
        <v>-0.13065748647976055</v>
      </c>
      <c r="AW19" s="54">
        <f t="shared" si="6"/>
        <v>0.35993700830816311</v>
      </c>
      <c r="AX19" s="54">
        <f t="shared" si="6"/>
        <v>0.11031666180975949</v>
      </c>
      <c r="AY19" s="54">
        <f t="shared" si="6"/>
        <v>0.34137187181792356</v>
      </c>
      <c r="AZ19" s="54">
        <f t="shared" si="6"/>
        <v>6.8181818181818218E-2</v>
      </c>
      <c r="BA19" s="54">
        <f t="shared" si="6"/>
        <v>-0.13006993006992998</v>
      </c>
      <c r="BB19" s="54">
        <f t="shared" si="6"/>
        <v>1.4093675083778403</v>
      </c>
      <c r="BC19" s="54">
        <f t="shared" si="6"/>
        <v>0.36916736770033642</v>
      </c>
      <c r="BD19" s="54">
        <f t="shared" si="6"/>
        <v>0.19232123466311835</v>
      </c>
    </row>
    <row r="20" spans="3:56" s="5" customFormat="1" ht="4" customHeight="1" x14ac:dyDescent="0.15">
      <c r="C20" s="3"/>
      <c r="D20" s="3"/>
      <c r="E20" s="3"/>
      <c r="F20" s="3"/>
      <c r="G20" s="3"/>
      <c r="H20" s="22"/>
      <c r="I20" s="22"/>
      <c r="J20" s="15"/>
      <c r="K20" s="16"/>
      <c r="L20" s="16"/>
      <c r="M20" s="16"/>
      <c r="N20" s="57"/>
      <c r="O20" s="57"/>
      <c r="P20" s="9"/>
      <c r="Q20" s="3"/>
      <c r="R20" s="34"/>
      <c r="S20" s="34"/>
      <c r="T20" s="29"/>
      <c r="U20" s="30"/>
      <c r="V20" s="30"/>
      <c r="W20" s="30"/>
      <c r="X20" s="59"/>
      <c r="Y20" s="59"/>
      <c r="Z20" s="24"/>
      <c r="AA20" s="3"/>
      <c r="AB20" s="47"/>
      <c r="AC20" s="47"/>
      <c r="AD20" s="41"/>
      <c r="AE20" s="42"/>
      <c r="AF20" s="42"/>
      <c r="AG20" s="42"/>
      <c r="AH20" s="62"/>
      <c r="AI20" s="62"/>
      <c r="AJ20" s="36"/>
      <c r="AM20" s="54"/>
      <c r="AN20" s="54"/>
      <c r="AO20" s="54"/>
      <c r="AP20" s="54"/>
      <c r="AQ20" s="54"/>
      <c r="AR20" s="54"/>
      <c r="AS20" s="54"/>
      <c r="AT20" s="54"/>
      <c r="AW20" s="54"/>
      <c r="AX20" s="54"/>
      <c r="AY20" s="54"/>
      <c r="AZ20" s="54"/>
      <c r="BA20" s="54"/>
      <c r="BB20" s="54"/>
      <c r="BC20" s="54"/>
      <c r="BD20" s="54"/>
    </row>
    <row r="21" spans="3:56" s="5" customFormat="1" x14ac:dyDescent="0.15">
      <c r="C21" s="3"/>
      <c r="D21" s="100">
        <v>200</v>
      </c>
      <c r="E21" s="6">
        <v>5</v>
      </c>
      <c r="F21" s="6">
        <v>5</v>
      </c>
      <c r="G21" s="3"/>
      <c r="H21" s="10">
        <v>2563364.0197600261</v>
      </c>
      <c r="I21" s="10">
        <v>196837.39624846811</v>
      </c>
      <c r="J21" s="11">
        <v>585.298626958824</v>
      </c>
      <c r="K21" s="12">
        <v>10</v>
      </c>
      <c r="L21" s="12">
        <v>65.650000000000006</v>
      </c>
      <c r="M21" s="12">
        <v>1511.6174569645614</v>
      </c>
      <c r="N21" s="56">
        <v>42.607970057456477</v>
      </c>
      <c r="O21" s="56">
        <v>7013.1285402642734</v>
      </c>
      <c r="P21" s="75"/>
      <c r="Q21" s="3"/>
      <c r="R21" s="25">
        <v>2862159.2064220263</v>
      </c>
      <c r="S21" s="25">
        <v>133747.4955622461</v>
      </c>
      <c r="T21" s="26">
        <v>705.31471800587735</v>
      </c>
      <c r="U21" s="27">
        <v>13.5</v>
      </c>
      <c r="V21" s="27">
        <v>51.6</v>
      </c>
      <c r="W21" s="27">
        <v>1153.5256495758704</v>
      </c>
      <c r="X21" s="58">
        <v>23.394735509187303</v>
      </c>
      <c r="Y21" s="58">
        <v>6128.1166489890857</v>
      </c>
      <c r="Z21" s="78"/>
      <c r="AA21" s="3"/>
      <c r="AB21" s="37">
        <v>2957850.8127407492</v>
      </c>
      <c r="AC21" s="37">
        <v>175241.24353891678</v>
      </c>
      <c r="AD21" s="38">
        <v>559.43899937058279</v>
      </c>
      <c r="AE21" s="39">
        <v>8.9</v>
      </c>
      <c r="AF21" s="39">
        <v>48.15</v>
      </c>
      <c r="AG21" s="39">
        <v>1507.2427596113207</v>
      </c>
      <c r="AH21" s="61">
        <v>47.713702390753284</v>
      </c>
      <c r="AI21" s="61">
        <v>7033.184644811673</v>
      </c>
      <c r="AJ21" s="48"/>
      <c r="AM21" s="54">
        <f t="shared" ref="AM21:AT24" si="7">IFERROR((R21-H21)/H21, 0)</f>
        <v>0.11656369690714953</v>
      </c>
      <c r="AN21" s="54">
        <f t="shared" si="7"/>
        <v>-0.3205178583371604</v>
      </c>
      <c r="AO21" s="54">
        <f t="shared" si="7"/>
        <v>0.20505103808401132</v>
      </c>
      <c r="AP21" s="54">
        <f t="shared" si="7"/>
        <v>0.35</v>
      </c>
      <c r="AQ21" s="54">
        <f t="shared" si="7"/>
        <v>-0.21401370906321407</v>
      </c>
      <c r="AR21" s="54">
        <f t="shared" si="7"/>
        <v>-0.23689314101185732</v>
      </c>
      <c r="AS21" s="54">
        <f t="shared" si="7"/>
        <v>-0.45093053065800354</v>
      </c>
      <c r="AT21" s="54">
        <f t="shared" si="7"/>
        <v>-0.12619359337193015</v>
      </c>
      <c r="AW21" s="54">
        <f t="shared" ref="AW21:BD24" si="8">IFERROR((AB21-H21)/H21, 0)</f>
        <v>0.15389417575489481</v>
      </c>
      <c r="AX21" s="54">
        <f t="shared" si="8"/>
        <v>-0.10971569996938223</v>
      </c>
      <c r="AY21" s="54">
        <f t="shared" si="8"/>
        <v>-4.4181937898276402E-2</v>
      </c>
      <c r="AZ21" s="54">
        <f t="shared" si="8"/>
        <v>-0.10999999999999996</v>
      </c>
      <c r="BA21" s="54">
        <f t="shared" si="8"/>
        <v>-0.26656511805026667</v>
      </c>
      <c r="BB21" s="54">
        <f t="shared" si="8"/>
        <v>-2.8940505635766975E-3</v>
      </c>
      <c r="BC21" s="54">
        <f t="shared" si="8"/>
        <v>0.11983045252828922</v>
      </c>
      <c r="BD21" s="54">
        <f t="shared" si="8"/>
        <v>2.8597942319539831E-3</v>
      </c>
    </row>
    <row r="22" spans="3:56" s="5" customFormat="1" x14ac:dyDescent="0.15">
      <c r="C22" s="3"/>
      <c r="D22" s="101"/>
      <c r="E22" s="3">
        <v>5</v>
      </c>
      <c r="F22" s="3">
        <v>10</v>
      </c>
      <c r="G22" s="3"/>
      <c r="H22" s="14">
        <v>2551586.6685953909</v>
      </c>
      <c r="I22" s="14">
        <v>98263.609811334056</v>
      </c>
      <c r="J22" s="15">
        <v>426.83729639999473</v>
      </c>
      <c r="K22" s="16">
        <v>10.7</v>
      </c>
      <c r="L22" s="16">
        <v>67.099999999999994</v>
      </c>
      <c r="M22" s="16">
        <v>1604.5619699520034</v>
      </c>
      <c r="N22" s="57">
        <v>44.860821289723603</v>
      </c>
      <c r="O22" s="57">
        <v>6994.2923927737238</v>
      </c>
      <c r="P22" s="69"/>
      <c r="Q22" s="3"/>
      <c r="R22" s="28">
        <v>2899446.7247522306</v>
      </c>
      <c r="S22" s="28">
        <v>72528.588982945017</v>
      </c>
      <c r="T22" s="29">
        <v>602.51552873572132</v>
      </c>
      <c r="U22" s="30">
        <v>14.7</v>
      </c>
      <c r="V22" s="30">
        <v>51.4</v>
      </c>
      <c r="W22" s="30">
        <v>1239.2158124798875</v>
      </c>
      <c r="X22" s="59">
        <v>22.879645494247658</v>
      </c>
      <c r="Y22" s="59">
        <v>6074.4120338938264</v>
      </c>
      <c r="Z22" s="81"/>
      <c r="AA22" s="3"/>
      <c r="AB22" s="40">
        <v>2986186.1597942361</v>
      </c>
      <c r="AC22" s="40">
        <v>78108.898137558164</v>
      </c>
      <c r="AD22" s="41">
        <v>440.23220204285047</v>
      </c>
      <c r="AE22" s="42">
        <v>10.199999999999999</v>
      </c>
      <c r="AF22" s="42">
        <v>48.85</v>
      </c>
      <c r="AG22" s="42">
        <v>1695.6967434208395</v>
      </c>
      <c r="AH22" s="62">
        <v>48.563125017202957</v>
      </c>
      <c r="AI22" s="62">
        <v>7183.7969975293991</v>
      </c>
      <c r="AJ22" s="49"/>
      <c r="AM22" s="54">
        <f t="shared" si="7"/>
        <v>0.13633088009051689</v>
      </c>
      <c r="AN22" s="54">
        <f t="shared" si="7"/>
        <v>-0.26189777556310245</v>
      </c>
      <c r="AO22" s="54">
        <f t="shared" si="7"/>
        <v>0.411581260160303</v>
      </c>
      <c r="AP22" s="54">
        <f t="shared" si="7"/>
        <v>0.37383177570093462</v>
      </c>
      <c r="AQ22" s="54">
        <f t="shared" si="7"/>
        <v>-0.23397913561847983</v>
      </c>
      <c r="AR22" s="54">
        <f t="shared" si="7"/>
        <v>-0.22769214546636946</v>
      </c>
      <c r="AS22" s="54">
        <f t="shared" si="7"/>
        <v>-0.48998603154220977</v>
      </c>
      <c r="AT22" s="54">
        <f t="shared" si="7"/>
        <v>-0.13151871657957678</v>
      </c>
      <c r="AW22" s="54">
        <f t="shared" si="8"/>
        <v>0.17032519277038138</v>
      </c>
      <c r="AX22" s="54">
        <f t="shared" si="8"/>
        <v>-0.20510860238569395</v>
      </c>
      <c r="AY22" s="54">
        <f t="shared" si="8"/>
        <v>3.1381760112882004E-2</v>
      </c>
      <c r="AZ22" s="54">
        <f t="shared" si="8"/>
        <v>-4.6728971962616828E-2</v>
      </c>
      <c r="BA22" s="54">
        <f t="shared" si="8"/>
        <v>-0.27198211624441126</v>
      </c>
      <c r="BB22" s="54">
        <f t="shared" si="8"/>
        <v>5.6797291208118425E-2</v>
      </c>
      <c r="BC22" s="54">
        <f t="shared" si="8"/>
        <v>8.2528665794343162E-2</v>
      </c>
      <c r="BD22" s="54">
        <f t="shared" si="8"/>
        <v>2.7094178240455784E-2</v>
      </c>
    </row>
    <row r="23" spans="3:56" s="5" customFormat="1" x14ac:dyDescent="0.15">
      <c r="C23" s="3"/>
      <c r="D23" s="101"/>
      <c r="E23" s="3">
        <v>10</v>
      </c>
      <c r="F23" s="3">
        <v>5</v>
      </c>
      <c r="G23" s="3"/>
      <c r="H23" s="14">
        <v>1665955.9953485781</v>
      </c>
      <c r="I23" s="14">
        <v>176472.50310770882</v>
      </c>
      <c r="J23" s="15">
        <v>773.55719253999996</v>
      </c>
      <c r="K23" s="16">
        <v>16.100000000000001</v>
      </c>
      <c r="L23" s="16">
        <v>95.55</v>
      </c>
      <c r="M23" s="16">
        <v>806.99013888455033</v>
      </c>
      <c r="N23" s="57">
        <v>43.245321404085921</v>
      </c>
      <c r="O23" s="57">
        <v>5998.1513928840232</v>
      </c>
      <c r="P23" s="69"/>
      <c r="Q23" s="3"/>
      <c r="R23" s="28">
        <v>2139302.2718053237</v>
      </c>
      <c r="S23" s="28">
        <v>158672.47424073852</v>
      </c>
      <c r="T23" s="29">
        <v>767.19408095499375</v>
      </c>
      <c r="U23" s="30">
        <v>29.4</v>
      </c>
      <c r="V23" s="30">
        <v>81.900000000000006</v>
      </c>
      <c r="W23" s="30">
        <v>618.29462599097474</v>
      </c>
      <c r="X23" s="59">
        <v>19.335203216692598</v>
      </c>
      <c r="Y23" s="59">
        <v>5144.4347466436648</v>
      </c>
      <c r="Z23" s="81"/>
      <c r="AA23" s="3"/>
      <c r="AB23" s="40">
        <v>2275975.045342294</v>
      </c>
      <c r="AC23" s="40">
        <v>191592.74987903799</v>
      </c>
      <c r="AD23" s="41">
        <v>747.30069904499976</v>
      </c>
      <c r="AE23" s="42">
        <v>16.399999999999999</v>
      </c>
      <c r="AF23" s="42">
        <v>75.7</v>
      </c>
      <c r="AG23" s="42">
        <v>1170.8572633176645</v>
      </c>
      <c r="AH23" s="62">
        <v>51.718440621524586</v>
      </c>
      <c r="AI23" s="62">
        <v>6575.9053502958268</v>
      </c>
      <c r="AJ23" s="49"/>
      <c r="AM23" s="54">
        <f t="shared" si="7"/>
        <v>0.28412891923817257</v>
      </c>
      <c r="AN23" s="54">
        <f t="shared" si="7"/>
        <v>-0.10086573575774675</v>
      </c>
      <c r="AO23" s="54">
        <f t="shared" si="7"/>
        <v>-8.2257803900869005E-3</v>
      </c>
      <c r="AP23" s="54">
        <f t="shared" si="7"/>
        <v>0.82608695652173891</v>
      </c>
      <c r="AQ23" s="54">
        <f t="shared" si="7"/>
        <v>-0.14285714285714277</v>
      </c>
      <c r="AR23" s="54">
        <f t="shared" si="7"/>
        <v>-0.23382629328581023</v>
      </c>
      <c r="AS23" s="54">
        <f t="shared" si="7"/>
        <v>-0.55289491235309074</v>
      </c>
      <c r="AT23" s="54">
        <f t="shared" si="7"/>
        <v>-0.14232995973612389</v>
      </c>
      <c r="AW23" s="54">
        <f t="shared" si="8"/>
        <v>0.3661675648678091</v>
      </c>
      <c r="AX23" s="54">
        <f t="shared" si="8"/>
        <v>8.5680468656925135E-2</v>
      </c>
      <c r="AY23" s="54">
        <f t="shared" si="8"/>
        <v>-3.3942536826250889E-2</v>
      </c>
      <c r="AZ23" s="54">
        <f t="shared" si="8"/>
        <v>1.8633540372670631E-2</v>
      </c>
      <c r="BA23" s="54">
        <f t="shared" si="8"/>
        <v>-0.20774463631606482</v>
      </c>
      <c r="BB23" s="54">
        <f t="shared" si="8"/>
        <v>0.450894139717821</v>
      </c>
      <c r="BC23" s="54">
        <f t="shared" si="8"/>
        <v>0.19593146593282354</v>
      </c>
      <c r="BD23" s="54">
        <f t="shared" si="8"/>
        <v>9.6322003158711325E-2</v>
      </c>
    </row>
    <row r="24" spans="3:56" s="5" customFormat="1" x14ac:dyDescent="0.15">
      <c r="C24" s="3"/>
      <c r="D24" s="102"/>
      <c r="E24" s="4">
        <v>10</v>
      </c>
      <c r="F24" s="4">
        <v>10</v>
      </c>
      <c r="G24" s="3"/>
      <c r="H24" s="18">
        <v>1655292.4436100158</v>
      </c>
      <c r="I24" s="18">
        <v>123254.85138532289</v>
      </c>
      <c r="J24" s="19">
        <v>579.93365593846136</v>
      </c>
      <c r="K24" s="20">
        <v>16.5</v>
      </c>
      <c r="L24" s="20">
        <v>95.6</v>
      </c>
      <c r="M24" s="20">
        <v>774.15759364959126</v>
      </c>
      <c r="N24" s="51">
        <v>43.361413072165782</v>
      </c>
      <c r="O24" s="51">
        <v>5920.2150019427027</v>
      </c>
      <c r="P24" s="72"/>
      <c r="Q24" s="3"/>
      <c r="R24" s="31">
        <v>2223468.4289267827</v>
      </c>
      <c r="S24" s="31">
        <v>91418.65090608185</v>
      </c>
      <c r="T24" s="32">
        <v>648.04929795769237</v>
      </c>
      <c r="U24" s="33">
        <v>26.7</v>
      </c>
      <c r="V24" s="33">
        <v>76.45</v>
      </c>
      <c r="W24" s="33">
        <v>537.86615229468612</v>
      </c>
      <c r="X24" s="60">
        <v>19.858925684257475</v>
      </c>
      <c r="Y24" s="60">
        <v>4990.1753718111768</v>
      </c>
      <c r="Z24" s="84"/>
      <c r="AA24" s="3"/>
      <c r="AB24" s="44">
        <v>2239440.8632091298</v>
      </c>
      <c r="AC24" s="44">
        <v>97674.080446780354</v>
      </c>
      <c r="AD24" s="45">
        <v>525.3915574076924</v>
      </c>
      <c r="AE24" s="46">
        <v>15.6</v>
      </c>
      <c r="AF24" s="46">
        <v>76.45</v>
      </c>
      <c r="AG24" s="46">
        <v>1122.0044162193051</v>
      </c>
      <c r="AH24" s="52">
        <v>55.763462081511285</v>
      </c>
      <c r="AI24" s="52">
        <v>6542.0115834394401</v>
      </c>
      <c r="AJ24" s="50"/>
      <c r="AM24" s="54">
        <f t="shared" si="7"/>
        <v>0.34324809945826601</v>
      </c>
      <c r="AN24" s="54">
        <f t="shared" si="7"/>
        <v>-0.25829571916576161</v>
      </c>
      <c r="AO24" s="54">
        <f t="shared" si="7"/>
        <v>0.11745419725469251</v>
      </c>
      <c r="AP24" s="54">
        <f t="shared" si="7"/>
        <v>0.61818181818181817</v>
      </c>
      <c r="AQ24" s="54">
        <f t="shared" si="7"/>
        <v>-0.20031380753138067</v>
      </c>
      <c r="AR24" s="54">
        <f t="shared" si="7"/>
        <v>-0.30522395348595943</v>
      </c>
      <c r="AS24" s="54">
        <f t="shared" si="7"/>
        <v>-0.54201387184484628</v>
      </c>
      <c r="AT24" s="54">
        <f t="shared" si="7"/>
        <v>-0.15709558349254812</v>
      </c>
      <c r="AW24" s="54">
        <f t="shared" si="8"/>
        <v>0.35289741208819198</v>
      </c>
      <c r="AX24" s="54">
        <f t="shared" si="8"/>
        <v>-0.20754372465689966</v>
      </c>
      <c r="AY24" s="54">
        <f t="shared" si="8"/>
        <v>-9.4048858817320641E-2</v>
      </c>
      <c r="AZ24" s="54">
        <f t="shared" si="8"/>
        <v>-5.4545454545454564E-2</v>
      </c>
      <c r="BA24" s="54">
        <f t="shared" si="8"/>
        <v>-0.20031380753138067</v>
      </c>
      <c r="BB24" s="54">
        <f t="shared" si="8"/>
        <v>0.44932301307007594</v>
      </c>
      <c r="BC24" s="54">
        <f t="shared" si="8"/>
        <v>0.2860157944738782</v>
      </c>
      <c r="BD24" s="54">
        <f t="shared" si="8"/>
        <v>0.10502939188740554</v>
      </c>
    </row>
    <row r="28" spans="3:56" x14ac:dyDescent="0.2">
      <c r="C28" s="1"/>
      <c r="D28" s="104" t="s">
        <v>2</v>
      </c>
      <c r="E28" s="104" t="s">
        <v>3</v>
      </c>
      <c r="F28" s="104" t="s">
        <v>4</v>
      </c>
      <c r="G28" s="1"/>
      <c r="H28" s="104" t="s">
        <v>16</v>
      </c>
      <c r="I28" s="104"/>
      <c r="J28" s="104"/>
      <c r="K28" s="104"/>
      <c r="L28" s="104"/>
      <c r="M28" s="104"/>
      <c r="N28" s="104"/>
      <c r="O28" s="104"/>
      <c r="P28" s="104"/>
      <c r="Q28" s="1"/>
      <c r="R28" s="104" t="s">
        <v>20</v>
      </c>
      <c r="S28" s="104"/>
      <c r="T28" s="104"/>
      <c r="U28" s="104"/>
      <c r="V28" s="104"/>
      <c r="W28" s="104"/>
      <c r="X28" s="104"/>
      <c r="Y28" s="104"/>
      <c r="Z28" s="104"/>
      <c r="AA28" s="1"/>
      <c r="AB28" s="104" t="s">
        <v>18</v>
      </c>
      <c r="AC28" s="104"/>
      <c r="AD28" s="104"/>
      <c r="AE28" s="104"/>
      <c r="AF28" s="104"/>
      <c r="AG28" s="104"/>
      <c r="AH28" s="104"/>
      <c r="AI28" s="104"/>
      <c r="AJ28" s="104"/>
      <c r="AM28" s="103" t="s">
        <v>35</v>
      </c>
      <c r="AN28" s="103"/>
      <c r="AO28" s="103"/>
      <c r="AP28" s="103"/>
      <c r="AQ28" s="103"/>
      <c r="AR28" s="103"/>
      <c r="AS28" s="103"/>
      <c r="AT28" s="103"/>
      <c r="AW28" s="103" t="s">
        <v>36</v>
      </c>
      <c r="AX28" s="103"/>
      <c r="AY28" s="103"/>
      <c r="AZ28" s="103"/>
      <c r="BA28" s="103"/>
      <c r="BB28" s="103"/>
      <c r="BC28" s="103"/>
      <c r="BD28" s="103"/>
    </row>
    <row r="29" spans="3:56" s="5" customFormat="1" ht="13" customHeight="1" x14ac:dyDescent="0.15">
      <c r="C29" s="3"/>
      <c r="D29" s="105"/>
      <c r="E29" s="105"/>
      <c r="F29" s="105"/>
      <c r="G29" s="3"/>
      <c r="H29" s="8" t="s">
        <v>21</v>
      </c>
      <c r="I29" s="8" t="s">
        <v>22</v>
      </c>
      <c r="J29" s="8" t="s">
        <v>1</v>
      </c>
      <c r="K29" s="8" t="s">
        <v>23</v>
      </c>
      <c r="L29" s="8" t="s">
        <v>24</v>
      </c>
      <c r="M29" s="8" t="s">
        <v>5</v>
      </c>
      <c r="N29" s="8" t="s">
        <v>25</v>
      </c>
      <c r="O29" s="8" t="s">
        <v>6</v>
      </c>
      <c r="P29" s="8" t="s">
        <v>26</v>
      </c>
      <c r="Q29" s="3"/>
      <c r="R29" s="23" t="s">
        <v>21</v>
      </c>
      <c r="S29" s="23" t="s">
        <v>22</v>
      </c>
      <c r="T29" s="23" t="s">
        <v>1</v>
      </c>
      <c r="U29" s="23" t="s">
        <v>23</v>
      </c>
      <c r="V29" s="23" t="s">
        <v>24</v>
      </c>
      <c r="W29" s="23" t="s">
        <v>5</v>
      </c>
      <c r="X29" s="23" t="s">
        <v>25</v>
      </c>
      <c r="Y29" s="23" t="s">
        <v>6</v>
      </c>
      <c r="Z29" s="23" t="s">
        <v>26</v>
      </c>
      <c r="AA29" s="3"/>
      <c r="AB29" s="35" t="s">
        <v>21</v>
      </c>
      <c r="AC29" s="35" t="s">
        <v>22</v>
      </c>
      <c r="AD29" s="35" t="s">
        <v>1</v>
      </c>
      <c r="AE29" s="35" t="s">
        <v>23</v>
      </c>
      <c r="AF29" s="35" t="s">
        <v>24</v>
      </c>
      <c r="AG29" s="35" t="s">
        <v>5</v>
      </c>
      <c r="AH29" s="35" t="s">
        <v>25</v>
      </c>
      <c r="AI29" s="35" t="s">
        <v>6</v>
      </c>
      <c r="AJ29" s="35" t="s">
        <v>26</v>
      </c>
      <c r="AM29" s="55" t="s">
        <v>0</v>
      </c>
      <c r="AN29" s="55" t="s">
        <v>29</v>
      </c>
      <c r="AO29" s="55" t="s">
        <v>1</v>
      </c>
      <c r="AP29" s="55" t="s">
        <v>23</v>
      </c>
      <c r="AQ29" s="55" t="s">
        <v>24</v>
      </c>
      <c r="AR29" s="55" t="s">
        <v>5</v>
      </c>
      <c r="AS29" s="55" t="s">
        <v>25</v>
      </c>
      <c r="AT29" s="55" t="s">
        <v>6</v>
      </c>
      <c r="AW29" s="55" t="s">
        <v>0</v>
      </c>
      <c r="AX29" s="55" t="s">
        <v>29</v>
      </c>
      <c r="AY29" s="55" t="s">
        <v>1</v>
      </c>
      <c r="AZ29" s="55" t="s">
        <v>23</v>
      </c>
      <c r="BA29" s="55" t="s">
        <v>24</v>
      </c>
      <c r="BB29" s="55" t="s">
        <v>5</v>
      </c>
      <c r="BC29" s="55" t="s">
        <v>25</v>
      </c>
      <c r="BD29" s="55" t="s">
        <v>6</v>
      </c>
    </row>
    <row r="30" spans="3:56" s="5" customFormat="1" ht="4" customHeight="1" x14ac:dyDescent="0.15">
      <c r="C30" s="3"/>
      <c r="D30" s="3"/>
      <c r="E30" s="3"/>
      <c r="F30" s="3"/>
      <c r="G30" s="3"/>
      <c r="H30" s="9"/>
      <c r="I30" s="9"/>
      <c r="J30" s="9"/>
      <c r="K30" s="9"/>
      <c r="L30" s="9"/>
      <c r="M30" s="9"/>
      <c r="N30" s="9"/>
      <c r="O30" s="9"/>
      <c r="P30" s="9"/>
      <c r="Q30" s="3"/>
      <c r="R30" s="24"/>
      <c r="S30" s="24"/>
      <c r="T30" s="24"/>
      <c r="U30" s="24"/>
      <c r="V30" s="24"/>
      <c r="W30" s="24"/>
      <c r="X30" s="24"/>
      <c r="Y30" s="24"/>
      <c r="Z30" s="24"/>
      <c r="AA30" s="3"/>
      <c r="AB30" s="36"/>
      <c r="AC30" s="36"/>
      <c r="AD30" s="36"/>
      <c r="AE30" s="36"/>
      <c r="AF30" s="36"/>
      <c r="AG30" s="36"/>
      <c r="AH30" s="36"/>
      <c r="AI30" s="36"/>
      <c r="AJ30" s="36"/>
    </row>
    <row r="31" spans="3:56" s="5" customFormat="1" ht="16" customHeight="1" x14ac:dyDescent="0.15">
      <c r="C31" s="3"/>
      <c r="D31" s="100">
        <v>100</v>
      </c>
      <c r="E31" s="6">
        <v>5</v>
      </c>
      <c r="F31" s="6">
        <v>5</v>
      </c>
      <c r="G31" s="3"/>
      <c r="H31" s="10">
        <v>910683.48430158722</v>
      </c>
      <c r="I31" s="10">
        <v>90832.793543876192</v>
      </c>
      <c r="J31" s="11">
        <v>71.628629187399923</v>
      </c>
      <c r="K31" s="12">
        <v>8</v>
      </c>
      <c r="L31" s="91">
        <v>93.4</v>
      </c>
      <c r="M31" s="12">
        <v>1039.3486064928331</v>
      </c>
      <c r="N31" s="92">
        <v>46.692882234531886</v>
      </c>
      <c r="O31" s="56">
        <v>6372.0904497954998</v>
      </c>
      <c r="P31" s="64"/>
      <c r="Q31" s="3"/>
      <c r="R31" s="25">
        <v>1176662.9401852572</v>
      </c>
      <c r="S31" s="25">
        <v>76772.162918354443</v>
      </c>
      <c r="T31" s="26">
        <v>109.86026256670011</v>
      </c>
      <c r="U31" s="27">
        <v>12.3</v>
      </c>
      <c r="V31" s="27">
        <v>72</v>
      </c>
      <c r="W31" s="27">
        <v>634.86357980170533</v>
      </c>
      <c r="X31" s="58">
        <v>21.757024654276997</v>
      </c>
      <c r="Y31" s="58">
        <v>5222.6217715190887</v>
      </c>
      <c r="Z31" s="78"/>
      <c r="AA31" s="3"/>
      <c r="AB31" s="37">
        <v>1206639.5452650383</v>
      </c>
      <c r="AC31" s="37">
        <v>103484.18756832523</v>
      </c>
      <c r="AD31" s="38">
        <v>87.265506558199561</v>
      </c>
      <c r="AE31" s="39">
        <v>7.6</v>
      </c>
      <c r="AF31" s="39">
        <v>70.5</v>
      </c>
      <c r="AG31" s="39">
        <v>1244.2652576370167</v>
      </c>
      <c r="AH31" s="61">
        <v>58.834236235386946</v>
      </c>
      <c r="AI31" s="61">
        <v>6706.7394402487944</v>
      </c>
      <c r="AJ31" s="48"/>
      <c r="AM31" s="54"/>
      <c r="AN31" s="54"/>
      <c r="AO31" s="54"/>
      <c r="AP31" s="54"/>
      <c r="AQ31" s="54"/>
      <c r="AR31" s="54"/>
      <c r="AS31" s="54"/>
      <c r="AT31" s="54"/>
      <c r="AW31" s="54"/>
      <c r="AX31" s="54"/>
      <c r="AY31" s="54"/>
      <c r="AZ31" s="54"/>
      <c r="BA31" s="54"/>
      <c r="BB31" s="54"/>
      <c r="BC31" s="54"/>
      <c r="BD31" s="54"/>
    </row>
    <row r="32" spans="3:56" s="5" customFormat="1" x14ac:dyDescent="0.15">
      <c r="C32" s="3"/>
      <c r="D32" s="101"/>
      <c r="E32" s="3">
        <v>5</v>
      </c>
      <c r="F32" s="3">
        <v>10</v>
      </c>
      <c r="G32" s="3"/>
      <c r="H32" s="14">
        <v>1085303.6958576157</v>
      </c>
      <c r="I32" s="14">
        <v>75133.573028362909</v>
      </c>
      <c r="J32" s="15">
        <v>57.060232145799816</v>
      </c>
      <c r="K32" s="16">
        <v>10.199999999999999</v>
      </c>
      <c r="L32" s="16">
        <v>84.5</v>
      </c>
      <c r="M32" s="16">
        <v>1322.1914990792372</v>
      </c>
      <c r="N32" s="57">
        <v>31.066447471526295</v>
      </c>
      <c r="O32" s="57">
        <v>6318.6330032554379</v>
      </c>
      <c r="P32" s="69"/>
      <c r="Q32" s="3"/>
      <c r="R32" s="28">
        <v>1318452.4925315906</v>
      </c>
      <c r="S32" s="28">
        <v>86556.055068483256</v>
      </c>
      <c r="T32" s="29">
        <v>94.689403008400404</v>
      </c>
      <c r="U32" s="30">
        <v>11.8</v>
      </c>
      <c r="V32" s="30">
        <v>63</v>
      </c>
      <c r="W32" s="30">
        <v>782.25635341452517</v>
      </c>
      <c r="X32" s="59">
        <v>18.633042734459487</v>
      </c>
      <c r="Y32" s="59">
        <v>5339.9932856410906</v>
      </c>
      <c r="Z32" s="81"/>
      <c r="AA32" s="3"/>
      <c r="AB32" s="40">
        <v>1339237.137716555</v>
      </c>
      <c r="AC32" s="40">
        <v>78000.119594677264</v>
      </c>
      <c r="AD32" s="41">
        <v>71.579917075099729</v>
      </c>
      <c r="AE32" s="42">
        <v>8.1</v>
      </c>
      <c r="AF32" s="42">
        <v>60.8</v>
      </c>
      <c r="AG32" s="42">
        <v>1267.4538295425782</v>
      </c>
      <c r="AH32" s="62">
        <v>45.908328973749832</v>
      </c>
      <c r="AI32" s="62">
        <v>6491.3520042414993</v>
      </c>
      <c r="AJ32" s="49"/>
      <c r="AM32" s="54"/>
      <c r="AN32" s="54"/>
      <c r="AO32" s="54"/>
      <c r="AP32" s="54"/>
      <c r="AQ32" s="54"/>
      <c r="AR32" s="54"/>
      <c r="AS32" s="54"/>
      <c r="AT32" s="54"/>
      <c r="AW32" s="54"/>
      <c r="AX32" s="54"/>
      <c r="AY32" s="54"/>
      <c r="AZ32" s="54"/>
      <c r="BA32" s="54"/>
      <c r="BB32" s="54"/>
      <c r="BC32" s="54"/>
      <c r="BD32" s="54"/>
    </row>
    <row r="33" spans="3:56" s="5" customFormat="1" x14ac:dyDescent="0.15">
      <c r="C33" s="3"/>
      <c r="D33" s="101"/>
      <c r="E33" s="3">
        <v>10</v>
      </c>
      <c r="F33" s="3">
        <v>5</v>
      </c>
      <c r="G33" s="3"/>
      <c r="H33" s="14">
        <v>723163.62249089684</v>
      </c>
      <c r="I33" s="14">
        <v>89904.249285704427</v>
      </c>
      <c r="J33" s="15">
        <v>74.726134154199457</v>
      </c>
      <c r="K33" s="16">
        <v>9</v>
      </c>
      <c r="L33" s="16">
        <v>96.3</v>
      </c>
      <c r="M33" s="16">
        <v>264.42179228727832</v>
      </c>
      <c r="N33" s="57">
        <v>42.412531603227549</v>
      </c>
      <c r="O33" s="57">
        <v>5219.7398482616427</v>
      </c>
      <c r="P33" s="69"/>
      <c r="Q33" s="3"/>
      <c r="R33" s="28">
        <v>958652.96030873654</v>
      </c>
      <c r="S33" s="28">
        <v>67787.302418072693</v>
      </c>
      <c r="T33" s="29">
        <v>180.19440569170109</v>
      </c>
      <c r="U33" s="30">
        <v>20.9</v>
      </c>
      <c r="V33" s="30">
        <v>90.9</v>
      </c>
      <c r="W33" s="30">
        <v>193.53615448083249</v>
      </c>
      <c r="X33" s="59">
        <v>16.658798108370938</v>
      </c>
      <c r="Y33" s="59">
        <v>4394.4870229527587</v>
      </c>
      <c r="Z33" s="81"/>
      <c r="AA33" s="3"/>
      <c r="AB33" s="40">
        <v>940124.55852215621</v>
      </c>
      <c r="AC33" s="40">
        <v>127677.02897548032</v>
      </c>
      <c r="AD33" s="41">
        <v>113.8063426167013</v>
      </c>
      <c r="AE33" s="42">
        <v>12.5</v>
      </c>
      <c r="AF33" s="42">
        <v>90.5</v>
      </c>
      <c r="AG33" s="42">
        <v>782.74871381610888</v>
      </c>
      <c r="AH33" s="62">
        <v>50.190837421543542</v>
      </c>
      <c r="AI33" s="62">
        <v>6108.5195961402915</v>
      </c>
      <c r="AJ33" s="49"/>
      <c r="AM33" s="54"/>
      <c r="AN33" s="54"/>
      <c r="AO33" s="54"/>
      <c r="AP33" s="54"/>
      <c r="AQ33" s="54"/>
      <c r="AR33" s="54"/>
      <c r="AS33" s="54"/>
      <c r="AT33" s="54"/>
      <c r="AW33" s="54"/>
      <c r="AX33" s="54"/>
      <c r="AY33" s="54"/>
      <c r="AZ33" s="54"/>
      <c r="BA33" s="54"/>
      <c r="BB33" s="54"/>
      <c r="BC33" s="54"/>
      <c r="BD33" s="54"/>
    </row>
    <row r="34" spans="3:56" s="5" customFormat="1" x14ac:dyDescent="0.15">
      <c r="C34" s="3"/>
      <c r="D34" s="102"/>
      <c r="E34" s="4">
        <v>10</v>
      </c>
      <c r="F34" s="4">
        <v>10</v>
      </c>
      <c r="G34" s="3"/>
      <c r="H34" s="18">
        <v>758485.59054328513</v>
      </c>
      <c r="I34" s="18">
        <v>32305.30366237228</v>
      </c>
      <c r="J34" s="19">
        <v>47.666458258000787</v>
      </c>
      <c r="K34" s="20">
        <v>10.4</v>
      </c>
      <c r="L34" s="20">
        <v>93</v>
      </c>
      <c r="M34" s="20">
        <v>225.34077716774442</v>
      </c>
      <c r="N34" s="51">
        <v>33.579666480054144</v>
      </c>
      <c r="O34" s="51">
        <v>4767.7037289137279</v>
      </c>
      <c r="P34" s="72"/>
      <c r="Q34" s="3"/>
      <c r="R34" s="31">
        <v>1020990.0020314433</v>
      </c>
      <c r="S34" s="31">
        <v>38590.601221893783</v>
      </c>
      <c r="T34" s="32">
        <v>99.938888349998891</v>
      </c>
      <c r="U34" s="33">
        <v>20.8</v>
      </c>
      <c r="V34" s="33">
        <v>86.2</v>
      </c>
      <c r="W34" s="33">
        <v>169.52318980545544</v>
      </c>
      <c r="X34" s="60">
        <v>15.314554268750792</v>
      </c>
      <c r="Y34" s="60">
        <v>4231.7482007264252</v>
      </c>
      <c r="Z34" s="84"/>
      <c r="AA34" s="3"/>
      <c r="AB34" s="44">
        <v>942636.20674349775</v>
      </c>
      <c r="AC34" s="44">
        <v>46836.958657160605</v>
      </c>
      <c r="AD34" s="45">
        <v>73.081371974999641</v>
      </c>
      <c r="AE34" s="46">
        <v>13.5</v>
      </c>
      <c r="AF34" s="46">
        <v>90.8</v>
      </c>
      <c r="AG34" s="46">
        <v>797.02012121046425</v>
      </c>
      <c r="AH34" s="52">
        <v>48.949952101594626</v>
      </c>
      <c r="AI34" s="52">
        <v>5993.9823558431308</v>
      </c>
      <c r="AJ34" s="50"/>
      <c r="AM34" s="54"/>
      <c r="AN34" s="54"/>
      <c r="AO34" s="54"/>
      <c r="AP34" s="54"/>
      <c r="AQ34" s="54"/>
      <c r="AR34" s="54"/>
      <c r="AS34" s="54"/>
      <c r="AT34" s="54"/>
      <c r="AW34" s="54"/>
      <c r="AX34" s="54"/>
      <c r="AY34" s="54"/>
      <c r="AZ34" s="54"/>
      <c r="BA34" s="54"/>
      <c r="BB34" s="54"/>
      <c r="BC34" s="54"/>
      <c r="BD34" s="54"/>
    </row>
    <row r="35" spans="3:56" s="5" customFormat="1" ht="4" customHeight="1" x14ac:dyDescent="0.15">
      <c r="C35" s="3"/>
      <c r="D35" s="3"/>
      <c r="E35" s="3"/>
      <c r="F35" s="3"/>
      <c r="G35" s="3"/>
      <c r="H35" s="22"/>
      <c r="I35" s="22"/>
      <c r="J35" s="15"/>
      <c r="K35" s="16"/>
      <c r="L35" s="16"/>
      <c r="M35" s="16"/>
      <c r="N35" s="57"/>
      <c r="O35" s="57"/>
      <c r="P35" s="9"/>
      <c r="Q35" s="3"/>
      <c r="R35" s="34"/>
      <c r="S35" s="34"/>
      <c r="T35" s="29"/>
      <c r="U35" s="30"/>
      <c r="V35" s="30"/>
      <c r="W35" s="30"/>
      <c r="X35" s="59"/>
      <c r="Y35" s="59"/>
      <c r="Z35" s="24"/>
      <c r="AA35" s="3"/>
      <c r="AB35" s="47"/>
      <c r="AC35" s="47"/>
      <c r="AD35" s="41"/>
      <c r="AE35" s="42"/>
      <c r="AF35" s="42"/>
      <c r="AG35" s="42"/>
      <c r="AH35" s="62"/>
      <c r="AI35" s="62"/>
      <c r="AJ35" s="36"/>
      <c r="AM35" s="54"/>
      <c r="AN35" s="54"/>
      <c r="AO35" s="54"/>
      <c r="AP35" s="54"/>
      <c r="AQ35" s="54"/>
      <c r="AR35" s="54"/>
      <c r="AS35" s="54"/>
      <c r="AT35" s="54"/>
      <c r="AW35" s="54"/>
      <c r="AX35" s="54"/>
      <c r="AY35" s="54"/>
      <c r="AZ35" s="54"/>
      <c r="BA35" s="54"/>
      <c r="BB35" s="54"/>
      <c r="BC35" s="54"/>
      <c r="BD35" s="54"/>
    </row>
    <row r="36" spans="3:56" s="5" customFormat="1" ht="16" customHeight="1" x14ac:dyDescent="0.15">
      <c r="C36" s="3"/>
      <c r="D36" s="100">
        <v>150</v>
      </c>
      <c r="E36" s="6">
        <v>5</v>
      </c>
      <c r="F36" s="6">
        <v>5</v>
      </c>
      <c r="G36" s="3"/>
      <c r="H36" s="10">
        <v>1618284.7893627794</v>
      </c>
      <c r="I36" s="10">
        <v>173376.03963597084</v>
      </c>
      <c r="J36" s="11">
        <v>154.0003333333388</v>
      </c>
      <c r="K36" s="12">
        <v>9.4</v>
      </c>
      <c r="L36" s="12">
        <v>82.4</v>
      </c>
      <c r="M36" s="12">
        <v>1381.7331164596849</v>
      </c>
      <c r="N36" s="56">
        <v>46.847333282586305</v>
      </c>
      <c r="O36" s="56">
        <v>6817.2710346189942</v>
      </c>
      <c r="P36" s="75"/>
      <c r="Q36" s="3"/>
      <c r="R36" s="25">
        <v>2026358.040320101</v>
      </c>
      <c r="S36" s="25">
        <v>129338.56540740485</v>
      </c>
      <c r="T36" s="26">
        <v>312.30137777778117</v>
      </c>
      <c r="U36" s="27">
        <v>13.3</v>
      </c>
      <c r="V36" s="27">
        <v>59.066666666666677</v>
      </c>
      <c r="W36" s="27">
        <v>950.01374953340928</v>
      </c>
      <c r="X36" s="58">
        <v>22.410391408396244</v>
      </c>
      <c r="Y36" s="58">
        <v>5784.3142313330554</v>
      </c>
      <c r="Z36" s="78"/>
      <c r="AA36" s="3"/>
      <c r="AB36" s="37">
        <v>2052262.972318989</v>
      </c>
      <c r="AC36" s="37">
        <v>126135.53137642612</v>
      </c>
      <c r="AD36" s="38">
        <v>167.52468888888447</v>
      </c>
      <c r="AE36" s="39">
        <v>6.7</v>
      </c>
      <c r="AF36" s="39">
        <v>54.533333333333339</v>
      </c>
      <c r="AG36" s="39">
        <v>1164.8862529958931</v>
      </c>
      <c r="AH36" s="61">
        <v>62.789385894594702</v>
      </c>
      <c r="AI36" s="61">
        <v>6741.5012519256388</v>
      </c>
      <c r="AJ36" s="48"/>
      <c r="AM36" s="54"/>
      <c r="AN36" s="54"/>
      <c r="AO36" s="54"/>
      <c r="AP36" s="54"/>
      <c r="AQ36" s="54"/>
      <c r="AR36" s="54"/>
      <c r="AS36" s="54"/>
      <c r="AT36" s="54"/>
      <c r="AW36" s="54"/>
      <c r="AX36" s="54"/>
      <c r="AY36" s="54"/>
      <c r="AZ36" s="54"/>
      <c r="BA36" s="54"/>
      <c r="BB36" s="54"/>
      <c r="BC36" s="54"/>
      <c r="BD36" s="54"/>
    </row>
    <row r="37" spans="3:56" s="5" customFormat="1" x14ac:dyDescent="0.15">
      <c r="C37" s="3"/>
      <c r="D37" s="101"/>
      <c r="E37" s="3">
        <v>5</v>
      </c>
      <c r="F37" s="3">
        <v>10</v>
      </c>
      <c r="G37" s="3"/>
      <c r="H37" s="14">
        <v>1814248.2169782338</v>
      </c>
      <c r="I37" s="14">
        <v>120900.66891316525</v>
      </c>
      <c r="J37" s="15">
        <v>163.96410810810866</v>
      </c>
      <c r="K37" s="16">
        <v>9.6999999999999993</v>
      </c>
      <c r="L37" s="16">
        <v>73.400000000000006</v>
      </c>
      <c r="M37" s="16">
        <v>1537.3145388577216</v>
      </c>
      <c r="N37" s="57">
        <v>39.997741428882001</v>
      </c>
      <c r="O37" s="57">
        <v>6781.3285724979924</v>
      </c>
      <c r="P37" s="69"/>
      <c r="Q37" s="3"/>
      <c r="R37" s="28">
        <v>2181364.8328304193</v>
      </c>
      <c r="S37" s="28">
        <v>67736.090600820186</v>
      </c>
      <c r="T37" s="29">
        <v>209.33197297297755</v>
      </c>
      <c r="U37" s="30">
        <v>10.7</v>
      </c>
      <c r="V37" s="30">
        <v>49.066666666666677</v>
      </c>
      <c r="W37" s="30">
        <v>935.93770488948178</v>
      </c>
      <c r="X37" s="59">
        <v>22.321860931325286</v>
      </c>
      <c r="Y37" s="59">
        <v>5711.5113306919211</v>
      </c>
      <c r="Z37" s="81"/>
      <c r="AA37" s="3"/>
      <c r="AB37" s="40">
        <v>2203895.6852800222</v>
      </c>
      <c r="AC37" s="40">
        <v>81819.16023660767</v>
      </c>
      <c r="AD37" s="41">
        <v>190.91048648648712</v>
      </c>
      <c r="AE37" s="42">
        <v>6.6</v>
      </c>
      <c r="AF37" s="42">
        <v>46.4</v>
      </c>
      <c r="AG37" s="42">
        <v>1141.2477907291579</v>
      </c>
      <c r="AH37" s="62">
        <v>58.404283092050356</v>
      </c>
      <c r="AI37" s="62">
        <v>6638.0868921693736</v>
      </c>
      <c r="AJ37" s="49"/>
      <c r="AM37" s="54"/>
      <c r="AN37" s="54"/>
      <c r="AO37" s="54"/>
      <c r="AP37" s="54"/>
      <c r="AQ37" s="54"/>
      <c r="AR37" s="54"/>
      <c r="AS37" s="54"/>
      <c r="AT37" s="54"/>
      <c r="AW37" s="54"/>
      <c r="AX37" s="54"/>
      <c r="AY37" s="54"/>
      <c r="AZ37" s="54"/>
      <c r="BA37" s="54"/>
      <c r="BB37" s="54"/>
      <c r="BC37" s="54"/>
      <c r="BD37" s="54"/>
    </row>
    <row r="38" spans="3:56" s="5" customFormat="1" x14ac:dyDescent="0.15">
      <c r="C38" s="3"/>
      <c r="D38" s="101"/>
      <c r="E38" s="3">
        <v>10</v>
      </c>
      <c r="F38" s="3">
        <v>5</v>
      </c>
      <c r="G38" s="3"/>
      <c r="H38" s="14">
        <v>1278276.4737475803</v>
      </c>
      <c r="I38" s="14">
        <v>122811.46709553739</v>
      </c>
      <c r="J38" s="15">
        <v>252.93965714285483</v>
      </c>
      <c r="K38" s="16">
        <v>11.6</v>
      </c>
      <c r="L38" s="16">
        <v>94.2</v>
      </c>
      <c r="M38" s="16">
        <v>738.97269855507716</v>
      </c>
      <c r="N38" s="57">
        <v>45.752130792898328</v>
      </c>
      <c r="O38" s="57">
        <v>6130.4816401067446</v>
      </c>
      <c r="P38" s="69"/>
      <c r="Q38" s="3"/>
      <c r="R38" s="28">
        <v>1670706.5931837584</v>
      </c>
      <c r="S38" s="28">
        <v>125850.44343451991</v>
      </c>
      <c r="T38" s="29">
        <v>494.11788571429042</v>
      </c>
      <c r="U38" s="30">
        <v>23.5</v>
      </c>
      <c r="V38" s="30">
        <v>81.400000000000006</v>
      </c>
      <c r="W38" s="30">
        <v>633.52427288485489</v>
      </c>
      <c r="X38" s="59">
        <v>18.795581421233209</v>
      </c>
      <c r="Y38" s="59">
        <v>5323.3707519727977</v>
      </c>
      <c r="Z38" s="81"/>
      <c r="AA38" s="3"/>
      <c r="AB38" s="40">
        <v>1699530.841100489</v>
      </c>
      <c r="AC38" s="40">
        <v>166149.45760037139</v>
      </c>
      <c r="AD38" s="41">
        <v>353.40139999999332</v>
      </c>
      <c r="AE38" s="42">
        <v>12.6</v>
      </c>
      <c r="AF38" s="42">
        <v>75.8</v>
      </c>
      <c r="AG38" s="42">
        <v>1018.1085101501515</v>
      </c>
      <c r="AH38" s="62">
        <v>53.8978308946472</v>
      </c>
      <c r="AI38" s="62">
        <v>6538.3806530208385</v>
      </c>
      <c r="AJ38" s="49"/>
      <c r="AM38" s="54"/>
      <c r="AN38" s="54"/>
      <c r="AO38" s="54"/>
      <c r="AP38" s="54"/>
      <c r="AQ38" s="54"/>
      <c r="AR38" s="54"/>
      <c r="AS38" s="54"/>
      <c r="AT38" s="54"/>
      <c r="AW38" s="54"/>
      <c r="AX38" s="54"/>
      <c r="AY38" s="54"/>
      <c r="AZ38" s="54"/>
      <c r="BA38" s="54"/>
      <c r="BB38" s="54"/>
      <c r="BC38" s="54"/>
      <c r="BD38" s="54"/>
    </row>
    <row r="39" spans="3:56" s="5" customFormat="1" x14ac:dyDescent="0.15">
      <c r="C39" s="3"/>
      <c r="D39" s="102"/>
      <c r="E39" s="4">
        <v>10</v>
      </c>
      <c r="F39" s="4">
        <v>10</v>
      </c>
      <c r="G39" s="3"/>
      <c r="H39" s="18">
        <v>1211624.2037533494</v>
      </c>
      <c r="I39" s="18">
        <v>98197.551345683692</v>
      </c>
      <c r="J39" s="19">
        <v>222.00403999999861</v>
      </c>
      <c r="K39" s="20">
        <v>11.9</v>
      </c>
      <c r="L39" s="20">
        <v>94.933333333333323</v>
      </c>
      <c r="M39" s="20">
        <v>640.67369305178897</v>
      </c>
      <c r="N39" s="51">
        <v>44.644052082599508</v>
      </c>
      <c r="O39" s="51">
        <v>5760.6509474021732</v>
      </c>
      <c r="P39" s="72"/>
      <c r="Q39" s="3"/>
      <c r="R39" s="31">
        <v>1628841.9448882397</v>
      </c>
      <c r="S39" s="31">
        <v>73597.950105985336</v>
      </c>
      <c r="T39" s="32">
        <v>362.1240199999977</v>
      </c>
      <c r="U39" s="33">
        <v>23.1</v>
      </c>
      <c r="V39" s="33">
        <v>81.133333333333312</v>
      </c>
      <c r="W39" s="33">
        <v>530.08890152264678</v>
      </c>
      <c r="X39" s="60">
        <v>19.05947658283845</v>
      </c>
      <c r="Y39" s="60">
        <v>5051.9573732189365</v>
      </c>
      <c r="Z39" s="84"/>
      <c r="AA39" s="3"/>
      <c r="AB39" s="44">
        <v>1589836.4518375176</v>
      </c>
      <c r="AC39" s="44">
        <v>80933.007267917827</v>
      </c>
      <c r="AD39" s="45">
        <v>215.0622000000044</v>
      </c>
      <c r="AE39" s="46">
        <v>16.399999999999999</v>
      </c>
      <c r="AF39" s="46">
        <v>85.133333333333326</v>
      </c>
      <c r="AG39" s="46">
        <v>1185.6639376134735</v>
      </c>
      <c r="AH39" s="52">
        <v>51.780272241073703</v>
      </c>
      <c r="AI39" s="52">
        <v>6583.8688049464736</v>
      </c>
      <c r="AJ39" s="50"/>
      <c r="AM39" s="54"/>
      <c r="AN39" s="54"/>
      <c r="AO39" s="54"/>
      <c r="AP39" s="54"/>
      <c r="AQ39" s="54"/>
      <c r="AR39" s="54"/>
      <c r="AS39" s="54"/>
      <c r="AT39" s="54"/>
      <c r="AW39" s="54"/>
      <c r="AX39" s="54"/>
      <c r="AY39" s="54"/>
      <c r="AZ39" s="54"/>
      <c r="BA39" s="54"/>
      <c r="BB39" s="54"/>
      <c r="BC39" s="54"/>
      <c r="BD39" s="54"/>
    </row>
    <row r="40" spans="3:56" s="5" customFormat="1" ht="4" customHeight="1" x14ac:dyDescent="0.15">
      <c r="C40" s="3"/>
      <c r="D40" s="3"/>
      <c r="E40" s="3"/>
      <c r="F40" s="3"/>
      <c r="G40" s="3"/>
      <c r="H40" s="22"/>
      <c r="I40" s="22"/>
      <c r="J40" s="15"/>
      <c r="K40" s="16"/>
      <c r="L40" s="16"/>
      <c r="M40" s="16"/>
      <c r="N40" s="57"/>
      <c r="O40" s="57"/>
      <c r="P40" s="9"/>
      <c r="Q40" s="3"/>
      <c r="R40" s="34"/>
      <c r="S40" s="34"/>
      <c r="T40" s="29"/>
      <c r="U40" s="30"/>
      <c r="V40" s="30"/>
      <c r="W40" s="30"/>
      <c r="X40" s="59"/>
      <c r="Y40" s="59"/>
      <c r="Z40" s="24"/>
      <c r="AA40" s="3"/>
      <c r="AB40" s="47"/>
      <c r="AC40" s="47"/>
      <c r="AD40" s="41"/>
      <c r="AE40" s="42"/>
      <c r="AF40" s="42"/>
      <c r="AG40" s="42"/>
      <c r="AH40" s="62"/>
      <c r="AI40" s="62"/>
      <c r="AJ40" s="36"/>
      <c r="AM40" s="54"/>
      <c r="AN40" s="54"/>
      <c r="AO40" s="54"/>
      <c r="AP40" s="54"/>
      <c r="AQ40" s="54"/>
      <c r="AR40" s="54"/>
      <c r="AS40" s="54"/>
      <c r="AT40" s="54"/>
      <c r="AW40" s="54"/>
      <c r="AX40" s="54"/>
      <c r="AY40" s="54"/>
      <c r="AZ40" s="54"/>
      <c r="BA40" s="54"/>
      <c r="BB40" s="54"/>
      <c r="BC40" s="54"/>
      <c r="BD40" s="54"/>
    </row>
    <row r="41" spans="3:56" s="5" customFormat="1" x14ac:dyDescent="0.15">
      <c r="C41" s="3"/>
      <c r="D41" s="100">
        <v>200</v>
      </c>
      <c r="E41" s="6">
        <v>5</v>
      </c>
      <c r="F41" s="6">
        <v>5</v>
      </c>
      <c r="G41" s="3"/>
      <c r="H41" s="10">
        <v>2681991.566260743</v>
      </c>
      <c r="I41" s="10">
        <v>212475.68748255208</v>
      </c>
      <c r="J41" s="11">
        <v>511.46770588235302</v>
      </c>
      <c r="K41" s="12">
        <v>8.1999999999999993</v>
      </c>
      <c r="L41" s="12">
        <v>60.65</v>
      </c>
      <c r="M41" s="12">
        <v>1563.4729597990067</v>
      </c>
      <c r="N41" s="56">
        <v>48.446353463147695</v>
      </c>
      <c r="O41" s="56">
        <v>7124.4991170462217</v>
      </c>
      <c r="P41" s="75"/>
      <c r="Q41" s="3"/>
      <c r="R41" s="25">
        <v>3101310.4053173056</v>
      </c>
      <c r="S41" s="25">
        <v>169705.2489141071</v>
      </c>
      <c r="T41" s="26">
        <v>826.66188235293305</v>
      </c>
      <c r="U41" s="27">
        <v>10.199999999999999</v>
      </c>
      <c r="V41" s="27">
        <v>39.6</v>
      </c>
      <c r="W41" s="27">
        <v>914.15883207263653</v>
      </c>
      <c r="X41" s="58">
        <v>24.056567723761621</v>
      </c>
      <c r="Y41" s="58">
        <v>5829.374748433991</v>
      </c>
      <c r="Z41" s="78"/>
      <c r="AA41" s="3"/>
      <c r="AB41" s="37">
        <v>3069667.1533134142</v>
      </c>
      <c r="AC41" s="37">
        <v>145099.60413542119</v>
      </c>
      <c r="AD41" s="38">
        <v>511.85547058822539</v>
      </c>
      <c r="AE41" s="39">
        <v>6.2</v>
      </c>
      <c r="AF41" s="39">
        <v>41.75</v>
      </c>
      <c r="AG41" s="39">
        <v>1357.9738416047417</v>
      </c>
      <c r="AH41" s="61">
        <v>56.921067291378151</v>
      </c>
      <c r="AI41" s="61">
        <v>7023.6774574201972</v>
      </c>
      <c r="AJ41" s="48"/>
      <c r="AM41" s="54"/>
      <c r="AN41" s="54"/>
      <c r="AO41" s="54"/>
      <c r="AP41" s="54"/>
      <c r="AQ41" s="54"/>
      <c r="AR41" s="54"/>
      <c r="AS41" s="54"/>
      <c r="AT41" s="54"/>
      <c r="AW41" s="54"/>
      <c r="AX41" s="54"/>
      <c r="AY41" s="54"/>
      <c r="AZ41" s="54"/>
      <c r="BA41" s="54"/>
      <c r="BB41" s="54"/>
      <c r="BC41" s="54"/>
      <c r="BD41" s="54"/>
    </row>
    <row r="42" spans="3:56" s="5" customFormat="1" x14ac:dyDescent="0.15">
      <c r="C42" s="3"/>
      <c r="D42" s="101"/>
      <c r="E42" s="3">
        <v>5</v>
      </c>
      <c r="F42" s="3">
        <v>10</v>
      </c>
      <c r="G42" s="3"/>
      <c r="H42" s="14">
        <v>2648519.1519768843</v>
      </c>
      <c r="I42" s="14">
        <v>134510.50959084864</v>
      </c>
      <c r="J42" s="15">
        <v>409.87623076923552</v>
      </c>
      <c r="K42" s="16">
        <v>9</v>
      </c>
      <c r="L42" s="16">
        <v>61.75</v>
      </c>
      <c r="M42" s="16">
        <v>1547.1196425229093</v>
      </c>
      <c r="N42" s="57">
        <v>49.495039035137808</v>
      </c>
      <c r="O42" s="57">
        <v>6988.4953065951004</v>
      </c>
      <c r="P42" s="69"/>
      <c r="Q42" s="3"/>
      <c r="R42" s="28">
        <v>3148348.1325041694</v>
      </c>
      <c r="S42" s="28">
        <v>116937.06967124918</v>
      </c>
      <c r="T42" s="29">
        <v>461.22115384615381</v>
      </c>
      <c r="U42" s="30">
        <v>11.4</v>
      </c>
      <c r="V42" s="30">
        <v>38.65</v>
      </c>
      <c r="W42" s="30">
        <v>931.04941952114257</v>
      </c>
      <c r="X42" s="59">
        <v>23.43675605897878</v>
      </c>
      <c r="Y42" s="59">
        <v>5747.9184483750169</v>
      </c>
      <c r="Z42" s="81"/>
      <c r="AA42" s="3"/>
      <c r="AB42" s="40">
        <v>3106442.7736103609</v>
      </c>
      <c r="AC42" s="40">
        <v>59176.586111068238</v>
      </c>
      <c r="AD42" s="41">
        <v>426.01699999998363</v>
      </c>
      <c r="AE42" s="42">
        <v>6.5</v>
      </c>
      <c r="AF42" s="42">
        <v>39.200000000000003</v>
      </c>
      <c r="AG42" s="42">
        <v>1247.132122739343</v>
      </c>
      <c r="AH42" s="62">
        <v>67.511894705846174</v>
      </c>
      <c r="AI42" s="62">
        <v>6881.0565670444848</v>
      </c>
      <c r="AJ42" s="49"/>
      <c r="AM42" s="54"/>
      <c r="AN42" s="54"/>
      <c r="AO42" s="54"/>
      <c r="AP42" s="54"/>
      <c r="AQ42" s="54"/>
      <c r="AR42" s="54"/>
      <c r="AS42" s="54"/>
      <c r="AT42" s="54"/>
      <c r="AW42" s="54"/>
      <c r="AX42" s="54"/>
      <c r="AY42" s="54"/>
      <c r="AZ42" s="54"/>
      <c r="BA42" s="54"/>
      <c r="BB42" s="54"/>
      <c r="BC42" s="54"/>
      <c r="BD42" s="54"/>
    </row>
    <row r="43" spans="3:56" s="5" customFormat="1" x14ac:dyDescent="0.15">
      <c r="C43" s="3"/>
      <c r="D43" s="101"/>
      <c r="E43" s="3">
        <v>10</v>
      </c>
      <c r="F43" s="3">
        <v>5</v>
      </c>
      <c r="G43" s="3"/>
      <c r="H43" s="14">
        <v>1785664.90716342</v>
      </c>
      <c r="I43" s="14">
        <v>200993.73854228933</v>
      </c>
      <c r="J43" s="15">
        <v>789.63440000000401</v>
      </c>
      <c r="K43" s="16">
        <v>13.8</v>
      </c>
      <c r="L43" s="16">
        <v>93.95</v>
      </c>
      <c r="M43" s="16">
        <v>1015.1273321291288</v>
      </c>
      <c r="N43" s="57">
        <v>50.410086165484117</v>
      </c>
      <c r="O43" s="57">
        <v>6454.9865242484448</v>
      </c>
      <c r="P43" s="69"/>
      <c r="Q43" s="3"/>
      <c r="R43" s="28">
        <v>2377729.6108052162</v>
      </c>
      <c r="S43" s="28">
        <v>189067.06502663894</v>
      </c>
      <c r="T43" s="29">
        <v>1038.4734500000079</v>
      </c>
      <c r="U43" s="30">
        <v>26</v>
      </c>
      <c r="V43" s="30">
        <v>73.849999999999994</v>
      </c>
      <c r="W43" s="30">
        <v>728.76236429608832</v>
      </c>
      <c r="X43" s="59">
        <v>19.587102827812718</v>
      </c>
      <c r="Y43" s="59">
        <v>5408.271139797811</v>
      </c>
      <c r="Z43" s="81"/>
      <c r="AA43" s="3"/>
      <c r="AB43" s="40">
        <v>2394555.351803388</v>
      </c>
      <c r="AC43" s="40">
        <v>215879.9784709611</v>
      </c>
      <c r="AD43" s="41">
        <v>669.42509999999311</v>
      </c>
      <c r="AE43" s="42">
        <v>13.3</v>
      </c>
      <c r="AF43" s="42">
        <v>70.2</v>
      </c>
      <c r="AG43" s="42">
        <v>1114.6398470182437</v>
      </c>
      <c r="AH43" s="62">
        <v>57.377355695586765</v>
      </c>
      <c r="AI43" s="62">
        <v>6702.6439276154761</v>
      </c>
      <c r="AJ43" s="49"/>
      <c r="AM43" s="54"/>
      <c r="AN43" s="54"/>
      <c r="AO43" s="54"/>
      <c r="AP43" s="54"/>
      <c r="AQ43" s="54"/>
      <c r="AR43" s="54"/>
      <c r="AS43" s="54"/>
      <c r="AT43" s="54"/>
      <c r="AW43" s="54"/>
      <c r="AX43" s="54"/>
      <c r="AY43" s="54"/>
      <c r="AZ43" s="54"/>
      <c r="BA43" s="54"/>
      <c r="BB43" s="54"/>
      <c r="BC43" s="54"/>
      <c r="BD43" s="54"/>
    </row>
    <row r="44" spans="3:56" s="5" customFormat="1" x14ac:dyDescent="0.15">
      <c r="C44" s="3"/>
      <c r="D44" s="102"/>
      <c r="E44" s="4">
        <v>10</v>
      </c>
      <c r="F44" s="4">
        <v>10</v>
      </c>
      <c r="G44" s="3"/>
      <c r="H44" s="18">
        <v>1609108.5428958316</v>
      </c>
      <c r="I44" s="18">
        <v>581201.97306210583</v>
      </c>
      <c r="J44" s="19">
        <v>515.09738461538041</v>
      </c>
      <c r="K44" s="20">
        <v>52.7</v>
      </c>
      <c r="L44" s="20">
        <v>126.3</v>
      </c>
      <c r="M44" s="20">
        <v>995.10925262437718</v>
      </c>
      <c r="N44" s="51">
        <v>102.91057001667238</v>
      </c>
      <c r="O44" s="51">
        <v>5800.5763774811649</v>
      </c>
      <c r="P44" s="72"/>
      <c r="Q44" s="3"/>
      <c r="R44" s="31">
        <v>2243995.3266855362</v>
      </c>
      <c r="S44" s="31">
        <v>795393.56541077211</v>
      </c>
      <c r="T44" s="32">
        <v>788.71696153846392</v>
      </c>
      <c r="U44" s="33">
        <v>25</v>
      </c>
      <c r="V44" s="33">
        <v>68.2</v>
      </c>
      <c r="W44" s="33">
        <v>708.11844287142947</v>
      </c>
      <c r="X44" s="60">
        <v>18.785510245176742</v>
      </c>
      <c r="Y44" s="60">
        <v>5344.5917691369759</v>
      </c>
      <c r="Z44" s="84"/>
      <c r="AA44" s="3"/>
      <c r="AB44" s="44">
        <v>2433747.1981555736</v>
      </c>
      <c r="AC44" s="44">
        <v>124204.51343659891</v>
      </c>
      <c r="AD44" s="45">
        <v>614.64361538461742</v>
      </c>
      <c r="AE44" s="46">
        <v>13.7</v>
      </c>
      <c r="AF44" s="46">
        <v>69.25</v>
      </c>
      <c r="AG44" s="46">
        <v>1197.8865852531665</v>
      </c>
      <c r="AH44" s="52">
        <v>58.979721856108497</v>
      </c>
      <c r="AI44" s="52">
        <v>6714.0283156126097</v>
      </c>
      <c r="AJ44" s="50"/>
      <c r="AM44" s="54"/>
      <c r="AN44" s="54"/>
      <c r="AO44" s="54"/>
      <c r="AP44" s="54"/>
      <c r="AQ44" s="54"/>
      <c r="AR44" s="54"/>
      <c r="AS44" s="54"/>
      <c r="AT44" s="54"/>
      <c r="AW44" s="54"/>
      <c r="AX44" s="54"/>
      <c r="AY44" s="54"/>
      <c r="AZ44" s="54"/>
      <c r="BA44" s="54"/>
      <c r="BB44" s="54"/>
      <c r="BC44" s="54"/>
      <c r="BD44" s="54"/>
    </row>
  </sheetData>
  <mergeCells count="22">
    <mergeCell ref="AM28:AT28"/>
    <mergeCell ref="AW28:BD28"/>
    <mergeCell ref="D31:D34"/>
    <mergeCell ref="D36:D39"/>
    <mergeCell ref="D41:D44"/>
    <mergeCell ref="D28:D29"/>
    <mergeCell ref="E28:E29"/>
    <mergeCell ref="F28:F29"/>
    <mergeCell ref="H28:P28"/>
    <mergeCell ref="R28:Z28"/>
    <mergeCell ref="AB28:AJ28"/>
    <mergeCell ref="AB8:AJ8"/>
    <mergeCell ref="AM8:AT8"/>
    <mergeCell ref="AW8:BD8"/>
    <mergeCell ref="D11:D14"/>
    <mergeCell ref="D16:D19"/>
    <mergeCell ref="R8:Z8"/>
    <mergeCell ref="D21:D24"/>
    <mergeCell ref="D8:D9"/>
    <mergeCell ref="E8:E9"/>
    <mergeCell ref="F8:F9"/>
    <mergeCell ref="H8:P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661C-CFD8-5240-AE73-4134E9ADC527}">
  <dimension ref="C1:AJ21"/>
  <sheetViews>
    <sheetView tabSelected="1" zoomScale="130" zoomScaleNormal="130" workbookViewId="0">
      <pane xSplit="6" topLeftCell="G1" activePane="topRight" state="frozen"/>
      <selection pane="topRight" activeCell="H2" sqref="H2"/>
    </sheetView>
  </sheetViews>
  <sheetFormatPr baseColWidth="10" defaultRowHeight="16" x14ac:dyDescent="0.2"/>
  <cols>
    <col min="1" max="2" width="3.33203125" style="2" customWidth="1"/>
    <col min="3" max="3" width="1.5" style="2" customWidth="1"/>
    <col min="4" max="6" width="7.6640625" style="2" customWidth="1"/>
    <col min="7" max="7" width="1.5" style="2" customWidth="1"/>
    <col min="8" max="8" width="12.6640625" style="2" bestFit="1" customWidth="1"/>
    <col min="9" max="9" width="10.6640625" style="2" bestFit="1" customWidth="1"/>
    <col min="10" max="10" width="11.6640625" style="2" bestFit="1" customWidth="1"/>
    <col min="11" max="11" width="10.33203125" style="2" customWidth="1"/>
    <col min="12" max="12" width="15.5" style="2" bestFit="1" customWidth="1"/>
    <col min="13" max="13" width="13.33203125" style="2" bestFit="1" customWidth="1"/>
    <col min="14" max="14" width="16.6640625" style="2" bestFit="1" customWidth="1"/>
    <col min="15" max="15" width="19.1640625" style="2" bestFit="1" customWidth="1"/>
    <col min="16" max="16" width="10.83203125" style="2" customWidth="1"/>
    <col min="17" max="17" width="1.5" style="2" customWidth="1"/>
    <col min="18" max="18" width="12.6640625" style="2" bestFit="1" customWidth="1"/>
    <col min="19" max="19" width="10.6640625" style="2" bestFit="1" customWidth="1"/>
    <col min="20" max="20" width="8.5" style="2" bestFit="1" customWidth="1"/>
    <col min="21" max="21" width="8" style="2" bestFit="1" customWidth="1"/>
    <col min="22" max="22" width="15.5" style="2" customWidth="1"/>
    <col min="23" max="23" width="13.83203125" style="2" bestFit="1" customWidth="1"/>
    <col min="24" max="24" width="22.1640625" style="2" bestFit="1" customWidth="1"/>
    <col min="25" max="25" width="19.5" style="2" bestFit="1" customWidth="1"/>
    <col min="26" max="26" width="7.6640625" style="2" bestFit="1" customWidth="1"/>
    <col min="27" max="27" width="1.6640625" style="2" customWidth="1"/>
    <col min="28" max="28" width="2" style="2" customWidth="1"/>
    <col min="29" max="29" width="20.1640625" style="2" bestFit="1" customWidth="1"/>
    <col min="30" max="30" width="4.1640625" style="2" customWidth="1"/>
    <col min="31" max="31" width="5.33203125" style="2" bestFit="1" customWidth="1"/>
    <col min="32" max="32" width="10.33203125" style="2" bestFit="1" customWidth="1"/>
    <col min="33" max="33" width="11.5" style="2" bestFit="1" customWidth="1"/>
    <col min="34" max="34" width="13.33203125" style="2" bestFit="1" customWidth="1"/>
    <col min="35" max="35" width="16.6640625" style="2" bestFit="1" customWidth="1"/>
    <col min="36" max="36" width="19.1640625" style="2" bestFit="1" customWidth="1"/>
    <col min="37" max="37" width="2" style="2" customWidth="1"/>
    <col min="38" max="16384" width="10.83203125" style="2"/>
  </cols>
  <sheetData>
    <row r="1" spans="3:36" x14ac:dyDescent="0.2">
      <c r="K1" s="63"/>
      <c r="L1" s="63"/>
      <c r="M1" s="63"/>
      <c r="N1" s="63"/>
      <c r="O1" s="63"/>
      <c r="R1" s="53"/>
      <c r="S1" s="53"/>
      <c r="T1" s="53"/>
      <c r="U1" s="53"/>
      <c r="V1" s="53"/>
      <c r="W1" s="53"/>
      <c r="X1" s="53"/>
      <c r="Y1" s="53"/>
    </row>
    <row r="2" spans="3:36" x14ac:dyDescent="0.2">
      <c r="K2" s="63"/>
      <c r="L2" s="63"/>
      <c r="M2" s="63"/>
      <c r="N2" s="63"/>
      <c r="O2" s="63"/>
      <c r="R2" s="53"/>
      <c r="S2" s="53"/>
      <c r="T2" s="53"/>
      <c r="U2" s="53"/>
      <c r="V2" s="53"/>
      <c r="W2" s="53"/>
      <c r="X2" s="53"/>
      <c r="Y2" s="53"/>
    </row>
    <row r="3" spans="3:36" x14ac:dyDescent="0.2">
      <c r="K3" s="63"/>
      <c r="L3" s="63"/>
      <c r="M3" s="63"/>
      <c r="N3" s="63"/>
      <c r="O3" s="63"/>
      <c r="R3" s="53"/>
      <c r="S3" s="53"/>
      <c r="T3" s="53"/>
      <c r="U3" s="53"/>
      <c r="V3" s="53"/>
      <c r="W3" s="53"/>
      <c r="X3" s="53"/>
      <c r="Y3" s="53"/>
    </row>
    <row r="4" spans="3:36" x14ac:dyDescent="0.2">
      <c r="K4" s="63"/>
      <c r="L4" s="63"/>
      <c r="M4" s="63"/>
      <c r="N4" s="63"/>
      <c r="O4" s="63"/>
      <c r="R4" s="53"/>
      <c r="S4" s="53"/>
      <c r="T4" s="53"/>
      <c r="U4" s="53"/>
      <c r="V4" s="53"/>
      <c r="W4" s="53"/>
      <c r="X4" s="53"/>
      <c r="Y4" s="53"/>
    </row>
    <row r="5" spans="3:36" x14ac:dyDescent="0.2">
      <c r="C5" s="1"/>
      <c r="D5" s="104" t="s">
        <v>2</v>
      </c>
      <c r="E5" s="104" t="s">
        <v>3</v>
      </c>
      <c r="F5" s="104" t="s">
        <v>4</v>
      </c>
      <c r="G5" s="1"/>
      <c r="H5" s="104" t="s">
        <v>30</v>
      </c>
      <c r="I5" s="104"/>
      <c r="J5" s="104"/>
      <c r="K5" s="104"/>
      <c r="L5" s="104"/>
      <c r="M5" s="104"/>
      <c r="N5" s="104"/>
      <c r="O5" s="104"/>
      <c r="P5" s="104"/>
      <c r="Q5" s="1"/>
      <c r="R5" s="104" t="s">
        <v>37</v>
      </c>
      <c r="S5" s="104"/>
      <c r="T5" s="104"/>
      <c r="U5" s="104"/>
      <c r="V5" s="104"/>
      <c r="W5" s="104"/>
      <c r="X5" s="104"/>
      <c r="Y5" s="104"/>
      <c r="Z5" s="104"/>
      <c r="AC5" s="103" t="s">
        <v>33</v>
      </c>
      <c r="AD5" s="103"/>
      <c r="AE5" s="103"/>
      <c r="AF5" s="103"/>
      <c r="AG5" s="103"/>
      <c r="AH5" s="103"/>
      <c r="AI5" s="103"/>
      <c r="AJ5" s="103"/>
    </row>
    <row r="6" spans="3:36" s="5" customFormat="1" ht="13" customHeight="1" x14ac:dyDescent="0.15">
      <c r="C6" s="3"/>
      <c r="D6" s="105"/>
      <c r="E6" s="105"/>
      <c r="F6" s="105"/>
      <c r="G6" s="3"/>
      <c r="H6" s="8" t="s">
        <v>21</v>
      </c>
      <c r="I6" s="8" t="s">
        <v>22</v>
      </c>
      <c r="J6" s="8" t="s">
        <v>1</v>
      </c>
      <c r="K6" s="8" t="s">
        <v>23</v>
      </c>
      <c r="L6" s="8" t="s">
        <v>24</v>
      </c>
      <c r="M6" s="8" t="s">
        <v>5</v>
      </c>
      <c r="N6" s="8" t="s">
        <v>25</v>
      </c>
      <c r="O6" s="8" t="s">
        <v>6</v>
      </c>
      <c r="P6" s="8" t="s">
        <v>26</v>
      </c>
      <c r="Q6" s="3"/>
      <c r="R6" s="23" t="s">
        <v>21</v>
      </c>
      <c r="S6" s="23" t="s">
        <v>22</v>
      </c>
      <c r="T6" s="23" t="s">
        <v>1</v>
      </c>
      <c r="U6" s="23" t="s">
        <v>23</v>
      </c>
      <c r="V6" s="23" t="s">
        <v>24</v>
      </c>
      <c r="W6" s="23" t="s">
        <v>5</v>
      </c>
      <c r="X6" s="23" t="s">
        <v>25</v>
      </c>
      <c r="Y6" s="23" t="s">
        <v>6</v>
      </c>
      <c r="Z6" s="23" t="s">
        <v>26</v>
      </c>
      <c r="AC6" s="55" t="s">
        <v>0</v>
      </c>
      <c r="AD6" s="55" t="s">
        <v>29</v>
      </c>
      <c r="AE6" s="55" t="s">
        <v>1</v>
      </c>
      <c r="AF6" s="55" t="s">
        <v>23</v>
      </c>
      <c r="AG6" s="55" t="s">
        <v>24</v>
      </c>
      <c r="AH6" s="55" t="s">
        <v>5</v>
      </c>
      <c r="AI6" s="55" t="s">
        <v>25</v>
      </c>
      <c r="AJ6" s="55" t="s">
        <v>6</v>
      </c>
    </row>
    <row r="7" spans="3:36" s="5" customFormat="1" ht="4" customHeight="1" x14ac:dyDescent="0.15">
      <c r="C7" s="3"/>
      <c r="D7" s="3"/>
      <c r="E7" s="3"/>
      <c r="F7" s="3"/>
      <c r="G7" s="3"/>
      <c r="H7" s="9"/>
      <c r="I7" s="9"/>
      <c r="J7" s="9"/>
      <c r="K7" s="9"/>
      <c r="L7" s="9"/>
      <c r="M7" s="9"/>
      <c r="N7" s="9"/>
      <c r="O7" s="9"/>
      <c r="P7" s="9"/>
      <c r="Q7" s="3"/>
      <c r="R7" s="24"/>
      <c r="S7" s="24"/>
      <c r="T7" s="24"/>
      <c r="U7" s="24"/>
      <c r="V7" s="24"/>
      <c r="W7" s="24"/>
      <c r="X7" s="24"/>
      <c r="Y7" s="24"/>
      <c r="Z7" s="24"/>
    </row>
    <row r="8" spans="3:36" s="5" customFormat="1" ht="16" customHeight="1" x14ac:dyDescent="0.15">
      <c r="C8" s="3"/>
      <c r="D8" s="100">
        <v>100</v>
      </c>
      <c r="E8" s="6">
        <v>5</v>
      </c>
      <c r="F8" s="6">
        <v>5</v>
      </c>
      <c r="G8" s="3"/>
      <c r="H8" s="10">
        <v>875021.97161792521</v>
      </c>
      <c r="I8" s="10">
        <v>40931.942414624209</v>
      </c>
      <c r="J8" s="11">
        <v>64.178411248240295</v>
      </c>
      <c r="K8" s="12">
        <v>9.16</v>
      </c>
      <c r="L8" s="91">
        <v>95.56</v>
      </c>
      <c r="M8" s="12">
        <v>969.97383625075304</v>
      </c>
      <c r="N8" s="92">
        <v>41.66398658731439</v>
      </c>
      <c r="O8" s="56">
        <v>6124.2620997009517</v>
      </c>
      <c r="P8" s="64"/>
      <c r="Q8" s="3"/>
      <c r="R8" s="25">
        <v>892388.79683161504</v>
      </c>
      <c r="S8" s="25">
        <v>36156.314758366592</v>
      </c>
      <c r="T8" s="26">
        <v>76.650554451639763</v>
      </c>
      <c r="U8" s="27">
        <v>8.7200000000000006</v>
      </c>
      <c r="V8" s="27">
        <v>94.039999999999992</v>
      </c>
      <c r="W8" s="27">
        <v>963.82234513738172</v>
      </c>
      <c r="X8" s="58">
        <v>43.230165325067716</v>
      </c>
      <c r="Y8" s="58">
        <v>6201.1670341046101</v>
      </c>
      <c r="Z8" s="78"/>
      <c r="AC8" s="54">
        <f t="shared" ref="AC8:AJ11" si="0">IFERROR((R8-H8)/H8, 0)</f>
        <v>1.9847301870121469E-2</v>
      </c>
      <c r="AD8" s="54">
        <f t="shared" si="0"/>
        <v>-0.11667239262389305</v>
      </c>
      <c r="AE8" s="54">
        <f t="shared" si="0"/>
        <v>0.19433549321059956</v>
      </c>
      <c r="AF8" s="54">
        <f t="shared" si="0"/>
        <v>-4.8034934497816539E-2</v>
      </c>
      <c r="AG8" s="54">
        <f t="shared" si="0"/>
        <v>-1.5906236919213168E-2</v>
      </c>
      <c r="AH8" s="54">
        <f t="shared" si="0"/>
        <v>-6.341914475908675E-3</v>
      </c>
      <c r="AI8" s="54">
        <f t="shared" si="0"/>
        <v>3.7590707611983222E-2</v>
      </c>
      <c r="AJ8" s="54">
        <f t="shared" si="0"/>
        <v>1.2557420494366778E-2</v>
      </c>
    </row>
    <row r="9" spans="3:36" s="5" customFormat="1" x14ac:dyDescent="0.15">
      <c r="C9" s="3"/>
      <c r="D9" s="101"/>
      <c r="E9" s="3">
        <v>5</v>
      </c>
      <c r="F9" s="3">
        <v>10</v>
      </c>
      <c r="G9" s="3"/>
      <c r="H9" s="14">
        <v>1101936.7070612202</v>
      </c>
      <c r="I9" s="14">
        <v>79091.273178456278</v>
      </c>
      <c r="J9" s="15">
        <v>53.29819323171948</v>
      </c>
      <c r="K9" s="16">
        <v>10.440000000000001</v>
      </c>
      <c r="L9" s="16">
        <v>84.12</v>
      </c>
      <c r="M9" s="16">
        <v>1338.7765687279521</v>
      </c>
      <c r="N9" s="57">
        <v>28.703320718474977</v>
      </c>
      <c r="O9" s="57">
        <v>6400.8121053636733</v>
      </c>
      <c r="P9" s="69"/>
      <c r="Q9" s="3"/>
      <c r="R9" s="28">
        <v>1120445.0543405791</v>
      </c>
      <c r="S9" s="28">
        <v>81795.234550848691</v>
      </c>
      <c r="T9" s="29">
        <v>66.153695480040042</v>
      </c>
      <c r="U9" s="30">
        <v>10.52</v>
      </c>
      <c r="V9" s="30">
        <v>82.84</v>
      </c>
      <c r="W9" s="30">
        <v>1357.8881994475239</v>
      </c>
      <c r="X9" s="59">
        <v>28.286005256333617</v>
      </c>
      <c r="Y9" s="59">
        <v>6408.6891412410314</v>
      </c>
      <c r="Z9" s="81"/>
      <c r="AC9" s="54">
        <f t="shared" si="0"/>
        <v>1.6796198148911125E-2</v>
      </c>
      <c r="AD9" s="54">
        <f t="shared" si="0"/>
        <v>3.4187859971496148E-2</v>
      </c>
      <c r="AE9" s="54">
        <f t="shared" si="0"/>
        <v>0.24119958799409802</v>
      </c>
      <c r="AF9" s="54">
        <f t="shared" si="0"/>
        <v>7.6628352490419813E-3</v>
      </c>
      <c r="AG9" s="54">
        <f t="shared" si="0"/>
        <v>-1.5216357584403246E-2</v>
      </c>
      <c r="AH9" s="54">
        <f t="shared" si="0"/>
        <v>1.4275444585746597E-2</v>
      </c>
      <c r="AI9" s="54">
        <f t="shared" si="0"/>
        <v>-1.4538926218134539E-2</v>
      </c>
      <c r="AJ9" s="54">
        <f t="shared" si="0"/>
        <v>1.2306306993072704E-3</v>
      </c>
    </row>
    <row r="10" spans="3:36" s="5" customFormat="1" x14ac:dyDescent="0.15">
      <c r="C10" s="3"/>
      <c r="D10" s="101"/>
      <c r="E10" s="3">
        <v>10</v>
      </c>
      <c r="F10" s="3">
        <v>5</v>
      </c>
      <c r="G10" s="3"/>
      <c r="H10" s="14">
        <v>625275.93159849767</v>
      </c>
      <c r="I10" s="14">
        <v>62884.593032842895</v>
      </c>
      <c r="J10" s="15">
        <v>53.116595836680787</v>
      </c>
      <c r="K10" s="16">
        <v>9.64</v>
      </c>
      <c r="L10" s="16">
        <v>96.4</v>
      </c>
      <c r="M10" s="16">
        <v>35.634261237607561</v>
      </c>
      <c r="N10" s="57">
        <v>40.200742752118714</v>
      </c>
      <c r="O10" s="57">
        <v>4346.6422207322503</v>
      </c>
      <c r="P10" s="69"/>
      <c r="Q10" s="3"/>
      <c r="R10" s="28">
        <v>640878.04167753947</v>
      </c>
      <c r="S10" s="28">
        <v>69544.113020345292</v>
      </c>
      <c r="T10" s="29">
        <v>71.772074786719742</v>
      </c>
      <c r="U10" s="30">
        <v>9.76</v>
      </c>
      <c r="V10" s="30">
        <v>96.4</v>
      </c>
      <c r="W10" s="30">
        <v>58.298153371249597</v>
      </c>
      <c r="X10" s="59">
        <v>39.51252993611255</v>
      </c>
      <c r="Y10" s="59">
        <v>4467.1038905932865</v>
      </c>
      <c r="Z10" s="81"/>
      <c r="AC10" s="54">
        <f t="shared" si="0"/>
        <v>2.495235989518341E-2</v>
      </c>
      <c r="AD10" s="54">
        <f t="shared" si="0"/>
        <v>0.10590066129591255</v>
      </c>
      <c r="AE10" s="54">
        <f t="shared" si="0"/>
        <v>0.3512175179184962</v>
      </c>
      <c r="AF10" s="54">
        <f t="shared" si="0"/>
        <v>1.2448132780082905E-2</v>
      </c>
      <c r="AG10" s="54">
        <f t="shared" si="0"/>
        <v>0</v>
      </c>
      <c r="AH10" s="54">
        <f t="shared" si="0"/>
        <v>0.63601408718761643</v>
      </c>
      <c r="AI10" s="54">
        <f t="shared" si="0"/>
        <v>-1.7119405485857421E-2</v>
      </c>
      <c r="AJ10" s="54">
        <f t="shared" si="0"/>
        <v>2.7713730218343755E-2</v>
      </c>
    </row>
    <row r="11" spans="3:36" s="5" customFormat="1" x14ac:dyDescent="0.15">
      <c r="C11" s="3"/>
      <c r="D11" s="102"/>
      <c r="E11" s="4">
        <v>10</v>
      </c>
      <c r="F11" s="4">
        <v>10</v>
      </c>
      <c r="G11" s="3"/>
      <c r="H11" s="18">
        <v>736268.09997565334</v>
      </c>
      <c r="I11" s="18">
        <v>34340.534303528082</v>
      </c>
      <c r="J11" s="19">
        <v>40.651634823359203</v>
      </c>
      <c r="K11" s="20">
        <v>11.04</v>
      </c>
      <c r="L11" s="20">
        <v>94</v>
      </c>
      <c r="M11" s="20">
        <v>167.82818773450441</v>
      </c>
      <c r="N11" s="51">
        <v>31.382469612743968</v>
      </c>
      <c r="O11" s="51">
        <v>4591.213086370677</v>
      </c>
      <c r="P11" s="72"/>
      <c r="Q11" s="3"/>
      <c r="R11" s="31">
        <v>765020.47460036282</v>
      </c>
      <c r="S11" s="31">
        <v>44972.426991370179</v>
      </c>
      <c r="T11" s="32">
        <v>44.685776608278978</v>
      </c>
      <c r="U11" s="33">
        <v>11.120000000000001</v>
      </c>
      <c r="V11" s="33">
        <v>94</v>
      </c>
      <c r="W11" s="33">
        <v>239.41230755963298</v>
      </c>
      <c r="X11" s="60">
        <v>31.275619189940766</v>
      </c>
      <c r="Y11" s="60">
        <v>4822.0590317012266</v>
      </c>
      <c r="Z11" s="84"/>
      <c r="AC11" s="54">
        <f t="shared" si="0"/>
        <v>3.9051501247521464E-2</v>
      </c>
      <c r="AD11" s="54">
        <f t="shared" si="0"/>
        <v>0.30960184235542881</v>
      </c>
      <c r="AE11" s="54">
        <f t="shared" si="0"/>
        <v>9.9236889302215234E-2</v>
      </c>
      <c r="AF11" s="54">
        <f t="shared" si="0"/>
        <v>7.2463768115943704E-3</v>
      </c>
      <c r="AG11" s="54">
        <f t="shared" si="0"/>
        <v>0</v>
      </c>
      <c r="AH11" s="54">
        <f t="shared" si="0"/>
        <v>0.42653216239438263</v>
      </c>
      <c r="AI11" s="54">
        <f t="shared" si="0"/>
        <v>-3.4047805708640431E-3</v>
      </c>
      <c r="AJ11" s="54">
        <f t="shared" si="0"/>
        <v>5.0279945841727784E-2</v>
      </c>
    </row>
    <row r="12" spans="3:36" s="5" customFormat="1" ht="4" customHeight="1" x14ac:dyDescent="0.15">
      <c r="C12" s="3"/>
      <c r="D12" s="3"/>
      <c r="E12" s="3"/>
      <c r="F12" s="3"/>
      <c r="G12" s="3"/>
      <c r="H12" s="22"/>
      <c r="I12" s="22"/>
      <c r="J12" s="15"/>
      <c r="K12" s="16"/>
      <c r="L12" s="16"/>
      <c r="M12" s="16"/>
      <c r="N12" s="57"/>
      <c r="O12" s="57"/>
      <c r="P12" s="9"/>
      <c r="Q12" s="3"/>
      <c r="R12" s="34"/>
      <c r="S12" s="34"/>
      <c r="T12" s="29"/>
      <c r="U12" s="30"/>
      <c r="V12" s="30"/>
      <c r="W12" s="30"/>
      <c r="X12" s="59"/>
      <c r="Y12" s="59"/>
      <c r="Z12" s="24"/>
      <c r="AC12" s="54"/>
      <c r="AD12" s="54"/>
      <c r="AE12" s="54"/>
      <c r="AF12" s="54"/>
      <c r="AG12" s="54"/>
      <c r="AH12" s="54"/>
      <c r="AI12" s="54"/>
      <c r="AJ12" s="54"/>
    </row>
    <row r="13" spans="3:36" s="5" customFormat="1" ht="16" customHeight="1" x14ac:dyDescent="0.15">
      <c r="C13" s="3"/>
      <c r="D13" s="100">
        <v>150</v>
      </c>
      <c r="E13" s="6">
        <v>5</v>
      </c>
      <c r="F13" s="6">
        <v>5</v>
      </c>
      <c r="G13" s="3"/>
      <c r="H13" s="10">
        <v>1640312.4209130763</v>
      </c>
      <c r="I13" s="10">
        <v>160966.2863259321</v>
      </c>
      <c r="J13" s="11">
        <v>175.14348825244542</v>
      </c>
      <c r="K13" s="12">
        <v>8.92</v>
      </c>
      <c r="L13" s="12">
        <v>79.253333333333345</v>
      </c>
      <c r="M13" s="12">
        <v>1241.6640937807194</v>
      </c>
      <c r="N13" s="56">
        <v>42.926288690964533</v>
      </c>
      <c r="O13" s="56">
        <v>6664.4803037949332</v>
      </c>
      <c r="P13" s="75"/>
      <c r="Q13" s="3"/>
      <c r="R13" s="25">
        <v>1696357.0791741707</v>
      </c>
      <c r="S13" s="25">
        <v>149798.26126374089</v>
      </c>
      <c r="T13" s="26">
        <v>163.00723351378616</v>
      </c>
      <c r="U13" s="27">
        <v>8.9199999999999982</v>
      </c>
      <c r="V13" s="27">
        <v>76.986666666666665</v>
      </c>
      <c r="W13" s="27">
        <v>1274.8950929534567</v>
      </c>
      <c r="X13" s="58">
        <v>41.086987363594559</v>
      </c>
      <c r="Y13" s="58">
        <v>6730.5853317496048</v>
      </c>
      <c r="Z13" s="78"/>
      <c r="AC13" s="54">
        <f t="shared" ref="AC13:AJ16" si="1">IFERROR((R13-H13)/H13, 0)</f>
        <v>3.4167063265848674E-2</v>
      </c>
      <c r="AD13" s="54">
        <f t="shared" si="1"/>
        <v>-6.9381143822736094E-2</v>
      </c>
      <c r="AE13" s="54">
        <f t="shared" si="1"/>
        <v>-6.92932112963658E-2</v>
      </c>
      <c r="AF13" s="54">
        <f t="shared" si="1"/>
        <v>-1.9914314343052136E-16</v>
      </c>
      <c r="AG13" s="54">
        <f t="shared" si="1"/>
        <v>-2.8600269179004201E-2</v>
      </c>
      <c r="AH13" s="54">
        <f t="shared" si="1"/>
        <v>2.6763276267056105E-2</v>
      </c>
      <c r="AI13" s="54">
        <f t="shared" si="1"/>
        <v>-4.2847900050514372E-2</v>
      </c>
      <c r="AJ13" s="54">
        <f t="shared" si="1"/>
        <v>9.9190071755527083E-3</v>
      </c>
    </row>
    <row r="14" spans="3:36" s="5" customFormat="1" x14ac:dyDescent="0.15">
      <c r="C14" s="3"/>
      <c r="D14" s="101"/>
      <c r="E14" s="3">
        <v>5</v>
      </c>
      <c r="F14" s="3">
        <v>10</v>
      </c>
      <c r="G14" s="3"/>
      <c r="H14" s="14">
        <v>1788580.6562175942</v>
      </c>
      <c r="I14" s="14">
        <v>57162.442028591569</v>
      </c>
      <c r="J14" s="15">
        <v>168.73272006270204</v>
      </c>
      <c r="K14" s="16">
        <v>10.440000000000001</v>
      </c>
      <c r="L14" s="16">
        <v>74.666666666666671</v>
      </c>
      <c r="M14" s="16">
        <v>1466.1616851392896</v>
      </c>
      <c r="N14" s="57">
        <v>39.030145711549743</v>
      </c>
      <c r="O14" s="57">
        <v>6728.6062693305939</v>
      </c>
      <c r="P14" s="69"/>
      <c r="Q14" s="3"/>
      <c r="R14" s="28">
        <v>1827887.0871892336</v>
      </c>
      <c r="S14" s="28">
        <v>72489.126302071047</v>
      </c>
      <c r="T14" s="29">
        <v>218.82904133946204</v>
      </c>
      <c r="U14" s="30">
        <v>10.119999999999999</v>
      </c>
      <c r="V14" s="30">
        <v>73.066666666666663</v>
      </c>
      <c r="W14" s="30">
        <v>1518.8543082171993</v>
      </c>
      <c r="X14" s="59">
        <v>39.174588329851709</v>
      </c>
      <c r="Y14" s="59">
        <v>6847.5439592765151</v>
      </c>
      <c r="Z14" s="81"/>
      <c r="AC14" s="54">
        <f t="shared" si="1"/>
        <v>2.1976325660796783E-2</v>
      </c>
      <c r="AD14" s="54">
        <f t="shared" si="1"/>
        <v>0.2681250788028503</v>
      </c>
      <c r="AE14" s="54">
        <f t="shared" si="1"/>
        <v>0.29689749124025211</v>
      </c>
      <c r="AF14" s="54">
        <f t="shared" si="1"/>
        <v>-3.0651340996168775E-2</v>
      </c>
      <c r="AG14" s="54">
        <f t="shared" si="1"/>
        <v>-2.142857142857154E-2</v>
      </c>
      <c r="AH14" s="54">
        <f t="shared" si="1"/>
        <v>3.5939162516652301E-2</v>
      </c>
      <c r="AI14" s="54">
        <f t="shared" si="1"/>
        <v>3.7007962862721918E-3</v>
      </c>
      <c r="AJ14" s="54">
        <f t="shared" si="1"/>
        <v>1.7676422900244078E-2</v>
      </c>
    </row>
    <row r="15" spans="3:36" s="5" customFormat="1" x14ac:dyDescent="0.15">
      <c r="C15" s="3"/>
      <c r="D15" s="101"/>
      <c r="E15" s="3">
        <v>10</v>
      </c>
      <c r="F15" s="3">
        <v>5</v>
      </c>
      <c r="G15" s="3"/>
      <c r="H15" s="14">
        <v>1250164.6999909889</v>
      </c>
      <c r="I15" s="14">
        <v>161323.15885052498</v>
      </c>
      <c r="J15" s="15">
        <v>225.1504556400063</v>
      </c>
      <c r="K15" s="16">
        <v>12.440000000000001</v>
      </c>
      <c r="L15" s="16">
        <v>93.813333333333347</v>
      </c>
      <c r="M15" s="16">
        <v>631.34719979813997</v>
      </c>
      <c r="N15" s="57">
        <v>41.27251954815457</v>
      </c>
      <c r="O15" s="57">
        <v>5829.5006165258865</v>
      </c>
      <c r="P15" s="69"/>
      <c r="Q15" s="3"/>
      <c r="R15" s="28">
        <v>1272836.4799853154</v>
      </c>
      <c r="S15" s="28">
        <v>171034.00237640494</v>
      </c>
      <c r="T15" s="29">
        <v>253.73088102399998</v>
      </c>
      <c r="U15" s="30">
        <v>12.52</v>
      </c>
      <c r="V15" s="30">
        <v>93.359999999999985</v>
      </c>
      <c r="W15" s="30">
        <v>666.43809238976814</v>
      </c>
      <c r="X15" s="59">
        <v>40.553198691293737</v>
      </c>
      <c r="Y15" s="59">
        <v>5882.9473628061114</v>
      </c>
      <c r="Z15" s="81"/>
      <c r="AC15" s="54">
        <f t="shared" si="1"/>
        <v>1.8135034523443054E-2</v>
      </c>
      <c r="AD15" s="54">
        <f t="shared" si="1"/>
        <v>6.0194975074084701E-2</v>
      </c>
      <c r="AE15" s="54">
        <f t="shared" si="1"/>
        <v>0.12693922960427409</v>
      </c>
      <c r="AF15" s="54">
        <f t="shared" si="1"/>
        <v>6.4308681672024344E-3</v>
      </c>
      <c r="AG15" s="54">
        <f t="shared" si="1"/>
        <v>-4.8322910744744334E-3</v>
      </c>
      <c r="AH15" s="54">
        <f t="shared" si="1"/>
        <v>5.5580974466739937E-2</v>
      </c>
      <c r="AI15" s="54">
        <f t="shared" si="1"/>
        <v>-1.74285666282517E-2</v>
      </c>
      <c r="AJ15" s="54">
        <f t="shared" si="1"/>
        <v>9.1683232914857703E-3</v>
      </c>
    </row>
    <row r="16" spans="3:36" s="5" customFormat="1" x14ac:dyDescent="0.15">
      <c r="C16" s="3"/>
      <c r="D16" s="102"/>
      <c r="E16" s="4">
        <v>10</v>
      </c>
      <c r="F16" s="4">
        <v>10</v>
      </c>
      <c r="G16" s="3"/>
      <c r="H16" s="18">
        <v>1099114.3193884138</v>
      </c>
      <c r="I16" s="18">
        <v>81652.755226538633</v>
      </c>
      <c r="J16" s="19">
        <v>163.48417655279954</v>
      </c>
      <c r="K16" s="20">
        <v>12.760000000000002</v>
      </c>
      <c r="L16" s="20">
        <v>95.893333333333345</v>
      </c>
      <c r="M16" s="20">
        <v>357.15634606423595</v>
      </c>
      <c r="N16" s="51">
        <v>41.850018079490944</v>
      </c>
      <c r="O16" s="51">
        <v>5266.565386179509</v>
      </c>
      <c r="P16" s="72"/>
      <c r="Q16" s="3"/>
      <c r="R16" s="31">
        <v>1125936.4554254094</v>
      </c>
      <c r="S16" s="31">
        <v>83781.463896567177</v>
      </c>
      <c r="T16" s="32">
        <v>153.2548972391989</v>
      </c>
      <c r="U16" s="33">
        <v>12.8</v>
      </c>
      <c r="V16" s="33">
        <v>95.76</v>
      </c>
      <c r="W16" s="33">
        <v>406.86501006823147</v>
      </c>
      <c r="X16" s="60">
        <v>41.375446032718678</v>
      </c>
      <c r="Y16" s="60">
        <v>5379.8312987656082</v>
      </c>
      <c r="Z16" s="84"/>
      <c r="AC16" s="54">
        <f t="shared" si="1"/>
        <v>2.4403408784556962E-2</v>
      </c>
      <c r="AD16" s="54">
        <f t="shared" si="1"/>
        <v>2.6070261366228514E-2</v>
      </c>
      <c r="AE16" s="54">
        <f t="shared" si="1"/>
        <v>-6.257045500851241E-2</v>
      </c>
      <c r="AF16" s="54">
        <f t="shared" si="1"/>
        <v>3.1347962382444468E-3</v>
      </c>
      <c r="AG16" s="54">
        <f t="shared" si="1"/>
        <v>-1.3904338153504583E-3</v>
      </c>
      <c r="AH16" s="54">
        <f t="shared" si="1"/>
        <v>0.13917900256224267</v>
      </c>
      <c r="AI16" s="54">
        <f t="shared" si="1"/>
        <v>-1.1339828954693701E-2</v>
      </c>
      <c r="AJ16" s="54">
        <f t="shared" si="1"/>
        <v>2.1506599516134539E-2</v>
      </c>
    </row>
    <row r="17" spans="3:36" s="5" customFormat="1" ht="4" customHeight="1" x14ac:dyDescent="0.15">
      <c r="C17" s="3"/>
      <c r="D17" s="3"/>
      <c r="E17" s="3"/>
      <c r="F17" s="3"/>
      <c r="G17" s="3"/>
      <c r="H17" s="22"/>
      <c r="I17" s="22"/>
      <c r="J17" s="15"/>
      <c r="K17" s="16"/>
      <c r="L17" s="16"/>
      <c r="M17" s="16"/>
      <c r="N17" s="57"/>
      <c r="O17" s="57"/>
      <c r="P17" s="9"/>
      <c r="Q17" s="3"/>
      <c r="R17" s="34"/>
      <c r="S17" s="34"/>
      <c r="T17" s="29"/>
      <c r="U17" s="30"/>
      <c r="V17" s="30"/>
      <c r="W17" s="30"/>
      <c r="X17" s="59"/>
      <c r="Y17" s="59"/>
      <c r="Z17" s="24"/>
      <c r="AC17" s="54"/>
      <c r="AD17" s="54"/>
      <c r="AE17" s="54"/>
      <c r="AF17" s="54"/>
      <c r="AG17" s="54"/>
      <c r="AH17" s="54"/>
      <c r="AI17" s="54"/>
      <c r="AJ17" s="54"/>
    </row>
    <row r="18" spans="3:36" s="5" customFormat="1" x14ac:dyDescent="0.15">
      <c r="C18" s="3"/>
      <c r="D18" s="100">
        <v>200</v>
      </c>
      <c r="E18" s="6">
        <v>5</v>
      </c>
      <c r="F18" s="6">
        <v>5</v>
      </c>
      <c r="G18" s="3"/>
      <c r="H18" s="10">
        <v>2619217.8943266631</v>
      </c>
      <c r="I18" s="10">
        <v>209420.2037952074</v>
      </c>
      <c r="J18" s="11">
        <v>423.27399604470639</v>
      </c>
      <c r="K18" s="12">
        <v>9.64</v>
      </c>
      <c r="L18" s="12">
        <v>63.02</v>
      </c>
      <c r="M18" s="12">
        <v>1459.3902294978782</v>
      </c>
      <c r="N18" s="56">
        <v>42.606246149009301</v>
      </c>
      <c r="O18" s="56">
        <v>6996.2548999278952</v>
      </c>
      <c r="P18" s="75"/>
      <c r="Q18" s="3"/>
      <c r="R18" s="25">
        <v>2687263.8357603094</v>
      </c>
      <c r="S18" s="25">
        <v>200436.58587640544</v>
      </c>
      <c r="T18" s="26">
        <v>683.33873310117053</v>
      </c>
      <c r="U18" s="27">
        <v>9.4</v>
      </c>
      <c r="V18" s="27">
        <v>60.220000000000006</v>
      </c>
      <c r="W18" s="27">
        <v>1441.7208373991823</v>
      </c>
      <c r="X18" s="58">
        <v>40.872354758526981</v>
      </c>
      <c r="Y18" s="58">
        <v>7013.4902361456352</v>
      </c>
      <c r="Z18" s="78"/>
      <c r="AC18" s="54">
        <f t="shared" ref="AC18:AJ21" si="2">IFERROR((R18-H18)/H18, 0)</f>
        <v>2.5979488602699548E-2</v>
      </c>
      <c r="AD18" s="54">
        <f t="shared" si="2"/>
        <v>-4.2897570320326227E-2</v>
      </c>
      <c r="AE18" s="54">
        <f t="shared" si="2"/>
        <v>0.61441227074340754</v>
      </c>
      <c r="AF18" s="54">
        <f t="shared" si="2"/>
        <v>-2.4896265560165994E-2</v>
      </c>
      <c r="AG18" s="54">
        <f t="shared" si="2"/>
        <v>-4.4430339574738131E-2</v>
      </c>
      <c r="AH18" s="54">
        <f t="shared" si="2"/>
        <v>-1.2107380014991096E-2</v>
      </c>
      <c r="AI18" s="54">
        <f t="shared" si="2"/>
        <v>-4.0695708897195051E-2</v>
      </c>
      <c r="AJ18" s="54">
        <f t="shared" si="2"/>
        <v>2.4635089007288276E-3</v>
      </c>
    </row>
    <row r="19" spans="3:36" s="5" customFormat="1" x14ac:dyDescent="0.15">
      <c r="C19" s="3"/>
      <c r="D19" s="101"/>
      <c r="E19" s="3">
        <v>5</v>
      </c>
      <c r="F19" s="3">
        <v>10</v>
      </c>
      <c r="G19" s="3"/>
      <c r="H19" s="14">
        <v>2572930.2383978404</v>
      </c>
      <c r="I19" s="14">
        <v>61433.32069884766</v>
      </c>
      <c r="J19" s="15">
        <v>384.10185892614896</v>
      </c>
      <c r="K19" s="16">
        <v>10.52</v>
      </c>
      <c r="L19" s="16">
        <v>66.459999999999994</v>
      </c>
      <c r="M19" s="16">
        <v>1611.3365101582469</v>
      </c>
      <c r="N19" s="57">
        <v>44.177648946025087</v>
      </c>
      <c r="O19" s="57">
        <v>7058.0563189355289</v>
      </c>
      <c r="P19" s="69"/>
      <c r="Q19" s="3"/>
      <c r="R19" s="28">
        <v>2639549.8308652774</v>
      </c>
      <c r="S19" s="28">
        <v>54997.441212947233</v>
      </c>
      <c r="T19" s="29">
        <v>376.91647376306355</v>
      </c>
      <c r="U19" s="30">
        <v>10.520000000000001</v>
      </c>
      <c r="V19" s="30">
        <v>64.039999999999992</v>
      </c>
      <c r="W19" s="30">
        <v>1635.9481068424791</v>
      </c>
      <c r="X19" s="59">
        <v>42.263949197800329</v>
      </c>
      <c r="Y19" s="59">
        <v>7094.2257817433901</v>
      </c>
      <c r="Z19" s="81"/>
      <c r="AC19" s="54">
        <f t="shared" si="2"/>
        <v>2.589249855018259E-2</v>
      </c>
      <c r="AD19" s="54">
        <f t="shared" si="2"/>
        <v>-0.10476203162530896</v>
      </c>
      <c r="AE19" s="54">
        <f t="shared" si="2"/>
        <v>-1.8706978360307658E-2</v>
      </c>
      <c r="AF19" s="54">
        <f t="shared" si="2"/>
        <v>1.6885521287074626E-16</v>
      </c>
      <c r="AG19" s="54">
        <f t="shared" si="2"/>
        <v>-3.6412879927776136E-2</v>
      </c>
      <c r="AH19" s="54">
        <f t="shared" si="2"/>
        <v>1.527402657922465E-2</v>
      </c>
      <c r="AI19" s="54">
        <f t="shared" si="2"/>
        <v>-4.3318279579858544E-2</v>
      </c>
      <c r="AJ19" s="54">
        <f t="shared" si="2"/>
        <v>5.1245642105213728E-3</v>
      </c>
    </row>
    <row r="20" spans="3:36" s="5" customFormat="1" x14ac:dyDescent="0.15">
      <c r="C20" s="3"/>
      <c r="D20" s="101"/>
      <c r="E20" s="3">
        <v>10</v>
      </c>
      <c r="F20" s="3">
        <v>5</v>
      </c>
      <c r="G20" s="3"/>
      <c r="H20" s="14">
        <v>1791478.544138775</v>
      </c>
      <c r="I20" s="14">
        <v>171089.45073248507</v>
      </c>
      <c r="J20" s="15">
        <v>617.11288314199305</v>
      </c>
      <c r="K20" s="16">
        <v>16.360000000000003</v>
      </c>
      <c r="L20" s="16">
        <v>93.86</v>
      </c>
      <c r="M20" s="16">
        <v>993.41173015845175</v>
      </c>
      <c r="N20" s="57">
        <v>41.160712429832259</v>
      </c>
      <c r="O20" s="57">
        <v>6257.3355678327262</v>
      </c>
      <c r="P20" s="69"/>
      <c r="Q20" s="3"/>
      <c r="R20" s="28">
        <v>1821223.4754984812</v>
      </c>
      <c r="S20" s="28">
        <v>179612.93457275088</v>
      </c>
      <c r="T20" s="29">
        <v>544.52224496200211</v>
      </c>
      <c r="U20" s="30">
        <v>15.760000000000002</v>
      </c>
      <c r="V20" s="30">
        <v>92.6</v>
      </c>
      <c r="W20" s="30">
        <v>979.51988031810311</v>
      </c>
      <c r="X20" s="59">
        <v>41.74499502435755</v>
      </c>
      <c r="Y20" s="59">
        <v>6313.9156592129557</v>
      </c>
      <c r="Z20" s="81"/>
      <c r="AC20" s="54">
        <f t="shared" si="2"/>
        <v>1.6603565505723443E-2</v>
      </c>
      <c r="AD20" s="54">
        <f t="shared" si="2"/>
        <v>4.9818874300982467E-2</v>
      </c>
      <c r="AE20" s="54">
        <f t="shared" si="2"/>
        <v>-0.11762943241502281</v>
      </c>
      <c r="AF20" s="54">
        <f t="shared" si="2"/>
        <v>-3.6674816625916949E-2</v>
      </c>
      <c r="AG20" s="54">
        <f t="shared" si="2"/>
        <v>-1.3424248881312648E-2</v>
      </c>
      <c r="AH20" s="54">
        <f t="shared" si="2"/>
        <v>-1.3983980074538535E-2</v>
      </c>
      <c r="AI20" s="54">
        <f t="shared" si="2"/>
        <v>1.4195152611153974E-2</v>
      </c>
      <c r="AJ20" s="54">
        <f t="shared" si="2"/>
        <v>9.0422018712073733E-3</v>
      </c>
    </row>
    <row r="21" spans="3:36" s="5" customFormat="1" x14ac:dyDescent="0.15">
      <c r="C21" s="3"/>
      <c r="D21" s="102"/>
      <c r="E21" s="4">
        <v>10</v>
      </c>
      <c r="F21" s="4">
        <v>10</v>
      </c>
      <c r="G21" s="3"/>
      <c r="H21" s="18">
        <v>1601236.2038837634</v>
      </c>
      <c r="I21" s="18">
        <v>95831.675083126102</v>
      </c>
      <c r="J21" s="19">
        <v>481.70117091230776</v>
      </c>
      <c r="K21" s="20">
        <v>16.759999999999998</v>
      </c>
      <c r="L21" s="20">
        <v>95.94</v>
      </c>
      <c r="M21" s="20">
        <v>712.39673156021422</v>
      </c>
      <c r="N21" s="51">
        <v>45.164400444442791</v>
      </c>
      <c r="O21" s="51">
        <v>5789.9328909363367</v>
      </c>
      <c r="P21" s="72"/>
      <c r="Q21" s="3"/>
      <c r="R21" s="31">
        <v>1687516.2958141882</v>
      </c>
      <c r="S21" s="31">
        <v>117873.32913628529</v>
      </c>
      <c r="T21" s="32">
        <v>580.17853069538455</v>
      </c>
      <c r="U21" s="33">
        <v>16.36</v>
      </c>
      <c r="V21" s="33">
        <v>94.64</v>
      </c>
      <c r="W21" s="33">
        <v>823.59434162672062</v>
      </c>
      <c r="X21" s="60">
        <v>45.819783406227849</v>
      </c>
      <c r="Y21" s="60">
        <v>6016.621328483091</v>
      </c>
      <c r="Z21" s="84"/>
      <c r="AC21" s="54">
        <f t="shared" si="2"/>
        <v>5.3883425643983268E-2</v>
      </c>
      <c r="AD21" s="54">
        <f t="shared" si="2"/>
        <v>0.23000384824787698</v>
      </c>
      <c r="AE21" s="54">
        <f t="shared" si="2"/>
        <v>0.20443662114536212</v>
      </c>
      <c r="AF21" s="54">
        <f t="shared" si="2"/>
        <v>-2.386634844868727E-2</v>
      </c>
      <c r="AG21" s="54">
        <f t="shared" si="2"/>
        <v>-1.3550135501354985E-2</v>
      </c>
      <c r="AH21" s="54">
        <f t="shared" si="2"/>
        <v>0.15608944446302192</v>
      </c>
      <c r="AI21" s="54">
        <f t="shared" si="2"/>
        <v>1.4511051964284387E-2</v>
      </c>
      <c r="AJ21" s="54">
        <f t="shared" si="2"/>
        <v>3.9152170123010657E-2</v>
      </c>
    </row>
  </sheetData>
  <mergeCells count="9">
    <mergeCell ref="AC5:AJ5"/>
    <mergeCell ref="D8:D11"/>
    <mergeCell ref="D13:D16"/>
    <mergeCell ref="D18:D21"/>
    <mergeCell ref="D5:D6"/>
    <mergeCell ref="E5:E6"/>
    <mergeCell ref="F5:F6"/>
    <mergeCell ref="H5:P5"/>
    <mergeCell ref="R5:Z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Small</vt:lpstr>
      <vt:lpstr>Small- SA-AOS vs. Simple-SA</vt:lpstr>
      <vt:lpstr>Small- B_I=N</vt:lpstr>
      <vt:lpstr>Large</vt:lpstr>
      <vt:lpstr>Large- SA-AOS vs. Simple-SA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Pourdehghan Golneshini, Fatemeh (MU-Student)</dc:creator>
  <cp:lastModifiedBy>Pourdehghan Golneshini, Fatemeh (MU-Student)</cp:lastModifiedBy>
  <dcterms:created xsi:type="dcterms:W3CDTF">2024-10-09T04:23:05Z</dcterms:created>
  <dcterms:modified xsi:type="dcterms:W3CDTF">2026-10-16T13:44:57Z</dcterms:modified>
</cp:coreProperties>
</file>