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20-3-2/"/>
    </mc:Choice>
  </mc:AlternateContent>
  <xr:revisionPtr revIDLastSave="0" documentId="13_ncr:1_{9D02A242-A127-2940-8CD0-16D0715AF956}" xr6:coauthVersionLast="47" xr6:coauthVersionMax="47" xr10:uidLastSave="{00000000-0000-0000-0000-000000000000}"/>
  <bookViews>
    <workbookView xWindow="0" yWindow="740" windowWidth="34560" windowHeight="21600" activeTab="10" xr2:uid="{41E620E7-D6DF-9342-B452-EA60AB3B07C5}"/>
  </bookViews>
  <sheets>
    <sheet name="Summary" sheetId="68" r:id="rId1"/>
    <sheet name="results119" sheetId="58" r:id="rId2"/>
    <sheet name="results190" sheetId="69" r:id="rId3"/>
    <sheet name="results372" sheetId="70" r:id="rId4"/>
    <sheet name="results440" sheetId="71" r:id="rId5"/>
    <sheet name="results522" sheetId="72" r:id="rId6"/>
    <sheet name="results644" sheetId="73" r:id="rId7"/>
    <sheet name="results753" sheetId="74" r:id="rId8"/>
    <sheet name="results767" sheetId="75" r:id="rId9"/>
    <sheet name="results837" sheetId="76" r:id="rId10"/>
    <sheet name="results883" sheetId="77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76" l="1"/>
  <c r="J14" i="76"/>
  <c r="I14" i="76"/>
  <c r="H14" i="76"/>
  <c r="G14" i="76"/>
  <c r="F14" i="76"/>
  <c r="E14" i="76"/>
  <c r="D14" i="76"/>
  <c r="D14" i="77"/>
  <c r="G14" i="77" s="1"/>
  <c r="D14" i="75"/>
  <c r="I14" i="75" s="1"/>
  <c r="D14" i="74"/>
  <c r="F14" i="74" s="1"/>
  <c r="S14" i="73"/>
  <c r="R14" i="73"/>
  <c r="Q14" i="73"/>
  <c r="L14" i="73"/>
  <c r="P14" i="73" s="1"/>
  <c r="K14" i="73"/>
  <c r="J14" i="73"/>
  <c r="I14" i="73"/>
  <c r="H14" i="73"/>
  <c r="G14" i="73"/>
  <c r="F14" i="73"/>
  <c r="E14" i="73"/>
  <c r="D14" i="73"/>
  <c r="N14" i="70"/>
  <c r="M14" i="70"/>
  <c r="G14" i="70"/>
  <c r="F14" i="70"/>
  <c r="E14" i="70"/>
  <c r="D14" i="70"/>
  <c r="K14" i="70" s="1"/>
  <c r="D14" i="69"/>
  <c r="K14" i="69" s="1"/>
  <c r="G14" i="58"/>
  <c r="F14" i="58"/>
  <c r="D14" i="58"/>
  <c r="K14" i="58" s="1"/>
  <c r="D14" i="72"/>
  <c r="K14" i="72" s="1"/>
  <c r="D14" i="71"/>
  <c r="H14" i="71" s="1"/>
  <c r="H14" i="77" l="1"/>
  <c r="I14" i="77"/>
  <c r="E14" i="77"/>
  <c r="J14" i="77"/>
  <c r="F14" i="77"/>
  <c r="K14" i="77"/>
  <c r="E14" i="75"/>
  <c r="J14" i="75"/>
  <c r="K14" i="75"/>
  <c r="G14" i="75"/>
  <c r="F14" i="75"/>
  <c r="H14" i="75"/>
  <c r="J14" i="74"/>
  <c r="I14" i="74"/>
  <c r="K14" i="74"/>
  <c r="G14" i="74"/>
  <c r="H14" i="74"/>
  <c r="E14" i="74"/>
  <c r="L14" i="74"/>
  <c r="T14" i="74"/>
  <c r="M14" i="73"/>
  <c r="N14" i="73"/>
  <c r="O14" i="73"/>
  <c r="H14" i="70"/>
  <c r="I14" i="70"/>
  <c r="J14" i="70"/>
  <c r="E14" i="69"/>
  <c r="F14" i="69"/>
  <c r="G14" i="69"/>
  <c r="H14" i="69"/>
  <c r="I14" i="69"/>
  <c r="J14" i="69"/>
  <c r="L14" i="69"/>
  <c r="T14" i="69"/>
  <c r="E14" i="58"/>
  <c r="I14" i="58"/>
  <c r="H14" i="58"/>
  <c r="J14" i="58"/>
  <c r="L14" i="58"/>
  <c r="T14" i="58"/>
  <c r="E14" i="72"/>
  <c r="F14" i="72"/>
  <c r="G14" i="72"/>
  <c r="H14" i="72"/>
  <c r="I14" i="72"/>
  <c r="J14" i="72"/>
  <c r="F14" i="71"/>
  <c r="E14" i="71"/>
  <c r="G14" i="71"/>
  <c r="I14" i="71"/>
  <c r="J14" i="71"/>
  <c r="K14" i="71"/>
  <c r="AA14" i="74" l="1"/>
  <c r="Z14" i="74"/>
  <c r="U14" i="74"/>
  <c r="Y14" i="74"/>
  <c r="X14" i="74"/>
  <c r="W14" i="74"/>
  <c r="V14" i="74"/>
  <c r="O14" i="74"/>
  <c r="S14" i="74"/>
  <c r="N14" i="74"/>
  <c r="M14" i="74"/>
  <c r="Q14" i="74"/>
  <c r="R14" i="74"/>
  <c r="P14" i="74"/>
  <c r="AA14" i="69"/>
  <c r="Z14" i="69"/>
  <c r="Y14" i="69"/>
  <c r="X14" i="69"/>
  <c r="W14" i="69"/>
  <c r="V14" i="69"/>
  <c r="U14" i="69"/>
  <c r="N14" i="69"/>
  <c r="M14" i="69"/>
  <c r="O14" i="69"/>
  <c r="P14" i="69"/>
  <c r="S14" i="69"/>
  <c r="R14" i="69"/>
  <c r="Q14" i="69"/>
  <c r="AA14" i="58"/>
  <c r="Z14" i="58"/>
  <c r="Y14" i="58"/>
  <c r="X14" i="58"/>
  <c r="W14" i="58"/>
  <c r="V14" i="58"/>
  <c r="U14" i="58"/>
  <c r="O14" i="58"/>
  <c r="N14" i="58"/>
  <c r="M14" i="58"/>
  <c r="S14" i="58"/>
  <c r="R14" i="58"/>
  <c r="Q14" i="58"/>
  <c r="P14" i="58"/>
  <c r="C9" i="68" a="1"/>
  <c r="I10" i="68" a="1"/>
  <c r="H4" i="68" a="1"/>
  <c r="C6" i="68" a="1"/>
  <c r="F9" i="68" a="1"/>
  <c r="D3" i="68" a="1"/>
  <c r="I7" i="68" a="1"/>
  <c r="I12" i="68" a="1"/>
  <c r="I6" i="68" a="1"/>
  <c r="H5" i="68" a="1"/>
  <c r="E3" i="68" a="1"/>
  <c r="F10" i="68" a="1"/>
  <c r="C3" i="68" a="1"/>
  <c r="F11" i="68" a="1"/>
  <c r="F6" i="68" a="1"/>
  <c r="D4" i="68" a="1"/>
  <c r="I4" i="68" a="1"/>
  <c r="G3" i="68" a="1"/>
  <c r="D9" i="68" a="1"/>
  <c r="D12" i="68" a="1"/>
  <c r="H11" i="68" a="1"/>
  <c r="E12" i="68" a="1"/>
  <c r="D5" i="68" a="1"/>
  <c r="G12" i="68" a="1"/>
  <c r="F4" i="68" a="1"/>
  <c r="G6" i="68" a="1"/>
  <c r="E11" i="68" a="1"/>
  <c r="C12" i="68" a="1"/>
  <c r="D11" i="68" a="1"/>
  <c r="H10" i="68" a="1"/>
  <c r="G7" i="68" a="1"/>
  <c r="G11" i="68" a="1"/>
  <c r="G4" i="68" a="1"/>
  <c r="H8" i="68" a="1"/>
  <c r="F3" i="68" a="1"/>
  <c r="I9" i="68" a="1"/>
  <c r="G5" i="68" a="1"/>
  <c r="H3" i="68" a="1"/>
  <c r="G8" i="68" a="1"/>
  <c r="E8" i="68" a="1"/>
  <c r="C10" i="68" a="1"/>
  <c r="D8" i="68" a="1"/>
  <c r="E10" i="68" a="1"/>
  <c r="H7" i="68" a="1"/>
  <c r="F5" i="68" a="1"/>
  <c r="D10" i="68" a="1"/>
  <c r="C11" i="68" a="1"/>
  <c r="H6" i="68" a="1"/>
  <c r="F12" i="68" a="1"/>
  <c r="C8" i="68" a="1"/>
  <c r="D6" i="68" a="1"/>
  <c r="I11" i="68" a="1"/>
  <c r="E5" i="68" a="1"/>
  <c r="C5" i="68" a="1"/>
  <c r="E7" i="68" a="1"/>
  <c r="I5" i="68" a="1"/>
  <c r="C7" i="68" a="1"/>
  <c r="G9" i="68" a="1"/>
  <c r="F8" i="68" a="1"/>
  <c r="G10" i="68" a="1"/>
  <c r="E4" i="68" a="1"/>
  <c r="E9" i="68" a="1"/>
  <c r="C4" i="68" a="1"/>
  <c r="E6" i="68" a="1"/>
  <c r="H12" i="68" a="1"/>
  <c r="I8" i="68" a="1"/>
  <c r="I3" i="68" a="1"/>
  <c r="D7" i="68" a="1"/>
  <c r="F7" i="68" a="1"/>
  <c r="H9" i="68" a="1"/>
  <c r="F12" i="68" l="1"/>
  <c r="D5" i="68"/>
  <c r="I6" i="68"/>
  <c r="H11" i="68"/>
  <c r="L14" i="71"/>
  <c r="D12" i="68"/>
  <c r="C5" i="68"/>
  <c r="D8" i="68"/>
  <c r="D11" i="68"/>
  <c r="I4" i="68"/>
  <c r="C6" i="68"/>
  <c r="I8" i="68"/>
  <c r="H9" i="68"/>
  <c r="F10" i="68"/>
  <c r="G10" i="68"/>
  <c r="C11" i="68"/>
  <c r="G4" i="68"/>
  <c r="G11" i="68"/>
  <c r="E5" i="68"/>
  <c r="C10" i="68"/>
  <c r="C12" i="68"/>
  <c r="T14" i="73"/>
  <c r="D4" i="68"/>
  <c r="H4" i="68"/>
  <c r="H12" i="68"/>
  <c r="F4" i="68"/>
  <c r="G5" i="68"/>
  <c r="I9" i="68"/>
  <c r="F8" i="68"/>
  <c r="C7" i="68"/>
  <c r="I5" i="68"/>
  <c r="I11" i="68"/>
  <c r="E8" i="68"/>
  <c r="E11" i="68"/>
  <c r="F6" i="68"/>
  <c r="L14" i="70"/>
  <c r="I10" i="68"/>
  <c r="E6" i="68"/>
  <c r="C3" i="68"/>
  <c r="E4" i="68"/>
  <c r="H6" i="68"/>
  <c r="H8" i="68"/>
  <c r="D10" i="68"/>
  <c r="T14" i="72"/>
  <c r="L14" i="75"/>
  <c r="F5" i="68"/>
  <c r="D6" i="68"/>
  <c r="G8" i="68"/>
  <c r="T14" i="75"/>
  <c r="L14" i="77"/>
  <c r="G6" i="68"/>
  <c r="F11" i="68"/>
  <c r="C9" i="68"/>
  <c r="C4" i="68"/>
  <c r="C8" i="68"/>
  <c r="T14" i="76"/>
  <c r="T14" i="77"/>
  <c r="G12" i="68"/>
  <c r="H5" i="68"/>
  <c r="E12" i="68"/>
  <c r="I12" i="68"/>
  <c r="T14" i="70"/>
  <c r="L14" i="76"/>
  <c r="L14" i="72"/>
  <c r="E10" i="68"/>
  <c r="H10" i="68"/>
  <c r="G9" i="68"/>
  <c r="F9" i="68"/>
  <c r="E9" i="68"/>
  <c r="D9" i="68"/>
  <c r="I7" i="68"/>
  <c r="D7" i="68"/>
  <c r="G7" i="68"/>
  <c r="F7" i="68"/>
  <c r="E7" i="68"/>
  <c r="H7" i="68"/>
  <c r="D3" i="68"/>
  <c r="F3" i="68"/>
  <c r="I3" i="68"/>
  <c r="G3" i="68"/>
  <c r="E3" i="68"/>
  <c r="H3" i="68"/>
  <c r="K9" i="68" a="1"/>
  <c r="K3" i="68" a="1"/>
  <c r="S12" i="68" a="1"/>
  <c r="S7" i="68" a="1"/>
  <c r="S3" i="68" a="1"/>
  <c r="S11" i="68" a="1"/>
  <c r="S10" i="68" a="1"/>
  <c r="S4" i="68" a="1"/>
  <c r="K6" i="68" a="1"/>
  <c r="S9" i="68" a="1"/>
  <c r="K10" i="68" a="1"/>
  <c r="K8" i="68" a="1"/>
  <c r="S8" i="68" a="1"/>
  <c r="S5" i="68" a="1"/>
  <c r="K5" i="68" a="1"/>
  <c r="T14" i="71" l="1"/>
  <c r="AA14" i="76"/>
  <c r="Z14" i="76"/>
  <c r="Y14" i="76"/>
  <c r="X14" i="76"/>
  <c r="W14" i="76"/>
  <c r="V14" i="76"/>
  <c r="U14" i="76"/>
  <c r="M14" i="76"/>
  <c r="S14" i="76"/>
  <c r="J2" i="76" s="1"/>
  <c r="R14" i="76"/>
  <c r="Q14" i="76"/>
  <c r="H2" i="76" s="1"/>
  <c r="P14" i="76"/>
  <c r="O14" i="76"/>
  <c r="N14" i="76"/>
  <c r="AA14" i="77"/>
  <c r="Z14" i="77"/>
  <c r="Y14" i="77"/>
  <c r="X14" i="77"/>
  <c r="W14" i="77"/>
  <c r="V14" i="77"/>
  <c r="U14" i="77"/>
  <c r="O14" i="77"/>
  <c r="M14" i="77"/>
  <c r="N14" i="77"/>
  <c r="R14" i="77"/>
  <c r="R2" i="77" s="1"/>
  <c r="Q14" i="77"/>
  <c r="H2" i="77" s="1"/>
  <c r="S14" i="77"/>
  <c r="J2" i="77" s="1"/>
  <c r="P14" i="77"/>
  <c r="R2" i="76"/>
  <c r="AA14" i="75"/>
  <c r="Z14" i="75"/>
  <c r="V14" i="75"/>
  <c r="Y14" i="75"/>
  <c r="X14" i="75"/>
  <c r="W14" i="75"/>
  <c r="U14" i="75"/>
  <c r="O14" i="75"/>
  <c r="N14" i="75"/>
  <c r="M14" i="75"/>
  <c r="S14" i="75"/>
  <c r="J2" i="75" s="1"/>
  <c r="R14" i="75"/>
  <c r="R2" i="75" s="1"/>
  <c r="Q14" i="75"/>
  <c r="H2" i="75" s="1"/>
  <c r="P14" i="75"/>
  <c r="P2" i="75" s="1"/>
  <c r="R2" i="74"/>
  <c r="J2" i="74"/>
  <c r="AA14" i="73"/>
  <c r="Z14" i="73"/>
  <c r="Y14" i="73"/>
  <c r="X14" i="73"/>
  <c r="W14" i="73"/>
  <c r="V14" i="73"/>
  <c r="U14" i="73"/>
  <c r="S14" i="70"/>
  <c r="R14" i="70"/>
  <c r="Q14" i="70"/>
  <c r="H2" i="70" s="1"/>
  <c r="P14" i="70"/>
  <c r="P2" i="70" s="1"/>
  <c r="O14" i="70"/>
  <c r="AA14" i="70"/>
  <c r="Z14" i="70"/>
  <c r="Y14" i="70"/>
  <c r="V14" i="70"/>
  <c r="X14" i="70"/>
  <c r="W14" i="70"/>
  <c r="U14" i="70"/>
  <c r="AA14" i="72"/>
  <c r="Z14" i="72"/>
  <c r="Y14" i="72"/>
  <c r="X14" i="72"/>
  <c r="W14" i="72"/>
  <c r="V14" i="72"/>
  <c r="U14" i="72"/>
  <c r="O14" i="72"/>
  <c r="N14" i="72"/>
  <c r="M14" i="72"/>
  <c r="S14" i="72"/>
  <c r="J2" i="72" s="1"/>
  <c r="R14" i="72"/>
  <c r="Q14" i="72"/>
  <c r="H2" i="72" s="1"/>
  <c r="P14" i="72"/>
  <c r="AA14" i="71"/>
  <c r="Z14" i="71"/>
  <c r="V14" i="71"/>
  <c r="Y14" i="71"/>
  <c r="X14" i="71"/>
  <c r="U14" i="71"/>
  <c r="W14" i="71"/>
  <c r="O14" i="71"/>
  <c r="N14" i="71"/>
  <c r="M14" i="71"/>
  <c r="S14" i="71"/>
  <c r="J2" i="71" s="1"/>
  <c r="P14" i="71"/>
  <c r="P2" i="71" s="1"/>
  <c r="R14" i="71"/>
  <c r="Q14" i="71"/>
  <c r="H2" i="71" s="1"/>
  <c r="R2" i="70"/>
  <c r="J2" i="70"/>
  <c r="J2" i="69"/>
  <c r="H2" i="69"/>
  <c r="P2" i="69"/>
  <c r="J2" i="58"/>
  <c r="C17" i="68"/>
  <c r="C13" i="68"/>
  <c r="J13" i="68" s="1"/>
  <c r="K3" i="68"/>
  <c r="S3" i="68"/>
  <c r="S7" i="68"/>
  <c r="P2" i="73"/>
  <c r="H2" i="73"/>
  <c r="S12" i="68"/>
  <c r="K5" i="68"/>
  <c r="K6" i="68"/>
  <c r="S9" i="68"/>
  <c r="S11" i="68"/>
  <c r="K8" i="68"/>
  <c r="K9" i="68"/>
  <c r="S5" i="68"/>
  <c r="S10" i="68"/>
  <c r="S4" i="68"/>
  <c r="K10" i="68"/>
  <c r="S8" i="68"/>
  <c r="J2" i="73"/>
  <c r="D13" i="68"/>
  <c r="F13" i="68"/>
  <c r="H13" i="68"/>
  <c r="I13" i="68"/>
  <c r="E13" i="68"/>
  <c r="G13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X10" i="68" a="1"/>
  <c r="P11" i="68" a="1"/>
  <c r="T12" i="68" a="1"/>
  <c r="U6" i="68" a="1"/>
  <c r="Y5" i="68" a="1"/>
  <c r="X11" i="68" a="1"/>
  <c r="Y12" i="68" a="1"/>
  <c r="Q11" i="68" a="1"/>
  <c r="T5" i="68" a="1"/>
  <c r="X12" i="68" a="1"/>
  <c r="O9" i="68" a="1"/>
  <c r="N8" i="68" a="1"/>
  <c r="M6" i="68" a="1"/>
  <c r="M4" i="68" a="1"/>
  <c r="V10" i="68" a="1"/>
  <c r="K7" i="68" a="1"/>
  <c r="O6" i="68" a="1"/>
  <c r="M12" i="68" a="1"/>
  <c r="M9" i="68" a="1"/>
  <c r="Q9" i="68" a="1"/>
  <c r="L7" i="68" a="1"/>
  <c r="Q10" i="68" a="1"/>
  <c r="X5" i="68" a="1"/>
  <c r="Y3" i="68" a="1"/>
  <c r="X7" i="68" a="1"/>
  <c r="X3" i="68" a="1"/>
  <c r="P10" i="68" a="1"/>
  <c r="L11" i="68" a="1"/>
  <c r="W8" i="68" a="1"/>
  <c r="U9" i="68" a="1"/>
  <c r="M10" i="68" a="1"/>
  <c r="V3" i="68" a="1"/>
  <c r="M3" i="68" a="1"/>
  <c r="T7" i="68" a="1"/>
  <c r="U4" i="68" a="1"/>
  <c r="Y4" i="68" a="1"/>
  <c r="O7" i="68" a="1"/>
  <c r="N3" i="68" a="1"/>
  <c r="K11" i="68" a="1"/>
  <c r="W7" i="68" a="1"/>
  <c r="K12" i="68" a="1"/>
  <c r="O12" i="68" a="1"/>
  <c r="N6" i="68" a="1"/>
  <c r="L6" i="68" a="1"/>
  <c r="V7" i="68" a="1"/>
  <c r="M7" i="68" a="1"/>
  <c r="L8" i="68" a="1"/>
  <c r="W4" i="68" a="1"/>
  <c r="U7" i="68" a="1"/>
  <c r="N4" i="68" a="1"/>
  <c r="X8" i="68" a="1"/>
  <c r="V9" i="68" a="1"/>
  <c r="Q3" i="68" a="1"/>
  <c r="N5" i="68" a="1"/>
  <c r="K4" i="68" a="1"/>
  <c r="M8" i="68" a="1"/>
  <c r="O3" i="68" a="1"/>
  <c r="M5" i="68" a="1"/>
  <c r="P6" i="68" a="1"/>
  <c r="W6" i="68" a="1"/>
  <c r="N11" i="68" a="1"/>
  <c r="T9" i="68" a="1"/>
  <c r="W10" i="68" a="1"/>
  <c r="T10" i="68" a="1"/>
  <c r="O5" i="68" a="1"/>
  <c r="T11" i="68" a="1"/>
  <c r="U11" i="68" a="1"/>
  <c r="L9" i="68" a="1"/>
  <c r="N12" i="68" a="1"/>
  <c r="X4" i="68" a="1"/>
  <c r="N10" i="68" a="1"/>
  <c r="P7" i="68" a="1"/>
  <c r="V5" i="68" a="1"/>
  <c r="U10" i="68" a="1"/>
  <c r="Q7" i="68" a="1"/>
  <c r="L3" i="68" a="1"/>
  <c r="V12" i="68" a="1"/>
  <c r="Q4" i="68" a="1"/>
  <c r="L5" i="68" a="1"/>
  <c r="V8" i="68" a="1"/>
  <c r="M11" i="68" a="1"/>
  <c r="Y10" i="68" a="1"/>
  <c r="U12" i="68" a="1"/>
  <c r="V11" i="68" a="1"/>
  <c r="W5" i="68" a="1"/>
  <c r="S6" i="68" a="1"/>
  <c r="Y8" i="68" a="1"/>
  <c r="L12" i="68" a="1"/>
  <c r="P3" i="68" a="1"/>
  <c r="P4" i="68" a="1"/>
  <c r="N7" i="68" a="1"/>
  <c r="L4" i="68" a="1"/>
  <c r="O10" i="68" a="1"/>
  <c r="U3" i="68" a="1"/>
  <c r="P12" i="68" a="1"/>
  <c r="P9" i="68" a="1"/>
  <c r="W9" i="68" a="1"/>
  <c r="X6" i="68" a="1"/>
  <c r="W11" i="68" a="1"/>
  <c r="U5" i="68" a="1"/>
  <c r="T3" i="68" a="1"/>
  <c r="P5" i="68" a="1"/>
  <c r="L10" i="68" a="1"/>
  <c r="O4" i="68" a="1"/>
  <c r="V6" i="68" a="1"/>
  <c r="Y9" i="68" a="1"/>
  <c r="O8" i="68" a="1"/>
  <c r="Y7" i="68" a="1"/>
  <c r="Q5" i="68" a="1"/>
  <c r="Q12" i="68" a="1"/>
  <c r="W12" i="68" a="1"/>
  <c r="U8" i="68" a="1"/>
  <c r="T6" i="68" a="1"/>
  <c r="V4" i="68" a="1"/>
  <c r="T4" i="68" a="1"/>
  <c r="Q8" i="68" a="1"/>
  <c r="O11" i="68" a="1"/>
  <c r="P8" i="68" a="1"/>
  <c r="X9" i="68" a="1"/>
  <c r="Y11" i="68" a="1"/>
  <c r="W3" i="68" a="1"/>
  <c r="Q6" i="68" a="1"/>
  <c r="T8" i="68" a="1"/>
  <c r="Y6" i="68" a="1"/>
  <c r="N9" i="68" a="1"/>
  <c r="S6" i="68" l="1"/>
  <c r="Z2" i="70"/>
  <c r="Z2" i="69"/>
  <c r="X2" i="77"/>
  <c r="Z2" i="73"/>
  <c r="X2" i="74"/>
  <c r="P2" i="77"/>
  <c r="Z2" i="75"/>
  <c r="P9" i="68"/>
  <c r="X2" i="70"/>
  <c r="H2" i="74"/>
  <c r="X2" i="72"/>
  <c r="X10" i="68"/>
  <c r="Q5" i="68"/>
  <c r="Z2" i="58"/>
  <c r="X2" i="69"/>
  <c r="U4" i="68"/>
  <c r="L7" i="68"/>
  <c r="X12" i="68"/>
  <c r="X2" i="71"/>
  <c r="S13" i="68"/>
  <c r="Z13" i="68" s="1"/>
  <c r="S17" i="68"/>
  <c r="Z2" i="72"/>
  <c r="V11" i="68"/>
  <c r="Y10" i="68"/>
  <c r="O5" i="68"/>
  <c r="Q3" i="68"/>
  <c r="O12" i="68"/>
  <c r="X2" i="76"/>
  <c r="R2" i="58"/>
  <c r="O7" i="68"/>
  <c r="X5" i="68"/>
  <c r="N8" i="68"/>
  <c r="T12" i="68"/>
  <c r="W12" i="68"/>
  <c r="X6" i="68"/>
  <c r="L12" i="68"/>
  <c r="W5" i="68"/>
  <c r="U12" i="68"/>
  <c r="T11" i="68"/>
  <c r="N5" i="68"/>
  <c r="N6" i="68"/>
  <c r="Y4" i="68"/>
  <c r="Q10" i="68"/>
  <c r="O9" i="68"/>
  <c r="P11" i="68"/>
  <c r="Q12" i="68"/>
  <c r="W9" i="68"/>
  <c r="Y8" i="68"/>
  <c r="R2" i="73"/>
  <c r="P2" i="72"/>
  <c r="R2" i="69"/>
  <c r="P2" i="74"/>
  <c r="W4" i="68"/>
  <c r="K12" i="68"/>
  <c r="P10" i="68"/>
  <c r="K7" i="68"/>
  <c r="Y12" i="68"/>
  <c r="T4" i="68"/>
  <c r="P5" i="68"/>
  <c r="L4" i="68"/>
  <c r="M3" i="68"/>
  <c r="V12" i="68"/>
  <c r="X4" i="68"/>
  <c r="M5" i="68"/>
  <c r="L8" i="68"/>
  <c r="W7" i="68"/>
  <c r="X3" i="68"/>
  <c r="V10" i="68"/>
  <c r="X11" i="68"/>
  <c r="V4" i="68"/>
  <c r="T3" i="68"/>
  <c r="N7" i="68"/>
  <c r="V9" i="68"/>
  <c r="Y6" i="68"/>
  <c r="N12" i="68"/>
  <c r="O3" i="68"/>
  <c r="M7" i="68"/>
  <c r="K11" i="68"/>
  <c r="X7" i="68"/>
  <c r="M4" i="68"/>
  <c r="Y5" i="68"/>
  <c r="T6" i="68"/>
  <c r="U5" i="68"/>
  <c r="P4" i="68"/>
  <c r="T10" i="68"/>
  <c r="X8" i="68"/>
  <c r="L9" i="68"/>
  <c r="M8" i="68"/>
  <c r="V7" i="68"/>
  <c r="N3" i="68"/>
  <c r="Y3" i="68"/>
  <c r="M6" i="68"/>
  <c r="U6" i="68"/>
  <c r="U8" i="68"/>
  <c r="W11" i="68"/>
  <c r="P3" i="68"/>
  <c r="L5" i="68"/>
  <c r="L3" i="68"/>
  <c r="U11" i="68"/>
  <c r="K4" i="68"/>
  <c r="L6" i="68"/>
  <c r="X2" i="73"/>
  <c r="Z2" i="77"/>
  <c r="P2" i="58"/>
  <c r="H2" i="58"/>
  <c r="N9" i="68"/>
  <c r="Q7" i="68"/>
  <c r="W10" i="68"/>
  <c r="T8" i="68"/>
  <c r="Q6" i="68"/>
  <c r="Y11" i="68"/>
  <c r="M9" i="68"/>
  <c r="Y9" i="68"/>
  <c r="T7" i="68"/>
  <c r="M11" i="68"/>
  <c r="Y7" i="68"/>
  <c r="U10" i="68"/>
  <c r="T9" i="68"/>
  <c r="O8" i="68"/>
  <c r="V3" i="68"/>
  <c r="V5" i="68"/>
  <c r="N11" i="68"/>
  <c r="N4" i="68"/>
  <c r="W3" i="68"/>
  <c r="X9" i="68"/>
  <c r="P8" i="68"/>
  <c r="V6" i="68"/>
  <c r="P12" i="68"/>
  <c r="O11" i="68"/>
  <c r="O4" i="68"/>
  <c r="U3" i="68"/>
  <c r="V8" i="68"/>
  <c r="P7" i="68"/>
  <c r="W6" i="68"/>
  <c r="U7" i="68"/>
  <c r="M10" i="68"/>
  <c r="W8" i="68"/>
  <c r="U9" i="68"/>
  <c r="Q9" i="68"/>
  <c r="M12" i="68"/>
  <c r="T5" i="68"/>
  <c r="L11" i="68"/>
  <c r="O6" i="68"/>
  <c r="Q11" i="68"/>
  <c r="Q8" i="68"/>
  <c r="L10" i="68"/>
  <c r="O10" i="68"/>
  <c r="Q4" i="68"/>
  <c r="N10" i="68"/>
  <c r="P6" i="68"/>
  <c r="X2" i="58"/>
  <c r="Z2" i="71"/>
  <c r="Z2" i="76"/>
  <c r="X2" i="75"/>
  <c r="R2" i="71"/>
  <c r="R2" i="72"/>
  <c r="P2" i="76"/>
  <c r="Z2" i="74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U13" i="68" l="1"/>
  <c r="U14" i="68" s="1"/>
  <c r="T13" i="68"/>
  <c r="T14" i="68" s="1"/>
  <c r="W13" i="68"/>
  <c r="W14" i="68" s="1"/>
  <c r="Y13" i="68"/>
  <c r="Y14" i="68" s="1"/>
  <c r="V13" i="68"/>
  <c r="V14" i="68" s="1"/>
  <c r="K13" i="68"/>
  <c r="R13" i="68" s="1"/>
  <c r="K17" i="68"/>
  <c r="O13" i="68"/>
  <c r="O14" i="68" s="1"/>
  <c r="M13" i="68"/>
  <c r="M14" i="68" s="1"/>
  <c r="P13" i="68"/>
  <c r="P14" i="68" s="1"/>
  <c r="N13" i="68"/>
  <c r="N14" i="68" s="1"/>
  <c r="L13" i="68"/>
  <c r="L14" i="68" s="1"/>
  <c r="Q13" i="68"/>
  <c r="Q14" i="68" s="1"/>
  <c r="X13" i="68"/>
  <c r="X14" i="68" s="1"/>
  <c r="S14" i="68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14" i="68" l="1"/>
  <c r="G14" i="26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D12" i="23" a="1"/>
  <c r="G8" i="23" a="1"/>
  <c r="F8" i="23" a="1"/>
  <c r="F11" i="23" a="1"/>
  <c r="D10" i="23" a="1"/>
  <c r="F10" i="23" a="1"/>
  <c r="D11" i="23" a="1"/>
  <c r="G13" i="23" a="1"/>
  <c r="E6" i="23" a="1"/>
  <c r="D6" i="23" a="1"/>
  <c r="E5" i="23" a="1"/>
  <c r="F9" i="23" a="1"/>
  <c r="G11" i="23" a="1"/>
  <c r="D5" i="23" a="1"/>
  <c r="E12" i="23" a="1"/>
  <c r="E4" i="23" a="1"/>
  <c r="E7" i="23" a="1"/>
  <c r="E9" i="23" a="1"/>
  <c r="D4" i="23" a="1"/>
  <c r="E11" i="23" a="1"/>
  <c r="E13" i="23" a="1"/>
  <c r="F13" i="23" a="1"/>
  <c r="G9" i="23" a="1"/>
  <c r="G5" i="23" a="1"/>
  <c r="G7" i="23" a="1"/>
  <c r="F4" i="23" a="1"/>
  <c r="D8" i="23" a="1"/>
  <c r="F7" i="23" a="1"/>
  <c r="D9" i="23" a="1"/>
  <c r="G4" i="23" a="1"/>
  <c r="D13" i="23" a="1"/>
  <c r="D7" i="23" a="1"/>
  <c r="E8" i="23" a="1"/>
  <c r="G6" i="23" a="1"/>
  <c r="E10" i="23" a="1"/>
  <c r="G10" i="23" a="1"/>
  <c r="F5" i="23" a="1"/>
  <c r="F6" i="23" a="1"/>
  <c r="F12" i="23" a="1"/>
  <c r="G12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<sst xmlns="http://schemas.openxmlformats.org/spreadsheetml/2006/main" count="677" uniqueCount="22">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</sst>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zoomScale="85" zoomScaleNormal="85" workbookViewId="0">
      <selection activeCell="T13" sqref="T13:Y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119</v>
      </c>
      <c r="C3" s="5" cm="1">
        <f t="array" aca="1" ref="C3" ca="1">INDIRECT("'results" &amp; $B3 &amp; "'!D$14")</f>
        <v>50881.670453779137</v>
      </c>
      <c r="D3" s="33" cm="1">
        <f t="array" aca="1" ref="D3" ca="1">INDIRECT("'results" &amp; $B3 &amp; "'!E$14")</f>
        <v>0.52353066700015916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95</v>
      </c>
      <c r="G3" s="5" cm="1">
        <f t="array" aca="1" ref="G3" ca="1">INDIRECT("'results" &amp; $B3 &amp; "'!H$14")</f>
        <v>16.791840255198906</v>
      </c>
      <c r="H3" s="33" cm="1">
        <f t="array" aca="1" ref="H3" ca="1">INDIRECT("'results" &amp; $B3 &amp; "'!I$14")</f>
        <v>40.313647568260933</v>
      </c>
      <c r="I3" s="5" cm="1">
        <f t="array" aca="1" ref="I3" ca="1">INDIRECT("'results" &amp; $B3 &amp; "'!J$14")</f>
        <v>1810.2045845838163</v>
      </c>
      <c r="J3" s="5"/>
      <c r="K3" s="5" cm="1">
        <f t="array" aca="1" ref="K3" ca="1">INDIRECT("'results" &amp; $B3 &amp; "'!L$14")</f>
        <v>60585.417151621732</v>
      </c>
      <c r="L3" s="5" cm="1">
        <f t="array" aca="1" ref="L3" ca="1">INDIRECT("'results" &amp; $B3 &amp; "'!M$14")</f>
        <v>0.52743833400018048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85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20.625846157278239</v>
      </c>
      <c r="Q3" s="5" cm="1">
        <f t="array" aca="1" ref="Q3" ca="1">INDIRECT("'results" &amp; $B3 &amp; "'!R$14")</f>
        <v>1346.437171996567</v>
      </c>
      <c r="R3" s="5"/>
      <c r="S3" s="5" cm="1">
        <f t="array" aca="1" ref="S3" ca="1">INDIRECT("'results" &amp; $B3 &amp; "'!T$14")</f>
        <v>59882.332623861257</v>
      </c>
      <c r="T3" s="5" cm="1">
        <f t="array" aca="1" ref="T3" ca="1">INDIRECT("'results" &amp; $B3 &amp; "'!U$14")</f>
        <v>0.59291591700093704</v>
      </c>
      <c r="U3" s="5" cm="1">
        <f t="array" aca="1" ref="U3" ca="1">INDIRECT("'results" &amp; $B3 &amp; "'!V$14")</f>
        <v>3</v>
      </c>
      <c r="V3" s="5" cm="1">
        <f t="array" aca="1" ref="V3" ca="1">INDIRECT("'results" &amp; $B3 &amp; "'!W$14")</f>
        <v>85</v>
      </c>
      <c r="W3" s="5" cm="1">
        <f t="array" aca="1" ref="W3" ca="1">INDIRECT("'results" &amp; $B3 &amp; "'!X$14")</f>
        <v>11.255450349271459</v>
      </c>
      <c r="X3" s="5" cm="1">
        <f t="array" aca="1" ref="X3" ca="1">INDIRECT("'results" &amp; $B3 &amp; "'!Y$14")</f>
        <v>48.531342214573257</v>
      </c>
      <c r="Y3" s="5" cm="1">
        <f t="array" aca="1" ref="Y3" ca="1">INDIRECT("'results" &amp; $B3 &amp; "'!Z$14")</f>
        <v>1748.576444001807</v>
      </c>
      <c r="Z3" s="5"/>
    </row>
    <row r="4" spans="2:26" x14ac:dyDescent="0.2">
      <c r="B4" s="4">
        <v>190</v>
      </c>
      <c r="C4" s="5" cm="1">
        <f t="array" aca="1" ref="C4" ca="1">INDIRECT("'results" &amp; $B4 &amp; "'!D$14")</f>
        <v>57371.067287101978</v>
      </c>
      <c r="D4" s="33" cm="1">
        <f t="array" aca="1" ref="D4" ca="1">INDIRECT("'results" &amp; $B4 &amp; "'!E$14")</f>
        <v>0.2911715419995744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85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19.040077835059041</v>
      </c>
      <c r="I4" s="5" cm="1">
        <f t="array" aca="1" ref="I4" ca="1">INDIRECT("'results" &amp; $B4 &amp; "'!J$14")</f>
        <v>1394.2873398660095</v>
      </c>
      <c r="J4" s="5"/>
      <c r="K4" s="5" cm="1">
        <f t="array" aca="1" ref="K4" ca="1">INDIRECT("'results" &amp; $B4 &amp; "'!L$14")</f>
        <v>57371.067287101978</v>
      </c>
      <c r="L4" s="5" cm="1">
        <f t="array" aca="1" ref="L4" ca="1">INDIRECT("'results" &amp; $B4 &amp; "'!M$14")</f>
        <v>0.2741675840006792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85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19.040077835059041</v>
      </c>
      <c r="Q4" s="5" cm="1">
        <f t="array" aca="1" ref="Q4" ca="1">INDIRECT("'results" &amp; $B4 &amp; "'!R$14")</f>
        <v>1394.2873398660099</v>
      </c>
      <c r="R4" s="5"/>
      <c r="S4" s="5" cm="1">
        <f t="array" aca="1" ref="S4" ca="1">INDIRECT("'results" &amp; $B4 &amp; "'!T$14")</f>
        <v>67211.626118985092</v>
      </c>
      <c r="T4" s="5" cm="1">
        <f t="array" aca="1" ref="T4" ca="1">INDIRECT("'results" &amp; $B4 &amp; "'!U$14")</f>
        <v>0.41922416699890158</v>
      </c>
      <c r="U4" s="5" cm="1">
        <f t="array" aca="1" ref="U4" ca="1">INDIRECT("'results" &amp; $B4 &amp; "'!V$14")</f>
        <v>3</v>
      </c>
      <c r="V4" s="5" cm="1">
        <f t="array" aca="1" ref="V4" ca="1">INDIRECT("'results" &amp; $B4 &amp; "'!W$14")</f>
        <v>85</v>
      </c>
      <c r="W4" s="5" cm="1">
        <f t="array" aca="1" ref="W4" ca="1">INDIRECT("'results" &amp; $B4 &amp; "'!X$14")</f>
        <v>0</v>
      </c>
      <c r="X4" s="5" cm="1">
        <f t="array" aca="1" ref="X4" ca="1">INDIRECT("'results" &amp; $B4 &amp; "'!Y$14")</f>
        <v>23.317784677153419</v>
      </c>
      <c r="Y4" s="5" cm="1">
        <f t="array" aca="1" ref="Y4" ca="1">INDIRECT("'results" &amp; $B4 &amp; "'!Z$14")</f>
        <v>1560.5054064085591</v>
      </c>
      <c r="Z4" s="5"/>
    </row>
    <row r="5" spans="2:26" x14ac:dyDescent="0.2">
      <c r="B5" s="4">
        <v>372</v>
      </c>
      <c r="C5" s="5" cm="1">
        <f t="array" aca="1" ref="C5" ca="1">INDIRECT("'results" &amp; $B5 &amp; "'!D$14")</f>
        <v>49534.207125809669</v>
      </c>
      <c r="D5" s="33" cm="1">
        <f t="array" aca="1" ref="D5" ca="1">INDIRECT("'results" &amp; $B5 &amp; "'!E$14")</f>
        <v>0.42902999999932939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90</v>
      </c>
      <c r="G5" s="5" cm="1">
        <f t="array" aca="1" ref="G5" ca="1">INDIRECT("'results" &amp; $B5 &amp; "'!H$14")</f>
        <v>7.3325820654510556</v>
      </c>
      <c r="H5" s="33" cm="1">
        <f t="array" aca="1" ref="H5" ca="1">INDIRECT("'results" &amp; $B5 &amp; "'!I$14")</f>
        <v>43.505655392047267</v>
      </c>
      <c r="I5" s="5" cm="1">
        <f t="array" aca="1" ref="I5" ca="1">INDIRECT("'results" &amp; $B5 &amp; "'!J$14")</f>
        <v>1477.4735078294689</v>
      </c>
      <c r="J5" s="5"/>
      <c r="K5" s="5" cm="1">
        <f t="array" aca="1" ref="K5" ca="1">INDIRECT("'results" &amp; $B5 &amp; "'!L$14")</f>
        <v>65198.979850634707</v>
      </c>
      <c r="L5" s="5" cm="1">
        <f t="array" aca="1" ref="L5" ca="1">INDIRECT("'results" &amp; $B5 &amp; "'!M$14")</f>
        <v>0.51526408399877255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75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18.577148628786819</v>
      </c>
      <c r="Q5" s="5" cm="1">
        <f t="array" aca="1" ref="Q5" ca="1">INDIRECT("'results" &amp; $B5 &amp; "'!R$14")</f>
        <v>986.36163461791944</v>
      </c>
      <c r="R5" s="5"/>
      <c r="S5" s="5" cm="1">
        <f t="array" aca="1" ref="S5" ca="1">INDIRECT("'results" &amp; $B5 &amp; "'!T$14")</f>
        <v>58944.616323736169</v>
      </c>
      <c r="T5" s="5" cm="1">
        <f t="array" aca="1" ref="T5" ca="1">INDIRECT("'results" &amp; $B5 &amp; "'!U$14")</f>
        <v>1.0404305829979421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90</v>
      </c>
      <c r="W5" s="5" cm="1">
        <f t="array" aca="1" ref="W5" ca="1">INDIRECT("'results" &amp; $B5 &amp; "'!X$14")</f>
        <v>24.12833369943802</v>
      </c>
      <c r="X5" s="5" cm="1">
        <f t="array" aca="1" ref="X5" ca="1">INDIRECT("'results" &amp; $B5 &amp; "'!Y$14")</f>
        <v>49.24044940639908</v>
      </c>
      <c r="Y5" s="5" cm="1">
        <f t="array" aca="1" ref="Y5" ca="1">INDIRECT("'results" &amp; $B5 &amp; "'!Z$14")</f>
        <v>1718.885006565956</v>
      </c>
      <c r="Z5" s="5"/>
    </row>
    <row r="6" spans="2:26" x14ac:dyDescent="0.2">
      <c r="B6" s="4">
        <v>440</v>
      </c>
      <c r="C6" s="5" cm="1">
        <f t="array" aca="1" ref="C6" ca="1">INDIRECT("'results" &amp; $B6 &amp; "'!D$14")</f>
        <v>47931.50682278708</v>
      </c>
      <c r="D6" s="33" cm="1">
        <f t="array" aca="1" ref="D6" ca="1">INDIRECT("'results" &amp; $B6 &amp; "'!E$14")</f>
        <v>1.093683000000965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95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33.75035329346472</v>
      </c>
      <c r="I6" s="5" cm="1">
        <f t="array" aca="1" ref="I6" ca="1">INDIRECT("'results" &amp; $B6 &amp; "'!J$14")</f>
        <v>1557.000880385139</v>
      </c>
      <c r="J6" s="5"/>
      <c r="K6" s="5" cm="1">
        <f t="array" aca="1" ref="K6" ca="1">INDIRECT("'results" &amp; $B6 &amp; "'!L$14")</f>
        <v>61091.472719937206</v>
      </c>
      <c r="L6" s="5" cm="1">
        <f t="array" aca="1" ref="L6" ca="1">INDIRECT("'results" &amp; $B6 &amp; "'!M$14")</f>
        <v>0.83745908300261362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70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20.634411264479208</v>
      </c>
      <c r="Q6" s="5" cm="1">
        <f t="array" aca="1" ref="Q6" ca="1">INDIRECT("'results" &amp; $B6 &amp; "'!R$14")</f>
        <v>1053.809869738956</v>
      </c>
      <c r="R6" s="5"/>
      <c r="S6" s="5" cm="1">
        <f t="array" aca="1" ref="S6" ca="1">INDIRECT("'results" &amp; $B6 &amp; "'!T$14")</f>
        <v>57712.892723472789</v>
      </c>
      <c r="T6" s="5" cm="1">
        <f t="array" aca="1" ref="T6" ca="1">INDIRECT("'results" &amp; $B6 &amp; "'!U$14")</f>
        <v>0.5751724159999867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95</v>
      </c>
      <c r="W6" s="5" cm="1">
        <f t="array" aca="1" ref="W6" ca="1">INDIRECT("'results" &amp; $B6 &amp; "'!X$14")</f>
        <v>8.4839549859614518</v>
      </c>
      <c r="X6" s="5" cm="1">
        <f t="array" aca="1" ref="X6" ca="1">INDIRECT("'results" &amp; $B6 &amp; "'!Y$14")</f>
        <v>55.335414299227217</v>
      </c>
      <c r="Y6" s="5" cm="1">
        <f t="array" aca="1" ref="Y6" ca="1">INDIRECT("'results" &amp; $B6 &amp; "'!Z$14")</f>
        <v>2050.0955828591868</v>
      </c>
      <c r="Z6" s="5"/>
    </row>
    <row r="7" spans="2:26" x14ac:dyDescent="0.2">
      <c r="B7" s="4">
        <v>522</v>
      </c>
      <c r="C7" s="5" cm="1">
        <f t="array" aca="1" ref="C7" ca="1">INDIRECT("'results" &amp; $B7 &amp; "'!D$14")</f>
        <v>54653.742325774067</v>
      </c>
      <c r="D7" s="33" cm="1">
        <f t="array" aca="1" ref="D7" ca="1">INDIRECT("'results" &amp; $B7 &amp; "'!E$14")</f>
        <v>0.56842341699848475</v>
      </c>
      <c r="E7" s="5" cm="1">
        <f t="array" aca="1" ref="E7" ca="1">INDIRECT("'results" &amp; $B7 &amp; "'!F$14")</f>
        <v>3</v>
      </c>
      <c r="F7" s="5" cm="1">
        <f t="array" aca="1" ref="F7" ca="1">INDIRECT("'results" &amp; $B7 &amp; "'!G$14")</f>
        <v>100</v>
      </c>
      <c r="G7" s="5" cm="1">
        <f t="array" aca="1" ref="G7" ca="1">INDIRECT("'results" &amp; $B7 &amp; "'!H$14")</f>
        <v>24.478721289460147</v>
      </c>
      <c r="H7" s="33" cm="1">
        <f t="array" aca="1" ref="H7" ca="1">INDIRECT("'results" &amp; $B7 &amp; "'!I$14")</f>
        <v>31.737058866272623</v>
      </c>
      <c r="I7" s="5" cm="1">
        <f t="array" aca="1" ref="I7" ca="1">INDIRECT("'results" &amp; $B7 &amp; "'!J$14")</f>
        <v>1627.5931639086214</v>
      </c>
      <c r="J7" s="5"/>
      <c r="K7" s="5" cm="1">
        <f t="array" aca="1" ref="K7" ca="1">INDIRECT("'results" &amp; $B7 &amp; "'!L$14")</f>
        <v>70797.60644699246</v>
      </c>
      <c r="L7" s="5" cm="1">
        <f t="array" aca="1" ref="L7" ca="1">INDIRECT("'results" &amp; $B7 &amp; "'!M$14")</f>
        <v>0.39692862499941839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75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17.367842150211992</v>
      </c>
      <c r="Q7" s="5" cm="1">
        <f t="array" aca="1" ref="Q7" ca="1">INDIRECT("'results" &amp; $B7 &amp; "'!R$14")</f>
        <v>1353.3392608423021</v>
      </c>
      <c r="R7" s="5"/>
      <c r="S7" s="5" cm="1">
        <f t="array" aca="1" ref="S7" ca="1">INDIRECT("'results" &amp; $B7 &amp; "'!T$14")</f>
        <v>67477.062808825052</v>
      </c>
      <c r="T7" s="5" cm="1">
        <f t="array" aca="1" ref="T7" ca="1">INDIRECT("'results" &amp; $B7 &amp; "'!U$14")</f>
        <v>0.58285737500045798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80</v>
      </c>
      <c r="W7" s="5" cm="1">
        <f t="array" aca="1" ref="W7" ca="1">INDIRECT("'results" &amp; $B7 &amp; "'!X$14")</f>
        <v>185.58851835856541</v>
      </c>
      <c r="X7" s="5" cm="1">
        <f t="array" aca="1" ref="X7" ca="1">INDIRECT("'results" &amp; $B7 &amp; "'!Y$14")</f>
        <v>69.819015146944807</v>
      </c>
      <c r="Y7" s="5" cm="1">
        <f t="array" aca="1" ref="Y7" ca="1">INDIRECT("'results" &amp; $B7 &amp; "'!Z$14")</f>
        <v>2383.678617567954</v>
      </c>
      <c r="Z7" s="5"/>
    </row>
    <row r="8" spans="2:26" x14ac:dyDescent="0.2">
      <c r="B8" s="4">
        <v>644</v>
      </c>
      <c r="C8" s="5" cm="1">
        <f t="array" aca="1" ref="C8" ca="1">INDIRECT("'results" &amp; $B8 &amp; "'!D$14")</f>
        <v>38717.786789514859</v>
      </c>
      <c r="D8" s="33" cm="1">
        <f t="array" aca="1" ref="D8" ca="1">INDIRECT("'results" &amp; $B8 &amp; "'!E$14")</f>
        <v>0.29737537499931932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100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28.30506578698435</v>
      </c>
      <c r="I8" s="5" cm="1">
        <f t="array" aca="1" ref="I8" ca="1">INDIRECT("'results" &amp; $B8 &amp; "'!J$14")</f>
        <v>1158.007859143017</v>
      </c>
      <c r="J8" s="5"/>
      <c r="K8" s="5" cm="1">
        <f t="array" aca="1" ref="K8" ca="1">INDIRECT("'results" &amp; $B8 &amp; "'!L$14")</f>
        <v>48336.264596020148</v>
      </c>
      <c r="L8" s="5" cm="1">
        <f t="array" aca="1" ref="L8" ca="1">INDIRECT("'results" &amp; $B8 &amp; "'!M$14")</f>
        <v>0.32539654200081708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95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15.23927681427713</v>
      </c>
      <c r="Q8" s="5" cm="1">
        <f t="array" aca="1" ref="Q8" ca="1">INDIRECT("'results" &amp; $B8 &amp; "'!R$14")</f>
        <v>896.27519282352432</v>
      </c>
      <c r="R8" s="5"/>
      <c r="S8" s="5" cm="1">
        <f t="array" aca="1" ref="S8" ca="1">INDIRECT("'results" &amp; $B8 &amp; "'!T$14")</f>
        <v>44253.662424585862</v>
      </c>
      <c r="T8" s="5" cm="1">
        <f t="array" aca="1" ref="T8" ca="1">INDIRECT("'results" &amp; $B8 &amp; "'!U$14")</f>
        <v>0.41150008299882762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95</v>
      </c>
      <c r="W8" s="5" cm="1">
        <f t="array" aca="1" ref="W8" ca="1">INDIRECT("'results" &amp; $B8 &amp; "'!X$14")</f>
        <v>0</v>
      </c>
      <c r="X8" s="5" cm="1">
        <f t="array" aca="1" ref="X8" ca="1">INDIRECT("'results" &amp; $B8 &amp; "'!Y$14")</f>
        <v>36.812002561869647</v>
      </c>
      <c r="Y8" s="5" cm="1">
        <f t="array" aca="1" ref="Y8" ca="1">INDIRECT("'results" &amp; $B8 &amp; "'!Z$14")</f>
        <v>1331.6469244929319</v>
      </c>
      <c r="Z8" s="5"/>
    </row>
    <row r="9" spans="2:26" x14ac:dyDescent="0.2">
      <c r="B9" s="4">
        <v>753</v>
      </c>
      <c r="C9" s="5" cm="1">
        <f t="array" aca="1" ref="C9" ca="1">INDIRECT("'results" &amp; $B9 &amp; "'!D$14")</f>
        <v>55134.051797088017</v>
      </c>
      <c r="D9" s="33" cm="1">
        <f t="array" aca="1" ref="D9" ca="1">INDIRECT("'results" &amp; $B9 &amp; "'!E$14")</f>
        <v>0.2672719580004923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95</v>
      </c>
      <c r="G9" s="5" cm="1">
        <f t="array" aca="1" ref="G9" ca="1">INDIRECT("'results" &amp; $B9 &amp; "'!H$14")</f>
        <v>71.900109558516547</v>
      </c>
      <c r="H9" s="33" cm="1">
        <f t="array" aca="1" ref="H9" ca="1">INDIRECT("'results" &amp; $B9 &amp; "'!I$14")</f>
        <v>44.391014625786966</v>
      </c>
      <c r="I9" s="5" cm="1">
        <f t="array" aca="1" ref="I9" ca="1">INDIRECT("'results" &amp; $B9 &amp; "'!J$14")</f>
        <v>1970.8688068957047</v>
      </c>
      <c r="J9" s="5"/>
      <c r="K9" s="5" cm="1">
        <f t="array" aca="1" ref="K9" ca="1">INDIRECT("'results" &amp; $B9 &amp; "'!L$14")</f>
        <v>62368.695919369697</v>
      </c>
      <c r="L9" s="5" cm="1">
        <f t="array" aca="1" ref="L9" ca="1">INDIRECT("'results" &amp; $B9 &amp; "'!M$14")</f>
        <v>0.42058637499940232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85</v>
      </c>
      <c r="O9" s="5" cm="1">
        <f t="array" aca="1" ref="O9" ca="1">INDIRECT("'results" &amp; $B9 &amp; "'!P$14")</f>
        <v>0.79429139750649291</v>
      </c>
      <c r="P9" s="5" cm="1">
        <f t="array" aca="1" ref="P9" ca="1">INDIRECT("'results" &amp; $B9 &amp; "'!Q$14")</f>
        <v>23.19012027955856</v>
      </c>
      <c r="Q9" s="5" cm="1">
        <f t="array" aca="1" ref="Q9" ca="1">INDIRECT("'results" &amp; $B9 &amp; "'!R$14")</f>
        <v>1400.9862737477249</v>
      </c>
      <c r="R9" s="5"/>
      <c r="S9" s="5" cm="1">
        <f t="array" aca="1" ref="S9" ca="1">INDIRECT("'results" &amp; $B9 &amp; "'!T$14")</f>
        <v>67957.927272358298</v>
      </c>
      <c r="T9" s="5" cm="1">
        <f t="array" aca="1" ref="T9" ca="1">INDIRECT("'results" &amp; $B9 &amp; "'!U$14")</f>
        <v>0.4816370829976222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85</v>
      </c>
      <c r="W9" s="5" cm="1">
        <f t="array" aca="1" ref="W9" ca="1">INDIRECT("'results" &amp; $B9 &amp; "'!X$14")</f>
        <v>84.113864510017692</v>
      </c>
      <c r="X9" s="5" cm="1">
        <f t="array" aca="1" ref="X9" ca="1">INDIRECT("'results" &amp; $B9 &amp; "'!Y$14")</f>
        <v>43.490992204269318</v>
      </c>
      <c r="Y9" s="5" cm="1">
        <f t="array" aca="1" ref="Y9" ca="1">INDIRECT("'results" &amp; $B9 &amp; "'!Z$14")</f>
        <v>1996.668235195508</v>
      </c>
      <c r="Z9" s="5"/>
    </row>
    <row r="10" spans="2:26" x14ac:dyDescent="0.2">
      <c r="B10" s="4">
        <v>767</v>
      </c>
      <c r="C10" s="5" cm="1">
        <f t="array" aca="1" ref="C10" ca="1">INDIRECT("'results" &amp; $B10 &amp; "'!D$14")</f>
        <v>51743.509363671968</v>
      </c>
      <c r="D10" s="33" cm="1">
        <f t="array" aca="1" ref="D10" ca="1">INDIRECT("'results" &amp; $B10 &amp; "'!E$14")</f>
        <v>0.3551784579995001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90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21.94849358753347</v>
      </c>
      <c r="I10" s="5" cm="1">
        <f t="array" aca="1" ref="I10" ca="1">INDIRECT("'results" &amp; $B10 &amp; "'!J$14")</f>
        <v>1397.9190698859372</v>
      </c>
      <c r="J10" s="5"/>
      <c r="K10" s="5" cm="1">
        <f t="array" aca="1" ref="K10" ca="1">INDIRECT("'results" &amp; $B10 &amp; "'!L$14")</f>
        <v>62699.593227938109</v>
      </c>
      <c r="L10" s="5" cm="1">
        <f t="array" aca="1" ref="L10" ca="1">INDIRECT("'results" &amp; $B10 &amp; "'!M$14")</f>
        <v>0.49503349999940838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80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17.703202270754709</v>
      </c>
      <c r="Q10" s="5" cm="1">
        <f t="array" aca="1" ref="Q10" ca="1">INDIRECT("'results" &amp; $B10 &amp; "'!R$14")</f>
        <v>1079.118195056946</v>
      </c>
      <c r="R10" s="5"/>
      <c r="S10" s="5" cm="1">
        <f t="array" aca="1" ref="S10" ca="1">INDIRECT("'results" &amp; $B10 &amp; "'!T$14")</f>
        <v>58422.256800214287</v>
      </c>
      <c r="T10" s="5" cm="1">
        <f t="array" aca="1" ref="T10" ca="1">INDIRECT("'results" &amp; $B10 &amp; "'!U$14")</f>
        <v>0.83126716699916869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0</v>
      </c>
      <c r="X10" s="5" cm="1">
        <f t="array" aca="1" ref="X10" ca="1">INDIRECT("'results" &amp; $B10 &amp; "'!Y$14")</f>
        <v>38.248148377033267</v>
      </c>
      <c r="Y10" s="5" cm="1">
        <f t="array" aca="1" ref="Y10" ca="1">INDIRECT("'results" &amp; $B10 &amp; "'!Z$14")</f>
        <v>1607.531972551747</v>
      </c>
      <c r="Z10" s="5"/>
    </row>
    <row r="11" spans="2:26" x14ac:dyDescent="0.2">
      <c r="B11" s="4">
        <v>837</v>
      </c>
      <c r="C11" s="5" cm="1">
        <f t="array" aca="1" ref="C11" ca="1">INDIRECT("'results" &amp; $B11 &amp; "'!D$14")</f>
        <v>46451.564642973179</v>
      </c>
      <c r="D11" s="33" cm="1">
        <f t="array" aca="1" ref="D11" ca="1">INDIRECT("'results" &amp; $B11 &amp; "'!E$14")</f>
        <v>0.79865179199987324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100</v>
      </c>
      <c r="G11" s="5" cm="1">
        <f t="array" aca="1" ref="G11" ca="1">INDIRECT("'results" &amp; $B11 &amp; "'!H$14")</f>
        <v>18.534266869647229</v>
      </c>
      <c r="H11" s="33" cm="1">
        <f t="array" aca="1" ref="H11" ca="1">INDIRECT("'results" &amp; $B11 &amp; "'!I$14")</f>
        <v>31.411981728802004</v>
      </c>
      <c r="I11" s="5" cm="1">
        <f t="array" aca="1" ref="I11" ca="1">INDIRECT("'results" &amp; $B11 &amp; "'!J$14")</f>
        <v>1525.4432500959065</v>
      </c>
      <c r="J11" s="5"/>
      <c r="K11" s="5" cm="1">
        <f t="array" aca="1" ref="K11" ca="1">INDIRECT("'results" &amp; $B11 &amp; "'!L$14")</f>
        <v>69683.91025059321</v>
      </c>
      <c r="L11" s="5" cm="1">
        <f t="array" aca="1" ref="L11" ca="1">INDIRECT("'results" &amp; $B11 &amp; "'!M$14")</f>
        <v>0.40665124999941332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60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14.47923236517707</v>
      </c>
      <c r="Q11" s="5" cm="1">
        <f t="array" aca="1" ref="Q11" ca="1">INDIRECT("'results" &amp; $B11 &amp; "'!R$14")</f>
        <v>1016.324817502787</v>
      </c>
      <c r="R11" s="5"/>
      <c r="S11" s="5" cm="1">
        <f t="array" aca="1" ref="S11" ca="1">INDIRECT("'results" &amp; $B11 &amp; "'!T$14")</f>
        <v>60687.8551993539</v>
      </c>
      <c r="T11" s="5" cm="1">
        <f t="array" aca="1" ref="T11" ca="1">INDIRECT("'results" &amp; $B11 &amp; "'!U$14")</f>
        <v>0.32318408300125162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40.318715015569687</v>
      </c>
      <c r="X11" s="5" cm="1">
        <f t="array" aca="1" ref="X11" ca="1">INDIRECT("'results" &amp; $B11 &amp; "'!Y$14")</f>
        <v>36.416135712285673</v>
      </c>
      <c r="Y11" s="5" cm="1">
        <f t="array" aca="1" ref="Y11" ca="1">INDIRECT("'results" &amp; $B11 &amp; "'!Z$14")</f>
        <v>1644.920879800731</v>
      </c>
      <c r="Z11" s="5"/>
    </row>
    <row r="12" spans="2:26" x14ac:dyDescent="0.2">
      <c r="B12" s="4">
        <v>883</v>
      </c>
      <c r="C12" s="5" cm="1">
        <f t="array" aca="1" ref="C12" ca="1">INDIRECT("'results" &amp; $B12 &amp; "'!D$14")</f>
        <v>62787.832036538777</v>
      </c>
      <c r="D12" s="33" cm="1">
        <f t="array" aca="1" ref="D12" ca="1">INDIRECT("'results" &amp; $B12 &amp; "'!E$14")</f>
        <v>0.18796808400111331</v>
      </c>
      <c r="E12" s="5" cm="1">
        <f t="array" aca="1" ref="E12" ca="1">INDIRECT("'results" &amp; $B12 &amp; "'!F$14")</f>
        <v>3</v>
      </c>
      <c r="F12" s="5" cm="1">
        <f t="array" aca="1" ref="F12" ca="1">INDIRECT("'results" &amp; $B12 &amp; "'!G$14")</f>
        <v>100</v>
      </c>
      <c r="G12" s="5" cm="1">
        <f t="array" aca="1" ref="G12" ca="1">INDIRECT("'results" &amp; $B12 &amp; "'!H$14")</f>
        <v>24.97356756237274</v>
      </c>
      <c r="H12" s="33" cm="1">
        <f t="array" aca="1" ref="H12" ca="1">INDIRECT("'results" &amp; $B12 &amp; "'!I$14")</f>
        <v>23.758547764744492</v>
      </c>
      <c r="I12" s="5" cm="1">
        <f t="array" aca="1" ref="I12" ca="1">INDIRECT("'results" &amp; $B12 &amp; "'!J$14")</f>
        <v>1821.962001857429</v>
      </c>
      <c r="J12" s="5"/>
      <c r="K12" s="5" cm="1">
        <f t="array" aca="1" ref="K12" ca="1">INDIRECT("'results" &amp; $B12 &amp; "'!L$14")</f>
        <v>66470.296239038755</v>
      </c>
      <c r="L12" s="5" cm="1">
        <f t="array" aca="1" ref="L12" ca="1">INDIRECT("'results" &amp; $B12 &amp; "'!M$14")</f>
        <v>0.24219708300006459</v>
      </c>
      <c r="M12" s="5" cm="1">
        <f t="array" aca="1" ref="M12" ca="1">INDIRECT("'results" &amp; $B12 &amp; "'!N$14")</f>
        <v>3</v>
      </c>
      <c r="N12" s="5" cm="1">
        <f t="array" aca="1" ref="N12" ca="1">INDIRECT("'results" &amp; $B12 &amp; "'!O$14")</f>
        <v>90</v>
      </c>
      <c r="O12" s="5" cm="1">
        <f t="array" aca="1" ref="O12" ca="1">INDIRECT("'results" &amp; $B12 &amp; "'!P$14")</f>
        <v>2.7636291260863448</v>
      </c>
      <c r="P12" s="5" cm="1">
        <f t="array" aca="1" ref="P12" ca="1">INDIRECT("'results" &amp; $B12 &amp; "'!Q$14")</f>
        <v>20.074511038640871</v>
      </c>
      <c r="Q12" s="5" cm="1">
        <f t="array" aca="1" ref="Q12" ca="1">INDIRECT("'results" &amp; $B12 &amp; "'!R$14")</f>
        <v>1642.2124770837729</v>
      </c>
      <c r="R12" s="5"/>
      <c r="S12" s="5" cm="1">
        <f t="array" aca="1" ref="S12" ca="1">INDIRECT("'results" &amp; $B12 &amp; "'!T$14")</f>
        <v>67500.800586799771</v>
      </c>
      <c r="T12" s="5" cm="1">
        <f t="array" aca="1" ref="T12" ca="1">INDIRECT("'results" &amp; $B12 &amp; "'!U$14")</f>
        <v>0.5296481670011417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75</v>
      </c>
      <c r="W12" s="5" cm="1">
        <f t="array" aca="1" ref="W12" ca="1">INDIRECT("'results" &amp; $B12 &amp; "'!X$14")</f>
        <v>0</v>
      </c>
      <c r="X12" s="5" cm="1">
        <f t="array" aca="1" ref="X12" ca="1">INDIRECT("'results" &amp; $B12 &amp; "'!Y$14")</f>
        <v>34.731366066306357</v>
      </c>
      <c r="Y12" s="5" cm="1">
        <f t="array" aca="1" ref="Y12" ca="1">INDIRECT("'results" &amp; $B12 &amp; "'!Z$14")</f>
        <v>1803.1262859560461</v>
      </c>
      <c r="Z12" s="5"/>
    </row>
    <row r="13" spans="2:26" x14ac:dyDescent="0.2">
      <c r="B13" s="8" t="s">
        <v>3</v>
      </c>
      <c r="C13" s="9">
        <f ca="1">AVERAGE(C3:C12)</f>
        <v>51520.693864503875</v>
      </c>
      <c r="D13" s="10">
        <f t="shared" ref="D13:I13" ca="1" si="0">AVERAGE(D3:D12)</f>
        <v>0.48122842929988108</v>
      </c>
      <c r="E13" s="9">
        <f t="shared" ca="1" si="0"/>
        <v>2.2000000000000002</v>
      </c>
      <c r="F13" s="9">
        <f t="shared" ca="1" si="0"/>
        <v>95</v>
      </c>
      <c r="G13" s="9">
        <f t="shared" ca="1" si="0"/>
        <v>16.401108760064666</v>
      </c>
      <c r="H13" s="10">
        <f t="shared" ca="1" si="0"/>
        <v>31.816189644895587</v>
      </c>
      <c r="I13" s="9">
        <f t="shared" ca="1" si="0"/>
        <v>1574.076046445105</v>
      </c>
      <c r="J13" s="32" t="e">
        <f ca="1">(C13-$D$15)/$D$15</f>
        <v>#DIV/0!</v>
      </c>
      <c r="K13" s="16">
        <f ca="1">AVERAGE(K3:K12)</f>
        <v>62460.330368924791</v>
      </c>
      <c r="L13" s="41">
        <f t="shared" ref="L13:Q13" ca="1" si="1">AVERAGE(L3:L12)</f>
        <v>0.44411224600007698</v>
      </c>
      <c r="M13" s="16">
        <f t="shared" ca="1" si="1"/>
        <v>2.7</v>
      </c>
      <c r="N13" s="16">
        <f ca="1">AVERAGE(N3:N12)</f>
        <v>80</v>
      </c>
      <c r="O13" s="16">
        <f t="shared" ca="1" si="1"/>
        <v>0.35579205235928379</v>
      </c>
      <c r="P13" s="41">
        <f t="shared" ca="1" si="1"/>
        <v>18.693166880422364</v>
      </c>
      <c r="Q13" s="16">
        <f t="shared" ca="1" si="1"/>
        <v>1216.9152233276511</v>
      </c>
      <c r="R13" s="42" t="e">
        <f ca="1">(K13-$D$15)/$D$15</f>
        <v>#DIV/0!</v>
      </c>
      <c r="S13" s="38">
        <f ca="1">AVERAGE(S3:S12)</f>
        <v>61005.103288219238</v>
      </c>
      <c r="T13" s="43">
        <f t="shared" ref="T13:Y13" ca="1" si="2">AVERAGE(T3:T12)</f>
        <v>0.57878370409962376</v>
      </c>
      <c r="U13" s="38">
        <f t="shared" ca="1" si="2"/>
        <v>2.6</v>
      </c>
      <c r="V13" s="38">
        <f t="shared" ca="1" si="2"/>
        <v>86</v>
      </c>
      <c r="W13" s="38">
        <f t="shared" ca="1" si="2"/>
        <v>35.388883691882377</v>
      </c>
      <c r="X13" s="43">
        <f t="shared" ca="1" si="2"/>
        <v>43.594265066606205</v>
      </c>
      <c r="Y13" s="38">
        <f t="shared" ca="1" si="2"/>
        <v>1784.5635355400427</v>
      </c>
      <c r="Z13" s="44" t="e">
        <f ca="1">(S13-$D$15)/$D$15</f>
        <v>#DIV/0!</v>
      </c>
    </row>
    <row r="14" spans="2:26" x14ac:dyDescent="0.2">
      <c r="K14" s="45">
        <f ca="1">(K13-C13)/C13</f>
        <v>0.21233480537337984</v>
      </c>
      <c r="L14" s="45">
        <f t="shared" ref="L14:Q14" ca="1" si="3">(L13-D13)/D13</f>
        <v>-7.7127993775851653E-2</v>
      </c>
      <c r="M14" s="45">
        <f t="shared" ca="1" si="3"/>
        <v>0.22727272727272727</v>
      </c>
      <c r="N14" s="45">
        <f t="shared" ca="1" si="3"/>
        <v>-0.15789473684210525</v>
      </c>
      <c r="O14" s="45">
        <f t="shared" ca="1" si="3"/>
        <v>-0.97830682927817614</v>
      </c>
      <c r="P14" s="45">
        <f t="shared" ca="1" si="3"/>
        <v>-0.41246368314185</v>
      </c>
      <c r="Q14" s="45">
        <f t="shared" ca="1" si="3"/>
        <v>-0.22690188566433386</v>
      </c>
      <c r="S14" s="45">
        <f ca="1">(S13-C13)/C13</f>
        <v>0.18408931853011823</v>
      </c>
      <c r="T14" s="45">
        <f t="shared" ref="T14:Y14" ca="1" si="4">(T13-D13)/D13</f>
        <v>0.20272134574773926</v>
      </c>
      <c r="U14" s="45">
        <f t="shared" ca="1" si="4"/>
        <v>0.18181818181818177</v>
      </c>
      <c r="V14" s="45">
        <f ca="1">(V13-F13)/F13</f>
        <v>-9.4736842105263161E-2</v>
      </c>
      <c r="W14" s="45">
        <f t="shared" ca="1" si="4"/>
        <v>1.1577128845125009</v>
      </c>
      <c r="X14" s="45">
        <f t="shared" ca="1" si="4"/>
        <v>0.37019126278687575</v>
      </c>
      <c r="Y14" s="45">
        <f t="shared" ca="1" si="4"/>
        <v>0.13372129610275366</v>
      </c>
    </row>
    <row r="17" spans="2:19" ht="15" customHeight="1" x14ac:dyDescent="0.2">
      <c r="B17" s="1" t="s">
        <v>21</v>
      </c>
      <c r="C17">
        <f ca="1">_xlfn.STDEV.S(C3:C12)</f>
        <v>6590.7722652048787</v>
      </c>
      <c r="J17" s="1" t="s">
        <v>21</v>
      </c>
      <c r="K17">
        <f ca="1">_xlfn.STDEV.S(K3:K12)</f>
        <v>6464.560250309306</v>
      </c>
      <c r="R17" s="1" t="s">
        <v>21</v>
      </c>
      <c r="S17">
        <f ca="1">_xlfn.STDEV.S(S3:S12)</f>
        <v>7262.3107332068312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0.22832553453408957</v>
      </c>
      <c r="J2" s="28">
        <f>(S14-J14)/J14</f>
        <v>-0.99989464614534296</v>
      </c>
      <c r="K2" s="28"/>
      <c r="L2" s="1" t="s">
        <v>19</v>
      </c>
      <c r="P2" s="1">
        <f>(P14-H14)/H14</f>
        <v>-1</v>
      </c>
      <c r="R2" s="1">
        <f>(R14-J14)/J14</f>
        <v>-0.25619613193824387</v>
      </c>
      <c r="T2" s="1" t="s">
        <v>20</v>
      </c>
      <c r="X2" s="1" t="e">
        <f>(X14-P14)/P14</f>
        <v>#DIV/0!</v>
      </c>
      <c r="Z2" s="1">
        <f>(Z14-R14)/R14</f>
        <v>0.29866916954537648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50881.670453779137</v>
      </c>
      <c r="E4" s="33">
        <v>0.52353066700015916</v>
      </c>
      <c r="F4" s="5">
        <v>2</v>
      </c>
      <c r="G4" s="23">
        <v>95</v>
      </c>
      <c r="H4" s="33">
        <v>16.791840255198906</v>
      </c>
      <c r="I4" s="23">
        <v>40.313647568260933</v>
      </c>
      <c r="J4" s="5">
        <v>1810.2045845838163</v>
      </c>
      <c r="K4" s="31"/>
      <c r="L4" s="23">
        <v>60788.359870712957</v>
      </c>
      <c r="M4" s="33">
        <v>0.4960251660013455</v>
      </c>
      <c r="N4" s="5">
        <v>3</v>
      </c>
      <c r="O4" s="5">
        <v>85</v>
      </c>
      <c r="P4" s="33">
        <v>0</v>
      </c>
      <c r="Q4" s="5">
        <v>20.02002317685325</v>
      </c>
      <c r="R4" s="5">
        <v>1351.1562518488399</v>
      </c>
      <c r="S4" s="31"/>
      <c r="T4" s="23">
        <v>59882.332623861257</v>
      </c>
      <c r="U4" s="33">
        <v>0.59291591700093704</v>
      </c>
      <c r="V4" s="5">
        <v>3</v>
      </c>
      <c r="W4" s="5">
        <v>85</v>
      </c>
      <c r="X4" s="33">
        <v>11.255450349271459</v>
      </c>
      <c r="Y4" s="5">
        <v>48.531342214573257</v>
      </c>
      <c r="Z4" s="5">
        <v>1748.576444001807</v>
      </c>
      <c r="AA4" s="35"/>
    </row>
    <row r="5" spans="2:27" x14ac:dyDescent="0.2">
      <c r="B5" s="4">
        <v>2</v>
      </c>
      <c r="C5" s="4">
        <v>157</v>
      </c>
      <c r="D5" s="23">
        <v>50881.670453779137</v>
      </c>
      <c r="E5" s="33">
        <v>0.4210506669987808</v>
      </c>
      <c r="F5" s="5">
        <v>2</v>
      </c>
      <c r="G5" s="23">
        <v>95</v>
      </c>
      <c r="H5" s="33">
        <v>16.791840255198906</v>
      </c>
      <c r="I5" s="23">
        <v>40.313647568260933</v>
      </c>
      <c r="J5" s="5">
        <v>1810.2045845838163</v>
      </c>
      <c r="K5" s="31"/>
      <c r="L5" s="23">
        <v>61079.957760190708</v>
      </c>
      <c r="M5" s="33">
        <v>0.42462033300034818</v>
      </c>
      <c r="N5" s="5">
        <v>3</v>
      </c>
      <c r="O5" s="5">
        <v>85</v>
      </c>
      <c r="P5" s="33">
        <v>0</v>
      </c>
      <c r="Q5" s="5">
        <v>20.509424659260631</v>
      </c>
      <c r="R5" s="5">
        <v>1378.456565961849</v>
      </c>
      <c r="S5" s="31"/>
      <c r="T5" s="23">
        <v>60089.614686261702</v>
      </c>
      <c r="U5" s="33">
        <v>0.36007904200232588</v>
      </c>
      <c r="V5" s="5">
        <v>3</v>
      </c>
      <c r="W5" s="5">
        <v>85</v>
      </c>
      <c r="X5" s="33">
        <v>11.255450349271459</v>
      </c>
      <c r="Y5" s="5">
        <v>48.845264468156479</v>
      </c>
      <c r="Z5" s="5">
        <v>1768.599710893594</v>
      </c>
      <c r="AA5" s="35"/>
    </row>
    <row r="6" spans="2:27" x14ac:dyDescent="0.2">
      <c r="B6" s="4">
        <v>3</v>
      </c>
      <c r="C6" s="4">
        <v>273</v>
      </c>
      <c r="D6" s="23">
        <v>50881.670453779137</v>
      </c>
      <c r="E6" s="33">
        <v>0.35727141600000317</v>
      </c>
      <c r="F6" s="5">
        <v>2</v>
      </c>
      <c r="G6" s="23">
        <v>95</v>
      </c>
      <c r="H6" s="33">
        <v>16.791840255198906</v>
      </c>
      <c r="I6" s="23">
        <v>40.313647568260933</v>
      </c>
      <c r="J6" s="5">
        <v>1810.2045845838163</v>
      </c>
      <c r="K6" s="31"/>
      <c r="L6" s="23">
        <v>60788.359870712957</v>
      </c>
      <c r="M6" s="33">
        <v>0.32089791699763742</v>
      </c>
      <c r="N6" s="5">
        <v>3</v>
      </c>
      <c r="O6" s="5">
        <v>85</v>
      </c>
      <c r="P6" s="33">
        <v>0</v>
      </c>
      <c r="Q6" s="5">
        <v>20.02002317685325</v>
      </c>
      <c r="R6" s="5">
        <v>1351.1562518488399</v>
      </c>
      <c r="S6" s="31"/>
      <c r="T6" s="23">
        <v>60845.023553063453</v>
      </c>
      <c r="U6" s="33">
        <v>0.43234570800268562</v>
      </c>
      <c r="V6" s="5">
        <v>3</v>
      </c>
      <c r="W6" s="5">
        <v>85</v>
      </c>
      <c r="X6" s="33">
        <v>11.255450349271459</v>
      </c>
      <c r="Y6" s="5">
        <v>46.834331220801552</v>
      </c>
      <c r="Z6" s="5">
        <v>1782.856183422982</v>
      </c>
      <c r="AA6" s="35"/>
    </row>
    <row r="7" spans="2:27" x14ac:dyDescent="0.2">
      <c r="B7" s="4">
        <v>4</v>
      </c>
      <c r="C7" s="4">
        <v>390</v>
      </c>
      <c r="D7" s="23">
        <v>50881.670453779137</v>
      </c>
      <c r="E7" s="33">
        <v>0.36111129200071451</v>
      </c>
      <c r="F7" s="5">
        <v>2</v>
      </c>
      <c r="G7" s="23">
        <v>95</v>
      </c>
      <c r="H7" s="33">
        <v>16.791840255198906</v>
      </c>
      <c r="I7" s="23">
        <v>40.313647568260933</v>
      </c>
      <c r="J7" s="5">
        <v>1810.2045845838163</v>
      </c>
      <c r="K7" s="31"/>
      <c r="L7" s="23">
        <v>60788.359870712957</v>
      </c>
      <c r="M7" s="33">
        <v>0.53400387500005309</v>
      </c>
      <c r="N7" s="5">
        <v>3</v>
      </c>
      <c r="O7" s="5">
        <v>85</v>
      </c>
      <c r="P7" s="33">
        <v>0</v>
      </c>
      <c r="Q7" s="5">
        <v>20.02002317685325</v>
      </c>
      <c r="R7" s="5">
        <v>1351.1562518488399</v>
      </c>
      <c r="S7" s="31"/>
      <c r="T7" s="23">
        <v>60384.920538695638</v>
      </c>
      <c r="U7" s="33">
        <v>0.24934879200009161</v>
      </c>
      <c r="V7" s="5">
        <v>3</v>
      </c>
      <c r="W7" s="5">
        <v>85</v>
      </c>
      <c r="X7" s="33">
        <v>11.255450349271459</v>
      </c>
      <c r="Y7" s="5">
        <v>47.107073692701462</v>
      </c>
      <c r="Z7" s="5">
        <v>1762.944871679784</v>
      </c>
      <c r="AA7" s="35"/>
    </row>
    <row r="8" spans="2:27" x14ac:dyDescent="0.2">
      <c r="B8" s="4">
        <v>5</v>
      </c>
      <c r="C8" s="4">
        <v>508</v>
      </c>
      <c r="D8" s="23">
        <v>50881.670453779137</v>
      </c>
      <c r="E8" s="33">
        <v>0.67632654200133402</v>
      </c>
      <c r="F8" s="5">
        <v>2</v>
      </c>
      <c r="G8" s="23">
        <v>95</v>
      </c>
      <c r="H8" s="33">
        <v>16.791840255198906</v>
      </c>
      <c r="I8" s="23">
        <v>40.313647568260933</v>
      </c>
      <c r="J8" s="5">
        <v>1810.2045845838163</v>
      </c>
      <c r="K8" s="31"/>
      <c r="L8" s="23">
        <v>60788.359870712957</v>
      </c>
      <c r="M8" s="33">
        <v>0.43841016599981231</v>
      </c>
      <c r="N8" s="5">
        <v>3</v>
      </c>
      <c r="O8" s="5">
        <v>85</v>
      </c>
      <c r="P8" s="33">
        <v>0</v>
      </c>
      <c r="Q8" s="5">
        <v>20.02002317685325</v>
      </c>
      <c r="R8" s="5">
        <v>1351.1562518488399</v>
      </c>
      <c r="S8" s="31"/>
      <c r="T8" s="23">
        <v>60329.167650531519</v>
      </c>
      <c r="U8" s="33">
        <v>0.85840291699787485</v>
      </c>
      <c r="V8" s="5">
        <v>3</v>
      </c>
      <c r="W8" s="5">
        <v>85</v>
      </c>
      <c r="X8" s="33">
        <v>11.255450349271459</v>
      </c>
      <c r="Y8" s="5">
        <v>47.676681006982932</v>
      </c>
      <c r="Z8" s="5">
        <v>1762.5746328765181</v>
      </c>
      <c r="AA8" s="35"/>
    </row>
    <row r="9" spans="2:27" x14ac:dyDescent="0.2">
      <c r="B9" s="4">
        <v>6</v>
      </c>
      <c r="C9" s="4">
        <v>675</v>
      </c>
      <c r="D9" s="23">
        <v>50881.670453779137</v>
      </c>
      <c r="E9" s="33">
        <v>0.38487991699912533</v>
      </c>
      <c r="F9" s="5">
        <v>2</v>
      </c>
      <c r="G9" s="23">
        <v>95</v>
      </c>
      <c r="H9" s="33">
        <v>16.791840255198906</v>
      </c>
      <c r="I9" s="23">
        <v>40.313647568260933</v>
      </c>
      <c r="J9" s="5">
        <v>1810.2045845838163</v>
      </c>
      <c r="K9" s="31"/>
      <c r="L9" s="23">
        <v>61079.957760190708</v>
      </c>
      <c r="M9" s="33">
        <v>0.27308487500340561</v>
      </c>
      <c r="N9" s="5">
        <v>3</v>
      </c>
      <c r="O9" s="5">
        <v>85</v>
      </c>
      <c r="P9" s="33">
        <v>0</v>
      </c>
      <c r="Q9" s="5">
        <v>20.509424659260631</v>
      </c>
      <c r="R9" s="5">
        <v>1378.456565961849</v>
      </c>
      <c r="S9" s="31"/>
      <c r="T9" s="23">
        <v>59884.783916268178</v>
      </c>
      <c r="U9" s="33">
        <v>0.50299783299851697</v>
      </c>
      <c r="V9" s="5">
        <v>3</v>
      </c>
      <c r="W9" s="5">
        <v>85</v>
      </c>
      <c r="X9" s="33">
        <v>11.255450349271459</v>
      </c>
      <c r="Y9" s="5">
        <v>47.931507994334368</v>
      </c>
      <c r="Z9" s="5">
        <v>1737.4052168524479</v>
      </c>
      <c r="AA9" s="35"/>
    </row>
    <row r="10" spans="2:27" x14ac:dyDescent="0.2">
      <c r="B10" s="4">
        <v>7</v>
      </c>
      <c r="C10" s="4">
        <v>742</v>
      </c>
      <c r="D10" s="23">
        <v>50881.670453779137</v>
      </c>
      <c r="E10" s="33">
        <v>0.41752866600108968</v>
      </c>
      <c r="F10" s="5">
        <v>2</v>
      </c>
      <c r="G10" s="23">
        <v>95</v>
      </c>
      <c r="H10" s="33">
        <v>16.791840255198906</v>
      </c>
      <c r="I10" s="23">
        <v>40.313647568260933</v>
      </c>
      <c r="J10" s="5">
        <v>1810.2045845838163</v>
      </c>
      <c r="K10" s="31"/>
      <c r="L10" s="23">
        <v>60585.417151621732</v>
      </c>
      <c r="M10" s="33">
        <v>0.52743833400018048</v>
      </c>
      <c r="N10" s="5">
        <v>3</v>
      </c>
      <c r="O10" s="5">
        <v>85</v>
      </c>
      <c r="P10" s="33">
        <v>0</v>
      </c>
      <c r="Q10" s="5">
        <v>20.625846157278239</v>
      </c>
      <c r="R10" s="5">
        <v>1346.437171996567</v>
      </c>
      <c r="S10" s="31"/>
      <c r="T10" s="23">
        <v>60901.147959091461</v>
      </c>
      <c r="U10" s="33">
        <v>0.36028283400082728</v>
      </c>
      <c r="V10" s="5">
        <v>3</v>
      </c>
      <c r="W10" s="5">
        <v>85</v>
      </c>
      <c r="X10" s="33">
        <v>25.586178499636919</v>
      </c>
      <c r="Y10" s="5">
        <v>48.968074389715433</v>
      </c>
      <c r="Z10" s="5">
        <v>1856.2955172808861</v>
      </c>
      <c r="AA10" s="35"/>
    </row>
    <row r="11" spans="2:27" x14ac:dyDescent="0.2">
      <c r="B11" s="4">
        <v>8</v>
      </c>
      <c r="C11" s="4">
        <v>773</v>
      </c>
      <c r="D11" s="23">
        <v>50881.670453779137</v>
      </c>
      <c r="E11" s="33">
        <v>0.49421341699962801</v>
      </c>
      <c r="F11" s="5">
        <v>2</v>
      </c>
      <c r="G11" s="23">
        <v>95</v>
      </c>
      <c r="H11" s="33">
        <v>16.791840255198906</v>
      </c>
      <c r="I11" s="23">
        <v>40.313647568260933</v>
      </c>
      <c r="J11" s="5">
        <v>1810.2045845838163</v>
      </c>
      <c r="K11" s="31"/>
      <c r="L11" s="23">
        <v>61045.115313160117</v>
      </c>
      <c r="M11" s="33">
        <v>0.29488987500008079</v>
      </c>
      <c r="N11" s="5">
        <v>3</v>
      </c>
      <c r="O11" s="5">
        <v>85</v>
      </c>
      <c r="P11" s="33">
        <v>0</v>
      </c>
      <c r="Q11" s="5">
        <v>20.412406744245949</v>
      </c>
      <c r="R11" s="5">
        <v>1377.6804292021609</v>
      </c>
      <c r="S11" s="31"/>
      <c r="T11" s="23">
        <v>60795.061096294419</v>
      </c>
      <c r="U11" s="33">
        <v>0.26405387499835342</v>
      </c>
      <c r="V11" s="5">
        <v>3</v>
      </c>
      <c r="W11" s="5">
        <v>85</v>
      </c>
      <c r="X11" s="33">
        <v>11.255450349271459</v>
      </c>
      <c r="Y11" s="5">
        <v>45.192932014983981</v>
      </c>
      <c r="Z11" s="5">
        <v>1750.952714156183</v>
      </c>
      <c r="AA11" s="35"/>
    </row>
    <row r="12" spans="2:27" x14ac:dyDescent="0.2">
      <c r="B12" s="4">
        <v>9</v>
      </c>
      <c r="C12" s="4">
        <v>868</v>
      </c>
      <c r="D12" s="23">
        <v>50881.670453779137</v>
      </c>
      <c r="E12" s="33">
        <v>0.43809829199926748</v>
      </c>
      <c r="F12" s="5">
        <v>2</v>
      </c>
      <c r="G12" s="23">
        <v>95</v>
      </c>
      <c r="H12" s="33">
        <v>16.791840255198906</v>
      </c>
      <c r="I12" s="23">
        <v>40.313647568260933</v>
      </c>
      <c r="J12" s="5">
        <v>1810.2045845838163</v>
      </c>
      <c r="K12" s="31"/>
      <c r="L12" s="23">
        <v>60585.417151621732</v>
      </c>
      <c r="M12" s="33">
        <v>0.46194445800210809</v>
      </c>
      <c r="N12" s="5">
        <v>3</v>
      </c>
      <c r="O12" s="5">
        <v>85</v>
      </c>
      <c r="P12" s="33">
        <v>0</v>
      </c>
      <c r="Q12" s="5">
        <v>20.625846157278239</v>
      </c>
      <c r="R12" s="5">
        <v>1346.437171996567</v>
      </c>
      <c r="S12" s="31"/>
      <c r="T12" s="23">
        <v>60771.513662397148</v>
      </c>
      <c r="U12" s="33">
        <v>0.53616045899980236</v>
      </c>
      <c r="V12" s="5">
        <v>3</v>
      </c>
      <c r="W12" s="5">
        <v>85</v>
      </c>
      <c r="X12" s="33">
        <v>11.255450349271459</v>
      </c>
      <c r="Y12" s="5">
        <v>46.96560503006701</v>
      </c>
      <c r="Z12" s="5">
        <v>1780.8754214286271</v>
      </c>
      <c r="AA12" s="35"/>
    </row>
    <row r="13" spans="2:27" x14ac:dyDescent="0.2">
      <c r="B13" s="4">
        <v>10</v>
      </c>
      <c r="C13" s="4">
        <v>960</v>
      </c>
      <c r="D13" s="23">
        <v>50881.670453779137</v>
      </c>
      <c r="E13" s="33">
        <v>0.50424650000059046</v>
      </c>
      <c r="F13" s="5">
        <v>2</v>
      </c>
      <c r="G13" s="23">
        <v>95</v>
      </c>
      <c r="H13" s="33">
        <v>16.791840255198906</v>
      </c>
      <c r="I13" s="23">
        <v>40.313647568260933</v>
      </c>
      <c r="J13" s="5">
        <v>1810.2045845838163</v>
      </c>
      <c r="K13" s="31"/>
      <c r="L13" s="23">
        <v>60788.359870712957</v>
      </c>
      <c r="M13" s="33">
        <v>0.49699637500089011</v>
      </c>
      <c r="N13" s="5">
        <v>3</v>
      </c>
      <c r="O13" s="5">
        <v>85</v>
      </c>
      <c r="P13" s="33">
        <v>0</v>
      </c>
      <c r="Q13" s="5">
        <v>20.02002317685325</v>
      </c>
      <c r="R13" s="5">
        <v>1351.1562518488399</v>
      </c>
      <c r="S13" s="31"/>
      <c r="T13" s="23">
        <v>59884.783916268178</v>
      </c>
      <c r="U13" s="33">
        <v>0.55248570800176822</v>
      </c>
      <c r="V13" s="5">
        <v>3</v>
      </c>
      <c r="W13" s="5">
        <v>85</v>
      </c>
      <c r="X13" s="33">
        <v>11.255450349271459</v>
      </c>
      <c r="Y13" s="5">
        <v>47.931507994334368</v>
      </c>
      <c r="Z13" s="5">
        <v>1737.4052168524479</v>
      </c>
      <c r="AA13" s="35"/>
    </row>
    <row r="14" spans="2:27" x14ac:dyDescent="0.2">
      <c r="B14" s="46" t="s">
        <v>3</v>
      </c>
      <c r="C14" s="47"/>
      <c r="D14" s="9">
        <f>MIN(D4:D13)</f>
        <v>50881.670453779137</v>
      </c>
      <c r="E14" s="22">
        <f>INDEX(E4:E13, MATCH($D$14, D4:D13, 0))</f>
        <v>0.52353066700015916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16.791840255198906</v>
      </c>
      <c r="I14" s="22">
        <f>INDEX(I4:I13, MATCH($D$14, D4:D13, 0))</f>
        <v>40.313647568260933</v>
      </c>
      <c r="J14" s="22">
        <f>INDEX(J4:J13, MATCH($D$14, D4:D13, 0))</f>
        <v>1810.2045845838163</v>
      </c>
      <c r="K14" s="32">
        <f>(D14-$D$15)/$D$15</f>
        <v>0</v>
      </c>
      <c r="L14" s="16">
        <f>MIN(L4:L13)</f>
        <v>60585.417151621732</v>
      </c>
      <c r="M14" s="21">
        <f>INDEX(M4:M13, MATCH($L$14, L4:L13, 0))</f>
        <v>0.52743833400018048</v>
      </c>
      <c r="N14" s="16">
        <f>INDEX(N4:N13, MATCH($L$14, L4:L13, 0))</f>
        <v>3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20.625846157278239</v>
      </c>
      <c r="R14" s="21">
        <f>INDEX(R4:R13, MATCH($L$14, L4:L13, 0))</f>
        <v>1346.437171996567</v>
      </c>
      <c r="S14" s="36">
        <f>(L14-$D$15)/$D$15</f>
        <v>0.1907120307038164</v>
      </c>
      <c r="T14" s="38">
        <f>MIN(T4:T13)</f>
        <v>59882.332623861257</v>
      </c>
      <c r="U14" s="39">
        <f>INDEX(U4:U13, MATCH($T$14, T4:T13, 0))</f>
        <v>0.59291591700093704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11.255450349271459</v>
      </c>
      <c r="Y14" s="39">
        <f>INDEX(Y4:Y13, MATCH($T$14, T4:T13, 0))</f>
        <v>48.531342214573257</v>
      </c>
      <c r="Z14" s="39">
        <f>INDEX(Z4:Z13, MATCH($T$14, T4:T13, 0))</f>
        <v>1748.576444001807</v>
      </c>
      <c r="AA14" s="40">
        <f>(T14-$D$15)/$D$15</f>
        <v>0.17689399915158668</v>
      </c>
    </row>
    <row r="15" spans="2:27" x14ac:dyDescent="0.2">
      <c r="C15" s="1" t="s">
        <v>17</v>
      </c>
      <c r="D15" s="34">
        <v>50881.670453779137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27" priority="1"/>
    <cfRule type="duplicateValues" dxfId="126" priority="2"/>
  </conditionalFormatting>
  <conditionalFormatting sqref="C15:C16 C18:C1048576 C1:C13">
    <cfRule type="duplicateValues" dxfId="125" priority="9"/>
    <cfRule type="duplicateValues" dxfId="124" priority="10"/>
  </conditionalFormatting>
  <conditionalFormatting sqref="C17">
    <cfRule type="duplicateValues" dxfId="123" priority="5"/>
    <cfRule type="duplicateValues" dxfId="122" priority="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A5AB-81DD-AE46-8A47-660046A38DD0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-1</v>
      </c>
      <c r="K2" s="28"/>
      <c r="L2" s="1" t="s">
        <v>19</v>
      </c>
      <c r="P2" s="1" t="e">
        <f>(P14-H14)/H14</f>
        <v>#DIV/0!</v>
      </c>
      <c r="R2" s="1">
        <f>(R14-J14)/J14</f>
        <v>3.2615038370079812E-16</v>
      </c>
      <c r="T2" s="1" t="s">
        <v>20</v>
      </c>
      <c r="X2" s="1" t="e">
        <f>(X14-P14)/P14</f>
        <v>#DIV/0!</v>
      </c>
      <c r="Z2" s="1">
        <f>(Z14-R14)/R14</f>
        <v>0.11921363824369419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4</v>
      </c>
      <c r="C4" s="4">
        <v>239</v>
      </c>
      <c r="D4" s="23">
        <v>57683.406383278772</v>
      </c>
      <c r="E4" s="33">
        <v>0.24273133399947261</v>
      </c>
      <c r="F4" s="5">
        <v>2</v>
      </c>
      <c r="G4" s="23">
        <v>85</v>
      </c>
      <c r="H4" s="33">
        <v>0</v>
      </c>
      <c r="I4" s="23">
        <v>19.04406690055184</v>
      </c>
      <c r="J4" s="5">
        <v>1394.506009942736</v>
      </c>
      <c r="K4" s="31"/>
      <c r="L4" s="23">
        <v>57462.618405740497</v>
      </c>
      <c r="M4" s="33">
        <v>0.25132045899954392</v>
      </c>
      <c r="N4" s="5">
        <v>2</v>
      </c>
      <c r="O4" s="5">
        <v>85</v>
      </c>
      <c r="P4" s="33">
        <v>0</v>
      </c>
      <c r="Q4" s="5">
        <v>19.283410830119632</v>
      </c>
      <c r="R4" s="5">
        <v>1388.037979252199</v>
      </c>
      <c r="S4" s="31"/>
      <c r="T4" s="23">
        <v>67296.540601682049</v>
      </c>
      <c r="U4" s="33">
        <v>0.28696908300116769</v>
      </c>
      <c r="V4" s="5">
        <v>2</v>
      </c>
      <c r="W4" s="5">
        <v>80</v>
      </c>
      <c r="X4" s="33">
        <v>9.538684735016119</v>
      </c>
      <c r="Y4" s="5">
        <v>29.879448176642178</v>
      </c>
      <c r="Z4" s="5">
        <v>1882.9563174823691</v>
      </c>
      <c r="AA4" s="35"/>
    </row>
    <row r="5" spans="2:27" x14ac:dyDescent="0.2">
      <c r="B5" s="4">
        <v>5</v>
      </c>
      <c r="C5" s="4">
        <v>269</v>
      </c>
      <c r="D5" s="23">
        <v>57665.876483529762</v>
      </c>
      <c r="E5" s="33">
        <v>0.28691866599911009</v>
      </c>
      <c r="F5" s="5">
        <v>2</v>
      </c>
      <c r="G5" s="23">
        <v>85</v>
      </c>
      <c r="H5" s="33">
        <v>0</v>
      </c>
      <c r="I5" s="23">
        <v>19.099913817450989</v>
      </c>
      <c r="J5" s="5">
        <v>1397.5673910169046</v>
      </c>
      <c r="K5" s="31"/>
      <c r="L5" s="23">
        <v>57462.618405740497</v>
      </c>
      <c r="M5" s="33">
        <v>0.68454279199795565</v>
      </c>
      <c r="N5" s="5">
        <v>2</v>
      </c>
      <c r="O5" s="5">
        <v>85</v>
      </c>
      <c r="P5" s="33">
        <v>0</v>
      </c>
      <c r="Q5" s="5">
        <v>19.283410830119632</v>
      </c>
      <c r="R5" s="5">
        <v>1388.037979252199</v>
      </c>
      <c r="S5" s="31"/>
      <c r="T5" s="23">
        <v>67296.540601682049</v>
      </c>
      <c r="U5" s="33">
        <v>0.32173712499934481</v>
      </c>
      <c r="V5" s="5">
        <v>2</v>
      </c>
      <c r="W5" s="5">
        <v>80</v>
      </c>
      <c r="X5" s="33">
        <v>9.538684735016119</v>
      </c>
      <c r="Y5" s="5">
        <v>29.879448176642178</v>
      </c>
      <c r="Z5" s="5">
        <v>1882.9563174823691</v>
      </c>
      <c r="AA5" s="35"/>
    </row>
    <row r="6" spans="2:27" x14ac:dyDescent="0.2">
      <c r="B6" s="4">
        <v>6</v>
      </c>
      <c r="C6" s="4">
        <v>394</v>
      </c>
      <c r="D6" s="23">
        <v>57462.618405740497</v>
      </c>
      <c r="E6" s="33">
        <v>0.26982379199944262</v>
      </c>
      <c r="F6" s="5">
        <v>2</v>
      </c>
      <c r="G6" s="23">
        <v>85</v>
      </c>
      <c r="H6" s="33">
        <v>0</v>
      </c>
      <c r="I6" s="23">
        <v>19.283410830119628</v>
      </c>
      <c r="J6" s="5">
        <v>1388.0379792521987</v>
      </c>
      <c r="K6" s="31"/>
      <c r="L6" s="23">
        <v>57371.067287101978</v>
      </c>
      <c r="M6" s="33">
        <v>0.2741675840006792</v>
      </c>
      <c r="N6" s="5">
        <v>2</v>
      </c>
      <c r="O6" s="5">
        <v>85</v>
      </c>
      <c r="P6" s="33">
        <v>0</v>
      </c>
      <c r="Q6" s="5">
        <v>19.040077835059041</v>
      </c>
      <c r="R6" s="5">
        <v>1394.2873398660099</v>
      </c>
      <c r="S6" s="31"/>
      <c r="T6" s="23">
        <v>67590.554540367011</v>
      </c>
      <c r="U6" s="33">
        <v>0.25975408399972372</v>
      </c>
      <c r="V6" s="5">
        <v>3</v>
      </c>
      <c r="W6" s="5">
        <v>85</v>
      </c>
      <c r="X6" s="33">
        <v>0</v>
      </c>
      <c r="Y6" s="5">
        <v>23.95314107287448</v>
      </c>
      <c r="Z6" s="5">
        <v>1574.531582937645</v>
      </c>
      <c r="AA6" s="35"/>
    </row>
    <row r="7" spans="2:27" x14ac:dyDescent="0.2">
      <c r="B7" s="4">
        <v>1</v>
      </c>
      <c r="C7" s="4">
        <v>415</v>
      </c>
      <c r="D7" s="23">
        <v>57371.067287101978</v>
      </c>
      <c r="E7" s="33">
        <v>0.2911715419995744</v>
      </c>
      <c r="F7" s="5">
        <v>2</v>
      </c>
      <c r="G7" s="23">
        <v>85</v>
      </c>
      <c r="H7" s="33">
        <v>0</v>
      </c>
      <c r="I7" s="23">
        <v>19.040077835059041</v>
      </c>
      <c r="J7" s="5">
        <v>1394.2873398660095</v>
      </c>
      <c r="K7" s="31"/>
      <c r="L7" s="23">
        <v>57462.618405740497</v>
      </c>
      <c r="M7" s="33">
        <v>0.31345437499840051</v>
      </c>
      <c r="N7" s="5">
        <v>2</v>
      </c>
      <c r="O7" s="5">
        <v>85</v>
      </c>
      <c r="P7" s="33">
        <v>0</v>
      </c>
      <c r="Q7" s="5">
        <v>19.283410830119632</v>
      </c>
      <c r="R7" s="5">
        <v>1388.037979252199</v>
      </c>
      <c r="S7" s="31"/>
      <c r="T7" s="23">
        <v>67296.540601682049</v>
      </c>
      <c r="U7" s="33">
        <v>0.28445495800042409</v>
      </c>
      <c r="V7" s="5">
        <v>2</v>
      </c>
      <c r="W7" s="5">
        <v>80</v>
      </c>
      <c r="X7" s="33">
        <v>9.538684735016119</v>
      </c>
      <c r="Y7" s="5">
        <v>29.879448176642178</v>
      </c>
      <c r="Z7" s="5">
        <v>1882.9563174823691</v>
      </c>
      <c r="AA7" s="35"/>
    </row>
    <row r="8" spans="2:27" x14ac:dyDescent="0.2">
      <c r="B8" s="4">
        <v>2</v>
      </c>
      <c r="C8" s="4">
        <v>525</v>
      </c>
      <c r="D8" s="23">
        <v>58292.830559003909</v>
      </c>
      <c r="E8" s="33">
        <v>0.24599129099988201</v>
      </c>
      <c r="F8" s="5">
        <v>2</v>
      </c>
      <c r="G8" s="23">
        <v>85</v>
      </c>
      <c r="H8" s="33">
        <v>3.4758233050653926</v>
      </c>
      <c r="I8" s="23">
        <v>19.88177065403908</v>
      </c>
      <c r="J8" s="5">
        <v>1440.4267260552679</v>
      </c>
      <c r="K8" s="31"/>
      <c r="L8" s="23">
        <v>57719.847161289581</v>
      </c>
      <c r="M8" s="33">
        <v>0.30088404200068908</v>
      </c>
      <c r="N8" s="5">
        <v>2</v>
      </c>
      <c r="O8" s="5">
        <v>85</v>
      </c>
      <c r="P8" s="33">
        <v>0</v>
      </c>
      <c r="Q8" s="5">
        <v>19.485784893170781</v>
      </c>
      <c r="R8" s="5">
        <v>1403.4216349834769</v>
      </c>
      <c r="S8" s="31"/>
      <c r="T8" s="23">
        <v>67394.928356815653</v>
      </c>
      <c r="U8" s="33">
        <v>0.38632641700314713</v>
      </c>
      <c r="V8" s="5">
        <v>3</v>
      </c>
      <c r="W8" s="5">
        <v>85</v>
      </c>
      <c r="X8" s="33">
        <v>0</v>
      </c>
      <c r="Y8" s="5">
        <v>23.370199518086011</v>
      </c>
      <c r="Z8" s="5">
        <v>1571.1646775298909</v>
      </c>
      <c r="AA8" s="35"/>
    </row>
    <row r="9" spans="2:27" x14ac:dyDescent="0.2">
      <c r="B9" s="4">
        <v>3</v>
      </c>
      <c r="C9" s="4">
        <v>636</v>
      </c>
      <c r="D9" s="23">
        <v>57371.067287101978</v>
      </c>
      <c r="E9" s="33">
        <v>0.20397720800065139</v>
      </c>
      <c r="F9" s="5">
        <v>2</v>
      </c>
      <c r="G9" s="23">
        <v>85</v>
      </c>
      <c r="H9" s="33">
        <v>0</v>
      </c>
      <c r="I9" s="23">
        <v>19.040077835059041</v>
      </c>
      <c r="J9" s="5">
        <v>1394.2873398660095</v>
      </c>
      <c r="K9" s="31"/>
      <c r="L9" s="23">
        <v>58110.068605742621</v>
      </c>
      <c r="M9" s="33">
        <v>0.2357391250006913</v>
      </c>
      <c r="N9" s="5">
        <v>2</v>
      </c>
      <c r="O9" s="5">
        <v>85</v>
      </c>
      <c r="P9" s="33">
        <v>0</v>
      </c>
      <c r="Q9" s="5">
        <v>19.28088761263297</v>
      </c>
      <c r="R9" s="5">
        <v>1411.1968552164969</v>
      </c>
      <c r="S9" s="31"/>
      <c r="T9" s="23">
        <v>67500.748872743454</v>
      </c>
      <c r="U9" s="33">
        <v>0.32235641699662659</v>
      </c>
      <c r="V9" s="5">
        <v>3</v>
      </c>
      <c r="W9" s="5">
        <v>85</v>
      </c>
      <c r="X9" s="33">
        <v>0</v>
      </c>
      <c r="Y9" s="5">
        <v>23.30913932580361</v>
      </c>
      <c r="Z9" s="5">
        <v>1576.2245637350991</v>
      </c>
      <c r="AA9" s="35"/>
    </row>
    <row r="10" spans="2:27" x14ac:dyDescent="0.2">
      <c r="B10" s="4">
        <v>7</v>
      </c>
      <c r="C10" s="4">
        <v>642</v>
      </c>
      <c r="D10" s="23">
        <v>57628.296042651047</v>
      </c>
      <c r="E10" s="33">
        <v>0.38180741700125509</v>
      </c>
      <c r="F10" s="5">
        <v>2</v>
      </c>
      <c r="G10" s="23">
        <v>85</v>
      </c>
      <c r="H10" s="33">
        <v>0</v>
      </c>
      <c r="I10" s="23">
        <v>19.24245189811019</v>
      </c>
      <c r="J10" s="5">
        <v>1409.6709955972867</v>
      </c>
      <c r="K10" s="31"/>
      <c r="L10" s="23">
        <v>57462.618405740497</v>
      </c>
      <c r="M10" s="33">
        <v>0.41467337499852869</v>
      </c>
      <c r="N10" s="5">
        <v>2</v>
      </c>
      <c r="O10" s="5">
        <v>85</v>
      </c>
      <c r="P10" s="33">
        <v>0</v>
      </c>
      <c r="Q10" s="5">
        <v>19.283410830119632</v>
      </c>
      <c r="R10" s="5">
        <v>1388.037979252199</v>
      </c>
      <c r="S10" s="31"/>
      <c r="T10" s="23">
        <v>67690.59743481272</v>
      </c>
      <c r="U10" s="33">
        <v>0.41952670799946651</v>
      </c>
      <c r="V10" s="5">
        <v>3</v>
      </c>
      <c r="W10" s="5">
        <v>85</v>
      </c>
      <c r="X10" s="33">
        <v>0</v>
      </c>
      <c r="Y10" s="5">
        <v>24.198079230484449</v>
      </c>
      <c r="Z10" s="5">
        <v>1598.3394173050169</v>
      </c>
      <c r="AA10" s="35"/>
    </row>
    <row r="11" spans="2:27" x14ac:dyDescent="0.2">
      <c r="B11" s="4">
        <v>10</v>
      </c>
      <c r="C11" s="4">
        <v>786</v>
      </c>
      <c r="D11" s="23">
        <v>57719.847161289581</v>
      </c>
      <c r="E11" s="33">
        <v>0.21353491700028829</v>
      </c>
      <c r="F11" s="5">
        <v>2</v>
      </c>
      <c r="G11" s="23">
        <v>85</v>
      </c>
      <c r="H11" s="33">
        <v>0</v>
      </c>
      <c r="I11" s="23">
        <v>19.485784893170781</v>
      </c>
      <c r="J11" s="5">
        <v>1403.421634983476</v>
      </c>
      <c r="K11" s="31"/>
      <c r="L11" s="23">
        <v>60284.441139541348</v>
      </c>
      <c r="M11" s="33">
        <v>0.19180716600021699</v>
      </c>
      <c r="N11" s="5">
        <v>2</v>
      </c>
      <c r="O11" s="5">
        <v>85</v>
      </c>
      <c r="P11" s="33">
        <v>15.32095333901635</v>
      </c>
      <c r="Q11" s="5">
        <v>21.759736020850909</v>
      </c>
      <c r="R11" s="5">
        <v>1547.032896360827</v>
      </c>
      <c r="S11" s="31"/>
      <c r="T11" s="23">
        <v>68207.320718626448</v>
      </c>
      <c r="U11" s="33">
        <v>0.26423737499862909</v>
      </c>
      <c r="V11" s="5">
        <v>3</v>
      </c>
      <c r="W11" s="5">
        <v>85</v>
      </c>
      <c r="X11" s="33">
        <v>4.7964294314751363</v>
      </c>
      <c r="Y11" s="5">
        <v>24.9702949171723</v>
      </c>
      <c r="Z11" s="5">
        <v>1635.074990463097</v>
      </c>
      <c r="AA11" s="35"/>
    </row>
    <row r="12" spans="2:27" x14ac:dyDescent="0.2">
      <c r="B12" s="4">
        <v>8</v>
      </c>
      <c r="C12" s="4">
        <v>802</v>
      </c>
      <c r="D12" s="23">
        <v>57371.067287101978</v>
      </c>
      <c r="E12" s="33">
        <v>0.55934775000059744</v>
      </c>
      <c r="F12" s="5">
        <v>2</v>
      </c>
      <c r="G12" s="23">
        <v>85</v>
      </c>
      <c r="H12" s="33">
        <v>0</v>
      </c>
      <c r="I12" s="23">
        <v>19.040077835059041</v>
      </c>
      <c r="J12" s="5">
        <v>1394.2873398660095</v>
      </c>
      <c r="K12" s="31"/>
      <c r="L12" s="23">
        <v>57462.618405740497</v>
      </c>
      <c r="M12" s="33">
        <v>0.7347526250014198</v>
      </c>
      <c r="N12" s="5">
        <v>2</v>
      </c>
      <c r="O12" s="5">
        <v>85</v>
      </c>
      <c r="P12" s="33">
        <v>0</v>
      </c>
      <c r="Q12" s="5">
        <v>19.283410830119632</v>
      </c>
      <c r="R12" s="5">
        <v>1388.037979252199</v>
      </c>
      <c r="S12" s="31"/>
      <c r="T12" s="23">
        <v>67296.540601682049</v>
      </c>
      <c r="U12" s="33">
        <v>0.93207504200108815</v>
      </c>
      <c r="V12" s="5">
        <v>2</v>
      </c>
      <c r="W12" s="5">
        <v>80</v>
      </c>
      <c r="X12" s="33">
        <v>9.538684735016119</v>
      </c>
      <c r="Y12" s="5">
        <v>29.879448176642178</v>
      </c>
      <c r="Z12" s="5">
        <v>1882.9563174823691</v>
      </c>
      <c r="AA12" s="35"/>
    </row>
    <row r="13" spans="2:27" x14ac:dyDescent="0.2">
      <c r="B13" s="4">
        <v>9</v>
      </c>
      <c r="C13" s="4">
        <v>869</v>
      </c>
      <c r="D13" s="23">
        <v>57371.067287101978</v>
      </c>
      <c r="E13" s="33">
        <v>0.41440466699896211</v>
      </c>
      <c r="F13" s="5">
        <v>2</v>
      </c>
      <c r="G13" s="23">
        <v>85</v>
      </c>
      <c r="H13" s="33">
        <v>0</v>
      </c>
      <c r="I13" s="23">
        <v>19.040077835059041</v>
      </c>
      <c r="J13" s="5">
        <v>1394.2873398660095</v>
      </c>
      <c r="K13" s="31"/>
      <c r="L13" s="23">
        <v>57371.067287101978</v>
      </c>
      <c r="M13" s="33">
        <v>0.43183937499998137</v>
      </c>
      <c r="N13" s="5">
        <v>2</v>
      </c>
      <c r="O13" s="5">
        <v>85</v>
      </c>
      <c r="P13" s="33">
        <v>0</v>
      </c>
      <c r="Q13" s="5">
        <v>19.040077835059041</v>
      </c>
      <c r="R13" s="5">
        <v>1394.2873398660099</v>
      </c>
      <c r="S13" s="31"/>
      <c r="T13" s="23">
        <v>67211.626118985092</v>
      </c>
      <c r="U13" s="33">
        <v>0.41922416699890158</v>
      </c>
      <c r="V13" s="5">
        <v>3</v>
      </c>
      <c r="W13" s="5">
        <v>85</v>
      </c>
      <c r="X13" s="33">
        <v>0</v>
      </c>
      <c r="Y13" s="5">
        <v>23.317784677153419</v>
      </c>
      <c r="Z13" s="5">
        <v>1560.5054064085591</v>
      </c>
      <c r="AA13" s="35"/>
    </row>
    <row r="14" spans="2:27" x14ac:dyDescent="0.2">
      <c r="B14" s="46" t="s">
        <v>3</v>
      </c>
      <c r="C14" s="47"/>
      <c r="D14" s="9">
        <f>MIN(D4:D13)</f>
        <v>57371.067287101978</v>
      </c>
      <c r="E14" s="22">
        <f>INDEX(E4:E13, MATCH($D$14, D4:D13, 0))</f>
        <v>0.2911715419995744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19.040077835059041</v>
      </c>
      <c r="J14" s="22">
        <f>INDEX(J4:J13, MATCH($D$14, D4:D13, 0))</f>
        <v>1394.2873398660095</v>
      </c>
      <c r="K14" s="32">
        <f>(D14-$D$15)/$D$15</f>
        <v>0</v>
      </c>
      <c r="L14" s="16">
        <f>MIN(L4:L13)</f>
        <v>57371.067287101978</v>
      </c>
      <c r="M14" s="21">
        <f>INDEX(M4:M13, MATCH($L$14, L4:L13, 0))</f>
        <v>0.2741675840006792</v>
      </c>
      <c r="N14" s="16">
        <f>INDEX(N4:N13, MATCH($L$14, L4:L13, 0))</f>
        <v>2</v>
      </c>
      <c r="O14" s="16">
        <f>INDEX(O4:O13, MATCH($L$14, L4:L13, 0))</f>
        <v>85</v>
      </c>
      <c r="P14" s="21">
        <f>INDEX(P4:P13, MATCH($L$14, L4:L13, 0))</f>
        <v>0</v>
      </c>
      <c r="Q14" s="21">
        <f>INDEX(Q4:Q13, MATCH($L$14, L4:L13, 0))</f>
        <v>19.040077835059041</v>
      </c>
      <c r="R14" s="21">
        <f>INDEX(R4:R13, MATCH($L$14, L4:L13, 0))</f>
        <v>1394.2873398660099</v>
      </c>
      <c r="S14" s="36">
        <f>(L14-$D$15)/$D$15</f>
        <v>0</v>
      </c>
      <c r="T14" s="38">
        <f>MIN(T4:T13)</f>
        <v>67211.626118985092</v>
      </c>
      <c r="U14" s="39">
        <f>INDEX(U4:U13, MATCH($T$14, T4:T13, 0))</f>
        <v>0.41922416699890158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0</v>
      </c>
      <c r="Y14" s="39">
        <f>INDEX(Y4:Y13, MATCH($T$14, T4:T13, 0))</f>
        <v>23.317784677153419</v>
      </c>
      <c r="Z14" s="39">
        <f>INDEX(Z4:Z13, MATCH($T$14, T4:T13, 0))</f>
        <v>1560.5054064085591</v>
      </c>
      <c r="AA14" s="40">
        <f>(T14-$D$15)/$D$15</f>
        <v>0.17152476495927843</v>
      </c>
    </row>
    <row r="15" spans="2:27" x14ac:dyDescent="0.2">
      <c r="C15" s="1" t="s">
        <v>17</v>
      </c>
      <c r="D15" s="34">
        <v>57371.067287101978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21" priority="5"/>
    <cfRule type="duplicateValues" dxfId="120" priority="6"/>
  </conditionalFormatting>
  <conditionalFormatting sqref="C15:C16 C31:C1048576 C1:C13">
    <cfRule type="duplicateValues" dxfId="119" priority="13"/>
    <cfRule type="duplicateValues" dxfId="118" priority="14"/>
  </conditionalFormatting>
  <conditionalFormatting sqref="C18:C30">
    <cfRule type="duplicateValues" dxfId="35" priority="3"/>
    <cfRule type="duplicateValues" dxfId="34" priority="4"/>
  </conditionalFormatting>
  <conditionalFormatting sqref="C17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67C8-DBAA-6949-AAEE-DA744152B137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1.5335070869942</v>
      </c>
      <c r="J2" s="28">
        <f>(S14-J14)/J14</f>
        <v>-0.99978595791145597</v>
      </c>
      <c r="K2" s="28"/>
      <c r="L2" s="1" t="s">
        <v>19</v>
      </c>
      <c r="P2" s="1">
        <f>(P14-H14)/H14</f>
        <v>-1</v>
      </c>
      <c r="R2" s="1">
        <f>(R14-J14)/J14</f>
        <v>-0.33239978287870187</v>
      </c>
      <c r="T2" s="1" t="s">
        <v>20</v>
      </c>
      <c r="X2" s="1" t="e">
        <f>(X14-P14)/P14</f>
        <v>#DIV/0!</v>
      </c>
      <c r="Z2" s="1">
        <f>(Z14-R14)/R14</f>
        <v>0.74265193032552346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249</v>
      </c>
      <c r="D4" s="23">
        <v>49904.51571093416</v>
      </c>
      <c r="E4" s="33">
        <v>0.2294157500000438</v>
      </c>
      <c r="F4" s="5">
        <v>2</v>
      </c>
      <c r="G4" s="23">
        <v>90</v>
      </c>
      <c r="H4" s="33">
        <v>7.3325820654510556</v>
      </c>
      <c r="I4" s="23">
        <v>42.930735968096151</v>
      </c>
      <c r="J4" s="5">
        <v>1479.4839874685467</v>
      </c>
      <c r="K4" s="31"/>
      <c r="L4" s="23">
        <v>65198.979850634707</v>
      </c>
      <c r="M4" s="33">
        <v>0.51526408399877255</v>
      </c>
      <c r="N4" s="5">
        <v>3</v>
      </c>
      <c r="O4" s="5">
        <v>75</v>
      </c>
      <c r="P4" s="33">
        <v>0</v>
      </c>
      <c r="Q4" s="5">
        <v>18.577148628786819</v>
      </c>
      <c r="R4" s="5">
        <v>986.36163461791944</v>
      </c>
      <c r="S4" s="31"/>
      <c r="T4" s="23">
        <v>60304.036756575522</v>
      </c>
      <c r="U4" s="33">
        <v>0.44902712499970221</v>
      </c>
      <c r="V4" s="5">
        <v>3</v>
      </c>
      <c r="W4" s="5">
        <v>90</v>
      </c>
      <c r="X4" s="33">
        <v>27.400354354704831</v>
      </c>
      <c r="Y4" s="5">
        <v>48.792443905826246</v>
      </c>
      <c r="Z4" s="5">
        <v>1773.2599742749121</v>
      </c>
      <c r="AA4" s="35"/>
    </row>
    <row r="5" spans="2:27" x14ac:dyDescent="0.2">
      <c r="B5" s="4">
        <v>2</v>
      </c>
      <c r="C5" s="4">
        <v>278</v>
      </c>
      <c r="D5" s="23">
        <v>49534.207125809669</v>
      </c>
      <c r="E5" s="33">
        <v>0.42902999999932939</v>
      </c>
      <c r="F5" s="5">
        <v>2</v>
      </c>
      <c r="G5" s="23">
        <v>90</v>
      </c>
      <c r="H5" s="33">
        <v>7.3325820654510556</v>
      </c>
      <c r="I5" s="23">
        <v>43.505655392047267</v>
      </c>
      <c r="J5" s="5">
        <v>1477.4735078294689</v>
      </c>
      <c r="K5" s="31"/>
      <c r="L5" s="23">
        <v>66805.034198402398</v>
      </c>
      <c r="M5" s="33">
        <v>0.29845829199985019</v>
      </c>
      <c r="N5" s="5">
        <v>3</v>
      </c>
      <c r="O5" s="5">
        <v>75</v>
      </c>
      <c r="P5" s="33">
        <v>0</v>
      </c>
      <c r="Q5" s="5">
        <v>20.727460138847839</v>
      </c>
      <c r="R5" s="5">
        <v>1091.8326564296869</v>
      </c>
      <c r="S5" s="31"/>
      <c r="T5" s="23">
        <v>59476.484839009907</v>
      </c>
      <c r="U5" s="33">
        <v>0.50762195800052723</v>
      </c>
      <c r="V5" s="5">
        <v>3</v>
      </c>
      <c r="W5" s="5">
        <v>90</v>
      </c>
      <c r="X5" s="33">
        <v>38.873928220525713</v>
      </c>
      <c r="Y5" s="5">
        <v>49.419779585514263</v>
      </c>
      <c r="Z5" s="5">
        <v>1751.5293502496111</v>
      </c>
      <c r="AA5" s="35"/>
    </row>
    <row r="6" spans="2:27" x14ac:dyDescent="0.2">
      <c r="B6" s="4">
        <v>4</v>
      </c>
      <c r="C6" s="4">
        <v>537</v>
      </c>
      <c r="D6" s="23">
        <v>49534.207125809669</v>
      </c>
      <c r="E6" s="33">
        <v>0.60499533300026087</v>
      </c>
      <c r="F6" s="5">
        <v>2</v>
      </c>
      <c r="G6" s="23">
        <v>90</v>
      </c>
      <c r="H6" s="33">
        <v>7.3325820654510556</v>
      </c>
      <c r="I6" s="23">
        <v>43.505655392047267</v>
      </c>
      <c r="J6" s="5">
        <v>1477.4735078294689</v>
      </c>
      <c r="K6" s="31"/>
      <c r="L6" s="23">
        <v>68908.587005280569</v>
      </c>
      <c r="M6" s="33">
        <v>0.42126683300011791</v>
      </c>
      <c r="N6" s="5">
        <v>4</v>
      </c>
      <c r="O6" s="5">
        <v>85</v>
      </c>
      <c r="P6" s="33">
        <v>0</v>
      </c>
      <c r="Q6" s="5">
        <v>17.34003618469599</v>
      </c>
      <c r="R6" s="5">
        <v>1134.8409428353059</v>
      </c>
      <c r="S6" s="31"/>
      <c r="T6" s="23">
        <v>59452.499841922268</v>
      </c>
      <c r="U6" s="33">
        <v>0.40254716599883977</v>
      </c>
      <c r="V6" s="5">
        <v>3</v>
      </c>
      <c r="W6" s="5">
        <v>90</v>
      </c>
      <c r="X6" s="33">
        <v>18.884869647150431</v>
      </c>
      <c r="Y6" s="5">
        <v>48.330345130724908</v>
      </c>
      <c r="Z6" s="5">
        <v>1723.8544179963949</v>
      </c>
      <c r="AA6" s="35"/>
    </row>
    <row r="7" spans="2:27" x14ac:dyDescent="0.2">
      <c r="B7" s="4">
        <v>5</v>
      </c>
      <c r="C7" s="4">
        <v>557</v>
      </c>
      <c r="D7" s="23">
        <v>49534.207125809669</v>
      </c>
      <c r="E7" s="33">
        <v>0.67405187499934982</v>
      </c>
      <c r="F7" s="5">
        <v>2</v>
      </c>
      <c r="G7" s="23">
        <v>90</v>
      </c>
      <c r="H7" s="33">
        <v>7.3325820654510556</v>
      </c>
      <c r="I7" s="23">
        <v>43.505655392047267</v>
      </c>
      <c r="J7" s="5">
        <v>1477.4735078294689</v>
      </c>
      <c r="K7" s="31"/>
      <c r="L7" s="23">
        <v>68361.958328785666</v>
      </c>
      <c r="M7" s="33">
        <v>0.34997170900169289</v>
      </c>
      <c r="N7" s="5">
        <v>3</v>
      </c>
      <c r="O7" s="5">
        <v>75</v>
      </c>
      <c r="P7" s="33">
        <v>0</v>
      </c>
      <c r="Q7" s="5">
        <v>22.583425160622411</v>
      </c>
      <c r="R7" s="5">
        <v>1246.767659447376</v>
      </c>
      <c r="S7" s="31"/>
      <c r="T7" s="23">
        <v>59452.499841922268</v>
      </c>
      <c r="U7" s="33">
        <v>0.53979366599742207</v>
      </c>
      <c r="V7" s="5">
        <v>3</v>
      </c>
      <c r="W7" s="5">
        <v>90</v>
      </c>
      <c r="X7" s="33">
        <v>18.884869647150431</v>
      </c>
      <c r="Y7" s="5">
        <v>48.330345130724908</v>
      </c>
      <c r="Z7" s="5">
        <v>1723.8544179963949</v>
      </c>
      <c r="AA7" s="35"/>
    </row>
    <row r="8" spans="2:27" x14ac:dyDescent="0.2">
      <c r="B8" s="4">
        <v>6</v>
      </c>
      <c r="C8" s="4">
        <v>592</v>
      </c>
      <c r="D8" s="23">
        <v>49534.207125809669</v>
      </c>
      <c r="E8" s="33">
        <v>0.51831829100046889</v>
      </c>
      <c r="F8" s="5">
        <v>2</v>
      </c>
      <c r="G8" s="23">
        <v>90</v>
      </c>
      <c r="H8" s="33">
        <v>7.3325820654510556</v>
      </c>
      <c r="I8" s="23">
        <v>43.505655392047267</v>
      </c>
      <c r="J8" s="5">
        <v>1477.4735078294689</v>
      </c>
      <c r="K8" s="31"/>
      <c r="L8" s="23">
        <v>65600.83304277643</v>
      </c>
      <c r="M8" s="33">
        <v>0.40512716599914711</v>
      </c>
      <c r="N8" s="5">
        <v>3</v>
      </c>
      <c r="O8" s="5">
        <v>80</v>
      </c>
      <c r="P8" s="33">
        <v>0</v>
      </c>
      <c r="Q8" s="5">
        <v>20.864971698510178</v>
      </c>
      <c r="R8" s="5">
        <v>1251.727083964633</v>
      </c>
      <c r="S8" s="31"/>
      <c r="T8" s="23">
        <v>60435.361479452389</v>
      </c>
      <c r="U8" s="33">
        <v>0.39364949999799143</v>
      </c>
      <c r="V8" s="5">
        <v>3</v>
      </c>
      <c r="W8" s="5">
        <v>90</v>
      </c>
      <c r="X8" s="33">
        <v>21.478988040637869</v>
      </c>
      <c r="Y8" s="5">
        <v>47.688535628187303</v>
      </c>
      <c r="Z8" s="5">
        <v>1776.0250594239451</v>
      </c>
      <c r="AA8" s="35"/>
    </row>
    <row r="9" spans="2:27" x14ac:dyDescent="0.2">
      <c r="B9" s="4">
        <v>7</v>
      </c>
      <c r="C9" s="4">
        <v>648</v>
      </c>
      <c r="D9" s="23">
        <v>49534.207125809669</v>
      </c>
      <c r="E9" s="33">
        <v>2.1311939169991092</v>
      </c>
      <c r="F9" s="5">
        <v>2</v>
      </c>
      <c r="G9" s="23">
        <v>90</v>
      </c>
      <c r="H9" s="33">
        <v>7.3325820654510556</v>
      </c>
      <c r="I9" s="23">
        <v>43.505655392047267</v>
      </c>
      <c r="J9" s="5">
        <v>1477.4735078294689</v>
      </c>
      <c r="K9" s="31"/>
      <c r="L9" s="23">
        <v>65238.109487665817</v>
      </c>
      <c r="M9" s="33">
        <v>0.61335883300125715</v>
      </c>
      <c r="N9" s="5">
        <v>3</v>
      </c>
      <c r="O9" s="5">
        <v>80</v>
      </c>
      <c r="P9" s="33">
        <v>0</v>
      </c>
      <c r="Q9" s="5">
        <v>20.789783444196111</v>
      </c>
      <c r="R9" s="5">
        <v>1229.733980165501</v>
      </c>
      <c r="S9" s="31"/>
      <c r="T9" s="23">
        <v>58944.616323736169</v>
      </c>
      <c r="U9" s="33">
        <v>1.0404305829979421</v>
      </c>
      <c r="V9" s="5">
        <v>3</v>
      </c>
      <c r="W9" s="5">
        <v>90</v>
      </c>
      <c r="X9" s="33">
        <v>24.12833369943802</v>
      </c>
      <c r="Y9" s="5">
        <v>49.24044940639908</v>
      </c>
      <c r="Z9" s="5">
        <v>1718.885006565956</v>
      </c>
      <c r="AA9" s="35"/>
    </row>
    <row r="10" spans="2:27" x14ac:dyDescent="0.2">
      <c r="B10" s="4">
        <v>3</v>
      </c>
      <c r="C10" s="4">
        <v>853</v>
      </c>
      <c r="D10" s="23">
        <v>49534.207125809669</v>
      </c>
      <c r="E10" s="33">
        <v>0.69035537499985367</v>
      </c>
      <c r="F10" s="5">
        <v>2</v>
      </c>
      <c r="G10" s="23">
        <v>90</v>
      </c>
      <c r="H10" s="33">
        <v>7.3325820654510556</v>
      </c>
      <c r="I10" s="23">
        <v>43.505655392047267</v>
      </c>
      <c r="J10" s="5">
        <v>1477.4735078294689</v>
      </c>
      <c r="K10" s="31"/>
      <c r="L10" s="23">
        <v>66153.64077622263</v>
      </c>
      <c r="M10" s="33">
        <v>0.45731733299908228</v>
      </c>
      <c r="N10" s="5">
        <v>3</v>
      </c>
      <c r="O10" s="5">
        <v>75</v>
      </c>
      <c r="P10" s="33">
        <v>0</v>
      </c>
      <c r="Q10" s="5">
        <v>17.36232843733271</v>
      </c>
      <c r="R10" s="5">
        <v>994.29863528490921</v>
      </c>
      <c r="S10" s="31"/>
      <c r="T10" s="23">
        <v>59255.24699901088</v>
      </c>
      <c r="U10" s="33">
        <v>0.46122308399935719</v>
      </c>
      <c r="V10" s="5">
        <v>3</v>
      </c>
      <c r="W10" s="5">
        <v>90</v>
      </c>
      <c r="X10" s="33">
        <v>24.12833369943802</v>
      </c>
      <c r="Y10" s="5">
        <v>48.847697539524702</v>
      </c>
      <c r="Z10" s="5">
        <v>1712.527452074698</v>
      </c>
      <c r="AA10" s="35"/>
    </row>
    <row r="11" spans="2:27" x14ac:dyDescent="0.2">
      <c r="B11" s="4">
        <v>8</v>
      </c>
      <c r="C11" s="4">
        <v>862</v>
      </c>
      <c r="D11" s="23">
        <v>49534.207125809669</v>
      </c>
      <c r="E11" s="33">
        <v>0.39988749999974971</v>
      </c>
      <c r="F11" s="5">
        <v>2</v>
      </c>
      <c r="G11" s="23">
        <v>90</v>
      </c>
      <c r="H11" s="33">
        <v>7.3325820654510556</v>
      </c>
      <c r="I11" s="23">
        <v>43.505655392047267</v>
      </c>
      <c r="J11" s="5">
        <v>1477.4735078294689</v>
      </c>
      <c r="K11" s="31"/>
      <c r="L11" s="23">
        <v>65761.300152781012</v>
      </c>
      <c r="M11" s="33">
        <v>0.986739125000895</v>
      </c>
      <c r="N11" s="5">
        <v>3</v>
      </c>
      <c r="O11" s="5">
        <v>75</v>
      </c>
      <c r="P11" s="33">
        <v>0</v>
      </c>
      <c r="Q11" s="5">
        <v>18.902492504909059</v>
      </c>
      <c r="R11" s="5">
        <v>989.82229915839002</v>
      </c>
      <c r="S11" s="31"/>
      <c r="T11" s="23">
        <v>59944.803033545031</v>
      </c>
      <c r="U11" s="33">
        <v>0.43488995900042943</v>
      </c>
      <c r="V11" s="5">
        <v>2</v>
      </c>
      <c r="W11" s="5">
        <v>80</v>
      </c>
      <c r="X11" s="33">
        <v>16.138336410547389</v>
      </c>
      <c r="Y11" s="5">
        <v>58.948719491936679</v>
      </c>
      <c r="Z11" s="5">
        <v>1842.89504492735</v>
      </c>
      <c r="AA11" s="35"/>
    </row>
    <row r="12" spans="2:27" x14ac:dyDescent="0.2">
      <c r="B12" s="4">
        <v>9</v>
      </c>
      <c r="C12" s="4">
        <v>880</v>
      </c>
      <c r="D12" s="23">
        <v>49678.975099059433</v>
      </c>
      <c r="E12" s="33">
        <v>0.42295629200089019</v>
      </c>
      <c r="F12" s="5">
        <v>2</v>
      </c>
      <c r="G12" s="23">
        <v>90</v>
      </c>
      <c r="H12" s="33">
        <v>7.3325820654510556</v>
      </c>
      <c r="I12" s="23">
        <v>43.069007728286927</v>
      </c>
      <c r="J12" s="5">
        <v>1487.5904037439775</v>
      </c>
      <c r="K12" s="31"/>
      <c r="L12" s="23">
        <v>68914.709858713584</v>
      </c>
      <c r="M12" s="33">
        <v>0.24579974999869589</v>
      </c>
      <c r="N12" s="5">
        <v>3</v>
      </c>
      <c r="O12" s="5">
        <v>70</v>
      </c>
      <c r="P12" s="33">
        <v>0</v>
      </c>
      <c r="Q12" s="5">
        <v>16.288585786495911</v>
      </c>
      <c r="R12" s="5">
        <v>903.64507273480501</v>
      </c>
      <c r="S12" s="31"/>
      <c r="T12" s="23">
        <v>62278.317694936108</v>
      </c>
      <c r="U12" s="33">
        <v>0.33457604100112798</v>
      </c>
      <c r="V12" s="5">
        <v>3</v>
      </c>
      <c r="W12" s="5">
        <v>90</v>
      </c>
      <c r="X12" s="33">
        <v>30.717794880424609</v>
      </c>
      <c r="Y12" s="5">
        <v>46.653959392756853</v>
      </c>
      <c r="Z12" s="5">
        <v>1894.123189580481</v>
      </c>
      <c r="AA12" s="35"/>
    </row>
    <row r="13" spans="2:27" x14ac:dyDescent="0.2">
      <c r="B13" s="4">
        <v>10</v>
      </c>
      <c r="C13" s="4">
        <v>982</v>
      </c>
      <c r="D13" s="23">
        <v>49678.975099059433</v>
      </c>
      <c r="E13" s="33">
        <v>0.3166117500004475</v>
      </c>
      <c r="F13" s="5">
        <v>2</v>
      </c>
      <c r="G13" s="23">
        <v>90</v>
      </c>
      <c r="H13" s="33">
        <v>7.3325820654510556</v>
      </c>
      <c r="I13" s="23">
        <v>43.069007728286927</v>
      </c>
      <c r="J13" s="5">
        <v>1487.5904037439775</v>
      </c>
      <c r="K13" s="31"/>
      <c r="L13" s="23">
        <v>66129.471960950177</v>
      </c>
      <c r="M13" s="33">
        <v>0.69234470800074632</v>
      </c>
      <c r="N13" s="5">
        <v>3</v>
      </c>
      <c r="O13" s="5">
        <v>75</v>
      </c>
      <c r="P13" s="33">
        <v>0</v>
      </c>
      <c r="Q13" s="5">
        <v>18.379193516697789</v>
      </c>
      <c r="R13" s="5">
        <v>1017.184025201655</v>
      </c>
      <c r="S13" s="31"/>
      <c r="T13" s="23">
        <v>59481.040553430787</v>
      </c>
      <c r="U13" s="33">
        <v>0.48921024999799562</v>
      </c>
      <c r="V13" s="5">
        <v>3</v>
      </c>
      <c r="W13" s="5">
        <v>90</v>
      </c>
      <c r="X13" s="33">
        <v>21.49943426444651</v>
      </c>
      <c r="Y13" s="5">
        <v>48.939899371976601</v>
      </c>
      <c r="Z13" s="5">
        <v>1754.7201612281419</v>
      </c>
      <c r="AA13" s="35"/>
    </row>
    <row r="14" spans="2:27" x14ac:dyDescent="0.2">
      <c r="B14" s="46" t="s">
        <v>3</v>
      </c>
      <c r="C14" s="47"/>
      <c r="D14" s="9">
        <f>MIN(D4:D13)</f>
        <v>49534.207125809669</v>
      </c>
      <c r="E14" s="22">
        <f>INDEX(E4:E13, MATCH($D$14, D4:D13, 0))</f>
        <v>0.42902999999932939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7.3325820654510556</v>
      </c>
      <c r="I14" s="22">
        <f>INDEX(I4:I13, MATCH($D$14, D4:D13, 0))</f>
        <v>43.505655392047267</v>
      </c>
      <c r="J14" s="22">
        <f>INDEX(J4:J13, MATCH($D$14, D4:D13, 0))</f>
        <v>1477.4735078294689</v>
      </c>
      <c r="K14" s="32">
        <f>(D14-$D$15)/$D$15</f>
        <v>0</v>
      </c>
      <c r="L14" s="16">
        <f>MIN(L4:L13)</f>
        <v>65198.979850634707</v>
      </c>
      <c r="M14" s="21">
        <f>INDEX(M4:M13, MATCH($L$14, L4:L13, 0))</f>
        <v>0.51526408399877255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18.577148628786819</v>
      </c>
      <c r="R14" s="21">
        <f>INDEX(R4:R13, MATCH($L$14, L4:L13, 0))</f>
        <v>986.36163461791944</v>
      </c>
      <c r="S14" s="36">
        <f>(L14-$D$15)/$D$15</f>
        <v>0.3162415153842838</v>
      </c>
      <c r="T14" s="38">
        <f>MIN(T4:T13)</f>
        <v>58944.616323736169</v>
      </c>
      <c r="U14" s="39">
        <f>INDEX(U4:U13, MATCH($T$14, T4:T13, 0))</f>
        <v>1.0404305829979421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24.12833369943802</v>
      </c>
      <c r="Y14" s="39">
        <f>INDEX(Y4:Y13, MATCH($T$14, T4:T13, 0))</f>
        <v>49.24044940639908</v>
      </c>
      <c r="Z14" s="39">
        <f>INDEX(Z4:Z13, MATCH($T$14, T4:T13, 0))</f>
        <v>1718.885006565956</v>
      </c>
      <c r="AA14" s="40">
        <f>(T14-$D$15)/$D$15</f>
        <v>0.18997799185571762</v>
      </c>
    </row>
    <row r="15" spans="2:27" x14ac:dyDescent="0.2">
      <c r="C15" s="1" t="s">
        <v>17</v>
      </c>
      <c r="D15" s="34">
        <v>49534.207125809669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15" priority="5"/>
    <cfRule type="duplicateValues" dxfId="114" priority="6"/>
  </conditionalFormatting>
  <conditionalFormatting sqref="C15:C16 C31:C1048576 C1:C13">
    <cfRule type="duplicateValues" dxfId="113" priority="13"/>
    <cfRule type="duplicateValues" dxfId="112" priority="14"/>
  </conditionalFormatting>
  <conditionalFormatting sqref="C18:C30">
    <cfRule type="duplicateValues" dxfId="31" priority="3"/>
    <cfRule type="duplicateValues" dxfId="30" priority="4"/>
  </conditionalFormatting>
  <conditionalFormatting sqref="C17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E353-5FB3-ED45-A228-E5D99529E6E0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-0.99982366244143495</v>
      </c>
      <c r="K2" s="28"/>
      <c r="L2" s="1" t="s">
        <v>19</v>
      </c>
      <c r="P2" s="1" t="e">
        <f>(P14-H14)/H14</f>
        <v>#DIV/0!</v>
      </c>
      <c r="R2" s="1">
        <f>(R14-J14)/J14</f>
        <v>-0.3231796571121488</v>
      </c>
      <c r="T2" s="1" t="s">
        <v>20</v>
      </c>
      <c r="X2" s="1" t="e">
        <f>(X14-P14)/P14</f>
        <v>#DIV/0!</v>
      </c>
      <c r="Z2" s="1">
        <f>(Z14-R14)/R14</f>
        <v>0.94541315443081331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327</v>
      </c>
      <c r="D4" s="23">
        <v>48274.453704844869</v>
      </c>
      <c r="E4" s="33">
        <v>0.39323495799908409</v>
      </c>
      <c r="F4" s="5">
        <v>2</v>
      </c>
      <c r="G4" s="23">
        <v>95</v>
      </c>
      <c r="H4" s="33">
        <v>0</v>
      </c>
      <c r="I4" s="23">
        <v>38.274380962170042</v>
      </c>
      <c r="J4" s="5">
        <v>1615.116968685039</v>
      </c>
      <c r="K4" s="31"/>
      <c r="L4" s="23">
        <v>62691.834154882366</v>
      </c>
      <c r="M4" s="33">
        <v>0.36633345799782552</v>
      </c>
      <c r="N4" s="5">
        <v>3</v>
      </c>
      <c r="O4" s="5">
        <v>80</v>
      </c>
      <c r="P4" s="33">
        <v>0</v>
      </c>
      <c r="Q4" s="5">
        <v>20.00041814269607</v>
      </c>
      <c r="R4" s="5">
        <v>1146.244486869997</v>
      </c>
      <c r="S4" s="31"/>
      <c r="T4" s="23">
        <v>58423.941273985329</v>
      </c>
      <c r="U4" s="33">
        <v>0.63533287499740254</v>
      </c>
      <c r="V4" s="5">
        <v>3</v>
      </c>
      <c r="W4" s="5">
        <v>95</v>
      </c>
      <c r="X4" s="33">
        <v>8.4839549859614518</v>
      </c>
      <c r="Y4" s="5">
        <v>56.900115598177933</v>
      </c>
      <c r="Z4" s="5">
        <v>2104.4264099268562</v>
      </c>
      <c r="AA4" s="35"/>
    </row>
    <row r="5" spans="2:27" x14ac:dyDescent="0.2">
      <c r="B5" s="4">
        <v>2</v>
      </c>
      <c r="C5" s="4">
        <v>508</v>
      </c>
      <c r="D5" s="23">
        <v>47931.50682278708</v>
      </c>
      <c r="E5" s="33">
        <v>1.093683000000965</v>
      </c>
      <c r="F5" s="5">
        <v>2</v>
      </c>
      <c r="G5" s="23">
        <v>95</v>
      </c>
      <c r="H5" s="33">
        <v>0</v>
      </c>
      <c r="I5" s="23">
        <v>33.75035329346472</v>
      </c>
      <c r="J5" s="5">
        <v>1557.000880385139</v>
      </c>
      <c r="K5" s="31"/>
      <c r="L5" s="23">
        <v>61091.472719937206</v>
      </c>
      <c r="M5" s="33">
        <v>0.83745908300261362</v>
      </c>
      <c r="N5" s="5">
        <v>2</v>
      </c>
      <c r="O5" s="5">
        <v>70</v>
      </c>
      <c r="P5" s="33">
        <v>0</v>
      </c>
      <c r="Q5" s="5">
        <v>20.634411264479208</v>
      </c>
      <c r="R5" s="5">
        <v>1053.809869738956</v>
      </c>
      <c r="S5" s="31"/>
      <c r="T5" s="23">
        <v>58510.492199193177</v>
      </c>
      <c r="U5" s="33">
        <v>0.70914066699697287</v>
      </c>
      <c r="V5" s="5">
        <v>3</v>
      </c>
      <c r="W5" s="5">
        <v>95</v>
      </c>
      <c r="X5" s="33">
        <v>8.4839549859614518</v>
      </c>
      <c r="Y5" s="5">
        <v>57.232429037932498</v>
      </c>
      <c r="Z5" s="5">
        <v>2113.7520289389254</v>
      </c>
      <c r="AA5" s="35"/>
    </row>
    <row r="6" spans="2:27" x14ac:dyDescent="0.2">
      <c r="B6" s="4">
        <v>3</v>
      </c>
      <c r="C6" s="4">
        <v>581</v>
      </c>
      <c r="D6" s="23">
        <v>48274.453704844869</v>
      </c>
      <c r="E6" s="33">
        <v>0.51620983300017542</v>
      </c>
      <c r="F6" s="5">
        <v>2</v>
      </c>
      <c r="G6" s="23">
        <v>95</v>
      </c>
      <c r="H6" s="33">
        <v>0</v>
      </c>
      <c r="I6" s="23">
        <v>38.274380962170042</v>
      </c>
      <c r="J6" s="5">
        <v>1615.116968685039</v>
      </c>
      <c r="K6" s="31"/>
      <c r="L6" s="23">
        <v>61341.413304582216</v>
      </c>
      <c r="M6" s="33">
        <v>0.43159133299923269</v>
      </c>
      <c r="N6" s="5">
        <v>3</v>
      </c>
      <c r="O6" s="5">
        <v>80</v>
      </c>
      <c r="P6" s="33">
        <v>0</v>
      </c>
      <c r="Q6" s="5">
        <v>20.61203698218436</v>
      </c>
      <c r="R6" s="5">
        <v>1080.040072339081</v>
      </c>
      <c r="S6" s="31"/>
      <c r="T6" s="23">
        <v>57712.892723472789</v>
      </c>
      <c r="U6" s="33">
        <v>0.5751724159999867</v>
      </c>
      <c r="V6" s="5">
        <v>3</v>
      </c>
      <c r="W6" s="5">
        <v>95</v>
      </c>
      <c r="X6" s="33">
        <v>8.4839549859614518</v>
      </c>
      <c r="Y6" s="5">
        <v>55.335414299227217</v>
      </c>
      <c r="Z6" s="5">
        <v>2050.0955828591868</v>
      </c>
      <c r="AA6" s="35"/>
    </row>
    <row r="7" spans="2:27" x14ac:dyDescent="0.2">
      <c r="B7" s="4">
        <v>4</v>
      </c>
      <c r="C7" s="4">
        <v>664</v>
      </c>
      <c r="D7" s="23">
        <v>47931.50682278708</v>
      </c>
      <c r="E7" s="33">
        <v>0.68110058400088747</v>
      </c>
      <c r="F7" s="5">
        <v>2</v>
      </c>
      <c r="G7" s="23">
        <v>95</v>
      </c>
      <c r="H7" s="33">
        <v>0</v>
      </c>
      <c r="I7" s="23">
        <v>33.75035329346472</v>
      </c>
      <c r="J7" s="5">
        <v>1557.000880385139</v>
      </c>
      <c r="K7" s="31"/>
      <c r="L7" s="23">
        <v>65010.876784180116</v>
      </c>
      <c r="M7" s="33">
        <v>0.36228599999958527</v>
      </c>
      <c r="N7" s="5">
        <v>3</v>
      </c>
      <c r="O7" s="5">
        <v>75</v>
      </c>
      <c r="P7" s="33">
        <v>0</v>
      </c>
      <c r="Q7" s="5">
        <v>18.01079341844331</v>
      </c>
      <c r="R7" s="5">
        <v>1031.572328825479</v>
      </c>
      <c r="S7" s="31"/>
      <c r="T7" s="23">
        <v>57712.892723472789</v>
      </c>
      <c r="U7" s="33">
        <v>0.71859004200086929</v>
      </c>
      <c r="V7" s="5">
        <v>3</v>
      </c>
      <c r="W7" s="5">
        <v>95</v>
      </c>
      <c r="X7" s="33">
        <v>8.4839549859614518</v>
      </c>
      <c r="Y7" s="5">
        <v>55.335414299227217</v>
      </c>
      <c r="Z7" s="5">
        <v>2050.0955828591868</v>
      </c>
      <c r="AA7" s="35"/>
    </row>
    <row r="8" spans="2:27" x14ac:dyDescent="0.2">
      <c r="B8" s="4">
        <v>5</v>
      </c>
      <c r="C8" s="4">
        <v>750</v>
      </c>
      <c r="D8" s="23">
        <v>48171.760345478622</v>
      </c>
      <c r="E8" s="33">
        <v>0.43811079100123612</v>
      </c>
      <c r="F8" s="5">
        <v>2</v>
      </c>
      <c r="G8" s="23">
        <v>95</v>
      </c>
      <c r="H8" s="33">
        <v>0</v>
      </c>
      <c r="I8" s="23">
        <v>33.832236743836802</v>
      </c>
      <c r="J8" s="5">
        <v>1568.9538479103346</v>
      </c>
      <c r="K8" s="31"/>
      <c r="L8" s="23">
        <v>61301.944638700777</v>
      </c>
      <c r="M8" s="33">
        <v>0.4558140840017586</v>
      </c>
      <c r="N8" s="5">
        <v>3</v>
      </c>
      <c r="O8" s="5">
        <v>80</v>
      </c>
      <c r="P8" s="33">
        <v>0</v>
      </c>
      <c r="Q8" s="5">
        <v>19.72763373463555</v>
      </c>
      <c r="R8" s="5">
        <v>1062.276663168908</v>
      </c>
      <c r="S8" s="31"/>
      <c r="T8" s="23">
        <v>58830.549571213764</v>
      </c>
      <c r="U8" s="33">
        <v>0.45208608300163178</v>
      </c>
      <c r="V8" s="5">
        <v>2</v>
      </c>
      <c r="W8" s="5">
        <v>85</v>
      </c>
      <c r="X8" s="33">
        <v>9.4820673372510349</v>
      </c>
      <c r="Y8" s="5">
        <v>49.653252995377557</v>
      </c>
      <c r="Z8" s="5">
        <v>1949.9292014709863</v>
      </c>
      <c r="AA8" s="35"/>
    </row>
    <row r="9" spans="2:27" x14ac:dyDescent="0.2">
      <c r="B9" s="4">
        <v>6</v>
      </c>
      <c r="C9" s="4">
        <v>758</v>
      </c>
      <c r="D9" s="23">
        <v>48274.453704844869</v>
      </c>
      <c r="E9" s="33">
        <v>0.37904916699881142</v>
      </c>
      <c r="F9" s="5">
        <v>2</v>
      </c>
      <c r="G9" s="23">
        <v>95</v>
      </c>
      <c r="H9" s="33">
        <v>0</v>
      </c>
      <c r="I9" s="23">
        <v>38.274380962170042</v>
      </c>
      <c r="J9" s="5">
        <v>1615.116968685039</v>
      </c>
      <c r="K9" s="31"/>
      <c r="L9" s="23">
        <v>66601.673819935953</v>
      </c>
      <c r="M9" s="33">
        <v>0.27478454199808772</v>
      </c>
      <c r="N9" s="5">
        <v>4</v>
      </c>
      <c r="O9" s="5">
        <v>85</v>
      </c>
      <c r="P9" s="33">
        <v>0</v>
      </c>
      <c r="Q9" s="5">
        <v>16.654464244574779</v>
      </c>
      <c r="R9" s="5">
        <v>1072.1106563062269</v>
      </c>
      <c r="S9" s="31"/>
      <c r="T9" s="23">
        <v>58423.941273985329</v>
      </c>
      <c r="U9" s="33">
        <v>0.42723579199810052</v>
      </c>
      <c r="V9" s="5">
        <v>3</v>
      </c>
      <c r="W9" s="5">
        <v>95</v>
      </c>
      <c r="X9" s="33">
        <v>8.4839549859614518</v>
      </c>
      <c r="Y9" s="5">
        <v>56.900115598177933</v>
      </c>
      <c r="Z9" s="5">
        <v>2104.4264099268562</v>
      </c>
      <c r="AA9" s="35"/>
    </row>
    <row r="10" spans="2:27" x14ac:dyDescent="0.2">
      <c r="B10" s="4">
        <v>7</v>
      </c>
      <c r="C10" s="4">
        <v>863</v>
      </c>
      <c r="D10" s="23">
        <v>48274.453704844869</v>
      </c>
      <c r="E10" s="33">
        <v>0.55361274999995658</v>
      </c>
      <c r="F10" s="5">
        <v>2</v>
      </c>
      <c r="G10" s="23">
        <v>95</v>
      </c>
      <c r="H10" s="33">
        <v>0</v>
      </c>
      <c r="I10" s="23">
        <v>38.274380962170042</v>
      </c>
      <c r="J10" s="5">
        <v>1615.116968685039</v>
      </c>
      <c r="K10" s="31"/>
      <c r="L10" s="23">
        <v>62004.319417305407</v>
      </c>
      <c r="M10" s="33">
        <v>0.40289137500076322</v>
      </c>
      <c r="N10" s="5">
        <v>3</v>
      </c>
      <c r="O10" s="5">
        <v>80</v>
      </c>
      <c r="P10" s="33">
        <v>0</v>
      </c>
      <c r="Q10" s="5">
        <v>19.988562463392871</v>
      </c>
      <c r="R10" s="5">
        <v>1104.95563421876</v>
      </c>
      <c r="S10" s="31"/>
      <c r="T10" s="23">
        <v>58119.501020701209</v>
      </c>
      <c r="U10" s="33">
        <v>0.65776162499969359</v>
      </c>
      <c r="V10" s="5">
        <v>2</v>
      </c>
      <c r="W10" s="5">
        <v>85</v>
      </c>
      <c r="X10" s="33">
        <v>9.4820673372510349</v>
      </c>
      <c r="Y10" s="5">
        <v>47.306201046951486</v>
      </c>
      <c r="Z10" s="5">
        <v>1889.2065123953562</v>
      </c>
      <c r="AA10" s="35"/>
    </row>
    <row r="11" spans="2:27" x14ac:dyDescent="0.2">
      <c r="B11" s="4">
        <v>8</v>
      </c>
      <c r="C11" s="4">
        <v>884</v>
      </c>
      <c r="D11" s="23">
        <v>47931.50682278708</v>
      </c>
      <c r="E11" s="33">
        <v>0.56881616700047744</v>
      </c>
      <c r="F11" s="5">
        <v>2</v>
      </c>
      <c r="G11" s="23">
        <v>95</v>
      </c>
      <c r="H11" s="33">
        <v>0</v>
      </c>
      <c r="I11" s="23">
        <v>33.75035329346472</v>
      </c>
      <c r="J11" s="5">
        <v>1557.000880385139</v>
      </c>
      <c r="K11" s="31"/>
      <c r="L11" s="23">
        <v>66548.623747344245</v>
      </c>
      <c r="M11" s="33">
        <v>0.27966100000048749</v>
      </c>
      <c r="N11" s="5">
        <v>4</v>
      </c>
      <c r="O11" s="5">
        <v>90</v>
      </c>
      <c r="P11" s="33">
        <v>0</v>
      </c>
      <c r="Q11" s="5">
        <v>19.27953783419418</v>
      </c>
      <c r="R11" s="5">
        <v>1339.1554703910101</v>
      </c>
      <c r="S11" s="31"/>
      <c r="T11" s="23">
        <v>60921.474169494097</v>
      </c>
      <c r="U11" s="33">
        <v>0.31245091600067099</v>
      </c>
      <c r="V11" s="5">
        <v>3</v>
      </c>
      <c r="W11" s="5">
        <v>95</v>
      </c>
      <c r="X11" s="33">
        <v>47.004385523293706</v>
      </c>
      <c r="Y11" s="5">
        <v>54.267695948985242</v>
      </c>
      <c r="Z11" s="5">
        <v>2164.6521742125888</v>
      </c>
      <c r="AA11" s="35"/>
    </row>
    <row r="12" spans="2:27" x14ac:dyDescent="0.2">
      <c r="B12" s="4">
        <v>9</v>
      </c>
      <c r="C12" s="4">
        <v>899</v>
      </c>
      <c r="D12" s="23">
        <v>53059.490481472109</v>
      </c>
      <c r="E12" s="33">
        <v>0.30939866600056121</v>
      </c>
      <c r="F12" s="5">
        <v>3</v>
      </c>
      <c r="G12" s="23">
        <v>95</v>
      </c>
      <c r="H12" s="33">
        <v>0</v>
      </c>
      <c r="I12" s="23">
        <v>25.224672277027082</v>
      </c>
      <c r="J12" s="5">
        <v>1338.2336171378693</v>
      </c>
      <c r="K12" s="31"/>
      <c r="L12" s="23">
        <v>65741.100284781336</v>
      </c>
      <c r="M12" s="33">
        <v>0.21321945800082179</v>
      </c>
      <c r="N12" s="5">
        <v>4</v>
      </c>
      <c r="O12" s="5">
        <v>90</v>
      </c>
      <c r="P12" s="33">
        <v>0</v>
      </c>
      <c r="Q12" s="5">
        <v>18.81038141537978</v>
      </c>
      <c r="R12" s="5">
        <v>1284.8233621877271</v>
      </c>
      <c r="S12" s="31"/>
      <c r="T12" s="23">
        <v>57712.892723472789</v>
      </c>
      <c r="U12" s="33">
        <v>0.32113520900020381</v>
      </c>
      <c r="V12" s="5">
        <v>3</v>
      </c>
      <c r="W12" s="5">
        <v>95</v>
      </c>
      <c r="X12" s="33">
        <v>8.4839549859614518</v>
      </c>
      <c r="Y12" s="5">
        <v>55.335414299227217</v>
      </c>
      <c r="Z12" s="5">
        <v>2050.0955828591868</v>
      </c>
      <c r="AA12" s="35"/>
    </row>
    <row r="13" spans="2:27" x14ac:dyDescent="0.2">
      <c r="B13" s="4">
        <v>10</v>
      </c>
      <c r="C13" s="4">
        <v>901</v>
      </c>
      <c r="D13" s="23">
        <v>47931.50682278708</v>
      </c>
      <c r="E13" s="33">
        <v>0.8631716250001773</v>
      </c>
      <c r="F13" s="5">
        <v>2</v>
      </c>
      <c r="G13" s="23">
        <v>95</v>
      </c>
      <c r="H13" s="33">
        <v>0</v>
      </c>
      <c r="I13" s="23">
        <v>33.75035329346472</v>
      </c>
      <c r="J13" s="5">
        <v>1557.000880385139</v>
      </c>
      <c r="K13" s="31"/>
      <c r="L13" s="23">
        <v>64642.936934112477</v>
      </c>
      <c r="M13" s="33">
        <v>0.44437979199938132</v>
      </c>
      <c r="N13" s="5">
        <v>3</v>
      </c>
      <c r="O13" s="5">
        <v>75</v>
      </c>
      <c r="P13" s="33">
        <v>0</v>
      </c>
      <c r="Q13" s="5">
        <v>18.340930260975561</v>
      </c>
      <c r="R13" s="5">
        <v>979.03619292728536</v>
      </c>
      <c r="S13" s="31"/>
      <c r="T13" s="23">
        <v>57712.892723472789</v>
      </c>
      <c r="U13" s="33">
        <v>0.62447779099966283</v>
      </c>
      <c r="V13" s="5">
        <v>3</v>
      </c>
      <c r="W13" s="5">
        <v>95</v>
      </c>
      <c r="X13" s="33">
        <v>8.4839549859614518</v>
      </c>
      <c r="Y13" s="5">
        <v>55.335414299227217</v>
      </c>
      <c r="Z13" s="5">
        <v>2050.0955828591868</v>
      </c>
      <c r="AA13" s="35"/>
    </row>
    <row r="14" spans="2:27" x14ac:dyDescent="0.2">
      <c r="B14" s="46" t="s">
        <v>3</v>
      </c>
      <c r="C14" s="47"/>
      <c r="D14" s="9">
        <f>MIN(D4:D13)</f>
        <v>47931.50682278708</v>
      </c>
      <c r="E14" s="22">
        <f>INDEX(E4:E13, MATCH($D$14, D4:D13, 0))</f>
        <v>1.093683000000965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0</v>
      </c>
      <c r="I14" s="22">
        <f>INDEX(I4:I13, MATCH($D$14, D4:D13, 0))</f>
        <v>33.75035329346472</v>
      </c>
      <c r="J14" s="22">
        <f>INDEX(J4:J13, MATCH($D$14, D4:D13, 0))</f>
        <v>1557.000880385139</v>
      </c>
      <c r="K14" s="32">
        <f>(D14-$D$15)/$D$15</f>
        <v>0</v>
      </c>
      <c r="L14" s="16">
        <f>MIN(L4:L13)</f>
        <v>61091.472719937206</v>
      </c>
      <c r="M14" s="21">
        <f>INDEX(M4:M13, MATCH($L$14, L4:L13, 0))</f>
        <v>0.83745908300261362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20.634411264479208</v>
      </c>
      <c r="R14" s="21">
        <f>INDEX(R4:R13, MATCH($L$14, L4:L13, 0))</f>
        <v>1053.809869738956</v>
      </c>
      <c r="S14" s="36">
        <f>(L14-$D$15)/$D$15</f>
        <v>0.27455773393073796</v>
      </c>
      <c r="T14" s="38">
        <f>MIN(T4:T13)</f>
        <v>57712.892723472789</v>
      </c>
      <c r="U14" s="39">
        <f>INDEX(U4:U13, MATCH($T$14, T4:T13, 0))</f>
        <v>0.5751724159999867</v>
      </c>
      <c r="V14" s="38">
        <f>INDEX(V4:V13, MATCH($T$14, T4:T13, 0))</f>
        <v>3</v>
      </c>
      <c r="W14" s="38">
        <f>INDEX(W4:W13, MATCH($T$14, T4:T13, 0))</f>
        <v>95</v>
      </c>
      <c r="X14" s="39">
        <f>INDEX(X4:X13, MATCH($T$14, T4:T13, 0))</f>
        <v>8.4839549859614518</v>
      </c>
      <c r="Y14" s="39">
        <f>INDEX(Y4:Y13, MATCH($T$14, T4:T13, 0))</f>
        <v>55.335414299227217</v>
      </c>
      <c r="Z14" s="39">
        <f>INDEX(Z4:Z13, MATCH($T$14, T4:T13, 0))</f>
        <v>2050.0955828591868</v>
      </c>
      <c r="AA14" s="40">
        <f>(T14-$D$15)/$D$15</f>
        <v>0.20407006891833304</v>
      </c>
    </row>
    <row r="15" spans="2:27" x14ac:dyDescent="0.2">
      <c r="C15" s="1" t="s">
        <v>17</v>
      </c>
      <c r="D15" s="34">
        <v>47931.50682278708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09" priority="11"/>
    <cfRule type="duplicateValues" dxfId="108" priority="12"/>
  </conditionalFormatting>
  <conditionalFormatting sqref="C14">
    <cfRule type="duplicateValues" dxfId="107" priority="5"/>
    <cfRule type="duplicateValues" dxfId="106" priority="6"/>
  </conditionalFormatting>
  <conditionalFormatting sqref="C18:C30">
    <cfRule type="duplicateValues" dxfId="27" priority="3"/>
    <cfRule type="duplicateValues" dxfId="26" priority="4"/>
  </conditionalFormatting>
  <conditionalFormatting sqref="C17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BF96-42E5-4241-99EB-1AF61FB466B0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-0.29049226285810531</v>
      </c>
      <c r="J2" s="28">
        <f>(S14-J14)/J14</f>
        <v>-0.99981366049107001</v>
      </c>
      <c r="K2" s="28"/>
      <c r="L2" s="1" t="s">
        <v>19</v>
      </c>
      <c r="P2" s="1">
        <f>(P14-H14)/H14</f>
        <v>-1</v>
      </c>
      <c r="R2" s="1">
        <f>(R14-J14)/J14</f>
        <v>-0.16850273713838038</v>
      </c>
      <c r="T2" s="1" t="s">
        <v>20</v>
      </c>
      <c r="X2" s="1" t="e">
        <f>(X14-P14)/P14</f>
        <v>#DIV/0!</v>
      </c>
      <c r="Z2" s="1">
        <f>(Z14-R14)/R14</f>
        <v>0.76133116546429092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98</v>
      </c>
      <c r="D4" s="23">
        <v>55291.479271498807</v>
      </c>
      <c r="E4" s="33">
        <v>0.79163466699901619</v>
      </c>
      <c r="F4" s="5">
        <v>2</v>
      </c>
      <c r="G4" s="23">
        <v>95</v>
      </c>
      <c r="H4" s="33">
        <v>45.423534371680539</v>
      </c>
      <c r="I4" s="23">
        <v>48.390353616193948</v>
      </c>
      <c r="J4" s="5">
        <v>1975.4875962545032</v>
      </c>
      <c r="K4" s="31"/>
      <c r="L4" s="23">
        <v>72057.812693213578</v>
      </c>
      <c r="M4" s="33">
        <v>0.69173129200135008</v>
      </c>
      <c r="N4" s="5">
        <v>3</v>
      </c>
      <c r="O4" s="5">
        <v>70</v>
      </c>
      <c r="P4" s="33">
        <v>0</v>
      </c>
      <c r="Q4" s="5">
        <v>17.149436527360109</v>
      </c>
      <c r="R4" s="5">
        <v>1189.227800536376</v>
      </c>
      <c r="S4" s="31"/>
      <c r="T4" s="23">
        <v>67477.062808825052</v>
      </c>
      <c r="U4" s="33">
        <v>0.58285737500045798</v>
      </c>
      <c r="V4" s="5">
        <v>2</v>
      </c>
      <c r="W4" s="5">
        <v>80</v>
      </c>
      <c r="X4" s="33">
        <v>185.58851835856541</v>
      </c>
      <c r="Y4" s="5">
        <v>69.819015146944807</v>
      </c>
      <c r="Z4" s="5">
        <v>2383.678617567954</v>
      </c>
      <c r="AA4" s="35"/>
    </row>
    <row r="5" spans="2:27" x14ac:dyDescent="0.2">
      <c r="B5" s="4">
        <v>2</v>
      </c>
      <c r="C5" s="4">
        <v>109</v>
      </c>
      <c r="D5" s="23">
        <v>55291.479271498807</v>
      </c>
      <c r="E5" s="33">
        <v>1.320397707999291</v>
      </c>
      <c r="F5" s="5">
        <v>2</v>
      </c>
      <c r="G5" s="23">
        <v>95</v>
      </c>
      <c r="H5" s="33">
        <v>45.423534371680539</v>
      </c>
      <c r="I5" s="23">
        <v>48.390353616193948</v>
      </c>
      <c r="J5" s="5">
        <v>1975.4875962545032</v>
      </c>
      <c r="K5" s="31"/>
      <c r="L5" s="23">
        <v>72341.766410585376</v>
      </c>
      <c r="M5" s="33">
        <v>0.39055104200087948</v>
      </c>
      <c r="N5" s="5">
        <v>4</v>
      </c>
      <c r="O5" s="5">
        <v>85</v>
      </c>
      <c r="P5" s="33">
        <v>15.82162862272215</v>
      </c>
      <c r="Q5" s="5">
        <v>17.938640864740179</v>
      </c>
      <c r="R5" s="5">
        <v>1358.2225968674541</v>
      </c>
      <c r="S5" s="31"/>
      <c r="T5" s="23">
        <v>73319.357627411518</v>
      </c>
      <c r="U5" s="33">
        <v>0.73275370899864356</v>
      </c>
      <c r="V5" s="5">
        <v>3</v>
      </c>
      <c r="W5" s="5">
        <v>90</v>
      </c>
      <c r="X5" s="33">
        <v>269.07558089099831</v>
      </c>
      <c r="Y5" s="5">
        <v>59.045664584659882</v>
      </c>
      <c r="Z5" s="5">
        <v>2548.2931922761518</v>
      </c>
      <c r="AA5" s="35"/>
    </row>
    <row r="6" spans="2:27" x14ac:dyDescent="0.2">
      <c r="B6" s="4">
        <v>3</v>
      </c>
      <c r="C6" s="4">
        <v>131</v>
      </c>
      <c r="D6" s="23">
        <v>55064.648673790558</v>
      </c>
      <c r="E6" s="33">
        <v>0.26445808400058007</v>
      </c>
      <c r="F6" s="5">
        <v>3</v>
      </c>
      <c r="G6" s="23">
        <v>100</v>
      </c>
      <c r="H6" s="33">
        <v>19.316050587425377</v>
      </c>
      <c r="I6" s="23">
        <v>31.326549835073934</v>
      </c>
      <c r="J6" s="5">
        <v>1633.1893271158883</v>
      </c>
      <c r="K6" s="31"/>
      <c r="L6" s="23">
        <v>71732.56950215924</v>
      </c>
      <c r="M6" s="33">
        <v>0.40031754099982209</v>
      </c>
      <c r="N6" s="5">
        <v>3</v>
      </c>
      <c r="O6" s="5">
        <v>75</v>
      </c>
      <c r="P6" s="33">
        <v>0</v>
      </c>
      <c r="Q6" s="5">
        <v>18.73793951036486</v>
      </c>
      <c r="R6" s="5">
        <v>1365.419320055156</v>
      </c>
      <c r="S6" s="31"/>
      <c r="T6" s="23">
        <v>68793.11964476404</v>
      </c>
      <c r="U6" s="33">
        <v>0.53309925000212388</v>
      </c>
      <c r="V6" s="5">
        <v>3</v>
      </c>
      <c r="W6" s="5">
        <v>85</v>
      </c>
      <c r="X6" s="33">
        <v>127.47522028244209</v>
      </c>
      <c r="Y6" s="5">
        <v>47.439694769146087</v>
      </c>
      <c r="Z6" s="5">
        <v>2078.9181084918991</v>
      </c>
      <c r="AA6" s="35"/>
    </row>
    <row r="7" spans="2:27" x14ac:dyDescent="0.2">
      <c r="B7" s="4">
        <v>4</v>
      </c>
      <c r="C7" s="4">
        <v>211</v>
      </c>
      <c r="D7" s="23">
        <v>55291.479271498807</v>
      </c>
      <c r="E7" s="33">
        <v>0.9527116669996758</v>
      </c>
      <c r="F7" s="5">
        <v>2</v>
      </c>
      <c r="G7" s="23">
        <v>95</v>
      </c>
      <c r="H7" s="33">
        <v>45.423534371680539</v>
      </c>
      <c r="I7" s="23">
        <v>48.390353616193948</v>
      </c>
      <c r="J7" s="5">
        <v>1975.4875962545032</v>
      </c>
      <c r="K7" s="31"/>
      <c r="L7" s="23">
        <v>70797.60644699246</v>
      </c>
      <c r="M7" s="33">
        <v>0.39692862499941839</v>
      </c>
      <c r="N7" s="5">
        <v>3</v>
      </c>
      <c r="O7" s="5">
        <v>75</v>
      </c>
      <c r="P7" s="33">
        <v>0</v>
      </c>
      <c r="Q7" s="5">
        <v>17.367842150211992</v>
      </c>
      <c r="R7" s="5">
        <v>1353.3392608423021</v>
      </c>
      <c r="S7" s="31"/>
      <c r="T7" s="23">
        <v>70885.037147659066</v>
      </c>
      <c r="U7" s="33">
        <v>0.64454350000232807</v>
      </c>
      <c r="V7" s="5">
        <v>3</v>
      </c>
      <c r="W7" s="5">
        <v>90</v>
      </c>
      <c r="X7" s="33">
        <v>177.27173456254619</v>
      </c>
      <c r="Y7" s="5">
        <v>55.502570778661813</v>
      </c>
      <c r="Z7" s="5">
        <v>2437.6559854369352</v>
      </c>
      <c r="AA7" s="35"/>
    </row>
    <row r="8" spans="2:27" x14ac:dyDescent="0.2">
      <c r="B8" s="4">
        <v>5</v>
      </c>
      <c r="C8" s="4">
        <v>542</v>
      </c>
      <c r="D8" s="23">
        <v>54876.761391675507</v>
      </c>
      <c r="E8" s="33">
        <v>0.57654608300072141</v>
      </c>
      <c r="F8" s="5">
        <v>3</v>
      </c>
      <c r="G8" s="23">
        <v>100</v>
      </c>
      <c r="H8" s="33">
        <v>8.5518168203262803</v>
      </c>
      <c r="I8" s="23">
        <v>31.264351497013525</v>
      </c>
      <c r="J8" s="5">
        <v>1627.4381115527217</v>
      </c>
      <c r="K8" s="31"/>
      <c r="L8" s="23">
        <v>72986.482669024437</v>
      </c>
      <c r="M8" s="33">
        <v>0.87141274999885354</v>
      </c>
      <c r="N8" s="5">
        <v>4</v>
      </c>
      <c r="O8" s="5">
        <v>85</v>
      </c>
      <c r="P8" s="33">
        <v>0</v>
      </c>
      <c r="Q8" s="5">
        <v>17.969182186981371</v>
      </c>
      <c r="R8" s="5">
        <v>1385.696395304969</v>
      </c>
      <c r="S8" s="31"/>
      <c r="T8" s="23">
        <v>67477.062808825052</v>
      </c>
      <c r="U8" s="33">
        <v>0.67730137500257115</v>
      </c>
      <c r="V8" s="5">
        <v>2</v>
      </c>
      <c r="W8" s="5">
        <v>80</v>
      </c>
      <c r="X8" s="33">
        <v>185.58851835856541</v>
      </c>
      <c r="Y8" s="5">
        <v>69.819015146944807</v>
      </c>
      <c r="Z8" s="5">
        <v>2383.678617567954</v>
      </c>
      <c r="AA8" s="35"/>
    </row>
    <row r="9" spans="2:27" x14ac:dyDescent="0.2">
      <c r="B9" s="4">
        <v>6</v>
      </c>
      <c r="C9" s="4">
        <v>764</v>
      </c>
      <c r="D9" s="23">
        <v>55379.018762876542</v>
      </c>
      <c r="E9" s="33">
        <v>0.21037224999963661</v>
      </c>
      <c r="F9" s="5">
        <v>3</v>
      </c>
      <c r="G9" s="23">
        <v>100</v>
      </c>
      <c r="H9" s="33">
        <v>18.752812198551066</v>
      </c>
      <c r="I9" s="23">
        <v>31.187225557818621</v>
      </c>
      <c r="J9" s="5">
        <v>1642.621764721423</v>
      </c>
      <c r="K9" s="31"/>
      <c r="L9" s="23">
        <v>71243.885561701405</v>
      </c>
      <c r="M9" s="33">
        <v>0.39805779200105462</v>
      </c>
      <c r="N9" s="5">
        <v>3</v>
      </c>
      <c r="O9" s="5">
        <v>75</v>
      </c>
      <c r="P9" s="33">
        <v>0</v>
      </c>
      <c r="Q9" s="5">
        <v>17.628381629973649</v>
      </c>
      <c r="R9" s="5">
        <v>1334.6329549349759</v>
      </c>
      <c r="S9" s="31"/>
      <c r="T9" s="23">
        <v>70803.107596222093</v>
      </c>
      <c r="U9" s="33">
        <v>0.5062359169969568</v>
      </c>
      <c r="V9" s="5">
        <v>3</v>
      </c>
      <c r="W9" s="5">
        <v>80</v>
      </c>
      <c r="X9" s="33">
        <v>135.44242155009479</v>
      </c>
      <c r="Y9" s="5">
        <v>43.437449125563063</v>
      </c>
      <c r="Z9" s="5">
        <v>1980.164136423836</v>
      </c>
      <c r="AA9" s="35"/>
    </row>
    <row r="10" spans="2:27" x14ac:dyDescent="0.2">
      <c r="B10" s="4">
        <v>7</v>
      </c>
      <c r="C10" s="4">
        <v>859</v>
      </c>
      <c r="D10" s="23">
        <v>54989.534041214458</v>
      </c>
      <c r="E10" s="33">
        <v>0.6929757919988333</v>
      </c>
      <c r="F10" s="5">
        <v>3</v>
      </c>
      <c r="G10" s="23">
        <v>100</v>
      </c>
      <c r="H10" s="33">
        <v>25.209262122230392</v>
      </c>
      <c r="I10" s="23">
        <v>31.742034733317453</v>
      </c>
      <c r="J10" s="5">
        <v>1627.5786184540761</v>
      </c>
      <c r="K10" s="31"/>
      <c r="L10" s="23">
        <v>70857.860561532754</v>
      </c>
      <c r="M10" s="33">
        <v>0.47982062499795569</v>
      </c>
      <c r="N10" s="5">
        <v>3</v>
      </c>
      <c r="O10" s="5">
        <v>75</v>
      </c>
      <c r="P10" s="33">
        <v>0</v>
      </c>
      <c r="Q10" s="5">
        <v>20.660931416569881</v>
      </c>
      <c r="R10" s="5">
        <v>1343.636373941802</v>
      </c>
      <c r="S10" s="31"/>
      <c r="T10" s="23">
        <v>67477.062808825052</v>
      </c>
      <c r="U10" s="33">
        <v>0.63880508300280781</v>
      </c>
      <c r="V10" s="5">
        <v>2</v>
      </c>
      <c r="W10" s="5">
        <v>80</v>
      </c>
      <c r="X10" s="33">
        <v>185.58851835856541</v>
      </c>
      <c r="Y10" s="5">
        <v>69.819015146944807</v>
      </c>
      <c r="Z10" s="5">
        <v>2383.678617567954</v>
      </c>
      <c r="AA10" s="35"/>
    </row>
    <row r="11" spans="2:27" x14ac:dyDescent="0.2">
      <c r="B11" s="4">
        <v>8</v>
      </c>
      <c r="C11" s="4">
        <v>954</v>
      </c>
      <c r="D11" s="23">
        <v>54704.388039969897</v>
      </c>
      <c r="E11" s="33">
        <v>0.56804120900051203</v>
      </c>
      <c r="F11" s="5">
        <v>3</v>
      </c>
      <c r="G11" s="23">
        <v>100</v>
      </c>
      <c r="H11" s="33">
        <v>8.5518168203262803</v>
      </c>
      <c r="I11" s="23">
        <v>31.396211973701593</v>
      </c>
      <c r="J11" s="5">
        <v>1624.3895275449845</v>
      </c>
      <c r="K11" s="31"/>
      <c r="L11" s="23">
        <v>73057.918830453855</v>
      </c>
      <c r="M11" s="33">
        <v>0.2463912080020236</v>
      </c>
      <c r="N11" s="5">
        <v>4</v>
      </c>
      <c r="O11" s="5">
        <v>85</v>
      </c>
      <c r="P11" s="33">
        <v>15.06576317155</v>
      </c>
      <c r="Q11" s="5">
        <v>18.181214383175771</v>
      </c>
      <c r="R11" s="5">
        <v>1403.9768506906801</v>
      </c>
      <c r="S11" s="31"/>
      <c r="T11" s="23">
        <v>71638.206305438478</v>
      </c>
      <c r="U11" s="33">
        <v>0.39989712500027957</v>
      </c>
      <c r="V11" s="5">
        <v>2</v>
      </c>
      <c r="W11" s="5">
        <v>80</v>
      </c>
      <c r="X11" s="33">
        <v>239.60385585542551</v>
      </c>
      <c r="Y11" s="5">
        <v>78.172546676768121</v>
      </c>
      <c r="Z11" s="5">
        <v>2654.6555803215119</v>
      </c>
      <c r="AA11" s="35"/>
    </row>
    <row r="12" spans="2:27" x14ac:dyDescent="0.2">
      <c r="B12" s="4">
        <v>9</v>
      </c>
      <c r="C12" s="4">
        <v>970</v>
      </c>
      <c r="D12" s="23">
        <v>54653.742325774067</v>
      </c>
      <c r="E12" s="33">
        <v>0.56842341699848475</v>
      </c>
      <c r="F12" s="5">
        <v>3</v>
      </c>
      <c r="G12" s="23">
        <v>100</v>
      </c>
      <c r="H12" s="33">
        <v>24.478721289460147</v>
      </c>
      <c r="I12" s="23">
        <v>31.737058866272623</v>
      </c>
      <c r="J12" s="5">
        <v>1627.5931639086214</v>
      </c>
      <c r="K12" s="31"/>
      <c r="L12" s="23">
        <v>72221.086448052811</v>
      </c>
      <c r="M12" s="33">
        <v>0.38545199999862229</v>
      </c>
      <c r="N12" s="5">
        <v>4</v>
      </c>
      <c r="O12" s="5">
        <v>85</v>
      </c>
      <c r="P12" s="33">
        <v>0</v>
      </c>
      <c r="Q12" s="5">
        <v>18.492828056858411</v>
      </c>
      <c r="R12" s="5">
        <v>1367.8156369960241</v>
      </c>
      <c r="S12" s="31"/>
      <c r="T12" s="23">
        <v>68760.879767833641</v>
      </c>
      <c r="U12" s="33">
        <v>0.88964941699668998</v>
      </c>
      <c r="V12" s="5">
        <v>2</v>
      </c>
      <c r="W12" s="5">
        <v>85</v>
      </c>
      <c r="X12" s="33">
        <v>230.1379280306507</v>
      </c>
      <c r="Y12" s="5">
        <v>75.822383612319356</v>
      </c>
      <c r="Z12" s="5">
        <v>2593.232681456569</v>
      </c>
      <c r="AA12" s="35"/>
    </row>
    <row r="13" spans="2:27" x14ac:dyDescent="0.2">
      <c r="B13" s="4">
        <v>10</v>
      </c>
      <c r="C13" s="4">
        <v>981</v>
      </c>
      <c r="D13" s="23">
        <v>55251.626216762867</v>
      </c>
      <c r="E13" s="33">
        <v>0.42277295800158748</v>
      </c>
      <c r="F13" s="5">
        <v>3</v>
      </c>
      <c r="G13" s="23">
        <v>100</v>
      </c>
      <c r="H13" s="33">
        <v>19.189814060269772</v>
      </c>
      <c r="I13" s="23">
        <v>30.24181081930044</v>
      </c>
      <c r="J13" s="5">
        <v>1624.8035829032412</v>
      </c>
      <c r="K13" s="31"/>
      <c r="L13" s="23">
        <v>71578.748146897677</v>
      </c>
      <c r="M13" s="33">
        <v>0.207427875000576</v>
      </c>
      <c r="N13" s="5">
        <v>3</v>
      </c>
      <c r="O13" s="5">
        <v>75</v>
      </c>
      <c r="P13" s="33">
        <v>0</v>
      </c>
      <c r="Q13" s="5">
        <v>18.91767049366727</v>
      </c>
      <c r="R13" s="5">
        <v>1366.586961373682</v>
      </c>
      <c r="S13" s="31"/>
      <c r="T13" s="23">
        <v>69579.687126579403</v>
      </c>
      <c r="U13" s="33">
        <v>0.52175200000056066</v>
      </c>
      <c r="V13" s="5">
        <v>3</v>
      </c>
      <c r="W13" s="5">
        <v>90</v>
      </c>
      <c r="X13" s="33">
        <v>154.34809966635811</v>
      </c>
      <c r="Y13" s="5">
        <v>50.074706454096663</v>
      </c>
      <c r="Z13" s="5">
        <v>2295.4185111434199</v>
      </c>
      <c r="AA13" s="35"/>
    </row>
    <row r="14" spans="2:27" x14ac:dyDescent="0.2">
      <c r="B14" s="46" t="s">
        <v>3</v>
      </c>
      <c r="C14" s="47"/>
      <c r="D14" s="9">
        <f>MIN(D4:D13)</f>
        <v>54653.742325774067</v>
      </c>
      <c r="E14" s="22">
        <f>INDEX(E4:E13, MATCH($D$14, D4:D13, 0))</f>
        <v>0.56842341699848475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24.478721289460147</v>
      </c>
      <c r="I14" s="22">
        <f>INDEX(I4:I13, MATCH($D$14, D4:D13, 0))</f>
        <v>31.737058866272623</v>
      </c>
      <c r="J14" s="22">
        <f>INDEX(J4:J13, MATCH($D$14, D4:D13, 0))</f>
        <v>1627.5931639086214</v>
      </c>
      <c r="K14" s="32">
        <f>(D14-$D$15)/$D$15</f>
        <v>6.0989526639352917E-3</v>
      </c>
      <c r="L14" s="16">
        <f>MIN(L4:L13)</f>
        <v>70797.60644699246</v>
      </c>
      <c r="M14" s="21">
        <f>INDEX(M4:M13, MATCH($L$14, L4:L13, 0))</f>
        <v>0.39692862499941839</v>
      </c>
      <c r="N14" s="16">
        <f>INDEX(N4:N13, MATCH($L$14, L4:L13, 0))</f>
        <v>3</v>
      </c>
      <c r="O14" s="16">
        <f>INDEX(O4:O13, MATCH($L$14, L4:L13, 0))</f>
        <v>75</v>
      </c>
      <c r="P14" s="21">
        <f>INDEX(P4:P13, MATCH($L$14, L4:L13, 0))</f>
        <v>0</v>
      </c>
      <c r="Q14" s="21">
        <f>INDEX(Q4:Q13, MATCH($L$14, L4:L13, 0))</f>
        <v>17.367842150211992</v>
      </c>
      <c r="R14" s="21">
        <f>INDEX(R4:R13, MATCH($L$14, L4:L13, 0))</f>
        <v>1353.3392608423021</v>
      </c>
      <c r="S14" s="36">
        <f>(L14-$D$15)/$D$15</f>
        <v>0.30328491090063259</v>
      </c>
      <c r="T14" s="38">
        <f>MIN(T4:T13)</f>
        <v>67477.062808825052</v>
      </c>
      <c r="U14" s="39">
        <f>INDEX(U4:U13, MATCH($T$14, T4:T13, 0))</f>
        <v>0.58285737500045798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185.58851835856541</v>
      </c>
      <c r="Y14" s="39">
        <f>INDEX(Y4:Y13, MATCH($T$14, T4:T13, 0))</f>
        <v>69.819015146944807</v>
      </c>
      <c r="Z14" s="39">
        <f>INDEX(Z4:Z13, MATCH($T$14, T4:T13, 0))</f>
        <v>2383.678617567954</v>
      </c>
      <c r="AA14" s="40">
        <f>(T14-$D$15)/$D$15</f>
        <v>0.24215834692772709</v>
      </c>
    </row>
    <row r="15" spans="2:27" x14ac:dyDescent="0.2">
      <c r="C15" s="1" t="s">
        <v>17</v>
      </c>
      <c r="D15" s="34">
        <v>54322.432382085899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103" priority="11"/>
    <cfRule type="duplicateValues" dxfId="102" priority="12"/>
  </conditionalFormatting>
  <conditionalFormatting sqref="C14">
    <cfRule type="duplicateValues" dxfId="101" priority="5"/>
    <cfRule type="duplicateValues" dxfId="100" priority="6"/>
  </conditionalFormatting>
  <conditionalFormatting sqref="C18:C30">
    <cfRule type="duplicateValues" dxfId="23" priority="3"/>
    <cfRule type="duplicateValues" dxfId="22" priority="4"/>
  </conditionalFormatting>
  <conditionalFormatting sqref="C17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2DC2-8502-F742-A76A-52300B9EABE3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-0.99978547183575239</v>
      </c>
      <c r="K2" s="28"/>
      <c r="L2" s="1" t="s">
        <v>19</v>
      </c>
      <c r="P2" s="1" t="e">
        <f>(P14-H14)/H14</f>
        <v>#DIV/0!</v>
      </c>
      <c r="R2" s="1">
        <f>(R14-J14)/J14</f>
        <v>-0.22601976683749603</v>
      </c>
      <c r="T2" s="1" t="s">
        <v>20</v>
      </c>
      <c r="X2" s="1" t="e">
        <f>(X14-P14)/P14</f>
        <v>#DIV/0!</v>
      </c>
      <c r="Z2" s="1">
        <f>(Z14-R14)/R14</f>
        <v>0.48575675769610627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</v>
      </c>
      <c r="D4" s="23">
        <v>38717.786789514859</v>
      </c>
      <c r="E4" s="33">
        <v>0.29737537499931932</v>
      </c>
      <c r="F4" s="5">
        <v>2</v>
      </c>
      <c r="G4" s="23">
        <v>100</v>
      </c>
      <c r="H4" s="33">
        <v>0</v>
      </c>
      <c r="I4" s="23">
        <v>28.30506578698435</v>
      </c>
      <c r="J4" s="5">
        <v>1158.007859143017</v>
      </c>
      <c r="K4" s="31"/>
      <c r="L4" s="23">
        <v>48336.264596020148</v>
      </c>
      <c r="M4" s="33">
        <v>0.32539654200081708</v>
      </c>
      <c r="N4" s="5">
        <v>3</v>
      </c>
      <c r="O4" s="5">
        <v>95</v>
      </c>
      <c r="P4" s="33">
        <v>0</v>
      </c>
      <c r="Q4" s="5">
        <v>15.23927681427713</v>
      </c>
      <c r="R4" s="5">
        <v>896.27519282352432</v>
      </c>
      <c r="S4" s="31"/>
      <c r="T4" s="23">
        <v>44253.662424585862</v>
      </c>
      <c r="U4" s="33">
        <v>0.41150008299882762</v>
      </c>
      <c r="V4" s="5">
        <v>2</v>
      </c>
      <c r="W4" s="5">
        <v>95</v>
      </c>
      <c r="X4" s="33">
        <v>0</v>
      </c>
      <c r="Y4" s="5">
        <v>36.812002561869647</v>
      </c>
      <c r="Z4" s="5">
        <v>1331.6469244929319</v>
      </c>
      <c r="AA4" s="35"/>
    </row>
    <row r="5" spans="2:27" x14ac:dyDescent="0.2">
      <c r="B5" s="4">
        <v>2</v>
      </c>
      <c r="C5" s="4">
        <v>112</v>
      </c>
      <c r="D5" s="23">
        <v>38717.786789514859</v>
      </c>
      <c r="E5" s="33">
        <v>0.33969966699987708</v>
      </c>
      <c r="F5" s="5">
        <v>2</v>
      </c>
      <c r="G5" s="23">
        <v>100</v>
      </c>
      <c r="H5" s="33">
        <v>0</v>
      </c>
      <c r="I5" s="23">
        <v>28.30506578698435</v>
      </c>
      <c r="J5" s="5">
        <v>1158.007859143017</v>
      </c>
      <c r="K5" s="31"/>
      <c r="L5" s="23">
        <v>48932.174908099929</v>
      </c>
      <c r="M5" s="33">
        <v>0.34998166700097499</v>
      </c>
      <c r="N5" s="5">
        <v>3</v>
      </c>
      <c r="O5" s="5">
        <v>95</v>
      </c>
      <c r="P5" s="33">
        <v>0</v>
      </c>
      <c r="Q5" s="5">
        <v>15.05526131274077</v>
      </c>
      <c r="R5" s="5">
        <v>916.70206550455009</v>
      </c>
      <c r="S5" s="31"/>
      <c r="T5" s="23">
        <v>44253.662424585862</v>
      </c>
      <c r="U5" s="33">
        <v>0.44875074999799841</v>
      </c>
      <c r="V5" s="5">
        <v>2</v>
      </c>
      <c r="W5" s="5">
        <v>95</v>
      </c>
      <c r="X5" s="33">
        <v>0</v>
      </c>
      <c r="Y5" s="5">
        <v>36.812002561869647</v>
      </c>
      <c r="Z5" s="5">
        <v>1331.6469244929319</v>
      </c>
      <c r="AA5" s="35"/>
    </row>
    <row r="6" spans="2:27" x14ac:dyDescent="0.2">
      <c r="B6" s="4">
        <v>3</v>
      </c>
      <c r="C6" s="4">
        <v>126</v>
      </c>
      <c r="D6" s="23">
        <v>38717.786789514859</v>
      </c>
      <c r="E6" s="33">
        <v>1.341106874999241</v>
      </c>
      <c r="F6" s="5">
        <v>2</v>
      </c>
      <c r="G6" s="23">
        <v>100</v>
      </c>
      <c r="H6" s="33">
        <v>0</v>
      </c>
      <c r="I6" s="23">
        <v>28.30506578698435</v>
      </c>
      <c r="J6" s="5">
        <v>1158.007859143017</v>
      </c>
      <c r="K6" s="31"/>
      <c r="L6" s="23">
        <v>48519.654054277627</v>
      </c>
      <c r="M6" s="33">
        <v>0.80768695900042076</v>
      </c>
      <c r="N6" s="5">
        <v>3</v>
      </c>
      <c r="O6" s="5">
        <v>95</v>
      </c>
      <c r="P6" s="33">
        <v>0</v>
      </c>
      <c r="Q6" s="5">
        <v>16.17637573593866</v>
      </c>
      <c r="R6" s="5">
        <v>929.04579858320642</v>
      </c>
      <c r="S6" s="31"/>
      <c r="T6" s="23">
        <v>44253.662424585862</v>
      </c>
      <c r="U6" s="33">
        <v>1.2598223339991821</v>
      </c>
      <c r="V6" s="5">
        <v>2</v>
      </c>
      <c r="W6" s="5">
        <v>95</v>
      </c>
      <c r="X6" s="33">
        <v>0</v>
      </c>
      <c r="Y6" s="5">
        <v>36.812002561869647</v>
      </c>
      <c r="Z6" s="5">
        <v>1331.6469244929319</v>
      </c>
      <c r="AA6" s="35"/>
    </row>
    <row r="7" spans="2:27" x14ac:dyDescent="0.2">
      <c r="B7" s="4">
        <v>4</v>
      </c>
      <c r="C7" s="4">
        <v>181</v>
      </c>
      <c r="D7" s="23">
        <v>38717.786789514859</v>
      </c>
      <c r="E7" s="33">
        <v>0.28015583300111763</v>
      </c>
      <c r="F7" s="5">
        <v>2</v>
      </c>
      <c r="G7" s="23">
        <v>100</v>
      </c>
      <c r="H7" s="33">
        <v>0</v>
      </c>
      <c r="I7" s="23">
        <v>28.30506578698435</v>
      </c>
      <c r="J7" s="5">
        <v>1158.007859143017</v>
      </c>
      <c r="K7" s="31"/>
      <c r="L7" s="23">
        <v>48813.764435361278</v>
      </c>
      <c r="M7" s="33">
        <v>0.29247558299903181</v>
      </c>
      <c r="N7" s="5">
        <v>3</v>
      </c>
      <c r="O7" s="5">
        <v>95</v>
      </c>
      <c r="P7" s="33">
        <v>0</v>
      </c>
      <c r="Q7" s="5">
        <v>16.208887308648261</v>
      </c>
      <c r="R7" s="5">
        <v>942.91371125636863</v>
      </c>
      <c r="S7" s="31"/>
      <c r="T7" s="23">
        <v>44253.662424585862</v>
      </c>
      <c r="U7" s="33">
        <v>0.26166820800062851</v>
      </c>
      <c r="V7" s="5">
        <v>2</v>
      </c>
      <c r="W7" s="5">
        <v>95</v>
      </c>
      <c r="X7" s="33">
        <v>0</v>
      </c>
      <c r="Y7" s="5">
        <v>36.812002561869647</v>
      </c>
      <c r="Z7" s="5">
        <v>1331.6469244929319</v>
      </c>
      <c r="AA7" s="35"/>
    </row>
    <row r="8" spans="2:27" x14ac:dyDescent="0.2">
      <c r="B8" s="4">
        <v>5</v>
      </c>
      <c r="C8" s="4">
        <v>231</v>
      </c>
      <c r="D8" s="23">
        <v>38717.786789514859</v>
      </c>
      <c r="E8" s="33">
        <v>0.25804354200045049</v>
      </c>
      <c r="F8" s="5">
        <v>2</v>
      </c>
      <c r="G8" s="23">
        <v>100</v>
      </c>
      <c r="H8" s="33">
        <v>0</v>
      </c>
      <c r="I8" s="23">
        <v>28.30506578698435</v>
      </c>
      <c r="J8" s="5">
        <v>1158.007859143017</v>
      </c>
      <c r="K8" s="31"/>
      <c r="L8" s="23">
        <v>48336.264596020148</v>
      </c>
      <c r="M8" s="33">
        <v>0.48536479199901811</v>
      </c>
      <c r="N8" s="5">
        <v>3</v>
      </c>
      <c r="O8" s="5">
        <v>95</v>
      </c>
      <c r="P8" s="33">
        <v>0</v>
      </c>
      <c r="Q8" s="5">
        <v>15.23927681427713</v>
      </c>
      <c r="R8" s="5">
        <v>896.27519282352432</v>
      </c>
      <c r="S8" s="31"/>
      <c r="T8" s="23">
        <v>45796.000511838327</v>
      </c>
      <c r="U8" s="33">
        <v>0.2058470830015722</v>
      </c>
      <c r="V8" s="5">
        <v>2</v>
      </c>
      <c r="W8" s="5">
        <v>100</v>
      </c>
      <c r="X8" s="33">
        <v>55.168825353685818</v>
      </c>
      <c r="Y8" s="5">
        <v>50.179443062041457</v>
      </c>
      <c r="Z8" s="5">
        <v>1664.414120126839</v>
      </c>
      <c r="AA8" s="35"/>
    </row>
    <row r="9" spans="2:27" x14ac:dyDescent="0.2">
      <c r="B9" s="4">
        <v>6</v>
      </c>
      <c r="C9" s="4">
        <v>247</v>
      </c>
      <c r="D9" s="23">
        <v>38717.786789514859</v>
      </c>
      <c r="E9" s="33">
        <v>0.58345337500031746</v>
      </c>
      <c r="F9" s="5">
        <v>2</v>
      </c>
      <c r="G9" s="23">
        <v>100</v>
      </c>
      <c r="H9" s="33">
        <v>0</v>
      </c>
      <c r="I9" s="23">
        <v>28.30506578698435</v>
      </c>
      <c r="J9" s="5">
        <v>1158.007859143017</v>
      </c>
      <c r="K9" s="31"/>
      <c r="L9" s="23">
        <v>48595.204838386817</v>
      </c>
      <c r="M9" s="33">
        <v>0.39287549999789922</v>
      </c>
      <c r="N9" s="5">
        <v>3</v>
      </c>
      <c r="O9" s="5">
        <v>95</v>
      </c>
      <c r="P9" s="33">
        <v>0</v>
      </c>
      <c r="Q9" s="5">
        <v>15.213267556109439</v>
      </c>
      <c r="R9" s="5">
        <v>906.10371313106873</v>
      </c>
      <c r="S9" s="31"/>
      <c r="T9" s="23">
        <v>44253.662424585862</v>
      </c>
      <c r="U9" s="33">
        <v>0.31704374999753782</v>
      </c>
      <c r="V9" s="5">
        <v>2</v>
      </c>
      <c r="W9" s="5">
        <v>95</v>
      </c>
      <c r="X9" s="33">
        <v>0</v>
      </c>
      <c r="Y9" s="5">
        <v>36.812002561869647</v>
      </c>
      <c r="Z9" s="5">
        <v>1331.6469244929319</v>
      </c>
      <c r="AA9" s="35"/>
    </row>
    <row r="10" spans="2:27" x14ac:dyDescent="0.2">
      <c r="B10" s="4">
        <v>7</v>
      </c>
      <c r="C10" s="4">
        <v>340</v>
      </c>
      <c r="D10" s="23">
        <v>38717.786789514859</v>
      </c>
      <c r="E10" s="33">
        <v>0.41050116699989297</v>
      </c>
      <c r="F10" s="5">
        <v>2</v>
      </c>
      <c r="G10" s="23">
        <v>100</v>
      </c>
      <c r="H10" s="33">
        <v>0</v>
      </c>
      <c r="I10" s="23">
        <v>28.30506578698435</v>
      </c>
      <c r="J10" s="5">
        <v>1158.007859143017</v>
      </c>
      <c r="K10" s="31"/>
      <c r="L10" s="23">
        <v>48712.903874444513</v>
      </c>
      <c r="M10" s="33">
        <v>0.37659220800196641</v>
      </c>
      <c r="N10" s="5">
        <v>3</v>
      </c>
      <c r="O10" s="5">
        <v>95</v>
      </c>
      <c r="P10" s="33">
        <v>0</v>
      </c>
      <c r="Q10" s="5">
        <v>15.27568977571188</v>
      </c>
      <c r="R10" s="5">
        <v>914.30188409490779</v>
      </c>
      <c r="S10" s="31"/>
      <c r="T10" s="23">
        <v>44253.662424585862</v>
      </c>
      <c r="U10" s="33">
        <v>0.45910995799931698</v>
      </c>
      <c r="V10" s="5">
        <v>2</v>
      </c>
      <c r="W10" s="5">
        <v>95</v>
      </c>
      <c r="X10" s="33">
        <v>0</v>
      </c>
      <c r="Y10" s="5">
        <v>36.812002561869647</v>
      </c>
      <c r="Z10" s="5">
        <v>1331.6469244929319</v>
      </c>
      <c r="AA10" s="35"/>
    </row>
    <row r="11" spans="2:27" x14ac:dyDescent="0.2">
      <c r="B11" s="4">
        <v>8</v>
      </c>
      <c r="C11" s="4">
        <v>445</v>
      </c>
      <c r="D11" s="23">
        <v>38717.786789514859</v>
      </c>
      <c r="E11" s="33">
        <v>0.52766887500001758</v>
      </c>
      <c r="F11" s="5">
        <v>2</v>
      </c>
      <c r="G11" s="23">
        <v>100</v>
      </c>
      <c r="H11" s="33">
        <v>0</v>
      </c>
      <c r="I11" s="23">
        <v>28.30506578698435</v>
      </c>
      <c r="J11" s="5">
        <v>1158.007859143017</v>
      </c>
      <c r="K11" s="31"/>
      <c r="L11" s="23">
        <v>48336.264596020148</v>
      </c>
      <c r="M11" s="33">
        <v>0.4185381250026694</v>
      </c>
      <c r="N11" s="5">
        <v>3</v>
      </c>
      <c r="O11" s="5">
        <v>95</v>
      </c>
      <c r="P11" s="33">
        <v>0</v>
      </c>
      <c r="Q11" s="5">
        <v>15.23927681427713</v>
      </c>
      <c r="R11" s="5">
        <v>896.27519282352432</v>
      </c>
      <c r="S11" s="31"/>
      <c r="T11" s="23">
        <v>44253.662424585862</v>
      </c>
      <c r="U11" s="33">
        <v>0.52687633299865411</v>
      </c>
      <c r="V11" s="5">
        <v>2</v>
      </c>
      <c r="W11" s="5">
        <v>95</v>
      </c>
      <c r="X11" s="33">
        <v>0</v>
      </c>
      <c r="Y11" s="5">
        <v>36.812002561869647</v>
      </c>
      <c r="Z11" s="5">
        <v>1331.6469244929319</v>
      </c>
      <c r="AA11" s="35"/>
    </row>
    <row r="12" spans="2:27" x14ac:dyDescent="0.2">
      <c r="B12" s="4">
        <v>9</v>
      </c>
      <c r="C12" s="4">
        <v>954</v>
      </c>
      <c r="D12" s="23">
        <v>38717.786789514859</v>
      </c>
      <c r="E12" s="33">
        <v>0.23089741700096059</v>
      </c>
      <c r="F12" s="5">
        <v>2</v>
      </c>
      <c r="G12" s="23">
        <v>100</v>
      </c>
      <c r="H12" s="33">
        <v>0</v>
      </c>
      <c r="I12" s="23">
        <v>28.30506578698435</v>
      </c>
      <c r="J12" s="5">
        <v>1158.007859143017</v>
      </c>
      <c r="K12" s="31"/>
      <c r="L12" s="23">
        <v>48643.900366915623</v>
      </c>
      <c r="M12" s="33">
        <v>0.2236416250016191</v>
      </c>
      <c r="N12" s="5">
        <v>3</v>
      </c>
      <c r="O12" s="5">
        <v>95</v>
      </c>
      <c r="P12" s="33">
        <v>0</v>
      </c>
      <c r="Q12" s="5">
        <v>15.27373908134931</v>
      </c>
      <c r="R12" s="5">
        <v>910.22418657776757</v>
      </c>
      <c r="S12" s="31"/>
      <c r="T12" s="23">
        <v>44253.662424585862</v>
      </c>
      <c r="U12" s="33">
        <v>0.21421854200161761</v>
      </c>
      <c r="V12" s="5">
        <v>2</v>
      </c>
      <c r="W12" s="5">
        <v>95</v>
      </c>
      <c r="X12" s="33">
        <v>0</v>
      </c>
      <c r="Y12" s="5">
        <v>36.812002561869647</v>
      </c>
      <c r="Z12" s="5">
        <v>1331.6469244929319</v>
      </c>
      <c r="AA12" s="35"/>
    </row>
    <row r="13" spans="2:27" x14ac:dyDescent="0.2">
      <c r="B13" s="4">
        <v>10</v>
      </c>
      <c r="C13" s="4">
        <v>978</v>
      </c>
      <c r="D13" s="23">
        <v>38717.786789514859</v>
      </c>
      <c r="E13" s="33">
        <v>0.2860639579994313</v>
      </c>
      <c r="F13" s="5">
        <v>2</v>
      </c>
      <c r="G13" s="23">
        <v>100</v>
      </c>
      <c r="H13" s="33">
        <v>0</v>
      </c>
      <c r="I13" s="23">
        <v>28.30506578698435</v>
      </c>
      <c r="J13" s="5">
        <v>1158.007859143017</v>
      </c>
      <c r="K13" s="31"/>
      <c r="L13" s="23">
        <v>48336.264596020148</v>
      </c>
      <c r="M13" s="33">
        <v>0.23194929099918229</v>
      </c>
      <c r="N13" s="5">
        <v>3</v>
      </c>
      <c r="O13" s="5">
        <v>95</v>
      </c>
      <c r="P13" s="33">
        <v>0</v>
      </c>
      <c r="Q13" s="5">
        <v>15.23927681427713</v>
      </c>
      <c r="R13" s="5">
        <v>896.27519282352432</v>
      </c>
      <c r="S13" s="31"/>
      <c r="T13" s="23">
        <v>44253.662424585862</v>
      </c>
      <c r="U13" s="33">
        <v>0.35402241600240808</v>
      </c>
      <c r="V13" s="5">
        <v>2</v>
      </c>
      <c r="W13" s="5">
        <v>95</v>
      </c>
      <c r="X13" s="33">
        <v>0</v>
      </c>
      <c r="Y13" s="5">
        <v>36.812002561869647</v>
      </c>
      <c r="Z13" s="5">
        <v>1331.6469244929319</v>
      </c>
      <c r="AA13" s="35"/>
    </row>
    <row r="14" spans="2:27" x14ac:dyDescent="0.2">
      <c r="B14" s="46" t="s">
        <v>3</v>
      </c>
      <c r="C14" s="47"/>
      <c r="D14" s="9">
        <f>MIN(D4:D13)</f>
        <v>38717.786789514859</v>
      </c>
      <c r="E14" s="22">
        <f>INDEX(E4:E13, MATCH($D$14, D4:D13, 0))</f>
        <v>0.29737537499931932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0</v>
      </c>
      <c r="I14" s="22">
        <f>INDEX(I4:I13, MATCH($D$14, D4:D13, 0))</f>
        <v>28.30506578698435</v>
      </c>
      <c r="J14" s="22">
        <f>INDEX(J4:J13, MATCH($D$14, D4:D13, 0))</f>
        <v>1158.007859143017</v>
      </c>
      <c r="K14" s="32">
        <f>(D14-$D$15)/$D$15</f>
        <v>0</v>
      </c>
      <c r="L14" s="16">
        <f>MIN(L4:L13)</f>
        <v>48336.264596020148</v>
      </c>
      <c r="M14" s="21">
        <f>INDEX(M4:M13, MATCH($L$14, L4:L13, 0))</f>
        <v>0.32539654200081708</v>
      </c>
      <c r="N14" s="16">
        <f>INDEX(N4:N13, MATCH($L$14, L4:L13, 0))</f>
        <v>3</v>
      </c>
      <c r="O14" s="16">
        <f>INDEX(O4:O13, MATCH($L$14, L4:L13, 0))</f>
        <v>95</v>
      </c>
      <c r="P14" s="21">
        <f>INDEX(P4:P13, MATCH($L$14, L4:L13, 0))</f>
        <v>0</v>
      </c>
      <c r="Q14" s="21">
        <f>INDEX(Q4:Q13, MATCH($L$14, L4:L13, 0))</f>
        <v>15.23927681427713</v>
      </c>
      <c r="R14" s="21">
        <f>INDEX(R4:R13, MATCH($L$14, L4:L13, 0))</f>
        <v>896.27519282352432</v>
      </c>
      <c r="S14" s="36">
        <f>(L14-$D$15)/$D$15</f>
        <v>0.24842530020621073</v>
      </c>
      <c r="T14" s="38">
        <f>MIN(T4:T13)</f>
        <v>44253.662424585862</v>
      </c>
      <c r="U14" s="39">
        <f>INDEX(U4:U13, MATCH($T$14, T4:T13, 0))</f>
        <v>0.41150008299882762</v>
      </c>
      <c r="V14" s="38">
        <f>INDEX(V4:V13, MATCH($T$14, T4:T13, 0))</f>
        <v>2</v>
      </c>
      <c r="W14" s="38">
        <f>INDEX(W4:W13, MATCH($T$14, T4:T13, 0))</f>
        <v>95</v>
      </c>
      <c r="X14" s="39">
        <f>INDEX(X4:X13, MATCH($T$14, T4:T13, 0))</f>
        <v>0</v>
      </c>
      <c r="Y14" s="39">
        <f>INDEX(Y4:Y13, MATCH($T$14, T4:T13, 0))</f>
        <v>36.812002561869647</v>
      </c>
      <c r="Z14" s="39">
        <f>INDEX(Z4:Z13, MATCH($T$14, T4:T13, 0))</f>
        <v>1331.6469244929319</v>
      </c>
      <c r="AA14" s="40">
        <f>(T14-$D$15)/$D$15</f>
        <v>0.1429801673625149</v>
      </c>
    </row>
    <row r="15" spans="2:27" x14ac:dyDescent="0.2">
      <c r="C15" s="1" t="s">
        <v>17</v>
      </c>
      <c r="D15" s="34">
        <v>38717.786789514859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97" priority="11"/>
    <cfRule type="duplicateValues" dxfId="96" priority="12"/>
  </conditionalFormatting>
  <conditionalFormatting sqref="C14">
    <cfRule type="duplicateValues" dxfId="95" priority="5"/>
    <cfRule type="duplicateValues" dxfId="94" priority="6"/>
  </conditionalFormatting>
  <conditionalFormatting sqref="C18:C30">
    <cfRule type="duplicateValues" dxfId="19" priority="3"/>
    <cfRule type="duplicateValues" dxfId="18" priority="4"/>
  </conditionalFormatting>
  <conditionalFormatting sqref="C1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4EC3-3E53-ED4B-A1F3-8D84A2BC8E38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-0.67746752512685571</v>
      </c>
      <c r="J2" s="28">
        <f>(S14-J14)/J14</f>
        <v>-0.99993342065062485</v>
      </c>
      <c r="K2" s="28"/>
      <c r="L2" s="1" t="s">
        <v>19</v>
      </c>
      <c r="P2" s="1">
        <f>(P14-H14)/H14</f>
        <v>-0.98895284857862342</v>
      </c>
      <c r="R2" s="1">
        <f>(R14-J14)/J14</f>
        <v>-0.28915295181194528</v>
      </c>
      <c r="T2" s="1" t="s">
        <v>20</v>
      </c>
      <c r="X2" s="1">
        <f>(X14-P14)/P14</f>
        <v>104.8979925680614</v>
      </c>
      <c r="Z2" s="1">
        <f>(Z14-R14)/R14</f>
        <v>0.4251875786436487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9</v>
      </c>
      <c r="C4" s="4">
        <v>63</v>
      </c>
      <c r="D4" s="23">
        <v>55134.051797088017</v>
      </c>
      <c r="E4" s="33">
        <v>0.2672719580004923</v>
      </c>
      <c r="F4" s="5">
        <v>2</v>
      </c>
      <c r="G4" s="23">
        <v>95</v>
      </c>
      <c r="H4" s="33">
        <v>71.900109558516547</v>
      </c>
      <c r="I4" s="23">
        <v>44.391014625786966</v>
      </c>
      <c r="J4" s="5">
        <v>1970.8688068957047</v>
      </c>
      <c r="K4" s="31"/>
      <c r="L4" s="23">
        <v>62438.023667139867</v>
      </c>
      <c r="M4" s="33">
        <v>0.35376691700002988</v>
      </c>
      <c r="N4" s="5">
        <v>3</v>
      </c>
      <c r="O4" s="5">
        <v>85</v>
      </c>
      <c r="P4" s="33">
        <v>0.79429139750649291</v>
      </c>
      <c r="Q4" s="5">
        <v>23.37044099882856</v>
      </c>
      <c r="R4" s="5">
        <v>1409.493223182963</v>
      </c>
      <c r="S4" s="31"/>
      <c r="T4" s="23">
        <v>68652.761840171894</v>
      </c>
      <c r="U4" s="33">
        <v>0.3857820420016651</v>
      </c>
      <c r="V4" s="5">
        <v>2</v>
      </c>
      <c r="W4" s="5">
        <v>80</v>
      </c>
      <c r="X4" s="33">
        <v>157.9268953342129</v>
      </c>
      <c r="Y4" s="5">
        <v>57.820050061553907</v>
      </c>
      <c r="Z4" s="5">
        <v>2306.1383875579008</v>
      </c>
      <c r="AA4" s="35"/>
    </row>
    <row r="5" spans="2:27" x14ac:dyDescent="0.2">
      <c r="B5" s="4">
        <v>1</v>
      </c>
      <c r="C5" s="4">
        <v>296</v>
      </c>
      <c r="D5" s="23">
        <v>55134.051797088017</v>
      </c>
      <c r="E5" s="33">
        <v>0.5226761659996555</v>
      </c>
      <c r="F5" s="5">
        <v>2</v>
      </c>
      <c r="G5" s="23">
        <v>95</v>
      </c>
      <c r="H5" s="33">
        <v>71.900109558516547</v>
      </c>
      <c r="I5" s="23">
        <v>44.391014625786966</v>
      </c>
      <c r="J5" s="5">
        <v>1970.8688068957047</v>
      </c>
      <c r="K5" s="31"/>
      <c r="L5" s="23">
        <v>62433.919800040341</v>
      </c>
      <c r="M5" s="33">
        <v>0.36116674999720999</v>
      </c>
      <c r="N5" s="5">
        <v>3</v>
      </c>
      <c r="O5" s="5">
        <v>85</v>
      </c>
      <c r="P5" s="33">
        <v>0.79429139750649291</v>
      </c>
      <c r="Q5" s="5">
        <v>22.835696796855469</v>
      </c>
      <c r="R5" s="5">
        <v>1393.615100365849</v>
      </c>
      <c r="S5" s="31"/>
      <c r="T5" s="23">
        <v>67957.927272358298</v>
      </c>
      <c r="U5" s="33">
        <v>0.4816370829976222</v>
      </c>
      <c r="V5" s="5">
        <v>3</v>
      </c>
      <c r="W5" s="5">
        <v>85</v>
      </c>
      <c r="X5" s="33">
        <v>84.113864510017692</v>
      </c>
      <c r="Y5" s="5">
        <v>43.490992204269318</v>
      </c>
      <c r="Z5" s="5">
        <v>1996.668235195508</v>
      </c>
      <c r="AA5" s="35"/>
    </row>
    <row r="6" spans="2:27" x14ac:dyDescent="0.2">
      <c r="B6" s="4">
        <v>6</v>
      </c>
      <c r="C6" s="4">
        <v>310</v>
      </c>
      <c r="D6" s="23">
        <v>55134.051797088017</v>
      </c>
      <c r="E6" s="33">
        <v>0.38556512499962992</v>
      </c>
      <c r="F6" s="5">
        <v>2</v>
      </c>
      <c r="G6" s="23">
        <v>95</v>
      </c>
      <c r="H6" s="33">
        <v>71.900109558516547</v>
      </c>
      <c r="I6" s="23">
        <v>44.391014625786966</v>
      </c>
      <c r="J6" s="5">
        <v>1970.8688068957047</v>
      </c>
      <c r="K6" s="31"/>
      <c r="L6" s="23">
        <v>62399.415485577207</v>
      </c>
      <c r="M6" s="33">
        <v>0.56338837500152295</v>
      </c>
      <c r="N6" s="5">
        <v>3</v>
      </c>
      <c r="O6" s="5">
        <v>85</v>
      </c>
      <c r="P6" s="33">
        <v>0.79429139750649291</v>
      </c>
      <c r="Q6" s="5">
        <v>22.877149835768108</v>
      </c>
      <c r="R6" s="5">
        <v>1393.878792049419</v>
      </c>
      <c r="S6" s="31"/>
      <c r="T6" s="23">
        <v>68967.093371877985</v>
      </c>
      <c r="U6" s="33">
        <v>0.45233262499823468</v>
      </c>
      <c r="V6" s="5">
        <v>2</v>
      </c>
      <c r="W6" s="5">
        <v>70</v>
      </c>
      <c r="X6" s="33">
        <v>30.58135166940297</v>
      </c>
      <c r="Y6" s="5">
        <v>43.170350129457333</v>
      </c>
      <c r="Z6" s="5">
        <v>1871.869470661866</v>
      </c>
      <c r="AA6" s="35"/>
    </row>
    <row r="7" spans="2:27" x14ac:dyDescent="0.2">
      <c r="B7" s="4">
        <v>2</v>
      </c>
      <c r="C7" s="4">
        <v>327</v>
      </c>
      <c r="D7" s="23">
        <v>55134.051797088017</v>
      </c>
      <c r="E7" s="33">
        <v>0.3527894999988348</v>
      </c>
      <c r="F7" s="5">
        <v>2</v>
      </c>
      <c r="G7" s="23">
        <v>95</v>
      </c>
      <c r="H7" s="33">
        <v>71.900109558516547</v>
      </c>
      <c r="I7" s="23">
        <v>44.391014625786966</v>
      </c>
      <c r="J7" s="5">
        <v>1970.8688068957047</v>
      </c>
      <c r="K7" s="31"/>
      <c r="L7" s="23">
        <v>62975.540065091081</v>
      </c>
      <c r="M7" s="33">
        <v>0.34465295799964218</v>
      </c>
      <c r="N7" s="5">
        <v>3</v>
      </c>
      <c r="O7" s="5">
        <v>85</v>
      </c>
      <c r="P7" s="33">
        <v>0.79429139750649291</v>
      </c>
      <c r="Q7" s="5">
        <v>23.123795417298329</v>
      </c>
      <c r="R7" s="5">
        <v>1434.409836887424</v>
      </c>
      <c r="S7" s="31"/>
      <c r="T7" s="23">
        <v>68302.810421538074</v>
      </c>
      <c r="U7" s="33">
        <v>0.48176400000011199</v>
      </c>
      <c r="V7" s="5">
        <v>3</v>
      </c>
      <c r="W7" s="5">
        <v>85</v>
      </c>
      <c r="X7" s="33">
        <v>84.113864510017692</v>
      </c>
      <c r="Y7" s="5">
        <v>40.726155598608088</v>
      </c>
      <c r="Z7" s="5">
        <v>1973.661883436567</v>
      </c>
      <c r="AA7" s="35"/>
    </row>
    <row r="8" spans="2:27" x14ac:dyDescent="0.2">
      <c r="B8" s="4">
        <v>3</v>
      </c>
      <c r="C8" s="4">
        <v>371</v>
      </c>
      <c r="D8" s="23">
        <v>55134.051797088017</v>
      </c>
      <c r="E8" s="33">
        <v>0.312043709000136</v>
      </c>
      <c r="F8" s="5">
        <v>2</v>
      </c>
      <c r="G8" s="23">
        <v>95</v>
      </c>
      <c r="H8" s="33">
        <v>71.900109558516547</v>
      </c>
      <c r="I8" s="23">
        <v>44.391014625786966</v>
      </c>
      <c r="J8" s="5">
        <v>1970.8688068957047</v>
      </c>
      <c r="K8" s="31"/>
      <c r="L8" s="23">
        <v>62368.695919369697</v>
      </c>
      <c r="M8" s="33">
        <v>0.42058637499940232</v>
      </c>
      <c r="N8" s="5">
        <v>3</v>
      </c>
      <c r="O8" s="5">
        <v>85</v>
      </c>
      <c r="P8" s="33">
        <v>0.79429139750649291</v>
      </c>
      <c r="Q8" s="5">
        <v>23.19012027955856</v>
      </c>
      <c r="R8" s="5">
        <v>1400.9862737477249</v>
      </c>
      <c r="S8" s="31"/>
      <c r="T8" s="23">
        <v>70619.302364508374</v>
      </c>
      <c r="U8" s="33">
        <v>0.43574995900053182</v>
      </c>
      <c r="V8" s="5">
        <v>2</v>
      </c>
      <c r="W8" s="5">
        <v>80</v>
      </c>
      <c r="X8" s="33">
        <v>241.57581715906889</v>
      </c>
      <c r="Y8" s="5">
        <v>54.161907967382987</v>
      </c>
      <c r="Z8" s="5">
        <v>2328.749129733751</v>
      </c>
      <c r="AA8" s="35"/>
    </row>
    <row r="9" spans="2:27" x14ac:dyDescent="0.2">
      <c r="B9" s="4">
        <v>4</v>
      </c>
      <c r="C9" s="4">
        <v>545</v>
      </c>
      <c r="D9" s="23">
        <v>55134.051797088017</v>
      </c>
      <c r="E9" s="33">
        <v>0.52660833300069498</v>
      </c>
      <c r="F9" s="5">
        <v>2</v>
      </c>
      <c r="G9" s="23">
        <v>95</v>
      </c>
      <c r="H9" s="33">
        <v>71.900109558516547</v>
      </c>
      <c r="I9" s="23">
        <v>44.391014625786966</v>
      </c>
      <c r="J9" s="5">
        <v>1970.8688068957047</v>
      </c>
      <c r="K9" s="31"/>
      <c r="L9" s="23">
        <v>62495.012627309698</v>
      </c>
      <c r="M9" s="33">
        <v>0.39354362499943818</v>
      </c>
      <c r="N9" s="5">
        <v>3</v>
      </c>
      <c r="O9" s="5">
        <v>85</v>
      </c>
      <c r="P9" s="33">
        <v>0.79429139750649291</v>
      </c>
      <c r="Q9" s="5">
        <v>22.591123867270881</v>
      </c>
      <c r="R9" s="5">
        <v>1399.699849914055</v>
      </c>
      <c r="S9" s="31"/>
      <c r="T9" s="23">
        <v>68561.173152441334</v>
      </c>
      <c r="U9" s="33">
        <v>0.284708999999566</v>
      </c>
      <c r="V9" s="5">
        <v>3</v>
      </c>
      <c r="W9" s="5">
        <v>90</v>
      </c>
      <c r="X9" s="33">
        <v>157.33895754984729</v>
      </c>
      <c r="Y9" s="5">
        <v>47.030638489871151</v>
      </c>
      <c r="Z9" s="5">
        <v>2214.675627338956</v>
      </c>
      <c r="AA9" s="35"/>
    </row>
    <row r="10" spans="2:27" x14ac:dyDescent="0.2">
      <c r="B10" s="4">
        <v>10</v>
      </c>
      <c r="C10" s="4">
        <v>604</v>
      </c>
      <c r="D10" s="23">
        <v>55134.051797088017</v>
      </c>
      <c r="E10" s="33">
        <v>0.59907033300078183</v>
      </c>
      <c r="F10" s="5">
        <v>2</v>
      </c>
      <c r="G10" s="23">
        <v>95</v>
      </c>
      <c r="H10" s="33">
        <v>71.900109558516547</v>
      </c>
      <c r="I10" s="23">
        <v>44.391014625786966</v>
      </c>
      <c r="J10" s="5">
        <v>1970.8688068957047</v>
      </c>
      <c r="K10" s="31"/>
      <c r="L10" s="23">
        <v>62368.695919369697</v>
      </c>
      <c r="M10" s="33">
        <v>0.30087191599886859</v>
      </c>
      <c r="N10" s="5">
        <v>3</v>
      </c>
      <c r="O10" s="5">
        <v>85</v>
      </c>
      <c r="P10" s="33">
        <v>0.79429139750649291</v>
      </c>
      <c r="Q10" s="5">
        <v>23.19012027955856</v>
      </c>
      <c r="R10" s="5">
        <v>1400.9862737477249</v>
      </c>
      <c r="S10" s="31"/>
      <c r="T10" s="23">
        <v>68837.942031384227</v>
      </c>
      <c r="U10" s="33">
        <v>0.41327641700263479</v>
      </c>
      <c r="V10" s="5">
        <v>3</v>
      </c>
      <c r="W10" s="5">
        <v>85</v>
      </c>
      <c r="X10" s="33">
        <v>107.8745475352094</v>
      </c>
      <c r="Y10" s="5">
        <v>44.35343334393157</v>
      </c>
      <c r="Z10" s="5">
        <v>2054.2460280869232</v>
      </c>
      <c r="AA10" s="35"/>
    </row>
    <row r="11" spans="2:27" x14ac:dyDescent="0.2">
      <c r="B11" s="4">
        <v>7</v>
      </c>
      <c r="C11" s="4">
        <v>748</v>
      </c>
      <c r="D11" s="23">
        <v>55134.051797088017</v>
      </c>
      <c r="E11" s="33">
        <v>0.31861512499926897</v>
      </c>
      <c r="F11" s="5">
        <v>2</v>
      </c>
      <c r="G11" s="23">
        <v>95</v>
      </c>
      <c r="H11" s="33">
        <v>71.900109558516547</v>
      </c>
      <c r="I11" s="23">
        <v>44.391014625786966</v>
      </c>
      <c r="J11" s="5">
        <v>1970.8688068957047</v>
      </c>
      <c r="K11" s="31"/>
      <c r="L11" s="23">
        <v>62413.90389576817</v>
      </c>
      <c r="M11" s="33">
        <v>0.40358995800124831</v>
      </c>
      <c r="N11" s="5">
        <v>3</v>
      </c>
      <c r="O11" s="5">
        <v>85</v>
      </c>
      <c r="P11" s="33">
        <v>0.79429139750649291</v>
      </c>
      <c r="Q11" s="5">
        <v>23.687556746510271</v>
      </c>
      <c r="R11" s="5">
        <v>1404.41313327438</v>
      </c>
      <c r="S11" s="31"/>
      <c r="T11" s="23">
        <v>68231.594878735981</v>
      </c>
      <c r="U11" s="33">
        <v>0.64756950000082725</v>
      </c>
      <c r="V11" s="5">
        <v>3</v>
      </c>
      <c r="W11" s="5">
        <v>85</v>
      </c>
      <c r="X11" s="33">
        <v>91.994698412782697</v>
      </c>
      <c r="Y11" s="5">
        <v>43.440745307222478</v>
      </c>
      <c r="Z11" s="5">
        <v>2019.6797129060981</v>
      </c>
      <c r="AA11" s="35"/>
    </row>
    <row r="12" spans="2:27" x14ac:dyDescent="0.2">
      <c r="B12" s="4">
        <v>5</v>
      </c>
      <c r="C12" s="4">
        <v>885</v>
      </c>
      <c r="D12" s="23">
        <v>55134.051797088017</v>
      </c>
      <c r="E12" s="33">
        <v>0.39395962500020693</v>
      </c>
      <c r="F12" s="5">
        <v>2</v>
      </c>
      <c r="G12" s="23">
        <v>95</v>
      </c>
      <c r="H12" s="33">
        <v>71.900109558516547</v>
      </c>
      <c r="I12" s="23">
        <v>44.391014625786966</v>
      </c>
      <c r="J12" s="5">
        <v>1970.8688068957047</v>
      </c>
      <c r="K12" s="31"/>
      <c r="L12" s="23">
        <v>62391.389134171608</v>
      </c>
      <c r="M12" s="33">
        <v>0.52617591599846492</v>
      </c>
      <c r="N12" s="5">
        <v>3</v>
      </c>
      <c r="O12" s="5">
        <v>85</v>
      </c>
      <c r="P12" s="33">
        <v>0.79429139750649291</v>
      </c>
      <c r="Q12" s="5">
        <v>23.204628843177979</v>
      </c>
      <c r="R12" s="5">
        <v>1402.093648497352</v>
      </c>
      <c r="S12" s="31"/>
      <c r="T12" s="23">
        <v>68652.761840171894</v>
      </c>
      <c r="U12" s="33">
        <v>0.47435037499963068</v>
      </c>
      <c r="V12" s="5">
        <v>2</v>
      </c>
      <c r="W12" s="5">
        <v>80</v>
      </c>
      <c r="X12" s="33">
        <v>157.9268953342129</v>
      </c>
      <c r="Y12" s="5">
        <v>57.820050061553907</v>
      </c>
      <c r="Z12" s="5">
        <v>2306.1383875579008</v>
      </c>
      <c r="AA12" s="35"/>
    </row>
    <row r="13" spans="2:27" x14ac:dyDescent="0.2">
      <c r="B13" s="4">
        <v>8</v>
      </c>
      <c r="C13" s="4">
        <v>888</v>
      </c>
      <c r="D13" s="23">
        <v>55134.051797088017</v>
      </c>
      <c r="E13" s="33">
        <v>0.47639766600150318</v>
      </c>
      <c r="F13" s="5">
        <v>2</v>
      </c>
      <c r="G13" s="23">
        <v>95</v>
      </c>
      <c r="H13" s="33">
        <v>71.900109558516547</v>
      </c>
      <c r="I13" s="23">
        <v>44.391014625786966</v>
      </c>
      <c r="J13" s="5">
        <v>1970.8688068957047</v>
      </c>
      <c r="K13" s="31"/>
      <c r="L13" s="23">
        <v>62368.695919369697</v>
      </c>
      <c r="M13" s="33">
        <v>0.50891741600207752</v>
      </c>
      <c r="N13" s="5">
        <v>3</v>
      </c>
      <c r="O13" s="5">
        <v>85</v>
      </c>
      <c r="P13" s="33">
        <v>0.79429139750649291</v>
      </c>
      <c r="Q13" s="5">
        <v>23.19012027955856</v>
      </c>
      <c r="R13" s="5">
        <v>1400.9862737477249</v>
      </c>
      <c r="S13" s="31"/>
      <c r="T13" s="23">
        <v>68932.7046108137</v>
      </c>
      <c r="U13" s="33">
        <v>0.65404858300098567</v>
      </c>
      <c r="V13" s="5">
        <v>3</v>
      </c>
      <c r="W13" s="5">
        <v>85</v>
      </c>
      <c r="X13" s="33">
        <v>100.01885265867919</v>
      </c>
      <c r="Y13" s="5">
        <v>42.671545989767822</v>
      </c>
      <c r="Z13" s="5">
        <v>2032.1329747973421</v>
      </c>
      <c r="AA13" s="35"/>
    </row>
    <row r="14" spans="2:27" x14ac:dyDescent="0.2">
      <c r="B14" s="46" t="s">
        <v>3</v>
      </c>
      <c r="C14" s="47"/>
      <c r="D14" s="9">
        <f>MIN(D4:D13)</f>
        <v>55134.051797088017</v>
      </c>
      <c r="E14" s="22">
        <f>INDEX(E4:E13, MATCH($D$14, D4:D13, 0))</f>
        <v>0.2672719580004923</v>
      </c>
      <c r="F14" s="9">
        <f>INDEX(F4:F13, MATCH($D$14, D4:D13, 0))</f>
        <v>2</v>
      </c>
      <c r="G14" s="9">
        <f>INDEX(G4:G13, MATCH($D$14, D4:D13, 0))</f>
        <v>95</v>
      </c>
      <c r="H14" s="22">
        <f>INDEX(H4:H13, MATCH($D$14, D4:D13, 0))</f>
        <v>71.900109558516547</v>
      </c>
      <c r="I14" s="22">
        <f>INDEX(I4:I13, MATCH($D$14, D4:D13, 0))</f>
        <v>44.391014625786966</v>
      </c>
      <c r="J14" s="22">
        <f>INDEX(J4:J13, MATCH($D$14, D4:D13, 0))</f>
        <v>1970.8688068957047</v>
      </c>
      <c r="K14" s="32">
        <f>(D14-$D$15)/$D$15</f>
        <v>0</v>
      </c>
      <c r="L14" s="16">
        <f>MIN(L4:L13)</f>
        <v>62368.695919369697</v>
      </c>
      <c r="M14" s="21">
        <f>INDEX(M4:M13, MATCH($L$14, L4:L13, 0))</f>
        <v>0.42058637499940232</v>
      </c>
      <c r="N14" s="16">
        <f>INDEX(N4:N13, MATCH($L$14, L4:L13, 0))</f>
        <v>3</v>
      </c>
      <c r="O14" s="16">
        <f>INDEX(O4:O13, MATCH($L$14, L4:L13, 0))</f>
        <v>85</v>
      </c>
      <c r="P14" s="21">
        <f>INDEX(P4:P13, MATCH($L$14, L4:L13, 0))</f>
        <v>0.79429139750649291</v>
      </c>
      <c r="Q14" s="21">
        <f>INDEX(Q4:Q13, MATCH($L$14, L4:L13, 0))</f>
        <v>23.19012027955856</v>
      </c>
      <c r="R14" s="21">
        <f>INDEX(R4:R13, MATCH($L$14, L4:L13, 0))</f>
        <v>1400.9862737477249</v>
      </c>
      <c r="S14" s="36">
        <f>(L14-$D$15)/$D$15</f>
        <v>0.13121916286703578</v>
      </c>
      <c r="T14" s="38">
        <f>MIN(T4:T13)</f>
        <v>67957.927272358298</v>
      </c>
      <c r="U14" s="39">
        <f>INDEX(U4:U13, MATCH($T$14, T4:T13, 0))</f>
        <v>0.4816370829976222</v>
      </c>
      <c r="V14" s="38">
        <f>INDEX(V4:V13, MATCH($T$14, T4:T13, 0))</f>
        <v>3</v>
      </c>
      <c r="W14" s="38">
        <f>INDEX(W4:W13, MATCH($T$14, T4:T13, 0))</f>
        <v>85</v>
      </c>
      <c r="X14" s="39">
        <f>INDEX(X4:X13, MATCH($T$14, T4:T13, 0))</f>
        <v>84.113864510017692</v>
      </c>
      <c r="Y14" s="39">
        <f>INDEX(Y4:Y13, MATCH($T$14, T4:T13, 0))</f>
        <v>43.490992204269318</v>
      </c>
      <c r="Z14" s="39">
        <f>INDEX(Z4:Z13, MATCH($T$14, T4:T13, 0))</f>
        <v>1996.668235195508</v>
      </c>
      <c r="AA14" s="40">
        <f>(T14-$D$15)/$D$15</f>
        <v>0.23259446852312771</v>
      </c>
    </row>
    <row r="15" spans="2:27" x14ac:dyDescent="0.2">
      <c r="C15" s="1" t="s">
        <v>17</v>
      </c>
      <c r="D15" s="34">
        <v>55134.051797088017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91" priority="5"/>
    <cfRule type="duplicateValues" dxfId="90" priority="6"/>
  </conditionalFormatting>
  <conditionalFormatting sqref="C15:C16 C31:C1048576 C1:C13">
    <cfRule type="duplicateValues" dxfId="89" priority="13"/>
    <cfRule type="duplicateValues" dxfId="88" priority="14"/>
  </conditionalFormatting>
  <conditionalFormatting sqref="C18:C30">
    <cfRule type="duplicateValues" dxfId="15" priority="3"/>
    <cfRule type="duplicateValues" dxfId="14" priority="4"/>
  </conditionalFormatting>
  <conditionalFormatting sqref="C1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2FEF-F5D2-C04D-BE53-F41EEC74E739}">
  <dimension ref="B1:AA17"/>
  <sheetViews>
    <sheetView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 t="e">
        <f>(Q14-H14)/H14</f>
        <v>#DIV/0!</v>
      </c>
      <c r="J2" s="28">
        <f>(S14-J14)/J14</f>
        <v>-0.9998485332041791</v>
      </c>
      <c r="K2" s="28"/>
      <c r="L2" s="1" t="s">
        <v>19</v>
      </c>
      <c r="P2" s="1" t="e">
        <f>(P14-H14)/H14</f>
        <v>#DIV/0!</v>
      </c>
      <c r="R2" s="1">
        <f>(R14-J14)/J14</f>
        <v>-0.22805388501853954</v>
      </c>
      <c r="T2" s="1" t="s">
        <v>20</v>
      </c>
      <c r="X2" s="1" t="e">
        <f>(X14-P14)/P14</f>
        <v>#DIV/0!</v>
      </c>
      <c r="Z2" s="1">
        <f>(Z14-R14)/R14</f>
        <v>0.4896718264183435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25</v>
      </c>
      <c r="D4" s="23">
        <v>51743.509363671968</v>
      </c>
      <c r="E4" s="33">
        <v>0.3551784579995001</v>
      </c>
      <c r="F4" s="5">
        <v>2</v>
      </c>
      <c r="G4" s="23">
        <v>90</v>
      </c>
      <c r="H4" s="33">
        <v>0</v>
      </c>
      <c r="I4" s="23">
        <v>21.94849358753347</v>
      </c>
      <c r="J4" s="5">
        <v>1397.9190698859372</v>
      </c>
      <c r="K4" s="31"/>
      <c r="L4" s="23">
        <v>63446.650944242603</v>
      </c>
      <c r="M4" s="33">
        <v>0.29336137500285991</v>
      </c>
      <c r="N4" s="5">
        <v>3</v>
      </c>
      <c r="O4" s="5">
        <v>80</v>
      </c>
      <c r="P4" s="33">
        <v>0</v>
      </c>
      <c r="Q4" s="5">
        <v>16.549030900615531</v>
      </c>
      <c r="R4" s="5">
        <v>1076.9534070724169</v>
      </c>
      <c r="S4" s="31"/>
      <c r="T4" s="23">
        <v>58422.256800214287</v>
      </c>
      <c r="U4" s="33">
        <v>0.83126716699916869</v>
      </c>
      <c r="V4" s="5">
        <v>3</v>
      </c>
      <c r="W4" s="5">
        <v>90</v>
      </c>
      <c r="X4" s="33">
        <v>0</v>
      </c>
      <c r="Y4" s="5">
        <v>38.248148377033267</v>
      </c>
      <c r="Z4" s="5">
        <v>1607.531972551747</v>
      </c>
      <c r="AA4" s="35"/>
    </row>
    <row r="5" spans="2:27" x14ac:dyDescent="0.2">
      <c r="B5" s="4">
        <v>2</v>
      </c>
      <c r="C5" s="4">
        <v>60</v>
      </c>
      <c r="D5" s="23">
        <v>51743.509363671968</v>
      </c>
      <c r="E5" s="33">
        <v>1.2752955000014481</v>
      </c>
      <c r="F5" s="5">
        <v>2</v>
      </c>
      <c r="G5" s="23">
        <v>90</v>
      </c>
      <c r="H5" s="33">
        <v>0</v>
      </c>
      <c r="I5" s="23">
        <v>21.94849358753347</v>
      </c>
      <c r="J5" s="5">
        <v>1397.9190698859372</v>
      </c>
      <c r="K5" s="31"/>
      <c r="L5" s="23">
        <v>63990.956324243292</v>
      </c>
      <c r="M5" s="33">
        <v>0.78869870899870875</v>
      </c>
      <c r="N5" s="5">
        <v>3</v>
      </c>
      <c r="O5" s="5">
        <v>80</v>
      </c>
      <c r="P5" s="33">
        <v>0</v>
      </c>
      <c r="Q5" s="5">
        <v>16.900689016584622</v>
      </c>
      <c r="R5" s="5">
        <v>1126.565535261263</v>
      </c>
      <c r="S5" s="31"/>
      <c r="T5" s="23">
        <v>59109.132286225999</v>
      </c>
      <c r="U5" s="33">
        <v>0.62622912499864469</v>
      </c>
      <c r="V5" s="5">
        <v>3</v>
      </c>
      <c r="W5" s="5">
        <v>90</v>
      </c>
      <c r="X5" s="33">
        <v>0</v>
      </c>
      <c r="Y5" s="5">
        <v>35.991173373951739</v>
      </c>
      <c r="Z5" s="5">
        <v>1620.510036252794</v>
      </c>
      <c r="AA5" s="35"/>
    </row>
    <row r="6" spans="2:27" x14ac:dyDescent="0.2">
      <c r="B6" s="4">
        <v>3</v>
      </c>
      <c r="C6" s="4">
        <v>72</v>
      </c>
      <c r="D6" s="23">
        <v>51743.509363671968</v>
      </c>
      <c r="E6" s="33">
        <v>0.55520270799934224</v>
      </c>
      <c r="F6" s="5">
        <v>2</v>
      </c>
      <c r="G6" s="23">
        <v>90</v>
      </c>
      <c r="H6" s="33">
        <v>0</v>
      </c>
      <c r="I6" s="23">
        <v>21.94849358753347</v>
      </c>
      <c r="J6" s="5">
        <v>1397.9190698859372</v>
      </c>
      <c r="K6" s="31"/>
      <c r="L6" s="23">
        <v>63867.433974855943</v>
      </c>
      <c r="M6" s="33">
        <v>0.65034908300003735</v>
      </c>
      <c r="N6" s="5">
        <v>3</v>
      </c>
      <c r="O6" s="5">
        <v>80</v>
      </c>
      <c r="P6" s="33">
        <v>0</v>
      </c>
      <c r="Q6" s="5">
        <v>17.070930566273478</v>
      </c>
      <c r="R6" s="5">
        <v>1115.877005840149</v>
      </c>
      <c r="S6" s="31"/>
      <c r="T6" s="23">
        <v>59451.15342421463</v>
      </c>
      <c r="U6" s="33">
        <v>0.7828960829974676</v>
      </c>
      <c r="V6" s="5">
        <v>3</v>
      </c>
      <c r="W6" s="5">
        <v>90</v>
      </c>
      <c r="X6" s="33">
        <v>29.93340271170938</v>
      </c>
      <c r="Y6" s="5">
        <v>37.806752367451502</v>
      </c>
      <c r="Z6" s="5">
        <v>1630.8620596783969</v>
      </c>
      <c r="AA6" s="35"/>
    </row>
    <row r="7" spans="2:27" x14ac:dyDescent="0.2">
      <c r="B7" s="4">
        <v>4</v>
      </c>
      <c r="C7" s="4">
        <v>437</v>
      </c>
      <c r="D7" s="23">
        <v>51743.509363671968</v>
      </c>
      <c r="E7" s="33">
        <v>0.30259116700108279</v>
      </c>
      <c r="F7" s="5">
        <v>2</v>
      </c>
      <c r="G7" s="23">
        <v>90</v>
      </c>
      <c r="H7" s="33">
        <v>0</v>
      </c>
      <c r="I7" s="23">
        <v>21.94849358753347</v>
      </c>
      <c r="J7" s="5">
        <v>1397.9190698859372</v>
      </c>
      <c r="K7" s="31"/>
      <c r="L7" s="23">
        <v>63660.274402640993</v>
      </c>
      <c r="M7" s="33">
        <v>0.2225002920022234</v>
      </c>
      <c r="N7" s="5">
        <v>3</v>
      </c>
      <c r="O7" s="5">
        <v>80</v>
      </c>
      <c r="P7" s="33">
        <v>0</v>
      </c>
      <c r="Q7" s="5">
        <v>18.272187175704051</v>
      </c>
      <c r="R7" s="5">
        <v>1101.023991393864</v>
      </c>
      <c r="S7" s="31"/>
      <c r="T7" s="23">
        <v>59021.909052941737</v>
      </c>
      <c r="U7" s="33">
        <v>0.46275291699930682</v>
      </c>
      <c r="V7" s="5">
        <v>3</v>
      </c>
      <c r="W7" s="5">
        <v>90</v>
      </c>
      <c r="X7" s="33">
        <v>0</v>
      </c>
      <c r="Y7" s="5">
        <v>36.584969065451041</v>
      </c>
      <c r="Z7" s="5">
        <v>1610.8852924013891</v>
      </c>
      <c r="AA7" s="35"/>
    </row>
    <row r="8" spans="2:27" x14ac:dyDescent="0.2">
      <c r="B8" s="4">
        <v>5</v>
      </c>
      <c r="C8" s="4">
        <v>501</v>
      </c>
      <c r="D8" s="23">
        <v>52144.928282205983</v>
      </c>
      <c r="E8" s="33">
        <v>0.42044816599991458</v>
      </c>
      <c r="F8" s="5">
        <v>2</v>
      </c>
      <c r="G8" s="23">
        <v>90</v>
      </c>
      <c r="H8" s="33">
        <v>0</v>
      </c>
      <c r="I8" s="23">
        <v>22.078231620497299</v>
      </c>
      <c r="J8" s="5">
        <v>1400.7577795633563</v>
      </c>
      <c r="K8" s="31"/>
      <c r="L8" s="23">
        <v>63332.071796781922</v>
      </c>
      <c r="M8" s="33">
        <v>0.50264987499758718</v>
      </c>
      <c r="N8" s="5">
        <v>3</v>
      </c>
      <c r="O8" s="5">
        <v>80</v>
      </c>
      <c r="P8" s="33">
        <v>0</v>
      </c>
      <c r="Q8" s="5">
        <v>19.387390597268411</v>
      </c>
      <c r="R8" s="5">
        <v>1113.063952300434</v>
      </c>
      <c r="S8" s="31"/>
      <c r="T8" s="23">
        <v>60944.175215599447</v>
      </c>
      <c r="U8" s="33">
        <v>0.383147332999215</v>
      </c>
      <c r="V8" s="5">
        <v>2</v>
      </c>
      <c r="W8" s="5">
        <v>90</v>
      </c>
      <c r="X8" s="33">
        <v>68.660640707772018</v>
      </c>
      <c r="Y8" s="5">
        <v>34.344850012077572</v>
      </c>
      <c r="Z8" s="5">
        <v>1953.3774159349491</v>
      </c>
      <c r="AA8" s="35"/>
    </row>
    <row r="9" spans="2:27" x14ac:dyDescent="0.2">
      <c r="B9" s="4">
        <v>6</v>
      </c>
      <c r="C9" s="4">
        <v>517</v>
      </c>
      <c r="D9" s="23">
        <v>51743.509363671968</v>
      </c>
      <c r="E9" s="33">
        <v>0.8850839159986208</v>
      </c>
      <c r="F9" s="5">
        <v>2</v>
      </c>
      <c r="G9" s="23">
        <v>90</v>
      </c>
      <c r="H9" s="33">
        <v>0</v>
      </c>
      <c r="I9" s="23">
        <v>21.94849358753347</v>
      </c>
      <c r="J9" s="5">
        <v>1397.9190698859372</v>
      </c>
      <c r="K9" s="31"/>
      <c r="L9" s="23">
        <v>63436.369225807532</v>
      </c>
      <c r="M9" s="33">
        <v>0.62782370800050558</v>
      </c>
      <c r="N9" s="5">
        <v>3</v>
      </c>
      <c r="O9" s="5">
        <v>80</v>
      </c>
      <c r="P9" s="33">
        <v>0</v>
      </c>
      <c r="Q9" s="5">
        <v>17.250125327266879</v>
      </c>
      <c r="R9" s="5">
        <v>1107.747495532004</v>
      </c>
      <c r="S9" s="31"/>
      <c r="T9" s="23">
        <v>58422.256800214287</v>
      </c>
      <c r="U9" s="33">
        <v>0.49280324999926961</v>
      </c>
      <c r="V9" s="5">
        <v>3</v>
      </c>
      <c r="W9" s="5">
        <v>90</v>
      </c>
      <c r="X9" s="33">
        <v>0</v>
      </c>
      <c r="Y9" s="5">
        <v>38.248148377033267</v>
      </c>
      <c r="Z9" s="5">
        <v>1607.531972551747</v>
      </c>
      <c r="AA9" s="35"/>
    </row>
    <row r="10" spans="2:27" x14ac:dyDescent="0.2">
      <c r="B10" s="4">
        <v>7</v>
      </c>
      <c r="C10" s="4">
        <v>645</v>
      </c>
      <c r="D10" s="23">
        <v>51948.512140740568</v>
      </c>
      <c r="E10" s="33">
        <v>0.3710544999994454</v>
      </c>
      <c r="F10" s="5">
        <v>2</v>
      </c>
      <c r="G10" s="23">
        <v>90</v>
      </c>
      <c r="H10" s="33">
        <v>0</v>
      </c>
      <c r="I10" s="23">
        <v>22.569115477504919</v>
      </c>
      <c r="J10" s="5">
        <v>1416.9997839194543</v>
      </c>
      <c r="K10" s="31"/>
      <c r="L10" s="23">
        <v>62937.33403246216</v>
      </c>
      <c r="M10" s="33">
        <v>0.31912741599808209</v>
      </c>
      <c r="N10" s="5">
        <v>3</v>
      </c>
      <c r="O10" s="5">
        <v>80</v>
      </c>
      <c r="P10" s="33">
        <v>0</v>
      </c>
      <c r="Q10" s="5">
        <v>16.880580735456292</v>
      </c>
      <c r="R10" s="5">
        <v>1079.4821045127051</v>
      </c>
      <c r="S10" s="31"/>
      <c r="T10" s="23">
        <v>60395.08923751855</v>
      </c>
      <c r="U10" s="33">
        <v>0.40617787500013952</v>
      </c>
      <c r="V10" s="5">
        <v>2</v>
      </c>
      <c r="W10" s="5">
        <v>85</v>
      </c>
      <c r="X10" s="33">
        <v>27.576059941153702</v>
      </c>
      <c r="Y10" s="5">
        <v>31.327431598732218</v>
      </c>
      <c r="Z10" s="5">
        <v>1772.7405270804329</v>
      </c>
      <c r="AA10" s="35"/>
    </row>
    <row r="11" spans="2:27" x14ac:dyDescent="0.2">
      <c r="B11" s="4">
        <v>8</v>
      </c>
      <c r="C11" s="4">
        <v>831</v>
      </c>
      <c r="D11" s="23">
        <v>51743.509363671968</v>
      </c>
      <c r="E11" s="33">
        <v>0.66735425000115356</v>
      </c>
      <c r="F11" s="5">
        <v>2</v>
      </c>
      <c r="G11" s="23">
        <v>90</v>
      </c>
      <c r="H11" s="33">
        <v>0</v>
      </c>
      <c r="I11" s="23">
        <v>21.94849358753347</v>
      </c>
      <c r="J11" s="5">
        <v>1397.9190698859372</v>
      </c>
      <c r="K11" s="31"/>
      <c r="L11" s="23">
        <v>62699.593227938109</v>
      </c>
      <c r="M11" s="33">
        <v>0.49503349999940838</v>
      </c>
      <c r="N11" s="5">
        <v>3</v>
      </c>
      <c r="O11" s="5">
        <v>80</v>
      </c>
      <c r="P11" s="33">
        <v>0</v>
      </c>
      <c r="Q11" s="5">
        <v>17.703202270754709</v>
      </c>
      <c r="R11" s="5">
        <v>1079.118195056946</v>
      </c>
      <c r="S11" s="31"/>
      <c r="T11" s="23">
        <v>59021.909052941737</v>
      </c>
      <c r="U11" s="33">
        <v>0.80883566599732148</v>
      </c>
      <c r="V11" s="5">
        <v>3</v>
      </c>
      <c r="W11" s="5">
        <v>90</v>
      </c>
      <c r="X11" s="33">
        <v>0</v>
      </c>
      <c r="Y11" s="5">
        <v>36.584969065451041</v>
      </c>
      <c r="Z11" s="5">
        <v>1610.8852924013891</v>
      </c>
      <c r="AA11" s="35"/>
    </row>
    <row r="12" spans="2:27" x14ac:dyDescent="0.2">
      <c r="B12" s="4">
        <v>9</v>
      </c>
      <c r="C12" s="4">
        <v>833</v>
      </c>
      <c r="D12" s="23">
        <v>51743.509363671968</v>
      </c>
      <c r="E12" s="33">
        <v>0.56593008300114889</v>
      </c>
      <c r="F12" s="5">
        <v>2</v>
      </c>
      <c r="G12" s="23">
        <v>90</v>
      </c>
      <c r="H12" s="33">
        <v>0</v>
      </c>
      <c r="I12" s="23">
        <v>21.94849358753347</v>
      </c>
      <c r="J12" s="5">
        <v>1397.9190698859372</v>
      </c>
      <c r="K12" s="31"/>
      <c r="L12" s="23">
        <v>63015.539483658751</v>
      </c>
      <c r="M12" s="33">
        <v>0.40107316700232332</v>
      </c>
      <c r="N12" s="5">
        <v>3</v>
      </c>
      <c r="O12" s="5">
        <v>80</v>
      </c>
      <c r="P12" s="33">
        <v>0</v>
      </c>
      <c r="Q12" s="5">
        <v>18.53747008559354</v>
      </c>
      <c r="R12" s="5">
        <v>1090.41888397206</v>
      </c>
      <c r="S12" s="31"/>
      <c r="T12" s="23">
        <v>59709.87472413059</v>
      </c>
      <c r="U12" s="33">
        <v>0.5001229580011568</v>
      </c>
      <c r="V12" s="5">
        <v>3</v>
      </c>
      <c r="W12" s="5">
        <v>90</v>
      </c>
      <c r="X12" s="33">
        <v>0</v>
      </c>
      <c r="Y12" s="5">
        <v>39.163952900523128</v>
      </c>
      <c r="Z12" s="5">
        <v>1667.594314611709</v>
      </c>
      <c r="AA12" s="35"/>
    </row>
    <row r="13" spans="2:27" x14ac:dyDescent="0.2">
      <c r="B13" s="4">
        <v>10</v>
      </c>
      <c r="C13" s="4">
        <v>859</v>
      </c>
      <c r="D13" s="23">
        <v>51743.509363671968</v>
      </c>
      <c r="E13" s="33">
        <v>1.237545457999659</v>
      </c>
      <c r="F13" s="5">
        <v>2</v>
      </c>
      <c r="G13" s="23">
        <v>90</v>
      </c>
      <c r="H13" s="33">
        <v>0</v>
      </c>
      <c r="I13" s="23">
        <v>21.94849358753347</v>
      </c>
      <c r="J13" s="5">
        <v>1397.9190698859372</v>
      </c>
      <c r="K13" s="31"/>
      <c r="L13" s="23">
        <v>62894.579966256853</v>
      </c>
      <c r="M13" s="33">
        <v>0.60023866700066719</v>
      </c>
      <c r="N13" s="5">
        <v>3</v>
      </c>
      <c r="O13" s="5">
        <v>80</v>
      </c>
      <c r="P13" s="33">
        <v>0</v>
      </c>
      <c r="Q13" s="5">
        <v>17.43196737555261</v>
      </c>
      <c r="R13" s="5">
        <v>1055.889805143242</v>
      </c>
      <c r="S13" s="31"/>
      <c r="T13" s="23">
        <v>58422.256800214287</v>
      </c>
      <c r="U13" s="33">
        <v>0.88930912500291015</v>
      </c>
      <c r="V13" s="5">
        <v>3</v>
      </c>
      <c r="W13" s="5">
        <v>90</v>
      </c>
      <c r="X13" s="33">
        <v>0</v>
      </c>
      <c r="Y13" s="5">
        <v>38.248148377033267</v>
      </c>
      <c r="Z13" s="5">
        <v>1607.531972551747</v>
      </c>
      <c r="AA13" s="35"/>
    </row>
    <row r="14" spans="2:27" x14ac:dyDescent="0.2">
      <c r="B14" s="46" t="s">
        <v>3</v>
      </c>
      <c r="C14" s="47"/>
      <c r="D14" s="9">
        <f>MIN(D4:D13)</f>
        <v>51743.509363671968</v>
      </c>
      <c r="E14" s="22">
        <f>INDEX(E4:E13, MATCH($D$14, D4:D13, 0))</f>
        <v>0.3551784579995001</v>
      </c>
      <c r="F14" s="9">
        <f>INDEX(F4:F13, MATCH($D$14, D4:D13, 0))</f>
        <v>2</v>
      </c>
      <c r="G14" s="9">
        <f>INDEX(G4:G13, MATCH($D$14, D4:D13, 0))</f>
        <v>90</v>
      </c>
      <c r="H14" s="22">
        <f>INDEX(H4:H13, MATCH($D$14, D4:D13, 0))</f>
        <v>0</v>
      </c>
      <c r="I14" s="22">
        <f>INDEX(I4:I13, MATCH($D$14, D4:D13, 0))</f>
        <v>21.94849358753347</v>
      </c>
      <c r="J14" s="22">
        <f>INDEX(J4:J13, MATCH($D$14, D4:D13, 0))</f>
        <v>1397.9190698859372</v>
      </c>
      <c r="K14" s="32">
        <f>(D14-$D$15)/$D$15</f>
        <v>0</v>
      </c>
      <c r="L14" s="16">
        <f>MIN(L4:L13)</f>
        <v>62699.593227938109</v>
      </c>
      <c r="M14" s="21">
        <f>INDEX(M4:M13, MATCH($L$14, L4:L13, 0))</f>
        <v>0.49503349999940838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17.703202270754709</v>
      </c>
      <c r="R14" s="21">
        <f>INDEX(R4:R13, MATCH($L$14, L4:L13, 0))</f>
        <v>1079.118195056946</v>
      </c>
      <c r="S14" s="36">
        <f>(L14-$D$15)/$D$15</f>
        <v>0.21173832233262047</v>
      </c>
      <c r="T14" s="38">
        <f>MIN(T4:T13)</f>
        <v>58422.256800214287</v>
      </c>
      <c r="U14" s="39">
        <f>INDEX(U4:U13, MATCH($T$14, T4:T13, 0))</f>
        <v>0.83126716699916869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0</v>
      </c>
      <c r="Y14" s="39">
        <f>INDEX(Y4:Y13, MATCH($T$14, T4:T13, 0))</f>
        <v>38.248148377033267</v>
      </c>
      <c r="Z14" s="39">
        <f>INDEX(Z4:Z13, MATCH($T$14, T4:T13, 0))</f>
        <v>1607.531972551747</v>
      </c>
      <c r="AA14" s="40">
        <f>(T14-$D$15)/$D$15</f>
        <v>0.12907411033143659</v>
      </c>
    </row>
    <row r="15" spans="2:27" x14ac:dyDescent="0.2">
      <c r="C15" s="1" t="s">
        <v>17</v>
      </c>
      <c r="D15" s="34">
        <v>51743.509363671968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85" priority="13"/>
    <cfRule type="duplicateValues" dxfId="84" priority="14"/>
  </conditionalFormatting>
  <conditionalFormatting sqref="C14">
    <cfRule type="duplicateValues" dxfId="83" priority="5"/>
    <cfRule type="duplicateValues" dxfId="82" priority="6"/>
  </conditionalFormatting>
  <conditionalFormatting sqref="C18:C30">
    <cfRule type="duplicateValues" dxfId="11" priority="3"/>
    <cfRule type="duplicateValues" dxfId="10" priority="4"/>
  </conditionalFormatting>
  <conditionalFormatting sqref="C1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DD53-CC4B-6E49-98A5-5AF73A7BA897}">
  <dimension ref="B1:AA17"/>
  <sheetViews>
    <sheetView topLeftCell="B1" zoomScale="110" zoomScaleNormal="110" workbookViewId="0">
      <selection activeCell="B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-0.21878580539438083</v>
      </c>
      <c r="J2" s="28">
        <f>(S14-J14)/J14</f>
        <v>-0.99967213379253494</v>
      </c>
      <c r="K2" s="28"/>
      <c r="L2" s="1" t="s">
        <v>19</v>
      </c>
      <c r="P2" s="1">
        <f>(P14-H14)/H14</f>
        <v>-1</v>
      </c>
      <c r="R2" s="1">
        <f>(R14-J14)/J14</f>
        <v>-0.33375114581359255</v>
      </c>
      <c r="T2" s="1" t="s">
        <v>20</v>
      </c>
      <c r="X2" s="1" t="e">
        <f>(X14-P14)/P14</f>
        <v>#DIV/0!</v>
      </c>
      <c r="Z2" s="1">
        <f>(Z14-R14)/R14</f>
        <v>0.61849917612212613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70</v>
      </c>
      <c r="D4" s="23">
        <v>46451.564642973179</v>
      </c>
      <c r="E4" s="33">
        <v>0.79865179199987324</v>
      </c>
      <c r="F4" s="5">
        <v>2</v>
      </c>
      <c r="G4" s="23">
        <v>100</v>
      </c>
      <c r="H4" s="33">
        <v>18.534266869647229</v>
      </c>
      <c r="I4" s="23">
        <v>31.411981728802004</v>
      </c>
      <c r="J4" s="5">
        <v>1525.4432500959065</v>
      </c>
      <c r="K4" s="31"/>
      <c r="L4" s="23">
        <v>71761.309867305768</v>
      </c>
      <c r="M4" s="33">
        <v>0.25474008299715928</v>
      </c>
      <c r="N4" s="5">
        <v>3</v>
      </c>
      <c r="O4" s="5">
        <v>70</v>
      </c>
      <c r="P4" s="33">
        <v>0</v>
      </c>
      <c r="Q4" s="5">
        <v>13.99039358048045</v>
      </c>
      <c r="R4" s="5">
        <v>1072.7325495169091</v>
      </c>
      <c r="S4" s="31"/>
      <c r="T4" s="23">
        <v>61801.058264882427</v>
      </c>
      <c r="U4" s="33">
        <v>0.33710208300180972</v>
      </c>
      <c r="V4" s="5">
        <v>2</v>
      </c>
      <c r="W4" s="5">
        <v>80</v>
      </c>
      <c r="X4" s="33">
        <v>66.490178886841505</v>
      </c>
      <c r="Y4" s="5">
        <v>38.894309606411923</v>
      </c>
      <c r="Z4" s="5">
        <v>1719.626670926114</v>
      </c>
      <c r="AA4" s="35"/>
    </row>
    <row r="5" spans="2:27" x14ac:dyDescent="0.2">
      <c r="B5" s="4">
        <v>9</v>
      </c>
      <c r="C5" s="4">
        <v>76</v>
      </c>
      <c r="D5" s="23">
        <v>46451.564642973179</v>
      </c>
      <c r="E5" s="33">
        <v>0.4806725419985014</v>
      </c>
      <c r="F5" s="5">
        <v>2</v>
      </c>
      <c r="G5" s="23">
        <v>100</v>
      </c>
      <c r="H5" s="33">
        <v>18.534266869647229</v>
      </c>
      <c r="I5" s="23">
        <v>31.411981728802004</v>
      </c>
      <c r="J5" s="5">
        <v>1525.4432500959065</v>
      </c>
      <c r="K5" s="31"/>
      <c r="L5" s="23">
        <v>71737.283789296387</v>
      </c>
      <c r="M5" s="33">
        <v>0.30767525000192109</v>
      </c>
      <c r="N5" s="5">
        <v>3</v>
      </c>
      <c r="O5" s="5">
        <v>70</v>
      </c>
      <c r="P5" s="33">
        <v>0</v>
      </c>
      <c r="Q5" s="5">
        <v>14.401192669705299</v>
      </c>
      <c r="R5" s="5">
        <v>1086.304771949566</v>
      </c>
      <c r="S5" s="31"/>
      <c r="T5" s="23">
        <v>60687.8551993539</v>
      </c>
      <c r="U5" s="33">
        <v>0.32318408300125162</v>
      </c>
      <c r="V5" s="5">
        <v>2</v>
      </c>
      <c r="W5" s="5">
        <v>80</v>
      </c>
      <c r="X5" s="33">
        <v>40.318715015569687</v>
      </c>
      <c r="Y5" s="5">
        <v>36.416135712285673</v>
      </c>
      <c r="Z5" s="5">
        <v>1644.920879800731</v>
      </c>
      <c r="AA5" s="35"/>
    </row>
    <row r="6" spans="2:27" x14ac:dyDescent="0.2">
      <c r="B6" s="4">
        <v>2</v>
      </c>
      <c r="C6" s="4">
        <v>327</v>
      </c>
      <c r="D6" s="23">
        <v>46451.564642973179</v>
      </c>
      <c r="E6" s="33">
        <v>0.3351718339999934</v>
      </c>
      <c r="F6" s="5">
        <v>2</v>
      </c>
      <c r="G6" s="23">
        <v>100</v>
      </c>
      <c r="H6" s="33">
        <v>18.534266869647229</v>
      </c>
      <c r="I6" s="23">
        <v>31.411981728802004</v>
      </c>
      <c r="J6" s="5">
        <v>1525.4432500959065</v>
      </c>
      <c r="K6" s="31"/>
      <c r="L6" s="23">
        <v>69683.91025059321</v>
      </c>
      <c r="M6" s="33">
        <v>0.40665124999941332</v>
      </c>
      <c r="N6" s="5">
        <v>2</v>
      </c>
      <c r="O6" s="5">
        <v>60</v>
      </c>
      <c r="P6" s="33">
        <v>0</v>
      </c>
      <c r="Q6" s="5">
        <v>14.47923236517707</v>
      </c>
      <c r="R6" s="5">
        <v>1016.324817502787</v>
      </c>
      <c r="S6" s="31"/>
      <c r="T6" s="23">
        <v>63482.482014807523</v>
      </c>
      <c r="U6" s="33">
        <v>0.35047158300221781</v>
      </c>
      <c r="V6" s="5">
        <v>3</v>
      </c>
      <c r="W6" s="5">
        <v>95</v>
      </c>
      <c r="X6" s="33">
        <v>145.80960203583459</v>
      </c>
      <c r="Y6" s="5">
        <v>44.581638026969053</v>
      </c>
      <c r="Z6" s="5">
        <v>1945.508346024174</v>
      </c>
      <c r="AA6" s="35"/>
    </row>
    <row r="7" spans="2:27" x14ac:dyDescent="0.2">
      <c r="B7" s="4">
        <v>3</v>
      </c>
      <c r="C7" s="4">
        <v>330</v>
      </c>
      <c r="D7" s="23">
        <v>46451.564642973179</v>
      </c>
      <c r="E7" s="33">
        <v>0.6653685420005786</v>
      </c>
      <c r="F7" s="5">
        <v>2</v>
      </c>
      <c r="G7" s="23">
        <v>100</v>
      </c>
      <c r="H7" s="33">
        <v>18.534266869647229</v>
      </c>
      <c r="I7" s="23">
        <v>31.411981728802004</v>
      </c>
      <c r="J7" s="5">
        <v>1525.4432500959065</v>
      </c>
      <c r="K7" s="31"/>
      <c r="L7" s="23">
        <v>70589.065700655075</v>
      </c>
      <c r="M7" s="33">
        <v>0.40946395799983287</v>
      </c>
      <c r="N7" s="5">
        <v>2</v>
      </c>
      <c r="O7" s="5">
        <v>60</v>
      </c>
      <c r="P7" s="33">
        <v>0</v>
      </c>
      <c r="Q7" s="5">
        <v>16.240448531287559</v>
      </c>
      <c r="R7" s="5">
        <v>1118.0318067500989</v>
      </c>
      <c r="S7" s="31"/>
      <c r="T7" s="23">
        <v>60687.8551993539</v>
      </c>
      <c r="U7" s="33">
        <v>0.53037279099953594</v>
      </c>
      <c r="V7" s="5">
        <v>2</v>
      </c>
      <c r="W7" s="5">
        <v>80</v>
      </c>
      <c r="X7" s="33">
        <v>40.318715015569687</v>
      </c>
      <c r="Y7" s="5">
        <v>36.416135712285673</v>
      </c>
      <c r="Z7" s="5">
        <v>1644.920879800731</v>
      </c>
      <c r="AA7" s="35"/>
    </row>
    <row r="8" spans="2:27" x14ac:dyDescent="0.2">
      <c r="B8" s="4">
        <v>4</v>
      </c>
      <c r="C8" s="4">
        <v>346</v>
      </c>
      <c r="D8" s="23">
        <v>46451.564642973179</v>
      </c>
      <c r="E8" s="33">
        <v>0.88734199999998964</v>
      </c>
      <c r="F8" s="5">
        <v>2</v>
      </c>
      <c r="G8" s="23">
        <v>100</v>
      </c>
      <c r="H8" s="33">
        <v>18.534266869647229</v>
      </c>
      <c r="I8" s="23">
        <v>31.411981728802004</v>
      </c>
      <c r="J8" s="5">
        <v>1525.4432500959065</v>
      </c>
      <c r="K8" s="31"/>
      <c r="L8" s="23">
        <v>71327.988417830828</v>
      </c>
      <c r="M8" s="33">
        <v>0.33385570799873682</v>
      </c>
      <c r="N8" s="5">
        <v>3</v>
      </c>
      <c r="O8" s="5">
        <v>70</v>
      </c>
      <c r="P8" s="33">
        <v>0</v>
      </c>
      <c r="Q8" s="5">
        <v>14.5723819034773</v>
      </c>
      <c r="R8" s="5">
        <v>1059.702645575863</v>
      </c>
      <c r="S8" s="31"/>
      <c r="T8" s="23">
        <v>62632.392303998422</v>
      </c>
      <c r="U8" s="33">
        <v>0.94592170899704797</v>
      </c>
      <c r="V8" s="5">
        <v>3</v>
      </c>
      <c r="W8" s="5">
        <v>90</v>
      </c>
      <c r="X8" s="33">
        <v>73.725922490419833</v>
      </c>
      <c r="Y8" s="5">
        <v>37.170366655776817</v>
      </c>
      <c r="Z8" s="5">
        <v>1738.2285991416941</v>
      </c>
      <c r="AA8" s="35"/>
    </row>
    <row r="9" spans="2:27" x14ac:dyDescent="0.2">
      <c r="B9" s="4">
        <v>5</v>
      </c>
      <c r="C9" s="4">
        <v>358</v>
      </c>
      <c r="D9" s="23">
        <v>46451.564642973179</v>
      </c>
      <c r="E9" s="33">
        <v>0.26537499999903957</v>
      </c>
      <c r="F9" s="5">
        <v>2</v>
      </c>
      <c r="G9" s="23">
        <v>100</v>
      </c>
      <c r="H9" s="33">
        <v>18.534266869647229</v>
      </c>
      <c r="I9" s="23">
        <v>31.411981728802004</v>
      </c>
      <c r="J9" s="5">
        <v>1525.4432500959065</v>
      </c>
      <c r="K9" s="31"/>
      <c r="L9" s="23">
        <v>69683.91025059321</v>
      </c>
      <c r="M9" s="33">
        <v>0.38400733299931739</v>
      </c>
      <c r="N9" s="5">
        <v>2</v>
      </c>
      <c r="O9" s="5">
        <v>60</v>
      </c>
      <c r="P9" s="33">
        <v>0</v>
      </c>
      <c r="Q9" s="5">
        <v>14.47923236517707</v>
      </c>
      <c r="R9" s="5">
        <v>1016.324817502787</v>
      </c>
      <c r="S9" s="31"/>
      <c r="T9" s="23">
        <v>60687.8551993539</v>
      </c>
      <c r="U9" s="33">
        <v>0.64313258399852202</v>
      </c>
      <c r="V9" s="5">
        <v>2</v>
      </c>
      <c r="W9" s="5">
        <v>80</v>
      </c>
      <c r="X9" s="33">
        <v>40.318715015569687</v>
      </c>
      <c r="Y9" s="5">
        <v>36.416135712285673</v>
      </c>
      <c r="Z9" s="5">
        <v>1644.920879800731</v>
      </c>
      <c r="AA9" s="35"/>
    </row>
    <row r="10" spans="2:27" x14ac:dyDescent="0.2">
      <c r="B10" s="4">
        <v>6</v>
      </c>
      <c r="C10" s="4">
        <v>367</v>
      </c>
      <c r="D10" s="23">
        <v>46451.564642973179</v>
      </c>
      <c r="E10" s="33">
        <v>0.29252404200087773</v>
      </c>
      <c r="F10" s="5">
        <v>2</v>
      </c>
      <c r="G10" s="23">
        <v>100</v>
      </c>
      <c r="H10" s="33">
        <v>18.534266869647229</v>
      </c>
      <c r="I10" s="23">
        <v>31.411981728802004</v>
      </c>
      <c r="J10" s="5">
        <v>1525.4432500959065</v>
      </c>
      <c r="K10" s="31"/>
      <c r="L10" s="23">
        <v>71327.988417830828</v>
      </c>
      <c r="M10" s="33">
        <v>0.37548716599849291</v>
      </c>
      <c r="N10" s="5">
        <v>3</v>
      </c>
      <c r="O10" s="5">
        <v>70</v>
      </c>
      <c r="P10" s="33">
        <v>0</v>
      </c>
      <c r="Q10" s="5">
        <v>14.5723819034773</v>
      </c>
      <c r="R10" s="5">
        <v>1059.702645575863</v>
      </c>
      <c r="S10" s="31"/>
      <c r="T10" s="23">
        <v>62632.392303998422</v>
      </c>
      <c r="U10" s="33">
        <v>0.49022566600251588</v>
      </c>
      <c r="V10" s="5">
        <v>3</v>
      </c>
      <c r="W10" s="5">
        <v>90</v>
      </c>
      <c r="X10" s="33">
        <v>73.725922490419833</v>
      </c>
      <c r="Y10" s="5">
        <v>37.170366655776817</v>
      </c>
      <c r="Z10" s="5">
        <v>1738.2285991416941</v>
      </c>
      <c r="AA10" s="35"/>
    </row>
    <row r="11" spans="2:27" x14ac:dyDescent="0.2">
      <c r="B11" s="4">
        <v>7</v>
      </c>
      <c r="C11" s="4">
        <v>797</v>
      </c>
      <c r="D11" s="23">
        <v>46451.564642973179</v>
      </c>
      <c r="E11" s="33">
        <v>0.42182012500052218</v>
      </c>
      <c r="F11" s="5">
        <v>2</v>
      </c>
      <c r="G11" s="23">
        <v>100</v>
      </c>
      <c r="H11" s="33">
        <v>18.534266869647229</v>
      </c>
      <c r="I11" s="23">
        <v>31.411981728802004</v>
      </c>
      <c r="J11" s="5">
        <v>1525.4432500959065</v>
      </c>
      <c r="K11" s="31"/>
      <c r="L11" s="23">
        <v>71758.937931033899</v>
      </c>
      <c r="M11" s="33">
        <v>0.31239016700055799</v>
      </c>
      <c r="N11" s="5">
        <v>3</v>
      </c>
      <c r="O11" s="5">
        <v>70</v>
      </c>
      <c r="P11" s="33">
        <v>0</v>
      </c>
      <c r="Q11" s="5">
        <v>13.483545965073059</v>
      </c>
      <c r="R11" s="5">
        <v>1072.0692706581669</v>
      </c>
      <c r="S11" s="31"/>
      <c r="T11" s="23">
        <v>62761.991029360608</v>
      </c>
      <c r="U11" s="33">
        <v>0.32334245899983222</v>
      </c>
      <c r="V11" s="5">
        <v>2</v>
      </c>
      <c r="W11" s="5">
        <v>75</v>
      </c>
      <c r="X11" s="33">
        <v>43.006629349941008</v>
      </c>
      <c r="Y11" s="5">
        <v>33.164179335329301</v>
      </c>
      <c r="Z11" s="5">
        <v>1546.30465417971</v>
      </c>
      <c r="AA11" s="35"/>
    </row>
    <row r="12" spans="2:27" x14ac:dyDescent="0.2">
      <c r="B12" s="4">
        <v>10</v>
      </c>
      <c r="C12" s="4">
        <v>842</v>
      </c>
      <c r="D12" s="23">
        <v>46451.564642973179</v>
      </c>
      <c r="E12" s="33">
        <v>0.32540599999992992</v>
      </c>
      <c r="F12" s="5">
        <v>2</v>
      </c>
      <c r="G12" s="23">
        <v>100</v>
      </c>
      <c r="H12" s="33">
        <v>18.534266869647229</v>
      </c>
      <c r="I12" s="23">
        <v>31.411981728802004</v>
      </c>
      <c r="J12" s="5">
        <v>1525.4432500959065</v>
      </c>
      <c r="K12" s="31"/>
      <c r="L12" s="23">
        <v>71737.283789296387</v>
      </c>
      <c r="M12" s="33">
        <v>0.2349604579976585</v>
      </c>
      <c r="N12" s="5">
        <v>3</v>
      </c>
      <c r="O12" s="5">
        <v>70</v>
      </c>
      <c r="P12" s="33">
        <v>0</v>
      </c>
      <c r="Q12" s="5">
        <v>14.401192669705299</v>
      </c>
      <c r="R12" s="5">
        <v>1086.304771949566</v>
      </c>
      <c r="S12" s="31"/>
      <c r="T12" s="23">
        <v>60687.8551993539</v>
      </c>
      <c r="U12" s="33">
        <v>0.44763741699716769</v>
      </c>
      <c r="V12" s="5">
        <v>2</v>
      </c>
      <c r="W12" s="5">
        <v>80</v>
      </c>
      <c r="X12" s="33">
        <v>40.318715015569687</v>
      </c>
      <c r="Y12" s="5">
        <v>36.416135712285673</v>
      </c>
      <c r="Z12" s="5">
        <v>1644.920879800731</v>
      </c>
      <c r="AA12" s="35"/>
    </row>
    <row r="13" spans="2:27" x14ac:dyDescent="0.2">
      <c r="B13" s="4">
        <v>8</v>
      </c>
      <c r="C13" s="4">
        <v>955</v>
      </c>
      <c r="D13" s="23">
        <v>46451.564642973179</v>
      </c>
      <c r="E13" s="33">
        <v>0.40931554099915962</v>
      </c>
      <c r="F13" s="5">
        <v>2</v>
      </c>
      <c r="G13" s="23">
        <v>100</v>
      </c>
      <c r="H13" s="33">
        <v>18.534266869647229</v>
      </c>
      <c r="I13" s="23">
        <v>31.411981728802004</v>
      </c>
      <c r="J13" s="5">
        <v>1525.4432500959065</v>
      </c>
      <c r="K13" s="31"/>
      <c r="L13" s="23">
        <v>70589.065700655075</v>
      </c>
      <c r="M13" s="33">
        <v>0.22966262500267479</v>
      </c>
      <c r="N13" s="5">
        <v>2</v>
      </c>
      <c r="O13" s="5">
        <v>60</v>
      </c>
      <c r="P13" s="33">
        <v>0</v>
      </c>
      <c r="Q13" s="5">
        <v>16.240448531287559</v>
      </c>
      <c r="R13" s="5">
        <v>1118.0318067500989</v>
      </c>
      <c r="S13" s="31"/>
      <c r="T13" s="23">
        <v>60687.8551993539</v>
      </c>
      <c r="U13" s="33">
        <v>0.48216833299738943</v>
      </c>
      <c r="V13" s="5">
        <v>2</v>
      </c>
      <c r="W13" s="5">
        <v>80</v>
      </c>
      <c r="X13" s="33">
        <v>40.318715015569687</v>
      </c>
      <c r="Y13" s="5">
        <v>36.416135712285673</v>
      </c>
      <c r="Z13" s="5">
        <v>1644.920879800731</v>
      </c>
      <c r="AA13" s="35"/>
    </row>
    <row r="14" spans="2:27" x14ac:dyDescent="0.2">
      <c r="B14" s="46" t="s">
        <v>3</v>
      </c>
      <c r="C14" s="47"/>
      <c r="D14" s="9">
        <f>MIN(D4:D13)</f>
        <v>46451.564642973179</v>
      </c>
      <c r="E14" s="22">
        <f>INDEX(E4:E13, MATCH($D$14, D4:D13, 0))</f>
        <v>0.79865179199987324</v>
      </c>
      <c r="F14" s="9">
        <f>INDEX(F4:F13, MATCH($D$14, D4:D13, 0))</f>
        <v>2</v>
      </c>
      <c r="G14" s="9">
        <f>INDEX(G4:G13, MATCH($D$14, D4:D13, 0))</f>
        <v>100</v>
      </c>
      <c r="H14" s="22">
        <f>INDEX(H4:H13, MATCH($D$14, D4:D13, 0))</f>
        <v>18.534266869647229</v>
      </c>
      <c r="I14" s="22">
        <f>INDEX(I4:I13, MATCH($D$14, D4:D13, 0))</f>
        <v>31.411981728802004</v>
      </c>
      <c r="J14" s="22">
        <f>INDEX(J4:J13, MATCH($D$14, D4:D13, 0))</f>
        <v>1525.4432500959065</v>
      </c>
      <c r="K14" s="32">
        <f>(D14-$D$15)/$D$15</f>
        <v>0</v>
      </c>
      <c r="L14" s="16">
        <f>MIN(L4:L13)</f>
        <v>69683.91025059321</v>
      </c>
      <c r="M14" s="21">
        <f>INDEX(M4:M13, MATCH($L$14, L4:L13, 0))</f>
        <v>0.40665124999941332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14.47923236517707</v>
      </c>
      <c r="R14" s="21">
        <f>INDEX(R4:R13, MATCH($L$14, L4:L13, 0))</f>
        <v>1016.324817502787</v>
      </c>
      <c r="S14" s="36">
        <f>(L14-$D$15)/$D$15</f>
        <v>0.50014129311216715</v>
      </c>
      <c r="T14" s="38">
        <f>MIN(T4:T13)</f>
        <v>60687.8551993539</v>
      </c>
      <c r="U14" s="39">
        <f>INDEX(U4:U13, MATCH($T$14, T4:T13, 0))</f>
        <v>0.32318408300125162</v>
      </c>
      <c r="V14" s="38">
        <f>INDEX(V4:V13, MATCH($T$14, T4:T13, 0))</f>
        <v>2</v>
      </c>
      <c r="W14" s="38">
        <f>INDEX(W4:W13, MATCH($T$14, T4:T13, 0))</f>
        <v>80</v>
      </c>
      <c r="X14" s="39">
        <f>INDEX(X4:X13, MATCH($T$14, T4:T13, 0))</f>
        <v>40.318715015569687</v>
      </c>
      <c r="Y14" s="39">
        <f>INDEX(Y4:Y13, MATCH($T$14, T4:T13, 0))</f>
        <v>36.416135712285673</v>
      </c>
      <c r="Z14" s="39">
        <f>INDEX(Z4:Z13, MATCH($T$14, T4:T13, 0))</f>
        <v>1644.920879800731</v>
      </c>
      <c r="AA14" s="40">
        <f>(T14-$D$15)/$D$15</f>
        <v>0.30647601788660683</v>
      </c>
    </row>
    <row r="15" spans="2:27" x14ac:dyDescent="0.2">
      <c r="C15" s="1" t="s">
        <v>17</v>
      </c>
      <c r="D15" s="34">
        <v>46451.564642973179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79" priority="5"/>
    <cfRule type="duplicateValues" dxfId="78" priority="6"/>
  </conditionalFormatting>
  <conditionalFormatting sqref="C15:C16 C31:C1048576 C1:C13">
    <cfRule type="duplicateValues" dxfId="77" priority="15"/>
    <cfRule type="duplicateValues" dxfId="76" priority="16"/>
  </conditionalFormatting>
  <conditionalFormatting sqref="C18:C30">
    <cfRule type="duplicateValues" dxfId="7" priority="3"/>
    <cfRule type="duplicateValues" dxfId="6" priority="4"/>
  </conditionalFormatting>
  <conditionalFormatting sqref="C1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C4DD-EDA7-7C4B-B68A-8FA90D2C4284}">
  <dimension ref="B1:AA17"/>
  <sheetViews>
    <sheetView tabSelected="1" zoomScale="110" zoomScaleNormal="110" workbookViewId="0">
      <selection activeCell="A17" sqref="A17:XFD3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</v>
      </c>
      <c r="H2" s="28">
        <f>(Q14-H14)/H14</f>
        <v>-0.19616967065263016</v>
      </c>
      <c r="J2" s="28">
        <f>(S14-J14)/J14</f>
        <v>-0.99996671302430795</v>
      </c>
      <c r="K2" s="28"/>
      <c r="L2" s="1" t="s">
        <v>19</v>
      </c>
      <c r="P2" s="1">
        <f>(P14-H14)/H14</f>
        <v>-0.88933783212254136</v>
      </c>
      <c r="R2" s="1">
        <f>(R14-J14)/J14</f>
        <v>-9.8657120505481158E-2</v>
      </c>
      <c r="T2" s="1" t="s">
        <v>20</v>
      </c>
      <c r="X2" s="1">
        <f>(X14-P14)/P14</f>
        <v>-1</v>
      </c>
      <c r="Z2" s="1">
        <f>(Z14-R14)/R14</f>
        <v>9.7985986050978358E-2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36</v>
      </c>
      <c r="D4" s="23">
        <v>63164.704855572869</v>
      </c>
      <c r="E4" s="33">
        <v>0.35630775000026921</v>
      </c>
      <c r="F4" s="5">
        <v>2</v>
      </c>
      <c r="G4" s="23">
        <v>80</v>
      </c>
      <c r="H4" s="33">
        <v>0</v>
      </c>
      <c r="I4" s="23">
        <v>27.862643579043784</v>
      </c>
      <c r="J4" s="5">
        <v>1681.9642784526673</v>
      </c>
      <c r="K4" s="31"/>
      <c r="L4" s="23">
        <v>67568.387499379023</v>
      </c>
      <c r="M4" s="33">
        <v>0.33280258399827289</v>
      </c>
      <c r="N4" s="5">
        <v>3</v>
      </c>
      <c r="O4" s="5">
        <v>90</v>
      </c>
      <c r="P4" s="33">
        <v>14.694306483194641</v>
      </c>
      <c r="Q4" s="5">
        <v>21.387802377776438</v>
      </c>
      <c r="R4" s="5">
        <v>1727.7685169443359</v>
      </c>
      <c r="S4" s="31"/>
      <c r="T4" s="23">
        <v>67500.800586799771</v>
      </c>
      <c r="U4" s="33">
        <v>0.5296481670011417</v>
      </c>
      <c r="V4" s="5">
        <v>2</v>
      </c>
      <c r="W4" s="5">
        <v>75</v>
      </c>
      <c r="X4" s="33">
        <v>0</v>
      </c>
      <c r="Y4" s="5">
        <v>34.731366066306357</v>
      </c>
      <c r="Z4" s="5">
        <v>1803.1262859560461</v>
      </c>
      <c r="AA4" s="35"/>
    </row>
    <row r="5" spans="2:27" x14ac:dyDescent="0.2">
      <c r="B5" s="4">
        <v>2</v>
      </c>
      <c r="C5" s="4">
        <v>242</v>
      </c>
      <c r="D5" s="23">
        <v>63164.704855572869</v>
      </c>
      <c r="E5" s="33">
        <v>0.30689216700011462</v>
      </c>
      <c r="F5" s="5">
        <v>2</v>
      </c>
      <c r="G5" s="23">
        <v>80</v>
      </c>
      <c r="H5" s="33">
        <v>0</v>
      </c>
      <c r="I5" s="23">
        <v>27.862643579043784</v>
      </c>
      <c r="J5" s="5">
        <v>1681.9642784526673</v>
      </c>
      <c r="K5" s="31"/>
      <c r="L5" s="23">
        <v>66502.781219136086</v>
      </c>
      <c r="M5" s="33">
        <v>0.41882129200166668</v>
      </c>
      <c r="N5" s="5">
        <v>3</v>
      </c>
      <c r="O5" s="5">
        <v>90</v>
      </c>
      <c r="P5" s="33">
        <v>0</v>
      </c>
      <c r="Q5" s="5">
        <v>21.129679972380121</v>
      </c>
      <c r="R5" s="5">
        <v>1666.6347043004321</v>
      </c>
      <c r="S5" s="31"/>
      <c r="T5" s="23">
        <v>67500.800586799771</v>
      </c>
      <c r="U5" s="33">
        <v>0.57065737500306568</v>
      </c>
      <c r="V5" s="5">
        <v>2</v>
      </c>
      <c r="W5" s="5">
        <v>75</v>
      </c>
      <c r="X5" s="33">
        <v>0</v>
      </c>
      <c r="Y5" s="5">
        <v>34.731366066306357</v>
      </c>
      <c r="Z5" s="5">
        <v>1803.1262859560461</v>
      </c>
      <c r="AA5" s="35"/>
    </row>
    <row r="6" spans="2:27" x14ac:dyDescent="0.2">
      <c r="B6" s="4">
        <v>3</v>
      </c>
      <c r="C6" s="4">
        <v>382</v>
      </c>
      <c r="D6" s="23">
        <v>63164.704855572869</v>
      </c>
      <c r="E6" s="33">
        <v>0.40879087499888561</v>
      </c>
      <c r="F6" s="5">
        <v>2</v>
      </c>
      <c r="G6" s="23">
        <v>80</v>
      </c>
      <c r="H6" s="33">
        <v>0</v>
      </c>
      <c r="I6" s="23">
        <v>27.862643579043784</v>
      </c>
      <c r="J6" s="5">
        <v>1681.9642784526673</v>
      </c>
      <c r="K6" s="31"/>
      <c r="L6" s="23">
        <v>66755.4844477101</v>
      </c>
      <c r="M6" s="33">
        <v>0.50812487499933923</v>
      </c>
      <c r="N6" s="5">
        <v>3</v>
      </c>
      <c r="O6" s="5">
        <v>90</v>
      </c>
      <c r="P6" s="33">
        <v>0</v>
      </c>
      <c r="Q6" s="5">
        <v>19.723589063517561</v>
      </c>
      <c r="R6" s="5">
        <v>1634.838311708397</v>
      </c>
      <c r="S6" s="31"/>
      <c r="T6" s="23">
        <v>67671.910200008337</v>
      </c>
      <c r="U6" s="33">
        <v>0.47337049999987357</v>
      </c>
      <c r="V6" s="5">
        <v>2</v>
      </c>
      <c r="W6" s="5">
        <v>75</v>
      </c>
      <c r="X6" s="33">
        <v>0</v>
      </c>
      <c r="Y6" s="5">
        <v>34.839328826007772</v>
      </c>
      <c r="Z6" s="5">
        <v>1813.3138198842889</v>
      </c>
      <c r="AA6" s="35"/>
    </row>
    <row r="7" spans="2:27" x14ac:dyDescent="0.2">
      <c r="B7" s="4">
        <v>4</v>
      </c>
      <c r="C7" s="4">
        <v>478</v>
      </c>
      <c r="D7" s="23">
        <v>62787.832036538777</v>
      </c>
      <c r="E7" s="33">
        <v>0.18796808400111331</v>
      </c>
      <c r="F7" s="5">
        <v>3</v>
      </c>
      <c r="G7" s="23">
        <v>100</v>
      </c>
      <c r="H7" s="33">
        <v>24.97356756237274</v>
      </c>
      <c r="I7" s="23">
        <v>23.758547764744492</v>
      </c>
      <c r="J7" s="5">
        <v>1821.962001857429</v>
      </c>
      <c r="K7" s="31"/>
      <c r="L7" s="23">
        <v>66571.540555204279</v>
      </c>
      <c r="M7" s="33">
        <v>0.1956446670010337</v>
      </c>
      <c r="N7" s="5">
        <v>3</v>
      </c>
      <c r="O7" s="5">
        <v>90</v>
      </c>
      <c r="P7" s="33">
        <v>7.6324979949552176</v>
      </c>
      <c r="Q7" s="5">
        <v>20.19060609785576</v>
      </c>
      <c r="R7" s="5">
        <v>1639.894158765454</v>
      </c>
      <c r="S7" s="31"/>
      <c r="T7" s="23">
        <v>68185.705998745645</v>
      </c>
      <c r="U7" s="33">
        <v>0.3239084590022685</v>
      </c>
      <c r="V7" s="5">
        <v>2</v>
      </c>
      <c r="W7" s="5">
        <v>75</v>
      </c>
      <c r="X7" s="33">
        <v>0</v>
      </c>
      <c r="Y7" s="5">
        <v>36.262474294799027</v>
      </c>
      <c r="Z7" s="5">
        <v>1895.9386268235589</v>
      </c>
      <c r="AA7" s="35"/>
    </row>
    <row r="8" spans="2:27" x14ac:dyDescent="0.2">
      <c r="B8" s="4">
        <v>5</v>
      </c>
      <c r="C8" s="4">
        <v>535</v>
      </c>
      <c r="D8" s="23">
        <v>63164.704855572869</v>
      </c>
      <c r="E8" s="33">
        <v>0.29362633299933799</v>
      </c>
      <c r="F8" s="5">
        <v>2</v>
      </c>
      <c r="G8" s="23">
        <v>80</v>
      </c>
      <c r="H8" s="33">
        <v>0</v>
      </c>
      <c r="I8" s="23">
        <v>27.862643579043784</v>
      </c>
      <c r="J8" s="5">
        <v>1681.9642784526673</v>
      </c>
      <c r="K8" s="31"/>
      <c r="L8" s="23">
        <v>66470.296239038755</v>
      </c>
      <c r="M8" s="33">
        <v>0.24219708300006459</v>
      </c>
      <c r="N8" s="5">
        <v>3</v>
      </c>
      <c r="O8" s="5">
        <v>90</v>
      </c>
      <c r="P8" s="33">
        <v>2.7636291260863448</v>
      </c>
      <c r="Q8" s="5">
        <v>20.074511038640871</v>
      </c>
      <c r="R8" s="5">
        <v>1642.2124770837729</v>
      </c>
      <c r="S8" s="31"/>
      <c r="T8" s="23">
        <v>75846.670745140858</v>
      </c>
      <c r="U8" s="33">
        <v>0.33649099999820459</v>
      </c>
      <c r="V8" s="5">
        <v>3</v>
      </c>
      <c r="W8" s="5">
        <v>90</v>
      </c>
      <c r="X8" s="33">
        <v>102.8966146332327</v>
      </c>
      <c r="Y8" s="5">
        <v>31.21622632472361</v>
      </c>
      <c r="Z8" s="5">
        <v>2269.6101279801778</v>
      </c>
      <c r="AA8" s="35"/>
    </row>
    <row r="9" spans="2:27" x14ac:dyDescent="0.2">
      <c r="B9" s="4">
        <v>6</v>
      </c>
      <c r="C9" s="4">
        <v>588</v>
      </c>
      <c r="D9" s="23">
        <v>63272.122874502369</v>
      </c>
      <c r="E9" s="33">
        <v>0.33864216700021638</v>
      </c>
      <c r="F9" s="5">
        <v>2</v>
      </c>
      <c r="G9" s="23">
        <v>85</v>
      </c>
      <c r="H9" s="33">
        <v>0</v>
      </c>
      <c r="I9" s="23">
        <v>30.691240376785039</v>
      </c>
      <c r="J9" s="5">
        <v>1878.7484487513309</v>
      </c>
      <c r="K9" s="31"/>
      <c r="L9" s="23">
        <v>66719.899123098789</v>
      </c>
      <c r="M9" s="33">
        <v>0.30586033399958978</v>
      </c>
      <c r="N9" s="5">
        <v>3</v>
      </c>
      <c r="O9" s="5">
        <v>90</v>
      </c>
      <c r="P9" s="33">
        <v>7.6301046615955608</v>
      </c>
      <c r="Q9" s="5">
        <v>19.977844894478121</v>
      </c>
      <c r="R9" s="5">
        <v>1630.2465757914661</v>
      </c>
      <c r="S9" s="31"/>
      <c r="T9" s="23">
        <v>75083.557908479546</v>
      </c>
      <c r="U9" s="33">
        <v>0.38553441700059921</v>
      </c>
      <c r="V9" s="5">
        <v>3</v>
      </c>
      <c r="W9" s="5">
        <v>85</v>
      </c>
      <c r="X9" s="33">
        <v>86.233722883511447</v>
      </c>
      <c r="Y9" s="5">
        <v>28.486527581105729</v>
      </c>
      <c r="Z9" s="5">
        <v>2082.5931021216852</v>
      </c>
      <c r="AA9" s="35"/>
    </row>
    <row r="10" spans="2:27" x14ac:dyDescent="0.2">
      <c r="B10" s="4">
        <v>7</v>
      </c>
      <c r="C10" s="4">
        <v>619</v>
      </c>
      <c r="D10" s="23">
        <v>63272.122874502369</v>
      </c>
      <c r="E10" s="33">
        <v>0.28486524999971152</v>
      </c>
      <c r="F10" s="5">
        <v>2</v>
      </c>
      <c r="G10" s="23">
        <v>85</v>
      </c>
      <c r="H10" s="33">
        <v>0</v>
      </c>
      <c r="I10" s="23">
        <v>30.691240376785039</v>
      </c>
      <c r="J10" s="5">
        <v>1878.7484487513309</v>
      </c>
      <c r="K10" s="31"/>
      <c r="L10" s="23">
        <v>66696.722337813728</v>
      </c>
      <c r="M10" s="33">
        <v>0.25377124999795342</v>
      </c>
      <c r="N10" s="5">
        <v>3</v>
      </c>
      <c r="O10" s="5">
        <v>90</v>
      </c>
      <c r="P10" s="33">
        <v>0.91088544237633551</v>
      </c>
      <c r="Q10" s="5">
        <v>20.199713472443229</v>
      </c>
      <c r="R10" s="5">
        <v>1641.6456230580829</v>
      </c>
      <c r="S10" s="31"/>
      <c r="T10" s="23">
        <v>69399.847387529095</v>
      </c>
      <c r="U10" s="33">
        <v>0.26325558300231933</v>
      </c>
      <c r="V10" s="5">
        <v>2</v>
      </c>
      <c r="W10" s="5">
        <v>65</v>
      </c>
      <c r="X10" s="33">
        <v>0</v>
      </c>
      <c r="Y10" s="5">
        <v>27.105756926937978</v>
      </c>
      <c r="Z10" s="5">
        <v>1398.614820951391</v>
      </c>
      <c r="AA10" s="35"/>
    </row>
    <row r="11" spans="2:27" x14ac:dyDescent="0.2">
      <c r="B11" s="4">
        <v>8</v>
      </c>
      <c r="C11" s="4">
        <v>666</v>
      </c>
      <c r="D11" s="23">
        <v>63164.704855572869</v>
      </c>
      <c r="E11" s="33">
        <v>0.34904879200075811</v>
      </c>
      <c r="F11" s="5">
        <v>2</v>
      </c>
      <c r="G11" s="23">
        <v>80</v>
      </c>
      <c r="H11" s="33">
        <v>0</v>
      </c>
      <c r="I11" s="23">
        <v>27.862643579043784</v>
      </c>
      <c r="J11" s="5">
        <v>1681.9642784526673</v>
      </c>
      <c r="K11" s="31"/>
      <c r="L11" s="23">
        <v>66738.466077858408</v>
      </c>
      <c r="M11" s="33">
        <v>0.73033183300140081</v>
      </c>
      <c r="N11" s="5">
        <v>3</v>
      </c>
      <c r="O11" s="5">
        <v>90</v>
      </c>
      <c r="P11" s="33">
        <v>4.9317972942545163</v>
      </c>
      <c r="Q11" s="5">
        <v>20.145161926596241</v>
      </c>
      <c r="R11" s="5">
        <v>1655.0788222956469</v>
      </c>
      <c r="S11" s="31"/>
      <c r="T11" s="23">
        <v>69926.785409045071</v>
      </c>
      <c r="U11" s="33">
        <v>0.85187816699908581</v>
      </c>
      <c r="V11" s="5">
        <v>2</v>
      </c>
      <c r="W11" s="5">
        <v>80</v>
      </c>
      <c r="X11" s="33">
        <v>27.145453897798671</v>
      </c>
      <c r="Y11" s="5">
        <v>41.149552708896927</v>
      </c>
      <c r="Z11" s="5">
        <v>2175.4084317704469</v>
      </c>
      <c r="AA11" s="35"/>
    </row>
    <row r="12" spans="2:27" x14ac:dyDescent="0.2">
      <c r="B12" s="4">
        <v>9</v>
      </c>
      <c r="C12" s="4">
        <v>802</v>
      </c>
      <c r="D12" s="23">
        <v>63164.704855572869</v>
      </c>
      <c r="E12" s="33">
        <v>0.34735166600148659</v>
      </c>
      <c r="F12" s="5">
        <v>2</v>
      </c>
      <c r="G12" s="23">
        <v>80</v>
      </c>
      <c r="H12" s="33">
        <v>0</v>
      </c>
      <c r="I12" s="23">
        <v>27.862643579043784</v>
      </c>
      <c r="J12" s="5">
        <v>1681.9642784526673</v>
      </c>
      <c r="K12" s="31"/>
      <c r="L12" s="23">
        <v>66538.168534820899</v>
      </c>
      <c r="M12" s="33">
        <v>0.22789149999880459</v>
      </c>
      <c r="N12" s="5">
        <v>3</v>
      </c>
      <c r="O12" s="5">
        <v>90</v>
      </c>
      <c r="P12" s="33">
        <v>5.715690247181139</v>
      </c>
      <c r="Q12" s="5">
        <v>20.04105884685924</v>
      </c>
      <c r="R12" s="5">
        <v>1625.733062277953</v>
      </c>
      <c r="S12" s="31"/>
      <c r="T12" s="23">
        <v>69926.785409045071</v>
      </c>
      <c r="U12" s="33">
        <v>0.74007520799932536</v>
      </c>
      <c r="V12" s="5">
        <v>2</v>
      </c>
      <c r="W12" s="5">
        <v>80</v>
      </c>
      <c r="X12" s="33">
        <v>27.145453897798671</v>
      </c>
      <c r="Y12" s="5">
        <v>41.149552708896927</v>
      </c>
      <c r="Z12" s="5">
        <v>2175.4084317704469</v>
      </c>
      <c r="AA12" s="35"/>
    </row>
    <row r="13" spans="2:27" x14ac:dyDescent="0.2">
      <c r="B13" s="4">
        <v>10</v>
      </c>
      <c r="C13" s="4">
        <v>863</v>
      </c>
      <c r="D13" s="23">
        <v>63272.122874502369</v>
      </c>
      <c r="E13" s="33">
        <v>0.36062508299983159</v>
      </c>
      <c r="F13" s="5">
        <v>2</v>
      </c>
      <c r="G13" s="23">
        <v>85</v>
      </c>
      <c r="H13" s="33">
        <v>0</v>
      </c>
      <c r="I13" s="23">
        <v>30.691240376785039</v>
      </c>
      <c r="J13" s="5">
        <v>1878.7484487513309</v>
      </c>
      <c r="K13" s="31"/>
      <c r="L13" s="23">
        <v>66569.25853919459</v>
      </c>
      <c r="M13" s="33">
        <v>0.30981412500113947</v>
      </c>
      <c r="N13" s="5">
        <v>3</v>
      </c>
      <c r="O13" s="5">
        <v>90</v>
      </c>
      <c r="P13" s="33">
        <v>3.388362919853825</v>
      </c>
      <c r="Q13" s="5">
        <v>20.42900496768009</v>
      </c>
      <c r="R13" s="5">
        <v>1651.780568386672</v>
      </c>
      <c r="S13" s="31"/>
      <c r="T13" s="23">
        <v>68710.35473055132</v>
      </c>
      <c r="U13" s="33">
        <v>0.27502925000226242</v>
      </c>
      <c r="V13" s="5">
        <v>2</v>
      </c>
      <c r="W13" s="5">
        <v>75</v>
      </c>
      <c r="X13" s="33">
        <v>0</v>
      </c>
      <c r="Y13" s="5">
        <v>37.678093002578123</v>
      </c>
      <c r="Z13" s="5">
        <v>1962.8849483018701</v>
      </c>
      <c r="AA13" s="35"/>
    </row>
    <row r="14" spans="2:27" x14ac:dyDescent="0.2">
      <c r="B14" s="46" t="s">
        <v>3</v>
      </c>
      <c r="C14" s="47"/>
      <c r="D14" s="9">
        <f>MIN(D4:D13)</f>
        <v>62787.832036538777</v>
      </c>
      <c r="E14" s="22">
        <f>INDEX(E4:E13, MATCH($D$14, D4:D13, 0))</f>
        <v>0.18796808400111331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24.97356756237274</v>
      </c>
      <c r="I14" s="22">
        <f>INDEX(I4:I13, MATCH($D$14, D4:D13, 0))</f>
        <v>23.758547764744492</v>
      </c>
      <c r="J14" s="22">
        <f>INDEX(J4:J13, MATCH($D$14, D4:D13, 0))</f>
        <v>1821.962001857429</v>
      </c>
      <c r="K14" s="32">
        <f>(D14-$D$15)/$D$15</f>
        <v>1.8875713280322257E-3</v>
      </c>
      <c r="L14" s="16">
        <f>MIN(L4:L13)</f>
        <v>66470.296239038755</v>
      </c>
      <c r="M14" s="21">
        <f>INDEX(M4:M13, MATCH($L$14, L4:L13, 0))</f>
        <v>0.24219708300006459</v>
      </c>
      <c r="N14" s="16">
        <f>INDEX(N4:N13, MATCH($L$14, L4:L13, 0))</f>
        <v>3</v>
      </c>
      <c r="O14" s="16">
        <f>INDEX(O4:O13, MATCH($L$14, L4:L13, 0))</f>
        <v>90</v>
      </c>
      <c r="P14" s="21">
        <f>INDEX(P4:P13, MATCH($L$14, L4:L13, 0))</f>
        <v>2.7636291260863448</v>
      </c>
      <c r="Q14" s="21">
        <f>INDEX(Q4:Q13, MATCH($L$14, L4:L13, 0))</f>
        <v>20.074511038640871</v>
      </c>
      <c r="R14" s="21">
        <f>INDEX(R4:R13, MATCH($L$14, L4:L13, 0))</f>
        <v>1642.2124770837729</v>
      </c>
      <c r="S14" s="36">
        <f>(L14-$D$15)/$D$15</f>
        <v>6.064760486762158E-2</v>
      </c>
      <c r="T14" s="38">
        <f>MIN(T4:T13)</f>
        <v>67500.800586799771</v>
      </c>
      <c r="U14" s="39">
        <f>INDEX(U4:U13, MATCH($T$14, T4:T13, 0))</f>
        <v>0.5296481670011417</v>
      </c>
      <c r="V14" s="38">
        <f>INDEX(V4:V13, MATCH($T$14, T4:T13, 0))</f>
        <v>2</v>
      </c>
      <c r="W14" s="38">
        <f>INDEX(W4:W13, MATCH($T$14, T4:T13, 0))</f>
        <v>75</v>
      </c>
      <c r="X14" s="39">
        <f>INDEX(X4:X13, MATCH($T$14, T4:T13, 0))</f>
        <v>0</v>
      </c>
      <c r="Y14" s="39">
        <f>INDEX(Y4:Y13, MATCH($T$14, T4:T13, 0))</f>
        <v>34.731366066306357</v>
      </c>
      <c r="Z14" s="39">
        <f>INDEX(Z4:Z13, MATCH($T$14, T4:T13, 0))</f>
        <v>1803.1262859560461</v>
      </c>
      <c r="AA14" s="40">
        <f>(T14-$D$15)/$D$15</f>
        <v>7.7091069544351271E-2</v>
      </c>
    </row>
    <row r="15" spans="2:27" x14ac:dyDescent="0.2">
      <c r="C15" s="1" t="s">
        <v>17</v>
      </c>
      <c r="D15" s="34">
        <v>62669.538811936363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1:C1048576">
    <cfRule type="duplicateValues" dxfId="73" priority="13"/>
    <cfRule type="duplicateValues" dxfId="72" priority="14"/>
  </conditionalFormatting>
  <conditionalFormatting sqref="C14">
    <cfRule type="duplicateValues" dxfId="71" priority="5"/>
    <cfRule type="duplicateValues" dxfId="70" priority="6"/>
  </conditionalFormatting>
  <conditionalFormatting sqref="C18:C30">
    <cfRule type="duplicateValues" dxfId="3" priority="3"/>
    <cfRule type="duplicateValues" dxfId="2" priority="4"/>
  </conditionalFormatting>
  <conditionalFormatting sqref="C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6" priority="1"/>
  </conditionalFormatting>
  <conditionalFormatting sqref="L14">
    <cfRule type="duplicateValues" dxfId="6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4" priority="1"/>
  </conditionalFormatting>
  <conditionalFormatting sqref="L14">
    <cfRule type="duplicateValues" dxfId="6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  <cfRule type="duplicateValues" dxfId="55" priority="2"/>
  </conditionalFormatting>
  <conditionalFormatting sqref="L14">
    <cfRule type="duplicateValues" dxfId="5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3" priority="1"/>
  </conditionalFormatting>
  <conditionalFormatting sqref="L14">
    <cfRule type="duplicateValues" dxfId="5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1" priority="1"/>
  </conditionalFormatting>
  <conditionalFormatting sqref="L14">
    <cfRule type="duplicateValues" dxfId="5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results119</vt:lpstr>
      <vt:lpstr>results190</vt:lpstr>
      <vt:lpstr>results372</vt:lpstr>
      <vt:lpstr>results440</vt:lpstr>
      <vt:lpstr>results522</vt:lpstr>
      <vt:lpstr>results644</vt:lpstr>
      <vt:lpstr>results753</vt:lpstr>
      <vt:lpstr>results767</vt:lpstr>
      <vt:lpstr>results837</vt:lpstr>
      <vt:lpstr>results883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2026-10-21T18:02:24Z</dcterms:modified>
</cp:coreProperties>
</file>