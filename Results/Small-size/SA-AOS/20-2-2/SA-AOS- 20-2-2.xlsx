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20-2-2/"/>
    </mc:Choice>
  </mc:AlternateContent>
  <xr:revisionPtr revIDLastSave="0" documentId="13_ncr:1_{0AB3E056-BC11-7443-BEDF-6B680D30D02C}" xr6:coauthVersionLast="47" xr6:coauthVersionMax="47" xr10:uidLastSave="{00000000-0000-0000-0000-000000000000}"/>
  <bookViews>
    <workbookView xWindow="0" yWindow="760" windowWidth="34560" windowHeight="20500" xr2:uid="{41E620E7-D6DF-9342-B452-EA60AB3B07C5}"/>
  </bookViews>
  <sheets>
    <sheet name="Summary" sheetId="67" r:id="rId1"/>
    <sheet name="results7" sheetId="57" r:id="rId2"/>
    <sheet name="results224" sheetId="58" r:id="rId3"/>
    <sheet name="results418" sheetId="59" r:id="rId4"/>
    <sheet name="results466" sheetId="60" r:id="rId5"/>
    <sheet name="results575" sheetId="61" r:id="rId6"/>
    <sheet name="results594" sheetId="62" r:id="rId7"/>
    <sheet name="results623" sheetId="63" r:id="rId8"/>
    <sheet name="results870" sheetId="64" r:id="rId9"/>
    <sheet name="results883" sheetId="65" r:id="rId10"/>
    <sheet name="results935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66" l="1"/>
  <c r="W14" i="66" s="1"/>
  <c r="T14" i="65"/>
  <c r="Z14" i="65" s="1"/>
  <c r="T14" i="64"/>
  <c r="W14" i="64" s="1"/>
  <c r="T14" i="63"/>
  <c r="AA14" i="63" s="1"/>
  <c r="T14" i="62"/>
  <c r="AA14" i="62" s="1"/>
  <c r="T14" i="61"/>
  <c r="T14" i="60"/>
  <c r="V14" i="60" s="1"/>
  <c r="T14" i="59"/>
  <c r="V14" i="59" s="1"/>
  <c r="T14" i="58"/>
  <c r="T14" i="57"/>
  <c r="X14" i="57" s="1"/>
  <c r="L14" i="66"/>
  <c r="L14" i="65"/>
  <c r="P14" i="65" s="1"/>
  <c r="L14" i="64"/>
  <c r="L14" i="63"/>
  <c r="L14" i="62"/>
  <c r="Q14" i="62" s="1"/>
  <c r="L14" i="61"/>
  <c r="L14" i="60"/>
  <c r="L14" i="59"/>
  <c r="R14" i="59" s="1"/>
  <c r="L14" i="58"/>
  <c r="V14" i="66"/>
  <c r="AA14" i="66"/>
  <c r="Z14" i="66"/>
  <c r="Y14" i="66"/>
  <c r="X14" i="66"/>
  <c r="Q14" i="66"/>
  <c r="M14" i="66"/>
  <c r="P14" i="66"/>
  <c r="N14" i="66"/>
  <c r="O14" i="66"/>
  <c r="S14" i="66"/>
  <c r="R14" i="66"/>
  <c r="Q14" i="65"/>
  <c r="O14" i="65"/>
  <c r="U14" i="65"/>
  <c r="AA14" i="64"/>
  <c r="Z14" i="64"/>
  <c r="X14" i="64"/>
  <c r="Y14" i="64"/>
  <c r="V14" i="64"/>
  <c r="Q14" i="64"/>
  <c r="N14" i="64"/>
  <c r="M14" i="64"/>
  <c r="P14" i="64"/>
  <c r="S14" i="64"/>
  <c r="R14" i="64"/>
  <c r="O14" i="64"/>
  <c r="N14" i="63"/>
  <c r="M14" i="63"/>
  <c r="S14" i="63"/>
  <c r="R14" i="63"/>
  <c r="Q14" i="63"/>
  <c r="P14" i="63"/>
  <c r="O14" i="63"/>
  <c r="Q14" i="61"/>
  <c r="M14" i="61"/>
  <c r="P14" i="61"/>
  <c r="O14" i="61"/>
  <c r="S14" i="61"/>
  <c r="N14" i="61"/>
  <c r="R14" i="61"/>
  <c r="X14" i="61"/>
  <c r="AA14" i="61"/>
  <c r="Z14" i="61"/>
  <c r="Y14" i="61"/>
  <c r="W14" i="61"/>
  <c r="V14" i="61"/>
  <c r="U14" i="61"/>
  <c r="Q14" i="60"/>
  <c r="P14" i="60"/>
  <c r="O14" i="60"/>
  <c r="N14" i="60"/>
  <c r="M14" i="60"/>
  <c r="S14" i="60"/>
  <c r="R14" i="60"/>
  <c r="Q14" i="59"/>
  <c r="O14" i="59"/>
  <c r="P14" i="59"/>
  <c r="M14" i="59"/>
  <c r="N14" i="59"/>
  <c r="S14" i="59"/>
  <c r="AA14" i="59"/>
  <c r="W14" i="59"/>
  <c r="Z14" i="59"/>
  <c r="X14" i="59"/>
  <c r="Q14" i="58"/>
  <c r="P14" i="58"/>
  <c r="O14" i="58"/>
  <c r="N14" i="58"/>
  <c r="S14" i="58"/>
  <c r="M14" i="58"/>
  <c r="R14" i="58"/>
  <c r="AA14" i="58"/>
  <c r="Z14" i="58"/>
  <c r="Y14" i="58"/>
  <c r="X14" i="58"/>
  <c r="W14" i="58"/>
  <c r="V14" i="58"/>
  <c r="U14" i="58"/>
  <c r="L14" i="57"/>
  <c r="R14" i="57" s="1"/>
  <c r="P14" i="57"/>
  <c r="U14" i="57"/>
  <c r="AA14" i="57"/>
  <c r="Z14" i="57"/>
  <c r="Y14" i="57"/>
  <c r="U14" i="66" l="1"/>
  <c r="V14" i="65"/>
  <c r="Y14" i="65"/>
  <c r="AA14" i="65"/>
  <c r="W14" i="65"/>
  <c r="X14" i="65"/>
  <c r="U14" i="64"/>
  <c r="V14" i="63"/>
  <c r="Y14" i="63"/>
  <c r="U14" i="63"/>
  <c r="W14" i="63"/>
  <c r="X14" i="63"/>
  <c r="Z14" i="63"/>
  <c r="Z14" i="62"/>
  <c r="U14" i="62"/>
  <c r="V14" i="62"/>
  <c r="W14" i="62"/>
  <c r="X14" i="62"/>
  <c r="Y14" i="62"/>
  <c r="AA14" i="60"/>
  <c r="W14" i="60"/>
  <c r="U14" i="60"/>
  <c r="X14" i="60"/>
  <c r="Y14" i="60"/>
  <c r="Z14" i="60"/>
  <c r="U14" i="59"/>
  <c r="Y14" i="59"/>
  <c r="V14" i="57"/>
  <c r="W14" i="57"/>
  <c r="R14" i="65"/>
  <c r="S14" i="65"/>
  <c r="M14" i="65"/>
  <c r="N14" i="65"/>
  <c r="R14" i="62"/>
  <c r="M14" i="62"/>
  <c r="O14" i="62"/>
  <c r="S14" i="62"/>
  <c r="P14" i="62"/>
  <c r="N14" i="62"/>
  <c r="S14" i="57"/>
  <c r="M14" i="57"/>
  <c r="N14" i="57"/>
  <c r="O14" i="57"/>
  <c r="Q14" i="57"/>
  <c r="D14" i="66"/>
  <c r="J14" i="66" s="1"/>
  <c r="D14" i="65"/>
  <c r="G14" i="65" s="1"/>
  <c r="D14" i="64"/>
  <c r="J14" i="64" s="1"/>
  <c r="D14" i="63"/>
  <c r="J14" i="63" s="1"/>
  <c r="D14" i="62"/>
  <c r="J14" i="62" s="1"/>
  <c r="D14" i="61"/>
  <c r="I14" i="61" s="1"/>
  <c r="D14" i="60"/>
  <c r="J14" i="60" s="1"/>
  <c r="D14" i="59"/>
  <c r="J14" i="59" s="1"/>
  <c r="D14" i="58"/>
  <c r="I14" i="58" s="1"/>
  <c r="D14" i="57"/>
  <c r="H14" i="57" s="1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S7" i="67" a="1"/>
  <c r="I6" i="67" a="1"/>
  <c r="I10" i="67" a="1"/>
  <c r="S8" i="67" a="1"/>
  <c r="S6" i="67" a="1"/>
  <c r="C10" i="67" a="1"/>
  <c r="C6" i="67" a="1"/>
  <c r="G3" i="67" a="1"/>
  <c r="S5" i="67" a="1"/>
  <c r="I12" i="67" a="1"/>
  <c r="C9" i="67" a="1"/>
  <c r="C4" i="67" a="1"/>
  <c r="S11" i="67" a="1"/>
  <c r="C11" i="67" a="1"/>
  <c r="C8" i="67" a="1"/>
  <c r="C5" i="67" a="1"/>
  <c r="F11" i="67" a="1"/>
  <c r="S9" i="67" a="1"/>
  <c r="H7" i="67" a="1"/>
  <c r="S10" i="67" a="1"/>
  <c r="I9" i="67" a="1"/>
  <c r="I5" i="67" a="1"/>
  <c r="I8" i="67" a="1"/>
  <c r="C3" i="67" a="1"/>
  <c r="H4" i="67" a="1"/>
  <c r="S3" i="67" a="1"/>
  <c r="S4" i="67" a="1"/>
  <c r="C7" i="67" a="1"/>
  <c r="S12" i="67" a="1"/>
  <c r="C12" i="67" a="1"/>
  <c r="E14" i="66" l="1"/>
  <c r="F14" i="66"/>
  <c r="G14" i="66"/>
  <c r="H14" i="66"/>
  <c r="I14" i="66"/>
  <c r="E14" i="65"/>
  <c r="F14" i="65"/>
  <c r="H14" i="65"/>
  <c r="I14" i="65"/>
  <c r="J14" i="65"/>
  <c r="F14" i="64"/>
  <c r="G14" i="64"/>
  <c r="H14" i="64"/>
  <c r="I14" i="64"/>
  <c r="E14" i="64"/>
  <c r="E14" i="63"/>
  <c r="F14" i="63"/>
  <c r="G14" i="63"/>
  <c r="H14" i="63"/>
  <c r="I14" i="63"/>
  <c r="F14" i="62"/>
  <c r="G14" i="62"/>
  <c r="E14" i="62"/>
  <c r="H14" i="62"/>
  <c r="I14" i="62"/>
  <c r="G14" i="61"/>
  <c r="J14" i="61"/>
  <c r="F14" i="61"/>
  <c r="E14" i="61"/>
  <c r="H14" i="61"/>
  <c r="H14" i="60"/>
  <c r="F14" i="60"/>
  <c r="I14" i="60"/>
  <c r="E14" i="60"/>
  <c r="G14" i="60"/>
  <c r="H14" i="59"/>
  <c r="F14" i="59"/>
  <c r="I14" i="59"/>
  <c r="E14" i="59"/>
  <c r="G14" i="59"/>
  <c r="H14" i="58"/>
  <c r="F14" i="58"/>
  <c r="J14" i="58"/>
  <c r="E14" i="58"/>
  <c r="G14" i="58"/>
  <c r="E14" i="57"/>
  <c r="J14" i="57"/>
  <c r="G14" i="57"/>
  <c r="I14" i="57"/>
  <c r="F14" i="57"/>
  <c r="S3" i="67"/>
  <c r="I10" i="67"/>
  <c r="I12" i="67"/>
  <c r="G3" i="67"/>
  <c r="S7" i="67"/>
  <c r="C4" i="67"/>
  <c r="I8" i="67"/>
  <c r="S4" i="67"/>
  <c r="S6" i="67"/>
  <c r="H7" i="67"/>
  <c r="S8" i="67"/>
  <c r="S10" i="67"/>
  <c r="S12" i="67"/>
  <c r="S11" i="67"/>
  <c r="C6" i="67"/>
  <c r="C10" i="67"/>
  <c r="F11" i="67"/>
  <c r="S5" i="67"/>
  <c r="C8" i="67"/>
  <c r="C12" i="67"/>
  <c r="C9" i="67"/>
  <c r="C11" i="67"/>
  <c r="H4" i="67"/>
  <c r="S9" i="67"/>
  <c r="I6" i="67"/>
  <c r="C3" i="67"/>
  <c r="C5" i="67"/>
  <c r="I5" i="67"/>
  <c r="C7" i="67"/>
  <c r="I9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X11" i="67" a="1"/>
  <c r="H3" i="67" a="1"/>
  <c r="W4" i="67" a="1"/>
  <c r="X3" i="67" a="1"/>
  <c r="G8" i="67" a="1"/>
  <c r="E4" i="67" a="1"/>
  <c r="K5" i="67" a="1"/>
  <c r="V5" i="67" a="1"/>
  <c r="E12" i="67" a="1"/>
  <c r="W5" i="67" a="1"/>
  <c r="T11" i="67" a="1"/>
  <c r="G7" i="67" a="1"/>
  <c r="K8" i="67" a="1"/>
  <c r="Y11" i="67" a="1"/>
  <c r="T9" i="67" a="1"/>
  <c r="T12" i="67" a="1"/>
  <c r="F10" i="67" a="1"/>
  <c r="U3" i="67" a="1"/>
  <c r="U11" i="67" a="1"/>
  <c r="H6" i="67" a="1"/>
  <c r="K11" i="67" a="1"/>
  <c r="U9" i="67" a="1"/>
  <c r="K9" i="67" a="1"/>
  <c r="E11" i="67" a="1"/>
  <c r="F8" i="67" a="1"/>
  <c r="T4" i="67" a="1"/>
  <c r="F9" i="67" a="1"/>
  <c r="D11" i="67" a="1"/>
  <c r="Y4" i="67" a="1"/>
  <c r="V4" i="67" a="1"/>
  <c r="Y6" i="67" a="1"/>
  <c r="G5" i="67" a="1"/>
  <c r="V11" i="67" a="1"/>
  <c r="T5" i="67" a="1"/>
  <c r="F12" i="67" a="1"/>
  <c r="T8" i="67" a="1"/>
  <c r="U8" i="67" a="1"/>
  <c r="G6" i="67" a="1"/>
  <c r="T3" i="67" a="1"/>
  <c r="W8" i="67" a="1"/>
  <c r="D9" i="67" a="1"/>
  <c r="W7" i="67" a="1"/>
  <c r="D4" i="67" a="1"/>
  <c r="E9" i="67" a="1"/>
  <c r="V8" i="67" a="1"/>
  <c r="T6" i="67" a="1"/>
  <c r="G10" i="67" a="1"/>
  <c r="E5" i="67" a="1"/>
  <c r="G4" i="67" a="1"/>
  <c r="U7" i="67" a="1"/>
  <c r="F5" i="67" a="1"/>
  <c r="I4" i="67" a="1"/>
  <c r="Y3" i="67" a="1"/>
  <c r="W6" i="67" a="1"/>
  <c r="U5" i="67" a="1"/>
  <c r="V7" i="67" a="1"/>
  <c r="Y7" i="67" a="1"/>
  <c r="Y10" i="67" a="1"/>
  <c r="V10" i="67" a="1"/>
  <c r="X7" i="67" a="1"/>
  <c r="H9" i="67" a="1"/>
  <c r="I11" i="67" a="1"/>
  <c r="X6" i="67" a="1"/>
  <c r="U12" i="67" a="1"/>
  <c r="G9" i="67" a="1"/>
  <c r="F6" i="67" a="1"/>
  <c r="E6" i="67" a="1"/>
  <c r="H11" i="67" a="1"/>
  <c r="V12" i="67" a="1"/>
  <c r="Y8" i="67" a="1"/>
  <c r="V9" i="67" a="1"/>
  <c r="W11" i="67" a="1"/>
  <c r="X5" i="67" a="1"/>
  <c r="K7" i="67" a="1"/>
  <c r="D10" i="67" a="1"/>
  <c r="E10" i="67" a="1"/>
  <c r="X8" i="67" a="1"/>
  <c r="X4" i="67" a="1"/>
  <c r="Y12" i="67" a="1"/>
  <c r="Y5" i="67" a="1"/>
  <c r="W12" i="67" a="1"/>
  <c r="V3" i="67" a="1"/>
  <c r="H5" i="67" a="1"/>
  <c r="X12" i="67" a="1"/>
  <c r="F3" i="67" a="1"/>
  <c r="K6" i="67" a="1"/>
  <c r="W9" i="67" a="1"/>
  <c r="E3" i="67" a="1"/>
  <c r="U6" i="67" a="1"/>
  <c r="T7" i="67" a="1"/>
  <c r="G12" i="67" a="1"/>
  <c r="E7" i="67" a="1"/>
  <c r="U10" i="67" a="1"/>
  <c r="D12" i="67" a="1"/>
  <c r="W3" i="67" a="1"/>
  <c r="Y9" i="67" a="1"/>
  <c r="D7" i="67" a="1"/>
  <c r="I7" i="67" a="1"/>
  <c r="K3" i="67" a="1"/>
  <c r="F7" i="67" a="1"/>
  <c r="K12" i="67" a="1"/>
  <c r="X10" i="67" a="1"/>
  <c r="T10" i="67" a="1"/>
  <c r="H10" i="67" a="1"/>
  <c r="K10" i="67" a="1"/>
  <c r="U4" i="67" a="1"/>
  <c r="K4" i="67" a="1"/>
  <c r="W10" i="67" a="1"/>
  <c r="E8" i="67" a="1"/>
  <c r="G11" i="67" a="1"/>
  <c r="V6" i="67" a="1"/>
  <c r="D5" i="67" a="1"/>
  <c r="D8" i="67" a="1"/>
  <c r="F4" i="67" a="1"/>
  <c r="H8" i="67" a="1"/>
  <c r="I3" i="67" a="1"/>
  <c r="D3" i="67" a="1"/>
  <c r="H12" i="67" a="1"/>
  <c r="X9" i="67" a="1"/>
  <c r="D6" i="67" a="1"/>
  <c r="S16" i="67" l="1"/>
  <c r="C16" i="67"/>
  <c r="U4" i="67"/>
  <c r="V12" i="67"/>
  <c r="T12" i="67"/>
  <c r="F12" i="67"/>
  <c r="E12" i="67"/>
  <c r="Y12" i="67"/>
  <c r="H12" i="67"/>
  <c r="X12" i="67"/>
  <c r="W12" i="67"/>
  <c r="U12" i="67"/>
  <c r="G12" i="67"/>
  <c r="D12" i="67"/>
  <c r="I11" i="67"/>
  <c r="G11" i="67"/>
  <c r="E11" i="67"/>
  <c r="Y11" i="67"/>
  <c r="T11" i="67"/>
  <c r="X11" i="67"/>
  <c r="U11" i="67"/>
  <c r="W11" i="67"/>
  <c r="V11" i="67"/>
  <c r="H11" i="67"/>
  <c r="D11" i="67"/>
  <c r="V10" i="67"/>
  <c r="F10" i="67"/>
  <c r="W10" i="67"/>
  <c r="Y10" i="67"/>
  <c r="X10" i="67"/>
  <c r="U10" i="67"/>
  <c r="D10" i="67"/>
  <c r="T10" i="67"/>
  <c r="H10" i="67"/>
  <c r="G10" i="67"/>
  <c r="E10" i="67"/>
  <c r="Y9" i="67"/>
  <c r="U9" i="67"/>
  <c r="H9" i="67"/>
  <c r="G9" i="67"/>
  <c r="X9" i="67"/>
  <c r="F9" i="67"/>
  <c r="E9" i="67"/>
  <c r="W9" i="67"/>
  <c r="V9" i="67"/>
  <c r="T9" i="67"/>
  <c r="D9" i="67"/>
  <c r="T8" i="67"/>
  <c r="Y8" i="67"/>
  <c r="X8" i="67"/>
  <c r="U8" i="67"/>
  <c r="H8" i="67"/>
  <c r="G8" i="67"/>
  <c r="D8" i="67"/>
  <c r="F8" i="67"/>
  <c r="W8" i="67"/>
  <c r="V8" i="67"/>
  <c r="E8" i="67"/>
  <c r="W7" i="67"/>
  <c r="X7" i="67"/>
  <c r="V7" i="67"/>
  <c r="T7" i="67"/>
  <c r="D7" i="67"/>
  <c r="G7" i="67"/>
  <c r="E7" i="67"/>
  <c r="U7" i="67"/>
  <c r="I7" i="67"/>
  <c r="Y7" i="67"/>
  <c r="F7" i="67"/>
  <c r="F6" i="67"/>
  <c r="D6" i="67"/>
  <c r="Y6" i="67"/>
  <c r="X6" i="67"/>
  <c r="T6" i="67"/>
  <c r="W6" i="67"/>
  <c r="V6" i="67"/>
  <c r="U6" i="67"/>
  <c r="H6" i="67"/>
  <c r="E6" i="67"/>
  <c r="G6" i="67"/>
  <c r="T5" i="67"/>
  <c r="D5" i="67"/>
  <c r="V5" i="67"/>
  <c r="X5" i="67"/>
  <c r="F5" i="67"/>
  <c r="H5" i="67"/>
  <c r="W5" i="67"/>
  <c r="E5" i="67"/>
  <c r="U5" i="67"/>
  <c r="Y5" i="67"/>
  <c r="G5" i="67"/>
  <c r="X4" i="67"/>
  <c r="I4" i="67"/>
  <c r="F4" i="67"/>
  <c r="E4" i="67"/>
  <c r="W4" i="67"/>
  <c r="V4" i="67"/>
  <c r="T4" i="67"/>
  <c r="D4" i="67"/>
  <c r="Y4" i="67"/>
  <c r="G4" i="67"/>
  <c r="E3" i="67"/>
  <c r="U3" i="67"/>
  <c r="X3" i="67"/>
  <c r="T3" i="67"/>
  <c r="H3" i="67"/>
  <c r="F3" i="67"/>
  <c r="I3" i="67"/>
  <c r="Y3" i="67"/>
  <c r="W3" i="67"/>
  <c r="V3" i="67"/>
  <c r="D3" i="67"/>
  <c r="C13" i="67"/>
  <c r="J13" i="67" s="1"/>
  <c r="S13" i="67"/>
  <c r="Z13" i="67" s="1"/>
  <c r="K6" i="67"/>
  <c r="K9" i="67"/>
  <c r="K3" i="67"/>
  <c r="K5" i="67"/>
  <c r="K8" i="67"/>
  <c r="K7" i="67"/>
  <c r="K11" i="67"/>
  <c r="K4" i="67"/>
  <c r="K12" i="67"/>
  <c r="K10" i="6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N10" i="67" a="1"/>
  <c r="L7" i="67" a="1"/>
  <c r="L8" i="67" a="1"/>
  <c r="P7" i="67" a="1"/>
  <c r="M9" i="67" a="1"/>
  <c r="M7" i="67" a="1"/>
  <c r="P12" i="67" a="1"/>
  <c r="O3" i="67" a="1"/>
  <c r="O5" i="67" a="1"/>
  <c r="N3" i="67" a="1"/>
  <c r="L11" i="67" a="1"/>
  <c r="O8" i="67" a="1"/>
  <c r="M6" i="67" a="1"/>
  <c r="M8" i="67" a="1"/>
  <c r="Q8" i="67" a="1"/>
  <c r="N6" i="67" a="1"/>
  <c r="N4" i="67" a="1"/>
  <c r="O12" i="67" a="1"/>
  <c r="Q7" i="67" a="1"/>
  <c r="Q11" i="67" a="1"/>
  <c r="Q9" i="67" a="1"/>
  <c r="O11" i="67" a="1"/>
  <c r="L3" i="67" a="1"/>
  <c r="P9" i="67" a="1"/>
  <c r="L12" i="67" a="1"/>
  <c r="P8" i="67" a="1"/>
  <c r="M12" i="67" a="1"/>
  <c r="Q6" i="67" a="1"/>
  <c r="P3" i="67" a="1"/>
  <c r="Q5" i="67" a="1"/>
  <c r="M11" i="67" a="1"/>
  <c r="P10" i="67" a="1"/>
  <c r="L10" i="67" a="1"/>
  <c r="P6" i="67" a="1"/>
  <c r="O6" i="67" a="1"/>
  <c r="M4" i="67" a="1"/>
  <c r="Q12" i="67" a="1"/>
  <c r="N7" i="67" a="1"/>
  <c r="N9" i="67" a="1"/>
  <c r="Q4" i="67" a="1"/>
  <c r="L6" i="67" a="1"/>
  <c r="N12" i="67" a="1"/>
  <c r="Q10" i="67" a="1"/>
  <c r="L9" i="67" a="1"/>
  <c r="L4" i="67" a="1"/>
  <c r="N11" i="67" a="1"/>
  <c r="N5" i="67" a="1"/>
  <c r="O9" i="67" a="1"/>
  <c r="O10" i="67" a="1"/>
  <c r="P4" i="67" a="1"/>
  <c r="M3" i="67" a="1"/>
  <c r="Q3" i="67" a="1"/>
  <c r="O4" i="67" a="1"/>
  <c r="P11" i="67" a="1"/>
  <c r="O7" i="67" a="1"/>
  <c r="P5" i="67" a="1"/>
  <c r="N8" i="67" a="1"/>
  <c r="M5" i="67" a="1"/>
  <c r="M10" i="67" a="1"/>
  <c r="L5" i="67" a="1"/>
  <c r="K16" i="67" l="1"/>
  <c r="T13" i="67"/>
  <c r="W13" i="67"/>
  <c r="X13" i="67"/>
  <c r="U13" i="67"/>
  <c r="K13" i="67"/>
  <c r="R13" i="67" s="1"/>
  <c r="V13" i="67"/>
  <c r="Y13" i="67"/>
  <c r="N12" i="67"/>
  <c r="P12" i="67"/>
  <c r="Q12" i="67"/>
  <c r="M12" i="67"/>
  <c r="L12" i="67"/>
  <c r="O12" i="67"/>
  <c r="L11" i="67"/>
  <c r="O11" i="67"/>
  <c r="M11" i="67"/>
  <c r="N11" i="67"/>
  <c r="P11" i="67"/>
  <c r="Q11" i="67"/>
  <c r="Q10" i="67"/>
  <c r="P10" i="67"/>
  <c r="M10" i="67"/>
  <c r="N10" i="67"/>
  <c r="O10" i="67"/>
  <c r="L10" i="67"/>
  <c r="M9" i="67"/>
  <c r="Q9" i="67"/>
  <c r="N9" i="67"/>
  <c r="O9" i="67"/>
  <c r="L9" i="67"/>
  <c r="P9" i="67"/>
  <c r="M8" i="67"/>
  <c r="L8" i="67"/>
  <c r="N8" i="67"/>
  <c r="P8" i="67"/>
  <c r="Q8" i="67"/>
  <c r="O8" i="67"/>
  <c r="M7" i="67"/>
  <c r="O7" i="67"/>
  <c r="L7" i="67"/>
  <c r="Q7" i="67"/>
  <c r="N7" i="67"/>
  <c r="P7" i="67"/>
  <c r="O6" i="67"/>
  <c r="M6" i="67"/>
  <c r="N6" i="67"/>
  <c r="L6" i="67"/>
  <c r="P6" i="67"/>
  <c r="Q6" i="67"/>
  <c r="H13" i="67"/>
  <c r="M5" i="67"/>
  <c r="N5" i="67"/>
  <c r="O5" i="67"/>
  <c r="Q5" i="67"/>
  <c r="L5" i="67"/>
  <c r="P5" i="67"/>
  <c r="I13" i="67"/>
  <c r="F13" i="67"/>
  <c r="E13" i="67"/>
  <c r="G13" i="67"/>
  <c r="D13" i="67"/>
  <c r="M4" i="67"/>
  <c r="N4" i="67"/>
  <c r="P4" i="67"/>
  <c r="O4" i="67"/>
  <c r="Q4" i="67"/>
  <c r="L4" i="67"/>
  <c r="N3" i="67"/>
  <c r="M3" i="67"/>
  <c r="O3" i="67"/>
  <c r="L3" i="67"/>
  <c r="P3" i="67"/>
  <c r="Q3" i="67"/>
  <c r="G14" i="26"/>
  <c r="E14" i="26"/>
  <c r="D14" i="26"/>
  <c r="K14" i="26"/>
  <c r="P14" i="25"/>
  <c r="N14" i="25"/>
  <c r="M14" i="25"/>
  <c r="T14" i="25"/>
  <c r="D14" i="25"/>
  <c r="H4" i="23" a="1"/>
  <c r="I4" i="23" a="1"/>
  <c r="Q13" i="67" l="1"/>
  <c r="O13" i="67"/>
  <c r="L13" i="67"/>
  <c r="P13" i="67"/>
  <c r="N13" i="67"/>
  <c r="M13" i="67"/>
  <c r="H4" i="23"/>
  <c r="I4" i="23"/>
  <c r="E7" i="23" a="1"/>
  <c r="F6" i="23" a="1"/>
  <c r="G12" i="23" a="1"/>
  <c r="G7" i="23" a="1"/>
  <c r="E10" i="23" a="1"/>
  <c r="D13" i="23" a="1"/>
  <c r="G9" i="23" a="1"/>
  <c r="F12" i="23" a="1"/>
  <c r="D11" i="23" a="1"/>
  <c r="G5" i="23" a="1"/>
  <c r="F10" i="23" a="1"/>
  <c r="F5" i="23" a="1"/>
  <c r="E8" i="23" a="1"/>
  <c r="D4" i="23" a="1"/>
  <c r="E5" i="23" a="1"/>
  <c r="E11" i="23" a="1"/>
  <c r="D9" i="23" a="1"/>
  <c r="F7" i="23" a="1"/>
  <c r="E9" i="23" a="1"/>
  <c r="F11" i="23" a="1"/>
  <c r="E13" i="23" a="1"/>
  <c r="D5" i="23" a="1"/>
  <c r="F4" i="23" a="1"/>
  <c r="G10" i="23" a="1"/>
  <c r="E6" i="23" a="1"/>
  <c r="G6" i="23" a="1"/>
  <c r="D10" i="23" a="1"/>
  <c r="G13" i="23" a="1"/>
  <c r="E4" i="23" a="1"/>
  <c r="F8" i="23" a="1"/>
  <c r="G4" i="23" a="1"/>
  <c r="D8" i="23" a="1"/>
  <c r="E12" i="23" a="1"/>
  <c r="G11" i="23" a="1"/>
  <c r="F9" i="23" a="1"/>
  <c r="D12" i="23" a="1"/>
  <c r="D7" i="23" a="1"/>
  <c r="F13" i="23" a="1"/>
  <c r="D6" i="23" a="1"/>
  <c r="G8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<sst xmlns="http://schemas.openxmlformats.org/spreadsheetml/2006/main" count="670" uniqueCount="21">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</sst>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924B-F702-9244-BF1F-96B574B90D0C}">
  <dimension ref="B1:Z16"/>
  <sheetViews>
    <sheetView tabSelected="1" zoomScale="85" zoomScaleNormal="85" workbookViewId="0">
      <selection activeCell="S2" sqref="S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7</v>
      </c>
      <c r="C3" s="5" cm="1">
        <f t="array" aca="1" ref="C3" ca="1">INDIRECT("'results" &amp; $B3 &amp; "'!D$14")</f>
        <v>67231.116754941177</v>
      </c>
      <c r="D3" s="33" cm="1">
        <f t="array" aca="1" ref="D3" ca="1">INDIRECT("'results" &amp; $B3 &amp; "'!E$14")</f>
        <v>4.8814649590001409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80</v>
      </c>
      <c r="G3" s="5" cm="1">
        <f t="array" aca="1" ref="G3" ca="1">INDIRECT("'results" &amp; $B3 &amp; "'!H$14")</f>
        <v>54.598725561277902</v>
      </c>
      <c r="H3" s="33" cm="1">
        <f t="array" aca="1" ref="H3" ca="1">INDIRECT("'results" &amp; $B3 &amp; "'!I$14")</f>
        <v>19.591678648502928</v>
      </c>
      <c r="I3" s="5" cm="1">
        <f t="array" aca="1" ref="I3" ca="1">INDIRECT("'results" &amp; $B3 &amp; "'!J$14")</f>
        <v>1945.2171671602314</v>
      </c>
      <c r="J3" s="5"/>
      <c r="K3" s="5" cm="1">
        <f t="array" aca="1" ref="K3" ca="1">INDIRECT("'results" &amp; $B3 &amp; "'!L$14")</f>
        <v>78475.583750335412</v>
      </c>
      <c r="L3" s="5" cm="1">
        <f t="array" aca="1" ref="L3" ca="1">INDIRECT("'results" &amp; $B3 &amp; "'!M$14")</f>
        <v>4.1281630840003336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12.699094398926535</v>
      </c>
      <c r="Q3" s="5" cm="1">
        <f t="array" aca="1" ref="Q3" ca="1">INDIRECT("'results" &amp; $B3 &amp; "'!R$14")</f>
        <v>1494.4678168738299</v>
      </c>
      <c r="R3" s="5"/>
      <c r="S3" s="5" cm="1">
        <f t="array" aca="1" ref="S3" ca="1">INDIRECT("'results" &amp; $B3 &amp; "'!T$14")</f>
        <v>85910.919403947046</v>
      </c>
      <c r="T3" s="5" cm="1">
        <f t="array" aca="1" ref="T3" ca="1">INDIRECT("'results" &amp; $B3 &amp; "'!U$14")</f>
        <v>3.3936118340006942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55</v>
      </c>
      <c r="W3" s="5" cm="1">
        <f t="array" aca="1" ref="W3" ca="1">INDIRECT("'results" &amp; $B3 &amp; "'!X$14")</f>
        <v>174.37855747625829</v>
      </c>
      <c r="X3" s="5" cm="1">
        <f t="array" aca="1" ref="X3" ca="1">INDIRECT("'results" &amp; $B3 &amp; "'!Y$14")</f>
        <v>28.496159142079456</v>
      </c>
      <c r="Y3" s="5" cm="1">
        <f t="array" aca="1" ref="Y3" ca="1">INDIRECT("'results" &amp; $B3 &amp; "'!Z$14")</f>
        <v>2370.0574979919338</v>
      </c>
      <c r="Z3" s="5"/>
    </row>
    <row r="4" spans="2:26" x14ac:dyDescent="0.2">
      <c r="B4" s="4">
        <v>224</v>
      </c>
      <c r="C4" s="5" cm="1">
        <f t="array" aca="1" ref="C4" ca="1">INDIRECT("'results" &amp; $B4 &amp; "'!D$14")</f>
        <v>50183.720778918898</v>
      </c>
      <c r="D4" s="33" cm="1">
        <f t="array" aca="1" ref="D4" ca="1">INDIRECT("'results" &amp; $B4 &amp; "'!E$14")</f>
        <v>4.9982412500000919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95</v>
      </c>
      <c r="G4" s="5" cm="1">
        <f t="array" aca="1" ref="G4" ca="1">INDIRECT("'results" &amp; $B4 &amp; "'!H$14")</f>
        <v>15.334122939452142</v>
      </c>
      <c r="H4" s="33" cm="1">
        <f t="array" aca="1" ref="H4" ca="1">INDIRECT("'results" &amp; $B4 &amp; "'!I$14")</f>
        <v>22.223936552566222</v>
      </c>
      <c r="I4" s="5" cm="1">
        <f t="array" aca="1" ref="I4" ca="1">INDIRECT("'results" &amp; $B4 &amp; "'!J$14")</f>
        <v>1545.7941239381573</v>
      </c>
      <c r="J4" s="5"/>
      <c r="K4" s="5" cm="1">
        <f t="array" aca="1" ref="K4" ca="1">INDIRECT("'results" &amp; $B4 &amp; "'!L$14")</f>
        <v>57903.825897736628</v>
      </c>
      <c r="L4" s="5" cm="1">
        <f t="array" aca="1" ref="L4" ca="1">INDIRECT("'results" &amp; $B4 &amp; "'!M$14")</f>
        <v>4.3417680000002292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16.283229835745765</v>
      </c>
      <c r="Q4" s="5" cm="1">
        <f t="array" aca="1" ref="Q4" ca="1">INDIRECT("'results" &amp; $B4 &amp; "'!R$14")</f>
        <v>1278.2608654703802</v>
      </c>
      <c r="R4" s="5"/>
      <c r="S4" s="5" cm="1">
        <f t="array" aca="1" ref="S4" ca="1">INDIRECT("'results" &amp; $B4 &amp; "'!T$14")</f>
        <v>60855.133328423413</v>
      </c>
      <c r="T4" s="5" cm="1">
        <f t="array" aca="1" ref="T4" ca="1">INDIRECT("'results" &amp; $B4 &amp; "'!U$14")</f>
        <v>4.8982475839984554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85</v>
      </c>
      <c r="W4" s="5" cm="1">
        <f t="array" aca="1" ref="W4" ca="1">INDIRECT("'results" &amp; $B4 &amp; "'!X$14")</f>
        <v>16.145431074705783</v>
      </c>
      <c r="X4" s="5" cm="1">
        <f t="array" aca="1" ref="X4" ca="1">INDIRECT("'results" &amp; $B4 &amp; "'!Y$14")</f>
        <v>32.040162933361358</v>
      </c>
      <c r="Y4" s="5" cm="1">
        <f t="array" aca="1" ref="Y4" ca="1">INDIRECT("'results" &amp; $B4 &amp; "'!Z$14")</f>
        <v>1861.4729034864285</v>
      </c>
      <c r="Z4" s="5"/>
    </row>
    <row r="5" spans="2:26" x14ac:dyDescent="0.2">
      <c r="B5" s="4">
        <v>418</v>
      </c>
      <c r="C5" s="5" cm="1">
        <f t="array" aca="1" ref="C5" ca="1">INDIRECT("'results" &amp; $B5 &amp; "'!D$14")</f>
        <v>49203.056594199617</v>
      </c>
      <c r="D5" s="33" cm="1">
        <f t="array" aca="1" ref="D5" ca="1">INDIRECT("'results" &amp; $B5 &amp; "'!E$14")</f>
        <v>5.2654566249998416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17.673307726478505</v>
      </c>
      <c r="I5" s="5" cm="1">
        <f t="array" aca="1" ref="I5" ca="1">INDIRECT("'results" &amp; $B5 &amp; "'!J$14")</f>
        <v>1223.757261689542</v>
      </c>
      <c r="J5" s="5"/>
      <c r="K5" s="5" cm="1">
        <f t="array" aca="1" ref="K5" ca="1">INDIRECT("'results" &amp; $B5 &amp; "'!L$14")</f>
        <v>55744.935332613662</v>
      </c>
      <c r="L5" s="5" cm="1">
        <f t="array" aca="1" ref="L5" ca="1">INDIRECT("'results" &amp; $B5 &amp; "'!M$14")</f>
        <v>4.9895053330001247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14.200331151506285</v>
      </c>
      <c r="Q5" s="5" cm="1">
        <f t="array" aca="1" ref="Q5" ca="1">INDIRECT("'results" &amp; $B5 &amp; "'!R$14")</f>
        <v>1120.5183756110309</v>
      </c>
      <c r="R5" s="5"/>
      <c r="S5" s="5" cm="1">
        <f t="array" aca="1" ref="S5" ca="1">INDIRECT("'results" &amp; $B5 &amp; "'!T$14")</f>
        <v>58160.612969583992</v>
      </c>
      <c r="T5" s="5" cm="1">
        <f t="array" aca="1" ref="T5" ca="1">INDIRECT("'results" &amp; $B5 &amp; "'!U$14")</f>
        <v>4.5768193750009232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11.300102036704869</v>
      </c>
      <c r="X5" s="5" cm="1">
        <f t="array" aca="1" ref="X5" ca="1">INDIRECT("'results" &amp; $B5 &amp; "'!Y$14")</f>
        <v>35.429729861174565</v>
      </c>
      <c r="Y5" s="5" cm="1">
        <f t="array" aca="1" ref="Y5" ca="1">INDIRECT("'results" &amp; $B5 &amp; "'!Z$14")</f>
        <v>1887.1427685854417</v>
      </c>
      <c r="Z5" s="5"/>
    </row>
    <row r="6" spans="2:26" x14ac:dyDescent="0.2">
      <c r="B6" s="4">
        <v>466</v>
      </c>
      <c r="C6" s="5" cm="1">
        <f t="array" aca="1" ref="C6" ca="1">INDIRECT("'results" &amp; $B6 &amp; "'!D$14")</f>
        <v>50920.462020404622</v>
      </c>
      <c r="D6" s="33" cm="1">
        <f t="array" aca="1" ref="D6" ca="1">INDIRECT("'results" &amp; $B6 &amp; "'!E$14")</f>
        <v>5.0026408329999867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2.0095980618539975</v>
      </c>
      <c r="H6" s="33" cm="1">
        <f t="array" aca="1" ref="H6" ca="1">INDIRECT("'results" &amp; $B6 &amp; "'!I$14")</f>
        <v>28.875163782820579</v>
      </c>
      <c r="I6" s="5" cm="1">
        <f t="array" aca="1" ref="I6" ca="1">INDIRECT("'results" &amp; $B6 &amp; "'!J$14")</f>
        <v>1423.9372774318756</v>
      </c>
      <c r="J6" s="5"/>
      <c r="K6" s="5" cm="1">
        <f t="array" aca="1" ref="K6" ca="1">INDIRECT("'results" &amp; $B6 &amp; "'!L$14")</f>
        <v>65701.833190560399</v>
      </c>
      <c r="L6" s="5" cm="1">
        <f t="array" aca="1" ref="L6" ca="1">INDIRECT("'results" &amp; $B6 &amp; "'!M$14")</f>
        <v>4.5110125000010157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20.529521780002735</v>
      </c>
      <c r="Q6" s="5" cm="1">
        <f t="array" aca="1" ref="Q6" ca="1">INDIRECT("'results" &amp; $B6 &amp; "'!R$14")</f>
        <v>1354.0251190554459</v>
      </c>
      <c r="R6" s="5"/>
      <c r="S6" s="5" cm="1">
        <f t="array" aca="1" ref="S6" ca="1">INDIRECT("'results" &amp; $B6 &amp; "'!T$14")</f>
        <v>58699.945966989188</v>
      </c>
      <c r="T6" s="5" cm="1">
        <f t="array" aca="1" ref="T6" ca="1">INDIRECT("'results" &amp; $B6 &amp; "'!U$14")</f>
        <v>4.5467916670004342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51.399692909885594</v>
      </c>
      <c r="X6" s="5" cm="1">
        <f t="array" aca="1" ref="X6" ca="1">INDIRECT("'results" &amp; $B6 &amp; "'!Y$14")</f>
        <v>56.963921048155299</v>
      </c>
      <c r="Y6" s="5" cm="1">
        <f t="array" aca="1" ref="Y6" ca="1">INDIRECT("'results" &amp; $B6 &amp; "'!Z$14")</f>
        <v>2054.1168591707014</v>
      </c>
      <c r="Z6" s="5"/>
    </row>
    <row r="7" spans="2:26" x14ac:dyDescent="0.2">
      <c r="B7" s="4">
        <v>575</v>
      </c>
      <c r="C7" s="5" cm="1">
        <f t="array" aca="1" ref="C7" ca="1">INDIRECT("'results" &amp; $B7 &amp; "'!D$14")</f>
        <v>53777.552548424981</v>
      </c>
      <c r="D7" s="33" cm="1">
        <f t="array" aca="1" ref="D7" ca="1">INDIRECT("'results" &amp; $B7 &amp; "'!E$14")</f>
        <v>4.9474367919999622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5.4397662561213007</v>
      </c>
      <c r="H7" s="33" cm="1">
        <f t="array" aca="1" ref="H7" ca="1">INDIRECT("'results" &amp; $B7 &amp; "'!I$14")</f>
        <v>18.36790525535087</v>
      </c>
      <c r="I7" s="5" cm="1">
        <f t="array" aca="1" ref="I7" ca="1">INDIRECT("'results" &amp; $B7 &amp; "'!J$14")</f>
        <v>1463.9088681082449</v>
      </c>
      <c r="J7" s="5"/>
      <c r="K7" s="5" cm="1">
        <f t="array" aca="1" ref="K7" ca="1">INDIRECT("'results" &amp; $B7 &amp; "'!L$14")</f>
        <v>56560.229267899529</v>
      </c>
      <c r="L7" s="5" cm="1">
        <f t="array" aca="1" ref="L7" ca="1">INDIRECT("'results" &amp; $B7 &amp; "'!M$14")</f>
        <v>5.0693548750004993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85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17.757230663485053</v>
      </c>
      <c r="Q7" s="5" cm="1">
        <f t="array" aca="1" ref="Q7" ca="1">INDIRECT("'results" &amp; $B7 &amp; "'!R$14")</f>
        <v>1405.2594573815877</v>
      </c>
      <c r="R7" s="5"/>
      <c r="S7" s="5" cm="1">
        <f t="array" aca="1" ref="S7" ca="1">INDIRECT("'results" &amp; $B7 &amp; "'!T$14")</f>
        <v>61680.386365562023</v>
      </c>
      <c r="T7" s="5" cm="1">
        <f t="array" aca="1" ref="T7" ca="1">INDIRECT("'results" &amp; $B7 &amp; "'!U$14")</f>
        <v>4.8434692090013414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85</v>
      </c>
      <c r="W7" s="5" cm="1">
        <f t="array" aca="1" ref="W7" ca="1">INDIRECT("'results" &amp; $B7 &amp; "'!X$14")</f>
        <v>73.276502443711408</v>
      </c>
      <c r="X7" s="5" cm="1">
        <f t="array" aca="1" ref="X7" ca="1">INDIRECT("'results" &amp; $B7 &amp; "'!Y$14")</f>
        <v>25.215384922942615</v>
      </c>
      <c r="Y7" s="5" cm="1">
        <f t="array" aca="1" ref="Y7" ca="1">INDIRECT("'results" &amp; $B7 &amp; "'!Z$14")</f>
        <v>1759.6929857830496</v>
      </c>
      <c r="Z7" s="5"/>
    </row>
    <row r="8" spans="2:26" x14ac:dyDescent="0.2">
      <c r="B8" s="4">
        <v>594</v>
      </c>
      <c r="C8" s="5" cm="1">
        <f t="array" aca="1" ref="C8" ca="1">INDIRECT("'results" &amp; $B8 &amp; "'!D$14")</f>
        <v>55501.121768250829</v>
      </c>
      <c r="D8" s="33" cm="1">
        <f t="array" aca="1" ref="D8" ca="1">INDIRECT("'results" &amp; $B8 &amp; "'!E$14")</f>
        <v>4.8886496249997444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85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31.270511545843355</v>
      </c>
      <c r="I8" s="5" cm="1">
        <f t="array" aca="1" ref="I8" ca="1">INDIRECT("'results" &amp; $B8 &amp; "'!J$14")</f>
        <v>1540.5610533773049</v>
      </c>
      <c r="J8" s="5"/>
      <c r="K8" s="5" cm="1">
        <f t="array" aca="1" ref="K8" ca="1">INDIRECT("'results" &amp; $B8 &amp; "'!L$14")</f>
        <v>72496.657076823714</v>
      </c>
      <c r="L8" s="5" cm="1">
        <f t="array" aca="1" ref="L8" ca="1">INDIRECT("'results" &amp; $B8 &amp; "'!M$14")</f>
        <v>4.0313939170009689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20.113012822057208</v>
      </c>
      <c r="Q8" s="5" cm="1">
        <f t="array" aca="1" ref="Q8" ca="1">INDIRECT("'results" &amp; $B8 &amp; "'!R$14")</f>
        <v>1304.8859096085009</v>
      </c>
      <c r="R8" s="5"/>
      <c r="S8" s="5" cm="1">
        <f t="array" aca="1" ref="S8" ca="1">INDIRECT("'results" &amp; $B8 &amp; "'!T$14")</f>
        <v>67387.299909539506</v>
      </c>
      <c r="T8" s="5" cm="1">
        <f t="array" aca="1" ref="T8" ca="1">INDIRECT("'results" &amp; $B8 &amp; "'!U$14")</f>
        <v>4.6344881250006438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75</v>
      </c>
      <c r="W8" s="5" cm="1">
        <f t="array" aca="1" ref="W8" ca="1">INDIRECT("'results" &amp; $B8 &amp; "'!X$14")</f>
        <v>32.496853278234717</v>
      </c>
      <c r="X8" s="5" cm="1">
        <f t="array" aca="1" ref="X8" ca="1">INDIRECT("'results" &amp; $B8 &amp; "'!Y$14")</f>
        <v>52.174914376263175</v>
      </c>
      <c r="Y8" s="5" cm="1">
        <f t="array" aca="1" ref="Y8" ca="1">INDIRECT("'results" &amp; $B8 &amp; "'!Z$14")</f>
        <v>2172.1174105471541</v>
      </c>
      <c r="Z8" s="5"/>
    </row>
    <row r="9" spans="2:26" x14ac:dyDescent="0.2">
      <c r="B9" s="4">
        <v>623</v>
      </c>
      <c r="C9" s="5" cm="1">
        <f t="array" aca="1" ref="C9" ca="1">INDIRECT("'results" &amp; $B9 &amp; "'!D$14")</f>
        <v>56362.025923255387</v>
      </c>
      <c r="D9" s="33" cm="1">
        <f t="array" aca="1" ref="D9" ca="1">INDIRECT("'results" &amp; $B9 &amp; "'!E$14")</f>
        <v>4.7806040840005153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28.21543360336463</v>
      </c>
      <c r="I9" s="5" cm="1">
        <f t="array" aca="1" ref="I9" ca="1">INDIRECT("'results" &amp; $B9 &amp; "'!J$14")</f>
        <v>1471.2125993134923</v>
      </c>
      <c r="J9" s="5"/>
      <c r="K9" s="5" cm="1">
        <f t="array" aca="1" ref="K9" ca="1">INDIRECT("'results" &amp; $B9 &amp; "'!L$14")</f>
        <v>67379.710958221694</v>
      </c>
      <c r="L9" s="5" cm="1">
        <f t="array" aca="1" ref="L9" ca="1">INDIRECT("'results" &amp; $B9 &amp; "'!M$14")</f>
        <v>4.4303961670011631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65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21.666726408105713</v>
      </c>
      <c r="Q9" s="5" cm="1">
        <f t="array" aca="1" ref="Q9" ca="1">INDIRECT("'results" &amp; $B9 &amp; "'!R$14")</f>
        <v>1270.6876282538365</v>
      </c>
      <c r="R9" s="5"/>
      <c r="S9" s="5" cm="1">
        <f t="array" aca="1" ref="S9" ca="1">INDIRECT("'results" &amp; $B9 &amp; "'!T$14")</f>
        <v>63503.06841615423</v>
      </c>
      <c r="T9" s="5" cm="1">
        <f t="array" aca="1" ref="T9" ca="1">INDIRECT("'results" &amp; $B9 &amp; "'!U$14")</f>
        <v>4.2412105839994183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80</v>
      </c>
      <c r="W9" s="5" cm="1">
        <f t="array" aca="1" ref="W9" ca="1">INDIRECT("'results" &amp; $B9 &amp; "'!X$14")</f>
        <v>26.095753285562413</v>
      </c>
      <c r="X9" s="5" cm="1">
        <f t="array" aca="1" ref="X9" ca="1">INDIRECT("'results" &amp; $B9 &amp; "'!Y$14")</f>
        <v>45.072126558014659</v>
      </c>
      <c r="Y9" s="5" cm="1">
        <f t="array" aca="1" ref="Y9" ca="1">INDIRECT("'results" &amp; $B9 &amp; "'!Z$14")</f>
        <v>1884.5936191813892</v>
      </c>
      <c r="Z9" s="5"/>
    </row>
    <row r="10" spans="2:26" x14ac:dyDescent="0.2">
      <c r="B10" s="4">
        <v>870</v>
      </c>
      <c r="C10" s="5" cm="1">
        <f t="array" aca="1" ref="C10" ca="1">INDIRECT("'results" &amp; $B10 &amp; "'!D$14")</f>
        <v>61383.429584058693</v>
      </c>
      <c r="D10" s="33" cm="1">
        <f t="array" aca="1" ref="D10" ca="1">INDIRECT("'results" &amp; $B10 &amp; "'!E$14")</f>
        <v>4.6391949999997451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11.542058356880489</v>
      </c>
      <c r="H10" s="33" cm="1">
        <f t="array" aca="1" ref="H10" ca="1">INDIRECT("'results" &amp; $B10 &amp; "'!I$14")</f>
        <v>28.051907765875129</v>
      </c>
      <c r="I10" s="5" cm="1">
        <f t="array" aca="1" ref="I10" ca="1">INDIRECT("'results" &amp; $B10 &amp; "'!J$14")</f>
        <v>1990.3487838481992</v>
      </c>
      <c r="J10" s="5"/>
      <c r="K10" s="5" cm="1">
        <f t="array" aca="1" ref="K10" ca="1">INDIRECT("'results" &amp; $B10 &amp; "'!L$14")</f>
        <v>69327.869708972197</v>
      </c>
      <c r="L10" s="5" cm="1">
        <f t="array" aca="1" ref="L10" ca="1">INDIRECT("'results" &amp; $B10 &amp; "'!M$14")</f>
        <v>4.6794774999998481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20.340709601516451</v>
      </c>
      <c r="Q10" s="5" cm="1">
        <f t="array" aca="1" ref="Q10" ca="1">INDIRECT("'results" &amp; $B10 &amp; "'!R$14")</f>
        <v>1596.6458098185019</v>
      </c>
      <c r="R10" s="5"/>
      <c r="S10" s="5" cm="1">
        <f t="array" aca="1" ref="S10" ca="1">INDIRECT("'results" &amp; $B10 &amp; "'!T$14")</f>
        <v>73797.250847909512</v>
      </c>
      <c r="T10" s="5" cm="1">
        <f t="array" aca="1" ref="T10" ca="1">INDIRECT("'results" &amp; $B10 &amp; "'!U$14")</f>
        <v>4.3049579580001591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4.8948367479456136</v>
      </c>
      <c r="X10" s="5" cm="1">
        <f t="array" aca="1" ref="X10" ca="1">INDIRECT("'results" &amp; $B10 &amp; "'!Y$14")</f>
        <v>32.373301973770708</v>
      </c>
      <c r="Y10" s="5" cm="1">
        <f t="array" aca="1" ref="Y10" ca="1">INDIRECT("'results" &amp; $B10 &amp; "'!Z$14")</f>
        <v>2107.7723747955501</v>
      </c>
      <c r="Z10" s="5"/>
    </row>
    <row r="11" spans="2:26" x14ac:dyDescent="0.2">
      <c r="B11" s="4">
        <v>883</v>
      </c>
      <c r="C11" s="5" cm="1">
        <f t="array" aca="1" ref="C11" ca="1">INDIRECT("'results" &amp; $B11 &amp; "'!D$14")</f>
        <v>68438.786562109191</v>
      </c>
      <c r="D11" s="33" cm="1">
        <f t="array" aca="1" ref="D11" ca="1">INDIRECT("'results" &amp; $B11 &amp; "'!E$14")</f>
        <v>4.8068872919975547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85</v>
      </c>
      <c r="G11" s="5" cm="1">
        <f t="array" aca="1" ref="G11" ca="1">INDIRECT("'results" &amp; $B11 &amp; "'!H$14")</f>
        <v>104.99148961235005</v>
      </c>
      <c r="H11" s="33" cm="1">
        <f t="array" aca="1" ref="H11" ca="1">INDIRECT("'results" &amp; $B11 &amp; "'!I$14")</f>
        <v>24.82540831276566</v>
      </c>
      <c r="I11" s="5" cm="1">
        <f t="array" aca="1" ref="I11" ca="1">INDIRECT("'results" &amp; $B11 &amp; "'!J$14")</f>
        <v>2198.2744395462264</v>
      </c>
      <c r="J11" s="5"/>
      <c r="K11" s="5" cm="1">
        <f t="array" aca="1" ref="K11" ca="1">INDIRECT("'results" &amp; $B11 &amp; "'!L$14")</f>
        <v>72330.920685118152</v>
      </c>
      <c r="L11" s="5" cm="1">
        <f t="array" aca="1" ref="L11" ca="1">INDIRECT("'results" &amp; $B11 &amp; "'!M$14")</f>
        <v>4.7708706249995876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70</v>
      </c>
      <c r="O11" s="5" cm="1">
        <f t="array" aca="1" ref="O11" ca="1">INDIRECT("'results" &amp; $B11 &amp; "'!P$14")</f>
        <v>30.602286016037173</v>
      </c>
      <c r="P11" s="5" cm="1">
        <f t="array" aca="1" ref="P11" ca="1">INDIRECT("'results" &amp; $B11 &amp; "'!Q$14")</f>
        <v>19.171071442581692</v>
      </c>
      <c r="Q11" s="5" cm="1">
        <f t="array" aca="1" ref="Q11" ca="1">INDIRECT("'results" &amp; $B11 &amp; "'!R$14")</f>
        <v>1834.8486216878887</v>
      </c>
      <c r="R11" s="5"/>
      <c r="S11" s="5" cm="1">
        <f t="array" aca="1" ref="S11" ca="1">INDIRECT("'results" &amp; $B11 &amp; "'!T$14")</f>
        <v>78801.605463528496</v>
      </c>
      <c r="T11" s="5" cm="1">
        <f t="array" aca="1" ref="T11" ca="1">INDIRECT("'results" &amp; $B11 &amp; "'!U$14")</f>
        <v>4.1979242090001208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65</v>
      </c>
      <c r="W11" s="5" cm="1">
        <f t="array" aca="1" ref="W11" ca="1">INDIRECT("'results" &amp; $B11 &amp; "'!X$14")</f>
        <v>72.976555494180928</v>
      </c>
      <c r="X11" s="5" cm="1">
        <f t="array" aca="1" ref="X11" ca="1">INDIRECT("'results" &amp; $B11 &amp; "'!Y$14")</f>
        <v>28.915509903185736</v>
      </c>
      <c r="Y11" s="5" cm="1">
        <f t="array" aca="1" ref="Y11" ca="1">INDIRECT("'results" &amp; $B11 &amp; "'!Z$14")</f>
        <v>2143.9735757696767</v>
      </c>
      <c r="Z11" s="5"/>
    </row>
    <row r="12" spans="2:26" x14ac:dyDescent="0.2">
      <c r="B12" s="4">
        <v>935</v>
      </c>
      <c r="C12" s="5" cm="1">
        <f t="array" aca="1" ref="C12" ca="1">INDIRECT("'results" &amp; $B12 &amp; "'!D$14")</f>
        <v>63831.725391357919</v>
      </c>
      <c r="D12" s="33" cm="1">
        <f t="array" aca="1" ref="D12" ca="1">INDIRECT("'results" &amp; $B12 &amp; "'!E$14")</f>
        <v>4.8380603750010778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80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18.526762434924276</v>
      </c>
      <c r="I12" s="5" cm="1">
        <f t="array" aca="1" ref="I12" ca="1">INDIRECT("'results" &amp; $B12 &amp; "'!J$14")</f>
        <v>1668.2267721822759</v>
      </c>
      <c r="J12" s="5"/>
      <c r="K12" s="5" cm="1">
        <f t="array" aca="1" ref="K12" ca="1">INDIRECT("'results" &amp; $B12 &amp; "'!L$14")</f>
        <v>68179.729899526341</v>
      </c>
      <c r="L12" s="5" cm="1">
        <f t="array" aca="1" ref="L12" ca="1">INDIRECT("'results" &amp; $B12 &amp; "'!M$14")</f>
        <v>4.9413673339986417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14.144316135678064</v>
      </c>
      <c r="Q12" s="5" cm="1">
        <f t="array" aca="1" ref="Q12" ca="1">INDIRECT("'results" &amp; $B12 &amp; "'!R$14")</f>
        <v>1461.4572462519884</v>
      </c>
      <c r="R12" s="5"/>
      <c r="S12" s="5" cm="1">
        <f t="array" aca="1" ref="S12" ca="1">INDIRECT("'results" &amp; $B12 &amp; "'!T$14")</f>
        <v>70746.957952492783</v>
      </c>
      <c r="T12" s="5" cm="1">
        <f t="array" aca="1" ref="T12" ca="1">INDIRECT("'results" &amp; $B12 &amp; "'!U$14")</f>
        <v>4.5581803339991893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75</v>
      </c>
      <c r="W12" s="5" cm="1">
        <f t="array" aca="1" ref="W12" ca="1">INDIRECT("'results" &amp; $B12 &amp; "'!X$14")</f>
        <v>5.27478201446044</v>
      </c>
      <c r="X12" s="5" cm="1">
        <f t="array" aca="1" ref="X12" ca="1">INDIRECT("'results" &amp; $B12 &amp; "'!Y$14")</f>
        <v>26.373575202523394</v>
      </c>
      <c r="Y12" s="5" cm="1">
        <f t="array" aca="1" ref="Y12" ca="1">INDIRECT("'results" &amp; $B12 &amp; "'!Z$14")</f>
        <v>1991.4018901619909</v>
      </c>
      <c r="Z12" s="5"/>
    </row>
    <row r="13" spans="2:26" x14ac:dyDescent="0.2">
      <c r="B13" s="8" t="s">
        <v>3</v>
      </c>
      <c r="C13" s="9">
        <f ca="1">AVERAGE(C3:C12)</f>
        <v>57683.299792592137</v>
      </c>
      <c r="D13" s="10">
        <f t="shared" ref="D13:I13" ca="1" si="0">AVERAGE(D3:D12)</f>
        <v>4.9048636834998662</v>
      </c>
      <c r="E13" s="9">
        <f t="shared" ca="1" si="0"/>
        <v>2</v>
      </c>
      <c r="F13" s="9">
        <f t="shared" ca="1" si="0"/>
        <v>87</v>
      </c>
      <c r="G13" s="9">
        <f ca="1">AVERAGE(G3:G12)</f>
        <v>19.391576078793587</v>
      </c>
      <c r="H13" s="10">
        <f t="shared" ca="1" si="0"/>
        <v>23.762201562849217</v>
      </c>
      <c r="I13" s="9">
        <f t="shared" ca="1" si="0"/>
        <v>1647.1238346595551</v>
      </c>
      <c r="J13" s="32" t="e">
        <f ca="1">(C13-$D$15)/$D$15</f>
        <v>#DIV/0!</v>
      </c>
      <c r="K13" s="16">
        <f ca="1">AVERAGE(K3:K12)</f>
        <v>66410.129576780775</v>
      </c>
      <c r="L13" s="36">
        <f t="shared" ref="L13:Q13" ca="1" si="1">AVERAGE(L3:L12)</f>
        <v>4.589330933500241</v>
      </c>
      <c r="M13" s="16">
        <f t="shared" ca="1" si="1"/>
        <v>2</v>
      </c>
      <c r="N13" s="16">
        <f ca="1">AVERAGE(N3:N12)</f>
        <v>70.5</v>
      </c>
      <c r="O13" s="16">
        <f t="shared" ca="1" si="1"/>
        <v>3.0602286016037175</v>
      </c>
      <c r="P13" s="36">
        <f t="shared" ca="1" si="1"/>
        <v>17.690524423960554</v>
      </c>
      <c r="Q13" s="16">
        <f t="shared" ca="1" si="1"/>
        <v>1412.105685001299</v>
      </c>
      <c r="R13" s="37" t="e">
        <f ca="1">(K13-$D$15)/$D$15</f>
        <v>#DIV/0!</v>
      </c>
      <c r="S13" s="38">
        <f ca="1">AVERAGE(S3:S12)</f>
        <v>67954.318062413033</v>
      </c>
      <c r="T13" s="39">
        <f t="shared" ref="T13:Y13" ca="1" si="2">AVERAGE(T3:T12)</f>
        <v>4.4195700879001381</v>
      </c>
      <c r="U13" s="38">
        <f t="shared" ca="1" si="2"/>
        <v>2</v>
      </c>
      <c r="V13" s="38">
        <f t="shared" ca="1" si="2"/>
        <v>77</v>
      </c>
      <c r="W13" s="38">
        <f t="shared" ca="1" si="2"/>
        <v>46.823906676165002</v>
      </c>
      <c r="X13" s="39">
        <f t="shared" ca="1" si="2"/>
        <v>36.305478592147097</v>
      </c>
      <c r="Y13" s="38">
        <f t="shared" ca="1" si="2"/>
        <v>2023.2341885473313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7102.3635669574169</v>
      </c>
      <c r="J16" s="1" t="s">
        <v>20</v>
      </c>
      <c r="K16">
        <f ca="1">_xlfn.STDEV.S(K3:K12)</f>
        <v>7556.3611173306172</v>
      </c>
      <c r="R16" s="1" t="s">
        <v>20</v>
      </c>
      <c r="S16">
        <f ca="1">_xlfn.STDEV.S(S3:S12)</f>
        <v>9270.6089632270377</v>
      </c>
    </row>
  </sheetData>
  <conditionalFormatting sqref="C13">
    <cfRule type="duplicateValues" dxfId="109" priority="1"/>
    <cfRule type="duplicateValues" dxfId="10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DCE7-929C-8A40-9297-F9D5BE8531AD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27</v>
      </c>
      <c r="D4" s="23">
        <v>67231.116754941177</v>
      </c>
      <c r="E4" s="33">
        <v>4.8814649590001409</v>
      </c>
      <c r="F4" s="5">
        <v>2</v>
      </c>
      <c r="G4" s="23">
        <v>80</v>
      </c>
      <c r="H4" s="33">
        <v>54.598725561277902</v>
      </c>
      <c r="I4" s="23">
        <v>19.591678648502928</v>
      </c>
      <c r="J4" s="5">
        <v>1945.2171671602314</v>
      </c>
      <c r="K4" s="31"/>
      <c r="L4" s="23">
        <v>78475.583750335412</v>
      </c>
      <c r="M4" s="33">
        <v>4.1281630840003336</v>
      </c>
      <c r="N4" s="5">
        <v>2</v>
      </c>
      <c r="O4" s="5">
        <v>55</v>
      </c>
      <c r="P4" s="33">
        <v>0</v>
      </c>
      <c r="Q4" s="5">
        <v>12.699094398926535</v>
      </c>
      <c r="R4" s="5">
        <v>1494.4678168738299</v>
      </c>
      <c r="S4" s="45"/>
      <c r="T4" s="23">
        <v>85910.919403947046</v>
      </c>
      <c r="U4" s="33">
        <v>3.3936118340006942</v>
      </c>
      <c r="V4" s="5">
        <v>2</v>
      </c>
      <c r="W4" s="5">
        <v>55</v>
      </c>
      <c r="X4" s="33">
        <v>174.37855747625829</v>
      </c>
      <c r="Y4" s="5">
        <v>28.496159142079456</v>
      </c>
      <c r="Z4" s="5">
        <v>2370.0574979919338</v>
      </c>
      <c r="AA4" s="45"/>
    </row>
    <row r="5" spans="2:27" x14ac:dyDescent="0.2">
      <c r="B5" s="4">
        <v>2</v>
      </c>
      <c r="C5" s="4">
        <v>338</v>
      </c>
      <c r="D5" s="23">
        <v>67231.116754941177</v>
      </c>
      <c r="E5" s="33">
        <v>4.6576079160001882</v>
      </c>
      <c r="F5" s="5">
        <v>2</v>
      </c>
      <c r="G5" s="23">
        <v>80</v>
      </c>
      <c r="H5" s="33">
        <v>54.598725561277902</v>
      </c>
      <c r="I5" s="23">
        <v>19.591678648502928</v>
      </c>
      <c r="J5" s="5">
        <v>1945.2171671602314</v>
      </c>
      <c r="K5" s="31"/>
      <c r="L5" s="23">
        <v>78475.583750335412</v>
      </c>
      <c r="M5" s="33">
        <v>4.1731904589996702</v>
      </c>
      <c r="N5" s="5">
        <v>2</v>
      </c>
      <c r="O5" s="5">
        <v>55</v>
      </c>
      <c r="P5" s="33">
        <v>0</v>
      </c>
      <c r="Q5" s="5">
        <v>12.699094398926535</v>
      </c>
      <c r="R5" s="5">
        <v>1494.4678168738299</v>
      </c>
      <c r="S5" s="45"/>
      <c r="T5" s="23">
        <v>85910.919403947046</v>
      </c>
      <c r="U5" s="33">
        <v>3.4369355829985579</v>
      </c>
      <c r="V5" s="5">
        <v>2</v>
      </c>
      <c r="W5" s="5">
        <v>55</v>
      </c>
      <c r="X5" s="33">
        <v>174.37855747625829</v>
      </c>
      <c r="Y5" s="5">
        <v>28.496159142079456</v>
      </c>
      <c r="Z5" s="5">
        <v>2370.0574979919338</v>
      </c>
      <c r="AA5" s="45"/>
    </row>
    <row r="6" spans="2:27" x14ac:dyDescent="0.2">
      <c r="B6" s="4">
        <v>3</v>
      </c>
      <c r="C6" s="4">
        <v>157</v>
      </c>
      <c r="D6" s="23">
        <v>67231.116754941177</v>
      </c>
      <c r="E6" s="33">
        <v>4.4965267080001468</v>
      </c>
      <c r="F6" s="5">
        <v>2</v>
      </c>
      <c r="G6" s="23">
        <v>80</v>
      </c>
      <c r="H6" s="33">
        <v>54.598725561277902</v>
      </c>
      <c r="I6" s="23">
        <v>19.591678648502928</v>
      </c>
      <c r="J6" s="5">
        <v>1945.2171671602314</v>
      </c>
      <c r="K6" s="31"/>
      <c r="L6" s="23">
        <v>78475.583750335412</v>
      </c>
      <c r="M6" s="33">
        <v>4.1945109580010467</v>
      </c>
      <c r="N6" s="5">
        <v>2</v>
      </c>
      <c r="O6" s="5">
        <v>55</v>
      </c>
      <c r="P6" s="33">
        <v>0</v>
      </c>
      <c r="Q6" s="5">
        <v>12.699094398926535</v>
      </c>
      <c r="R6" s="5">
        <v>1494.4678168738299</v>
      </c>
      <c r="S6" s="45"/>
      <c r="T6" s="23">
        <v>85910.919403947046</v>
      </c>
      <c r="U6" s="33">
        <v>3.4461394999998451</v>
      </c>
      <c r="V6" s="5">
        <v>2</v>
      </c>
      <c r="W6" s="5">
        <v>55</v>
      </c>
      <c r="X6" s="33">
        <v>174.37855747625829</v>
      </c>
      <c r="Y6" s="5">
        <v>28.496159142079456</v>
      </c>
      <c r="Z6" s="5">
        <v>2370.0574979919338</v>
      </c>
      <c r="AA6" s="45"/>
    </row>
    <row r="7" spans="2:27" x14ac:dyDescent="0.2">
      <c r="B7" s="4">
        <v>4</v>
      </c>
      <c r="C7" s="4">
        <v>483</v>
      </c>
      <c r="D7" s="23">
        <v>67231.116754941177</v>
      </c>
      <c r="E7" s="33">
        <v>4.5324358750001474</v>
      </c>
      <c r="F7" s="5">
        <v>2</v>
      </c>
      <c r="G7" s="23">
        <v>80</v>
      </c>
      <c r="H7" s="33">
        <v>54.598725561277902</v>
      </c>
      <c r="I7" s="23">
        <v>19.591678648502928</v>
      </c>
      <c r="J7" s="5">
        <v>1945.2171671602314</v>
      </c>
      <c r="K7" s="31"/>
      <c r="L7" s="23">
        <v>78475.583750335412</v>
      </c>
      <c r="M7" s="33">
        <v>4.1955242090007232</v>
      </c>
      <c r="N7" s="5">
        <v>2</v>
      </c>
      <c r="O7" s="5">
        <v>55</v>
      </c>
      <c r="P7" s="33">
        <v>0</v>
      </c>
      <c r="Q7" s="5">
        <v>12.699094398926535</v>
      </c>
      <c r="R7" s="5">
        <v>1494.4678168738299</v>
      </c>
      <c r="S7" s="45"/>
      <c r="T7" s="23">
        <v>85910.919403947046</v>
      </c>
      <c r="U7" s="33">
        <v>3.467182166999919</v>
      </c>
      <c r="V7" s="5">
        <v>2</v>
      </c>
      <c r="W7" s="5">
        <v>55</v>
      </c>
      <c r="X7" s="33">
        <v>174.37855747625829</v>
      </c>
      <c r="Y7" s="5">
        <v>28.496159142079456</v>
      </c>
      <c r="Z7" s="5">
        <v>2370.0574979919338</v>
      </c>
      <c r="AA7" s="45"/>
    </row>
    <row r="8" spans="2:27" x14ac:dyDescent="0.2">
      <c r="B8" s="4">
        <v>5</v>
      </c>
      <c r="C8" s="4">
        <v>489</v>
      </c>
      <c r="D8" s="23">
        <v>67231.116754941177</v>
      </c>
      <c r="E8" s="33">
        <v>4.5272272500001236</v>
      </c>
      <c r="F8" s="5">
        <v>2</v>
      </c>
      <c r="G8" s="23">
        <v>80</v>
      </c>
      <c r="H8" s="33">
        <v>54.598725561277902</v>
      </c>
      <c r="I8" s="23">
        <v>19.591678648502928</v>
      </c>
      <c r="J8" s="5">
        <v>1945.2171671602314</v>
      </c>
      <c r="K8" s="31"/>
      <c r="L8" s="23">
        <v>78475.583750335412</v>
      </c>
      <c r="M8" s="33">
        <v>4.219239625001137</v>
      </c>
      <c r="N8" s="5">
        <v>2</v>
      </c>
      <c r="O8" s="5">
        <v>55</v>
      </c>
      <c r="P8" s="33">
        <v>0</v>
      </c>
      <c r="Q8" s="5">
        <v>12.699094398926535</v>
      </c>
      <c r="R8" s="5">
        <v>1494.4678168738299</v>
      </c>
      <c r="S8" s="45"/>
      <c r="T8" s="23">
        <v>85910.919403947046</v>
      </c>
      <c r="U8" s="33">
        <v>3.478691749998688</v>
      </c>
      <c r="V8" s="5">
        <v>2</v>
      </c>
      <c r="W8" s="5">
        <v>55</v>
      </c>
      <c r="X8" s="33">
        <v>174.37855747625829</v>
      </c>
      <c r="Y8" s="5">
        <v>28.496159142079456</v>
      </c>
      <c r="Z8" s="5">
        <v>2370.0574979919338</v>
      </c>
      <c r="AA8" s="45"/>
    </row>
    <row r="9" spans="2:27" x14ac:dyDescent="0.2">
      <c r="B9" s="4">
        <v>6</v>
      </c>
      <c r="C9" s="4">
        <v>528</v>
      </c>
      <c r="D9" s="23">
        <v>67231.116754941177</v>
      </c>
      <c r="E9" s="33">
        <v>4.554272582999829</v>
      </c>
      <c r="F9" s="5">
        <v>2</v>
      </c>
      <c r="G9" s="23">
        <v>80</v>
      </c>
      <c r="H9" s="33">
        <v>54.598725561277902</v>
      </c>
      <c r="I9" s="23">
        <v>19.591678648502928</v>
      </c>
      <c r="J9" s="5">
        <v>1945.2171671602314</v>
      </c>
      <c r="K9" s="31"/>
      <c r="L9" s="23">
        <v>78475.583750335412</v>
      </c>
      <c r="M9" s="33">
        <v>4.2394020419997096</v>
      </c>
      <c r="N9" s="5">
        <v>2</v>
      </c>
      <c r="O9" s="5">
        <v>55</v>
      </c>
      <c r="P9" s="33">
        <v>0</v>
      </c>
      <c r="Q9" s="5">
        <v>12.699094398926535</v>
      </c>
      <c r="R9" s="5">
        <v>1494.4678168738299</v>
      </c>
      <c r="S9" s="45"/>
      <c r="T9" s="23">
        <v>85910.919403947046</v>
      </c>
      <c r="U9" s="33">
        <v>3.9577729590000672</v>
      </c>
      <c r="V9" s="5">
        <v>2</v>
      </c>
      <c r="W9" s="5">
        <v>55</v>
      </c>
      <c r="X9" s="33">
        <v>174.37855747625829</v>
      </c>
      <c r="Y9" s="5">
        <v>28.496159142079456</v>
      </c>
      <c r="Z9" s="5">
        <v>2370.0574979919338</v>
      </c>
      <c r="AA9" s="45"/>
    </row>
    <row r="10" spans="2:27" x14ac:dyDescent="0.2">
      <c r="B10" s="4">
        <v>7</v>
      </c>
      <c r="C10" s="4">
        <v>578</v>
      </c>
      <c r="D10" s="23">
        <v>67231.116754941177</v>
      </c>
      <c r="E10" s="33">
        <v>4.5015933340000629</v>
      </c>
      <c r="F10" s="5">
        <v>2</v>
      </c>
      <c r="G10" s="23">
        <v>80</v>
      </c>
      <c r="H10" s="33">
        <v>54.598725561277902</v>
      </c>
      <c r="I10" s="23">
        <v>19.591678648502928</v>
      </c>
      <c r="J10" s="5">
        <v>1945.2171671602314</v>
      </c>
      <c r="K10" s="31"/>
      <c r="L10" s="23">
        <v>78475.583750335412</v>
      </c>
      <c r="M10" s="33">
        <v>4.2987451670014707</v>
      </c>
      <c r="N10" s="5">
        <v>2</v>
      </c>
      <c r="O10" s="5">
        <v>55</v>
      </c>
      <c r="P10" s="33">
        <v>0</v>
      </c>
      <c r="Q10" s="5">
        <v>12.699094398926535</v>
      </c>
      <c r="R10" s="5">
        <v>1494.4678168738299</v>
      </c>
      <c r="S10" s="45"/>
      <c r="T10" s="23">
        <v>85910.919403947046</v>
      </c>
      <c r="U10" s="33">
        <v>3.525677040999653</v>
      </c>
      <c r="V10" s="5">
        <v>2</v>
      </c>
      <c r="W10" s="5">
        <v>55</v>
      </c>
      <c r="X10" s="33">
        <v>174.37855747625829</v>
      </c>
      <c r="Y10" s="5">
        <v>28.496159142079456</v>
      </c>
      <c r="Z10" s="5">
        <v>2370.0574979919338</v>
      </c>
      <c r="AA10" s="45"/>
    </row>
    <row r="11" spans="2:27" x14ac:dyDescent="0.2">
      <c r="B11" s="4">
        <v>8</v>
      </c>
      <c r="C11" s="4">
        <v>632</v>
      </c>
      <c r="D11" s="23">
        <v>67231.116754941177</v>
      </c>
      <c r="E11" s="33">
        <v>4.5651309580000543</v>
      </c>
      <c r="F11" s="5">
        <v>2</v>
      </c>
      <c r="G11" s="23">
        <v>80</v>
      </c>
      <c r="H11" s="33">
        <v>54.598725561277902</v>
      </c>
      <c r="I11" s="23">
        <v>19.591678648502928</v>
      </c>
      <c r="J11" s="5">
        <v>1945.2171671602314</v>
      </c>
      <c r="K11" s="31"/>
      <c r="L11" s="23">
        <v>78475.583750335412</v>
      </c>
      <c r="M11" s="33">
        <v>4.3094742080011201</v>
      </c>
      <c r="N11" s="5">
        <v>2</v>
      </c>
      <c r="O11" s="5">
        <v>55</v>
      </c>
      <c r="P11" s="33">
        <v>0</v>
      </c>
      <c r="Q11" s="5">
        <v>12.699094398926535</v>
      </c>
      <c r="R11" s="5">
        <v>1494.4678168738299</v>
      </c>
      <c r="S11" s="45"/>
      <c r="T11" s="23">
        <v>85910.919403947046</v>
      </c>
      <c r="U11" s="33">
        <v>3.531642416999603</v>
      </c>
      <c r="V11" s="5">
        <v>2</v>
      </c>
      <c r="W11" s="5">
        <v>55</v>
      </c>
      <c r="X11" s="33">
        <v>174.37855747625829</v>
      </c>
      <c r="Y11" s="5">
        <v>28.496159142079456</v>
      </c>
      <c r="Z11" s="5">
        <v>2370.0574979919338</v>
      </c>
      <c r="AA11" s="45"/>
    </row>
    <row r="12" spans="2:27" x14ac:dyDescent="0.2">
      <c r="B12" s="4">
        <v>9</v>
      </c>
      <c r="C12" s="4">
        <v>664</v>
      </c>
      <c r="D12" s="23">
        <v>67231.116754941177</v>
      </c>
      <c r="E12" s="33">
        <v>4.551787541000067</v>
      </c>
      <c r="F12" s="5">
        <v>2</v>
      </c>
      <c r="G12" s="23">
        <v>80</v>
      </c>
      <c r="H12" s="33">
        <v>54.598725561277902</v>
      </c>
      <c r="I12" s="23">
        <v>19.591678648502928</v>
      </c>
      <c r="J12" s="5">
        <v>1945.2171671602314</v>
      </c>
      <c r="K12" s="31"/>
      <c r="L12" s="23">
        <v>78475.583750335412</v>
      </c>
      <c r="M12" s="33">
        <v>4.3150869170003716</v>
      </c>
      <c r="N12" s="5">
        <v>2</v>
      </c>
      <c r="O12" s="5">
        <v>55</v>
      </c>
      <c r="P12" s="33">
        <v>0</v>
      </c>
      <c r="Q12" s="5">
        <v>12.699094398926535</v>
      </c>
      <c r="R12" s="5">
        <v>1494.4678168738299</v>
      </c>
      <c r="S12" s="45"/>
      <c r="T12" s="23">
        <v>85910.919403947046</v>
      </c>
      <c r="U12" s="33">
        <v>3.565218666999499</v>
      </c>
      <c r="V12" s="5">
        <v>2</v>
      </c>
      <c r="W12" s="5">
        <v>55</v>
      </c>
      <c r="X12" s="33">
        <v>174.37855747625829</v>
      </c>
      <c r="Y12" s="5">
        <v>28.496159142079456</v>
      </c>
      <c r="Z12" s="5">
        <v>2370.0574979919338</v>
      </c>
      <c r="AA12" s="45"/>
    </row>
    <row r="13" spans="2:27" x14ac:dyDescent="0.2">
      <c r="B13" s="4">
        <v>10</v>
      </c>
      <c r="C13" s="4">
        <v>758</v>
      </c>
      <c r="D13" s="23">
        <v>67231.116754941177</v>
      </c>
      <c r="E13" s="33">
        <v>4.5351153330000216</v>
      </c>
      <c r="F13" s="5">
        <v>2</v>
      </c>
      <c r="G13" s="23">
        <v>80</v>
      </c>
      <c r="H13" s="33">
        <v>54.598725561277902</v>
      </c>
      <c r="I13" s="23">
        <v>19.591678648502928</v>
      </c>
      <c r="J13" s="5">
        <v>1945.2171671602314</v>
      </c>
      <c r="K13" s="31"/>
      <c r="L13" s="23">
        <v>78475.583750335412</v>
      </c>
      <c r="M13" s="33">
        <v>4.316453041999921</v>
      </c>
      <c r="N13" s="5">
        <v>2</v>
      </c>
      <c r="O13" s="5">
        <v>55</v>
      </c>
      <c r="P13" s="33">
        <v>0</v>
      </c>
      <c r="Q13" s="5">
        <v>12.699094398926535</v>
      </c>
      <c r="R13" s="5">
        <v>1494.4678168738299</v>
      </c>
      <c r="S13" s="45"/>
      <c r="T13" s="23">
        <v>85910.919403947046</v>
      </c>
      <c r="U13" s="33">
        <v>3.5686911249995319</v>
      </c>
      <c r="V13" s="5">
        <v>2</v>
      </c>
      <c r="W13" s="5">
        <v>55</v>
      </c>
      <c r="X13" s="33">
        <v>174.37855747625829</v>
      </c>
      <c r="Y13" s="5">
        <v>28.496159142079456</v>
      </c>
      <c r="Z13" s="5">
        <v>2370.0574979919338</v>
      </c>
      <c r="AA13" s="45"/>
    </row>
    <row r="14" spans="2:27" x14ac:dyDescent="0.2">
      <c r="B14" s="46" t="s">
        <v>3</v>
      </c>
      <c r="C14" s="47"/>
      <c r="D14" s="9">
        <f>MIN(D4:D13)</f>
        <v>67231.116754941177</v>
      </c>
      <c r="E14" s="22">
        <f>INDEX(E4:E13, MATCH($D$14, D4:D13, 0))</f>
        <v>4.8814649590001409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54.598725561277902</v>
      </c>
      <c r="I14" s="22">
        <f>INDEX(I4:I13, MATCH($D$14, D4:D13, 0))</f>
        <v>19.591678648502928</v>
      </c>
      <c r="J14" s="22">
        <f>INDEX(J4:J13, MATCH($D$14, D4:D13, 0))</f>
        <v>1945.2171671602314</v>
      </c>
      <c r="K14" s="32"/>
      <c r="L14" s="16">
        <f>MIN(L4:L13)</f>
        <v>78475.583750335412</v>
      </c>
      <c r="M14" s="21">
        <f>INDEX(M4:M13, MATCH($L$14, L4:L13, 0))</f>
        <v>4.1281630840003336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12.699094398926535</v>
      </c>
      <c r="R14" s="21">
        <f>INDEX(R4:R13, MATCH($L$14, L4:L13, 0))</f>
        <v>1494.4678168738299</v>
      </c>
      <c r="S14" s="42" t="e">
        <f>(L14-$D$15)/$D$15</f>
        <v>#DIV/0!</v>
      </c>
      <c r="T14" s="38">
        <f>MIN(T4:T13)</f>
        <v>85910.919403947046</v>
      </c>
      <c r="U14" s="43">
        <f>INDEX(U4:U13, MATCH($T$14, T4:T13, 0))</f>
        <v>3.3936118340006942</v>
      </c>
      <c r="V14" s="38">
        <f>INDEX(V4:V13, MATCH($T$14, T4:T13, 0))</f>
        <v>2</v>
      </c>
      <c r="W14" s="38">
        <f>INDEX(W4:W13, MATCH($T$14, T4:T13, 0))</f>
        <v>55</v>
      </c>
      <c r="X14" s="43">
        <f>INDEX(X4:X13, MATCH($T$14, T4:T13, 0))</f>
        <v>174.37855747625829</v>
      </c>
      <c r="Y14" s="43">
        <f>INDEX(Y4:Y13, MATCH($T$14, T4:T13, 0))</f>
        <v>28.496159142079456</v>
      </c>
      <c r="Z14" s="43">
        <f>INDEX(Z4:Z13, MATCH($T$14, T4:T13, 0))</f>
        <v>2370.0574979919338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7" priority="5"/>
    <cfRule type="duplicateValues" dxfId="106" priority="6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C533-180D-A04C-ABAF-85A79E54A3B4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8</v>
      </c>
      <c r="D4" s="23">
        <v>50183.720778918898</v>
      </c>
      <c r="E4" s="33">
        <v>4.9982412500000919</v>
      </c>
      <c r="F4" s="5">
        <v>2</v>
      </c>
      <c r="G4" s="23">
        <v>95</v>
      </c>
      <c r="H4" s="33">
        <v>15.334122939452142</v>
      </c>
      <c r="I4" s="23">
        <v>22.223936552566222</v>
      </c>
      <c r="J4" s="5">
        <v>1545.7941239381573</v>
      </c>
      <c r="K4" s="31"/>
      <c r="L4" s="23">
        <v>57903.825897736628</v>
      </c>
      <c r="M4" s="33">
        <v>4.3417680000002292</v>
      </c>
      <c r="N4" s="5">
        <v>2</v>
      </c>
      <c r="O4" s="5">
        <v>80</v>
      </c>
      <c r="P4" s="33">
        <v>0</v>
      </c>
      <c r="Q4" s="5">
        <v>16.283229835745765</v>
      </c>
      <c r="R4" s="5">
        <v>1278.2608654703802</v>
      </c>
      <c r="S4" s="45"/>
      <c r="T4" s="23">
        <v>60855.133328423413</v>
      </c>
      <c r="U4" s="33">
        <v>4.8982475839984554</v>
      </c>
      <c r="V4" s="5">
        <v>2</v>
      </c>
      <c r="W4" s="5">
        <v>85</v>
      </c>
      <c r="X4" s="33">
        <v>16.145431074705783</v>
      </c>
      <c r="Y4" s="5">
        <v>32.040162933361358</v>
      </c>
      <c r="Z4" s="5">
        <v>1861.4729034864285</v>
      </c>
      <c r="AA4" s="45"/>
    </row>
    <row r="5" spans="2:27" x14ac:dyDescent="0.2">
      <c r="B5" s="4">
        <v>2</v>
      </c>
      <c r="C5" s="4">
        <v>239</v>
      </c>
      <c r="D5" s="23">
        <v>50183.720778918898</v>
      </c>
      <c r="E5" s="33">
        <v>4.8982103339999412</v>
      </c>
      <c r="F5" s="5">
        <v>2</v>
      </c>
      <c r="G5" s="23">
        <v>95</v>
      </c>
      <c r="H5" s="33">
        <v>15.334122939452142</v>
      </c>
      <c r="I5" s="23">
        <v>22.223936552566222</v>
      </c>
      <c r="J5" s="5">
        <v>1545.7941239381573</v>
      </c>
      <c r="K5" s="31"/>
      <c r="L5" s="23">
        <v>57903.825897736628</v>
      </c>
      <c r="M5" s="33">
        <v>4.4017730830000801</v>
      </c>
      <c r="N5" s="5">
        <v>2</v>
      </c>
      <c r="O5" s="5">
        <v>80</v>
      </c>
      <c r="P5" s="33">
        <v>0</v>
      </c>
      <c r="Q5" s="5">
        <v>16.283229835745765</v>
      </c>
      <c r="R5" s="5">
        <v>1278.2608654703802</v>
      </c>
      <c r="S5" s="45"/>
      <c r="T5" s="23">
        <v>60855.133328423413</v>
      </c>
      <c r="U5" s="33">
        <v>4.8906774160004716</v>
      </c>
      <c r="V5" s="5">
        <v>2</v>
      </c>
      <c r="W5" s="5">
        <v>85</v>
      </c>
      <c r="X5" s="33">
        <v>16.145431074705783</v>
      </c>
      <c r="Y5" s="5">
        <v>32.040162933361358</v>
      </c>
      <c r="Z5" s="5">
        <v>1861.4729034864285</v>
      </c>
      <c r="AA5" s="45"/>
    </row>
    <row r="6" spans="2:27" x14ac:dyDescent="0.2">
      <c r="B6" s="4">
        <v>3</v>
      </c>
      <c r="C6" s="4">
        <v>270</v>
      </c>
      <c r="D6" s="23">
        <v>50183.720778918898</v>
      </c>
      <c r="E6" s="33">
        <v>5.4332447919998694</v>
      </c>
      <c r="F6" s="5">
        <v>2</v>
      </c>
      <c r="G6" s="23">
        <v>95</v>
      </c>
      <c r="H6" s="33">
        <v>15.334122939452142</v>
      </c>
      <c r="I6" s="23">
        <v>22.223936552566222</v>
      </c>
      <c r="J6" s="5">
        <v>1545.7941239381573</v>
      </c>
      <c r="K6" s="31"/>
      <c r="L6" s="23">
        <v>57903.825897736628</v>
      </c>
      <c r="M6" s="33">
        <v>4.4657872919997317</v>
      </c>
      <c r="N6" s="5">
        <v>2</v>
      </c>
      <c r="O6" s="5">
        <v>80</v>
      </c>
      <c r="P6" s="33">
        <v>0</v>
      </c>
      <c r="Q6" s="5">
        <v>16.283229835745765</v>
      </c>
      <c r="R6" s="5">
        <v>1278.2608654703802</v>
      </c>
      <c r="S6" s="45"/>
      <c r="T6" s="23">
        <v>60855.133328423413</v>
      </c>
      <c r="U6" s="33">
        <v>4.9695951670000804</v>
      </c>
      <c r="V6" s="5">
        <v>2</v>
      </c>
      <c r="W6" s="5">
        <v>85</v>
      </c>
      <c r="X6" s="33">
        <v>16.145431074705783</v>
      </c>
      <c r="Y6" s="5">
        <v>32.040162933361358</v>
      </c>
      <c r="Z6" s="5">
        <v>1861.4729034864285</v>
      </c>
      <c r="AA6" s="45"/>
    </row>
    <row r="7" spans="2:27" x14ac:dyDescent="0.2">
      <c r="B7" s="4">
        <v>4</v>
      </c>
      <c r="C7" s="4">
        <v>328</v>
      </c>
      <c r="D7" s="23">
        <v>50183.720778918898</v>
      </c>
      <c r="E7" s="33">
        <v>5.3141752920000727</v>
      </c>
      <c r="F7" s="5">
        <v>2</v>
      </c>
      <c r="G7" s="23">
        <v>95</v>
      </c>
      <c r="H7" s="33">
        <v>15.334122939452142</v>
      </c>
      <c r="I7" s="23">
        <v>22.223936552566222</v>
      </c>
      <c r="J7" s="5">
        <v>1545.7941239381573</v>
      </c>
      <c r="K7" s="31"/>
      <c r="L7" s="23">
        <v>57903.825897736628</v>
      </c>
      <c r="M7" s="33">
        <v>4.5153218750001543</v>
      </c>
      <c r="N7" s="5">
        <v>2</v>
      </c>
      <c r="O7" s="5">
        <v>80</v>
      </c>
      <c r="P7" s="33">
        <v>0</v>
      </c>
      <c r="Q7" s="5">
        <v>16.283229835745765</v>
      </c>
      <c r="R7" s="5">
        <v>1278.2608654703802</v>
      </c>
      <c r="S7" s="45"/>
      <c r="T7" s="23">
        <v>60855.133328423413</v>
      </c>
      <c r="U7" s="33">
        <v>4.8844946669996716</v>
      </c>
      <c r="V7" s="5">
        <v>2</v>
      </c>
      <c r="W7" s="5">
        <v>85</v>
      </c>
      <c r="X7" s="33">
        <v>16.145431074705783</v>
      </c>
      <c r="Y7" s="5">
        <v>32.040162933361358</v>
      </c>
      <c r="Z7" s="5">
        <v>1861.4729034864285</v>
      </c>
      <c r="AA7" s="45"/>
    </row>
    <row r="8" spans="2:27" x14ac:dyDescent="0.2">
      <c r="B8" s="4">
        <v>5</v>
      </c>
      <c r="C8" s="4">
        <v>347</v>
      </c>
      <c r="D8" s="23">
        <v>50183.720778918898</v>
      </c>
      <c r="E8" s="33">
        <v>5.4454694579999341</v>
      </c>
      <c r="F8" s="5">
        <v>2</v>
      </c>
      <c r="G8" s="23">
        <v>95</v>
      </c>
      <c r="H8" s="33">
        <v>15.334122939452142</v>
      </c>
      <c r="I8" s="23">
        <v>22.223936552566222</v>
      </c>
      <c r="J8" s="5">
        <v>1545.7941239381573</v>
      </c>
      <c r="K8" s="31"/>
      <c r="L8" s="23">
        <v>57903.825897736628</v>
      </c>
      <c r="M8" s="33">
        <v>4.6148235829987243</v>
      </c>
      <c r="N8" s="5">
        <v>2</v>
      </c>
      <c r="O8" s="5">
        <v>80</v>
      </c>
      <c r="P8" s="33">
        <v>0</v>
      </c>
      <c r="Q8" s="5">
        <v>16.283229835745765</v>
      </c>
      <c r="R8" s="5">
        <v>1278.2608654703802</v>
      </c>
      <c r="S8" s="45"/>
      <c r="T8" s="23">
        <v>60855.133328423413</v>
      </c>
      <c r="U8" s="33">
        <v>4.9922115000008489</v>
      </c>
      <c r="V8" s="5">
        <v>2</v>
      </c>
      <c r="W8" s="5">
        <v>85</v>
      </c>
      <c r="X8" s="33">
        <v>16.145431074705783</v>
      </c>
      <c r="Y8" s="5">
        <v>32.040162933361358</v>
      </c>
      <c r="Z8" s="5">
        <v>1861.4729034864285</v>
      </c>
      <c r="AA8" s="45"/>
    </row>
    <row r="9" spans="2:27" x14ac:dyDescent="0.2">
      <c r="B9" s="4">
        <v>6</v>
      </c>
      <c r="C9" s="4">
        <v>379</v>
      </c>
      <c r="D9" s="23">
        <v>50183.720778918898</v>
      </c>
      <c r="E9" s="33">
        <v>4.9545372500001577</v>
      </c>
      <c r="F9" s="5">
        <v>2</v>
      </c>
      <c r="G9" s="23">
        <v>95</v>
      </c>
      <c r="H9" s="33">
        <v>15.334122939452142</v>
      </c>
      <c r="I9" s="23">
        <v>22.223936552566222</v>
      </c>
      <c r="J9" s="5">
        <v>1545.7941239381573</v>
      </c>
      <c r="K9" s="31"/>
      <c r="L9" s="23">
        <v>57903.825897736628</v>
      </c>
      <c r="M9" s="33">
        <v>4.5397697920016071</v>
      </c>
      <c r="N9" s="5">
        <v>2</v>
      </c>
      <c r="O9" s="5">
        <v>80</v>
      </c>
      <c r="P9" s="33">
        <v>0</v>
      </c>
      <c r="Q9" s="5">
        <v>16.283229835745765</v>
      </c>
      <c r="R9" s="5">
        <v>1278.2608654703802</v>
      </c>
      <c r="S9" s="45"/>
      <c r="T9" s="23">
        <v>60855.133328423413</v>
      </c>
      <c r="U9" s="33">
        <v>5.078861791998861</v>
      </c>
      <c r="V9" s="5">
        <v>2</v>
      </c>
      <c r="W9" s="5">
        <v>85</v>
      </c>
      <c r="X9" s="33">
        <v>16.145431074705783</v>
      </c>
      <c r="Y9" s="5">
        <v>32.040162933361358</v>
      </c>
      <c r="Z9" s="5">
        <v>1861.4729034864285</v>
      </c>
      <c r="AA9" s="45"/>
    </row>
    <row r="10" spans="2:27" x14ac:dyDescent="0.2">
      <c r="B10" s="4">
        <v>7</v>
      </c>
      <c r="C10" s="4">
        <v>397</v>
      </c>
      <c r="D10" s="23">
        <v>50183.720778918898</v>
      </c>
      <c r="E10" s="33">
        <v>5.397501166000211</v>
      </c>
      <c r="F10" s="5">
        <v>2</v>
      </c>
      <c r="G10" s="23">
        <v>95</v>
      </c>
      <c r="H10" s="33">
        <v>15.334122939452142</v>
      </c>
      <c r="I10" s="23">
        <v>22.223936552566222</v>
      </c>
      <c r="J10" s="5">
        <v>1545.7941239381573</v>
      </c>
      <c r="K10" s="31"/>
      <c r="L10" s="23">
        <v>57903.825897736628</v>
      </c>
      <c r="M10" s="33">
        <v>4.5479870830004074</v>
      </c>
      <c r="N10" s="5">
        <v>2</v>
      </c>
      <c r="O10" s="5">
        <v>80</v>
      </c>
      <c r="P10" s="33">
        <v>0</v>
      </c>
      <c r="Q10" s="5">
        <v>16.283229835745765</v>
      </c>
      <c r="R10" s="5">
        <v>1278.2608654703802</v>
      </c>
      <c r="S10" s="45"/>
      <c r="T10" s="23">
        <v>60855.133328423413</v>
      </c>
      <c r="U10" s="33">
        <v>4.9933688750006704</v>
      </c>
      <c r="V10" s="5">
        <v>2</v>
      </c>
      <c r="W10" s="5">
        <v>85</v>
      </c>
      <c r="X10" s="33">
        <v>16.145431074705783</v>
      </c>
      <c r="Y10" s="5">
        <v>32.040162933361358</v>
      </c>
      <c r="Z10" s="5">
        <v>1861.4729034864285</v>
      </c>
      <c r="AA10" s="45"/>
    </row>
    <row r="11" spans="2:27" x14ac:dyDescent="0.2">
      <c r="B11" s="4">
        <v>8</v>
      </c>
      <c r="C11" s="4">
        <v>442</v>
      </c>
      <c r="D11" s="23">
        <v>50183.720778918898</v>
      </c>
      <c r="E11" s="33">
        <v>5.3022886249998464</v>
      </c>
      <c r="F11" s="5">
        <v>2</v>
      </c>
      <c r="G11" s="23">
        <v>95</v>
      </c>
      <c r="H11" s="33">
        <v>15.334122939452142</v>
      </c>
      <c r="I11" s="23">
        <v>22.223936552566222</v>
      </c>
      <c r="J11" s="5">
        <v>1545.7941239381573</v>
      </c>
      <c r="K11" s="31"/>
      <c r="L11" s="23">
        <v>57903.825897736628</v>
      </c>
      <c r="M11" s="33">
        <v>4.5210303340008977</v>
      </c>
      <c r="N11" s="5">
        <v>2</v>
      </c>
      <c r="O11" s="5">
        <v>80</v>
      </c>
      <c r="P11" s="33">
        <v>0</v>
      </c>
      <c r="Q11" s="5">
        <v>16.283229835745765</v>
      </c>
      <c r="R11" s="5">
        <v>1278.2608654703802</v>
      </c>
      <c r="S11" s="45"/>
      <c r="T11" s="23">
        <v>60855.133328423413</v>
      </c>
      <c r="U11" s="33">
        <v>4.896168667000893</v>
      </c>
      <c r="V11" s="5">
        <v>2</v>
      </c>
      <c r="W11" s="5">
        <v>85</v>
      </c>
      <c r="X11" s="33">
        <v>16.145431074705783</v>
      </c>
      <c r="Y11" s="5">
        <v>32.040162933361358</v>
      </c>
      <c r="Z11" s="5">
        <v>1861.4729034864285</v>
      </c>
      <c r="AA11" s="45"/>
    </row>
    <row r="12" spans="2:27" x14ac:dyDescent="0.2">
      <c r="B12" s="4">
        <v>9</v>
      </c>
      <c r="C12" s="4">
        <v>505</v>
      </c>
      <c r="D12" s="23">
        <v>50183.720778918898</v>
      </c>
      <c r="E12" s="33">
        <v>5.4236411659999249</v>
      </c>
      <c r="F12" s="5">
        <v>2</v>
      </c>
      <c r="G12" s="23">
        <v>95</v>
      </c>
      <c r="H12" s="33">
        <v>15.334122939452142</v>
      </c>
      <c r="I12" s="23">
        <v>22.223936552566222</v>
      </c>
      <c r="J12" s="5">
        <v>1545.7941239381573</v>
      </c>
      <c r="K12" s="31"/>
      <c r="L12" s="23">
        <v>57903.825897736628</v>
      </c>
      <c r="M12" s="33">
        <v>4.5397839580000436</v>
      </c>
      <c r="N12" s="5">
        <v>2</v>
      </c>
      <c r="O12" s="5">
        <v>80</v>
      </c>
      <c r="P12" s="33">
        <v>0</v>
      </c>
      <c r="Q12" s="5">
        <v>16.283229835745765</v>
      </c>
      <c r="R12" s="5">
        <v>1278.2608654703802</v>
      </c>
      <c r="S12" s="45"/>
      <c r="T12" s="23">
        <v>60855.133328423413</v>
      </c>
      <c r="U12" s="33">
        <v>5.1230502500002331</v>
      </c>
      <c r="V12" s="5">
        <v>2</v>
      </c>
      <c r="W12" s="5">
        <v>85</v>
      </c>
      <c r="X12" s="33">
        <v>16.145431074705783</v>
      </c>
      <c r="Y12" s="5">
        <v>32.040162933361358</v>
      </c>
      <c r="Z12" s="5">
        <v>1861.4729034864285</v>
      </c>
      <c r="AA12" s="45"/>
    </row>
    <row r="13" spans="2:27" x14ac:dyDescent="0.2">
      <c r="B13" s="4">
        <v>10</v>
      </c>
      <c r="C13" s="4">
        <v>600</v>
      </c>
      <c r="D13" s="23">
        <v>50183.720778918898</v>
      </c>
      <c r="E13" s="33">
        <v>5.5554576250001446</v>
      </c>
      <c r="F13" s="5">
        <v>2</v>
      </c>
      <c r="G13" s="23">
        <v>95</v>
      </c>
      <c r="H13" s="33">
        <v>15.334122939452142</v>
      </c>
      <c r="I13" s="23">
        <v>22.223936552566222</v>
      </c>
      <c r="J13" s="5">
        <v>1545.7941239381573</v>
      </c>
      <c r="K13" s="31"/>
      <c r="L13" s="23">
        <v>57903.825897736628</v>
      </c>
      <c r="M13" s="33">
        <v>4.5392307080001046</v>
      </c>
      <c r="N13" s="5">
        <v>2</v>
      </c>
      <c r="O13" s="5">
        <v>80</v>
      </c>
      <c r="P13" s="33">
        <v>0</v>
      </c>
      <c r="Q13" s="5">
        <v>16.283229835745765</v>
      </c>
      <c r="R13" s="5">
        <v>1278.2608654703802</v>
      </c>
      <c r="S13" s="45"/>
      <c r="T13" s="23">
        <v>60855.133328423413</v>
      </c>
      <c r="U13" s="33">
        <v>4.9937433750001219</v>
      </c>
      <c r="V13" s="5">
        <v>2</v>
      </c>
      <c r="W13" s="5">
        <v>85</v>
      </c>
      <c r="X13" s="33">
        <v>16.145431074705783</v>
      </c>
      <c r="Y13" s="5">
        <v>32.040162933361358</v>
      </c>
      <c r="Z13" s="5">
        <v>1861.4729034864285</v>
      </c>
      <c r="AA13" s="45"/>
    </row>
    <row r="14" spans="2:27" x14ac:dyDescent="0.2">
      <c r="B14" s="46" t="s">
        <v>3</v>
      </c>
      <c r="C14" s="47"/>
      <c r="D14" s="9">
        <f>MIN(D4:D13)</f>
        <v>50183.720778918898</v>
      </c>
      <c r="E14" s="22">
        <f>INDEX(E4:E13, MATCH($D$14, D4:D13, 0))</f>
        <v>4.9982412500000919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15.334122939452142</v>
      </c>
      <c r="I14" s="22">
        <f>INDEX(I4:I13, MATCH($D$14, D4:D13, 0))</f>
        <v>22.223936552566222</v>
      </c>
      <c r="J14" s="22">
        <f>INDEX(J4:J13, MATCH($D$14, D4:D13, 0))</f>
        <v>1545.7941239381573</v>
      </c>
      <c r="K14" s="32"/>
      <c r="L14" s="16">
        <f>MIN(L4:L13)</f>
        <v>57903.825897736628</v>
      </c>
      <c r="M14" s="21">
        <f>INDEX(M4:M13, MATCH($L$14, L4:L13, 0))</f>
        <v>4.3417680000002292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16.283229835745765</v>
      </c>
      <c r="R14" s="21">
        <f>INDEX(R4:R13, MATCH($L$14, L4:L13, 0))</f>
        <v>1278.2608654703802</v>
      </c>
      <c r="S14" s="42" t="e">
        <f>(L14-$D$15)/$D$15</f>
        <v>#DIV/0!</v>
      </c>
      <c r="T14" s="38">
        <f>MIN(T4:T13)</f>
        <v>60855.133328423413</v>
      </c>
      <c r="U14" s="43">
        <f>INDEX(U4:U13, MATCH($T$14, T4:T13, 0))</f>
        <v>4.8982475839984554</v>
      </c>
      <c r="V14" s="38">
        <f>INDEX(V4:V13, MATCH($T$14, T4:T13, 0))</f>
        <v>2</v>
      </c>
      <c r="W14" s="38">
        <f>INDEX(W4:W13, MATCH($T$14, T4:T13, 0))</f>
        <v>85</v>
      </c>
      <c r="X14" s="43">
        <f>INDEX(X4:X13, MATCH($T$14, T4:T13, 0))</f>
        <v>16.145431074705783</v>
      </c>
      <c r="Y14" s="43">
        <f>INDEX(Y4:Y13, MATCH($T$14, T4:T13, 0))</f>
        <v>32.040162933361358</v>
      </c>
      <c r="Z14" s="43">
        <f>INDEX(Z4:Z13, MATCH($T$14, T4:T13, 0))</f>
        <v>1861.4729034864285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103" priority="9"/>
    <cfRule type="duplicateValues" dxfId="102" priority="10"/>
  </conditionalFormatting>
  <conditionalFormatting sqref="C14">
    <cfRule type="duplicateValues" dxfId="101" priority="5"/>
    <cfRule type="duplicateValues" dxfId="100" priority="6"/>
  </conditionalFormatting>
  <conditionalFormatting sqref="C15:C26">
    <cfRule type="duplicateValues" dxfId="35" priority="3"/>
    <cfRule type="duplicateValues" dxfId="34" priority="4"/>
  </conditionalFormatting>
  <conditionalFormatting sqref="C2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0353-07C1-C044-A388-B7553B684D51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25</v>
      </c>
      <c r="D4" s="23">
        <v>49203.056594199617</v>
      </c>
      <c r="E4" s="33">
        <v>5.2654566249998416</v>
      </c>
      <c r="F4" s="5">
        <v>2</v>
      </c>
      <c r="G4" s="23">
        <v>90</v>
      </c>
      <c r="H4" s="33">
        <v>0</v>
      </c>
      <c r="I4" s="23">
        <v>17.673307726478505</v>
      </c>
      <c r="J4" s="5">
        <v>1223.757261689542</v>
      </c>
      <c r="K4" s="31"/>
      <c r="L4" s="23">
        <v>55744.935332613662</v>
      </c>
      <c r="M4" s="33">
        <v>4.9895053330001247</v>
      </c>
      <c r="N4" s="5">
        <v>2</v>
      </c>
      <c r="O4" s="5">
        <v>80</v>
      </c>
      <c r="P4" s="33">
        <v>0</v>
      </c>
      <c r="Q4" s="5">
        <v>14.200331151506285</v>
      </c>
      <c r="R4" s="5">
        <v>1120.5183756110309</v>
      </c>
      <c r="S4" s="45"/>
      <c r="T4" s="23">
        <v>58160.612969583992</v>
      </c>
      <c r="U4" s="33">
        <v>4.5768193750009232</v>
      </c>
      <c r="V4" s="5">
        <v>2</v>
      </c>
      <c r="W4" s="5">
        <v>90</v>
      </c>
      <c r="X4" s="33">
        <v>11.300102036704869</v>
      </c>
      <c r="Y4" s="5">
        <v>35.429729861174565</v>
      </c>
      <c r="Z4" s="5">
        <v>1887.1427685854417</v>
      </c>
      <c r="AA4" s="45"/>
    </row>
    <row r="5" spans="2:27" x14ac:dyDescent="0.2">
      <c r="B5" s="4">
        <v>2</v>
      </c>
      <c r="C5" s="4">
        <v>211</v>
      </c>
      <c r="D5" s="23">
        <v>49203.056594199617</v>
      </c>
      <c r="E5" s="33">
        <v>5.254894916000012</v>
      </c>
      <c r="F5" s="5">
        <v>2</v>
      </c>
      <c r="G5" s="23">
        <v>90</v>
      </c>
      <c r="H5" s="33">
        <v>0</v>
      </c>
      <c r="I5" s="23">
        <v>17.673307726478505</v>
      </c>
      <c r="J5" s="5">
        <v>1223.757261689542</v>
      </c>
      <c r="K5" s="31"/>
      <c r="L5" s="23">
        <v>55744.935332613662</v>
      </c>
      <c r="M5" s="33">
        <v>5.046592167000199</v>
      </c>
      <c r="N5" s="5">
        <v>2</v>
      </c>
      <c r="O5" s="5">
        <v>80</v>
      </c>
      <c r="P5" s="33">
        <v>0</v>
      </c>
      <c r="Q5" s="5">
        <v>14.200331151506285</v>
      </c>
      <c r="R5" s="5">
        <v>1120.5183756110309</v>
      </c>
      <c r="S5" s="45"/>
      <c r="T5" s="23">
        <v>58160.612969583992</v>
      </c>
      <c r="U5" s="33">
        <v>4.6713227079999342</v>
      </c>
      <c r="V5" s="5">
        <v>2</v>
      </c>
      <c r="W5" s="5">
        <v>90</v>
      </c>
      <c r="X5" s="33">
        <v>11.300102036704869</v>
      </c>
      <c r="Y5" s="5">
        <v>35.429729861174565</v>
      </c>
      <c r="Z5" s="5">
        <v>1887.1427685854417</v>
      </c>
      <c r="AA5" s="45"/>
    </row>
    <row r="6" spans="2:27" x14ac:dyDescent="0.2">
      <c r="B6" s="4">
        <v>3</v>
      </c>
      <c r="C6" s="4">
        <v>686</v>
      </c>
      <c r="D6" s="23">
        <v>49203.056594199617</v>
      </c>
      <c r="E6" s="33">
        <v>5.346822125000017</v>
      </c>
      <c r="F6" s="5">
        <v>2</v>
      </c>
      <c r="G6" s="23">
        <v>90</v>
      </c>
      <c r="H6" s="33">
        <v>0</v>
      </c>
      <c r="I6" s="23">
        <v>17.673307726478505</v>
      </c>
      <c r="J6" s="5">
        <v>1223.757261689542</v>
      </c>
      <c r="K6" s="31"/>
      <c r="L6" s="23">
        <v>55744.935332613662</v>
      </c>
      <c r="M6" s="33">
        <v>4.9986539580004319</v>
      </c>
      <c r="N6" s="5">
        <v>2</v>
      </c>
      <c r="O6" s="5">
        <v>80</v>
      </c>
      <c r="P6" s="33">
        <v>0</v>
      </c>
      <c r="Q6" s="5">
        <v>14.200331151506285</v>
      </c>
      <c r="R6" s="5">
        <v>1120.5183756110309</v>
      </c>
      <c r="S6" s="45"/>
      <c r="T6" s="23">
        <v>58160.612969583992</v>
      </c>
      <c r="U6" s="33">
        <v>4.6636853330001031</v>
      </c>
      <c r="V6" s="5">
        <v>2</v>
      </c>
      <c r="W6" s="5">
        <v>90</v>
      </c>
      <c r="X6" s="33">
        <v>11.300102036704869</v>
      </c>
      <c r="Y6" s="5">
        <v>35.429729861174565</v>
      </c>
      <c r="Z6" s="5">
        <v>1887.1427685854417</v>
      </c>
      <c r="AA6" s="45"/>
    </row>
    <row r="7" spans="2:27" x14ac:dyDescent="0.2">
      <c r="B7" s="4">
        <v>4</v>
      </c>
      <c r="C7" s="4">
        <v>706</v>
      </c>
      <c r="D7" s="23">
        <v>49203.056594199617</v>
      </c>
      <c r="E7" s="33">
        <v>5.2640372500000012</v>
      </c>
      <c r="F7" s="5">
        <v>2</v>
      </c>
      <c r="G7" s="23">
        <v>90</v>
      </c>
      <c r="H7" s="33">
        <v>0</v>
      </c>
      <c r="I7" s="23">
        <v>17.673307726478505</v>
      </c>
      <c r="J7" s="5">
        <v>1223.757261689542</v>
      </c>
      <c r="K7" s="31"/>
      <c r="L7" s="23">
        <v>55744.935332613662</v>
      </c>
      <c r="M7" s="33">
        <v>5.0287216670003554</v>
      </c>
      <c r="N7" s="5">
        <v>2</v>
      </c>
      <c r="O7" s="5">
        <v>80</v>
      </c>
      <c r="P7" s="33">
        <v>0</v>
      </c>
      <c r="Q7" s="5">
        <v>14.200331151506285</v>
      </c>
      <c r="R7" s="5">
        <v>1120.5183756110309</v>
      </c>
      <c r="S7" s="45"/>
      <c r="T7" s="23">
        <v>58160.612969583992</v>
      </c>
      <c r="U7" s="33">
        <v>4.6741179999989981</v>
      </c>
      <c r="V7" s="5">
        <v>2</v>
      </c>
      <c r="W7" s="5">
        <v>90</v>
      </c>
      <c r="X7" s="33">
        <v>11.300102036704869</v>
      </c>
      <c r="Y7" s="5">
        <v>35.429729861174565</v>
      </c>
      <c r="Z7" s="5">
        <v>1887.1427685854417</v>
      </c>
      <c r="AA7" s="45"/>
    </row>
    <row r="8" spans="2:27" x14ac:dyDescent="0.2">
      <c r="B8" s="4">
        <v>5</v>
      </c>
      <c r="C8" s="4">
        <v>726</v>
      </c>
      <c r="D8" s="23">
        <v>49203.056594199617</v>
      </c>
      <c r="E8" s="33">
        <v>5.3360981660000562</v>
      </c>
      <c r="F8" s="5">
        <v>2</v>
      </c>
      <c r="G8" s="23">
        <v>90</v>
      </c>
      <c r="H8" s="33">
        <v>0</v>
      </c>
      <c r="I8" s="23">
        <v>17.673307726478505</v>
      </c>
      <c r="J8" s="5">
        <v>1223.757261689542</v>
      </c>
      <c r="K8" s="31"/>
      <c r="L8" s="23">
        <v>55744.935332613662</v>
      </c>
      <c r="M8" s="33">
        <v>5.0180978330008656</v>
      </c>
      <c r="N8" s="5">
        <v>2</v>
      </c>
      <c r="O8" s="5">
        <v>80</v>
      </c>
      <c r="P8" s="33">
        <v>0</v>
      </c>
      <c r="Q8" s="5">
        <v>14.200331151506285</v>
      </c>
      <c r="R8" s="5">
        <v>1120.5183756110309</v>
      </c>
      <c r="S8" s="45"/>
      <c r="T8" s="23">
        <v>58160.612969583992</v>
      </c>
      <c r="U8" s="33">
        <v>4.8128878329989666</v>
      </c>
      <c r="V8" s="5">
        <v>2</v>
      </c>
      <c r="W8" s="5">
        <v>90</v>
      </c>
      <c r="X8" s="33">
        <v>11.300102036704869</v>
      </c>
      <c r="Y8" s="5">
        <v>35.429729861174565</v>
      </c>
      <c r="Z8" s="5">
        <v>1887.1427685854417</v>
      </c>
      <c r="AA8" s="45"/>
    </row>
    <row r="9" spans="2:27" x14ac:dyDescent="0.2">
      <c r="B9" s="4">
        <v>6</v>
      </c>
      <c r="C9" s="4">
        <v>779</v>
      </c>
      <c r="D9" s="23">
        <v>49203.056594199617</v>
      </c>
      <c r="E9" s="33">
        <v>5.3339369170000737</v>
      </c>
      <c r="F9" s="5">
        <v>2</v>
      </c>
      <c r="G9" s="23">
        <v>90</v>
      </c>
      <c r="H9" s="33">
        <v>0</v>
      </c>
      <c r="I9" s="23">
        <v>17.673307726478505</v>
      </c>
      <c r="J9" s="5">
        <v>1223.757261689542</v>
      </c>
      <c r="K9" s="31"/>
      <c r="L9" s="23">
        <v>55744.935332613662</v>
      </c>
      <c r="M9" s="33">
        <v>4.97680570799821</v>
      </c>
      <c r="N9" s="5">
        <v>2</v>
      </c>
      <c r="O9" s="5">
        <v>80</v>
      </c>
      <c r="P9" s="33">
        <v>0</v>
      </c>
      <c r="Q9" s="5">
        <v>14.200331151506285</v>
      </c>
      <c r="R9" s="5">
        <v>1120.5183756110309</v>
      </c>
      <c r="S9" s="45"/>
      <c r="T9" s="23">
        <v>58160.612969583992</v>
      </c>
      <c r="U9" s="33">
        <v>4.7989953329997661</v>
      </c>
      <c r="V9" s="5">
        <v>2</v>
      </c>
      <c r="W9" s="5">
        <v>90</v>
      </c>
      <c r="X9" s="33">
        <v>11.300102036704869</v>
      </c>
      <c r="Y9" s="5">
        <v>35.429729861174565</v>
      </c>
      <c r="Z9" s="5">
        <v>1887.1427685854417</v>
      </c>
      <c r="AA9" s="45"/>
    </row>
    <row r="10" spans="2:27" x14ac:dyDescent="0.2">
      <c r="B10" s="4">
        <v>7</v>
      </c>
      <c r="C10" s="4">
        <v>830</v>
      </c>
      <c r="D10" s="23">
        <v>49203.056594199617</v>
      </c>
      <c r="E10" s="33">
        <v>5.3301859999999124</v>
      </c>
      <c r="F10" s="5">
        <v>2</v>
      </c>
      <c r="G10" s="23">
        <v>90</v>
      </c>
      <c r="H10" s="33">
        <v>0</v>
      </c>
      <c r="I10" s="23">
        <v>17.673307726478505</v>
      </c>
      <c r="J10" s="5">
        <v>1223.757261689542</v>
      </c>
      <c r="K10" s="31"/>
      <c r="L10" s="23">
        <v>55744.935332613662</v>
      </c>
      <c r="M10" s="33">
        <v>5.051289666998855</v>
      </c>
      <c r="N10" s="5">
        <v>2</v>
      </c>
      <c r="O10" s="5">
        <v>80</v>
      </c>
      <c r="P10" s="33">
        <v>0</v>
      </c>
      <c r="Q10" s="5">
        <v>14.200331151506285</v>
      </c>
      <c r="R10" s="5">
        <v>1120.5183756110309</v>
      </c>
      <c r="S10" s="45"/>
      <c r="T10" s="23">
        <v>58160.612969583992</v>
      </c>
      <c r="U10" s="33">
        <v>4.7311956670000654</v>
      </c>
      <c r="V10" s="5">
        <v>2</v>
      </c>
      <c r="W10" s="5">
        <v>90</v>
      </c>
      <c r="X10" s="33">
        <v>11.300102036704869</v>
      </c>
      <c r="Y10" s="5">
        <v>35.429729861174565</v>
      </c>
      <c r="Z10" s="5">
        <v>1887.1427685854417</v>
      </c>
      <c r="AA10" s="45"/>
    </row>
    <row r="11" spans="2:27" x14ac:dyDescent="0.2">
      <c r="B11" s="4">
        <v>8</v>
      </c>
      <c r="C11" s="4">
        <v>911</v>
      </c>
      <c r="D11" s="23">
        <v>49203.056594199617</v>
      </c>
      <c r="E11" s="33">
        <v>5.3098877499999162</v>
      </c>
      <c r="F11" s="5">
        <v>2</v>
      </c>
      <c r="G11" s="23">
        <v>90</v>
      </c>
      <c r="H11" s="33">
        <v>0</v>
      </c>
      <c r="I11" s="23">
        <v>17.673307726478505</v>
      </c>
      <c r="J11" s="5">
        <v>1223.757261689542</v>
      </c>
      <c r="K11" s="31"/>
      <c r="L11" s="23">
        <v>55744.935332613662</v>
      </c>
      <c r="M11" s="33">
        <v>5.0068766250005874</v>
      </c>
      <c r="N11" s="5">
        <v>2</v>
      </c>
      <c r="O11" s="5">
        <v>80</v>
      </c>
      <c r="P11" s="33">
        <v>0</v>
      </c>
      <c r="Q11" s="5">
        <v>14.200331151506285</v>
      </c>
      <c r="R11" s="5">
        <v>1120.5183756110309</v>
      </c>
      <c r="S11" s="45"/>
      <c r="T11" s="23">
        <v>58160.612969583992</v>
      </c>
      <c r="U11" s="33">
        <v>4.6493819579991396</v>
      </c>
      <c r="V11" s="5">
        <v>2</v>
      </c>
      <c r="W11" s="5">
        <v>90</v>
      </c>
      <c r="X11" s="33">
        <v>11.300102036704869</v>
      </c>
      <c r="Y11" s="5">
        <v>35.429729861174565</v>
      </c>
      <c r="Z11" s="5">
        <v>1887.1427685854417</v>
      </c>
      <c r="AA11" s="45"/>
    </row>
    <row r="12" spans="2:27" x14ac:dyDescent="0.2">
      <c r="B12" s="4">
        <v>9</v>
      </c>
      <c r="C12" s="4">
        <v>981</v>
      </c>
      <c r="D12" s="23">
        <v>49203.056594199617</v>
      </c>
      <c r="E12" s="33">
        <v>5.2541981670001414</v>
      </c>
      <c r="F12" s="5">
        <v>2</v>
      </c>
      <c r="G12" s="23">
        <v>90</v>
      </c>
      <c r="H12" s="33">
        <v>0</v>
      </c>
      <c r="I12" s="23">
        <v>17.673307726478505</v>
      </c>
      <c r="J12" s="5">
        <v>1223.757261689542</v>
      </c>
      <c r="K12" s="31"/>
      <c r="L12" s="23">
        <v>55744.935332613662</v>
      </c>
      <c r="M12" s="33">
        <v>4.6202014159989631</v>
      </c>
      <c r="N12" s="5">
        <v>2</v>
      </c>
      <c r="O12" s="5">
        <v>80</v>
      </c>
      <c r="P12" s="33">
        <v>0</v>
      </c>
      <c r="Q12" s="5">
        <v>14.200331151506285</v>
      </c>
      <c r="R12" s="5">
        <v>1120.5183756110309</v>
      </c>
      <c r="S12" s="45"/>
      <c r="T12" s="23">
        <v>58160.612969583992</v>
      </c>
      <c r="U12" s="33">
        <v>4.8735256250001839</v>
      </c>
      <c r="V12" s="5">
        <v>2</v>
      </c>
      <c r="W12" s="5">
        <v>90</v>
      </c>
      <c r="X12" s="33">
        <v>11.300102036704869</v>
      </c>
      <c r="Y12" s="5">
        <v>35.429729861174565</v>
      </c>
      <c r="Z12" s="5">
        <v>1887.1427685854417</v>
      </c>
      <c r="AA12" s="45"/>
    </row>
    <row r="13" spans="2:27" x14ac:dyDescent="0.2">
      <c r="B13" s="4">
        <v>10</v>
      </c>
      <c r="C13" s="4">
        <v>990</v>
      </c>
      <c r="D13" s="23">
        <v>49203.056594199617</v>
      </c>
      <c r="E13" s="33">
        <v>5.2247430420000001</v>
      </c>
      <c r="F13" s="5">
        <v>2</v>
      </c>
      <c r="G13" s="23">
        <v>90</v>
      </c>
      <c r="H13" s="33">
        <v>0</v>
      </c>
      <c r="I13" s="23">
        <v>17.673307726478505</v>
      </c>
      <c r="J13" s="5">
        <v>1223.757261689542</v>
      </c>
      <c r="K13" s="31"/>
      <c r="L13" s="23">
        <v>55744.935332613662</v>
      </c>
      <c r="M13" s="33">
        <v>5.0760978329999489</v>
      </c>
      <c r="N13" s="5">
        <v>2</v>
      </c>
      <c r="O13" s="5">
        <v>80</v>
      </c>
      <c r="P13" s="33">
        <v>0</v>
      </c>
      <c r="Q13" s="5">
        <v>14.200331151506285</v>
      </c>
      <c r="R13" s="5">
        <v>1120.5183756110309</v>
      </c>
      <c r="S13" s="45"/>
      <c r="T13" s="23">
        <v>58160.612969583992</v>
      </c>
      <c r="U13" s="33">
        <v>4.7016819590007799</v>
      </c>
      <c r="V13" s="5">
        <v>2</v>
      </c>
      <c r="W13" s="5">
        <v>90</v>
      </c>
      <c r="X13" s="33">
        <v>11.300102036704869</v>
      </c>
      <c r="Y13" s="5">
        <v>35.429729861174565</v>
      </c>
      <c r="Z13" s="5">
        <v>1887.1427685854417</v>
      </c>
      <c r="AA13" s="45"/>
    </row>
    <row r="14" spans="2:27" x14ac:dyDescent="0.2">
      <c r="B14" s="46" t="s">
        <v>3</v>
      </c>
      <c r="C14" s="47"/>
      <c r="D14" s="9">
        <f>MIN(D4:D13)</f>
        <v>49203.056594199617</v>
      </c>
      <c r="E14" s="22">
        <f>INDEX(E4:E13, MATCH($D$14, D4:D13, 0))</f>
        <v>5.2654566249998416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17.673307726478505</v>
      </c>
      <c r="J14" s="22">
        <f>INDEX(J4:J13, MATCH($D$14, D4:D13, 0))</f>
        <v>1223.757261689542</v>
      </c>
      <c r="K14" s="32"/>
      <c r="L14" s="16">
        <f>MIN(L4:L13)</f>
        <v>55744.935332613662</v>
      </c>
      <c r="M14" s="21">
        <f>INDEX(M4:M13, MATCH($L$14, L4:L13, 0))</f>
        <v>4.9895053330001247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14.200331151506285</v>
      </c>
      <c r="R14" s="21">
        <f>INDEX(R4:R13, MATCH($L$14, L4:L13, 0))</f>
        <v>1120.5183756110309</v>
      </c>
      <c r="S14" s="42" t="e">
        <f>(L14-$D$15)/$D$15</f>
        <v>#DIV/0!</v>
      </c>
      <c r="T14" s="38">
        <f>MIN(T4:T13)</f>
        <v>58160.612969583992</v>
      </c>
      <c r="U14" s="43">
        <f>INDEX(U4:U13, MATCH($T$14, T4:T13, 0))</f>
        <v>4.5768193750009232</v>
      </c>
      <c r="V14" s="38">
        <f>INDEX(V4:V13, MATCH($T$14, T4:T13, 0))</f>
        <v>2</v>
      </c>
      <c r="W14" s="38">
        <f>INDEX(W4:W13, MATCH($T$14, T4:T13, 0))</f>
        <v>90</v>
      </c>
      <c r="X14" s="43">
        <f>INDEX(X4:X13, MATCH($T$14, T4:T13, 0))</f>
        <v>11.300102036704869</v>
      </c>
      <c r="Y14" s="43">
        <f>INDEX(Y4:Y13, MATCH($T$14, T4:T13, 0))</f>
        <v>35.429729861174565</v>
      </c>
      <c r="Z14" s="43">
        <f>INDEX(Z4:Z13, MATCH($T$14, T4:T13, 0))</f>
        <v>1887.1427685854417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99" priority="9"/>
    <cfRule type="duplicateValues" dxfId="98" priority="10"/>
  </conditionalFormatting>
  <conditionalFormatting sqref="C14">
    <cfRule type="duplicateValues" dxfId="97" priority="5"/>
    <cfRule type="duplicateValues" dxfId="96" priority="6"/>
  </conditionalFormatting>
  <conditionalFormatting sqref="C15:C26">
    <cfRule type="duplicateValues" dxfId="33" priority="3"/>
    <cfRule type="duplicateValues" dxfId="32" priority="4"/>
  </conditionalFormatting>
  <conditionalFormatting sqref="C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848E-2D4C-7145-B437-A299D60182A0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49</v>
      </c>
      <c r="D4" s="23">
        <v>50920.462020404622</v>
      </c>
      <c r="E4" s="33">
        <v>5.0026408329999867</v>
      </c>
      <c r="F4" s="5">
        <v>2</v>
      </c>
      <c r="G4" s="23">
        <v>90</v>
      </c>
      <c r="H4" s="33">
        <v>2.0095980618539975</v>
      </c>
      <c r="I4" s="23">
        <v>28.875163782820579</v>
      </c>
      <c r="J4" s="5">
        <v>1423.9372774318756</v>
      </c>
      <c r="K4" s="31"/>
      <c r="L4" s="23">
        <v>65701.833190560399</v>
      </c>
      <c r="M4" s="33">
        <v>4.5110125000010157</v>
      </c>
      <c r="N4" s="5">
        <v>2</v>
      </c>
      <c r="O4" s="5">
        <v>70</v>
      </c>
      <c r="P4" s="33">
        <v>0</v>
      </c>
      <c r="Q4" s="5">
        <v>20.529521780002735</v>
      </c>
      <c r="R4" s="5">
        <v>1354.0251190554459</v>
      </c>
      <c r="S4" s="45"/>
      <c r="T4" s="23">
        <v>58699.945966989188</v>
      </c>
      <c r="U4" s="33">
        <v>4.5467916670004342</v>
      </c>
      <c r="V4" s="5">
        <v>2</v>
      </c>
      <c r="W4" s="5">
        <v>90</v>
      </c>
      <c r="X4" s="33">
        <v>51.399692909885594</v>
      </c>
      <c r="Y4" s="5">
        <v>56.963921048155299</v>
      </c>
      <c r="Z4" s="5">
        <v>2054.1168591707014</v>
      </c>
      <c r="AA4" s="45"/>
    </row>
    <row r="5" spans="2:27" x14ac:dyDescent="0.2">
      <c r="B5" s="4">
        <v>2</v>
      </c>
      <c r="C5" s="4">
        <v>96</v>
      </c>
      <c r="D5" s="23">
        <v>50920.462020404622</v>
      </c>
      <c r="E5" s="33">
        <v>4.9458217090000289</v>
      </c>
      <c r="F5" s="5">
        <v>2</v>
      </c>
      <c r="G5" s="23">
        <v>90</v>
      </c>
      <c r="H5" s="33">
        <v>2.0095980618539975</v>
      </c>
      <c r="I5" s="23">
        <v>28.875163782820579</v>
      </c>
      <c r="J5" s="5">
        <v>1423.9372774318756</v>
      </c>
      <c r="K5" s="31"/>
      <c r="L5" s="23">
        <v>65701.833190560399</v>
      </c>
      <c r="M5" s="33">
        <v>4.5289619999985007</v>
      </c>
      <c r="N5" s="5">
        <v>2</v>
      </c>
      <c r="O5" s="5">
        <v>70</v>
      </c>
      <c r="P5" s="33">
        <v>0</v>
      </c>
      <c r="Q5" s="5">
        <v>20.529521780002735</v>
      </c>
      <c r="R5" s="5">
        <v>1354.0251190554459</v>
      </c>
      <c r="S5" s="45"/>
      <c r="T5" s="23">
        <v>58699.945966989188</v>
      </c>
      <c r="U5" s="33">
        <v>4.5603481660000398</v>
      </c>
      <c r="V5" s="5">
        <v>2</v>
      </c>
      <c r="W5" s="5">
        <v>90</v>
      </c>
      <c r="X5" s="33">
        <v>51.399692909885594</v>
      </c>
      <c r="Y5" s="5">
        <v>56.963921048155299</v>
      </c>
      <c r="Z5" s="5">
        <v>2054.1168591707014</v>
      </c>
      <c r="AA5" s="45"/>
    </row>
    <row r="6" spans="2:27" x14ac:dyDescent="0.2">
      <c r="B6" s="4">
        <v>3</v>
      </c>
      <c r="C6" s="4">
        <v>248</v>
      </c>
      <c r="D6" s="23">
        <v>50920.462020404622</v>
      </c>
      <c r="E6" s="33">
        <v>4.8972192090000144</v>
      </c>
      <c r="F6" s="5">
        <v>2</v>
      </c>
      <c r="G6" s="23">
        <v>90</v>
      </c>
      <c r="H6" s="33">
        <v>2.0095980618539975</v>
      </c>
      <c r="I6" s="23">
        <v>28.875163782820579</v>
      </c>
      <c r="J6" s="5">
        <v>1423.9372774318756</v>
      </c>
      <c r="K6" s="31"/>
      <c r="L6" s="23">
        <v>65701.833190560399</v>
      </c>
      <c r="M6" s="33">
        <v>4.5175463329997001</v>
      </c>
      <c r="N6" s="5">
        <v>2</v>
      </c>
      <c r="O6" s="5">
        <v>70</v>
      </c>
      <c r="P6" s="33">
        <v>0</v>
      </c>
      <c r="Q6" s="5">
        <v>20.529521780002735</v>
      </c>
      <c r="R6" s="5">
        <v>1354.0251190554459</v>
      </c>
      <c r="S6" s="45"/>
      <c r="T6" s="23">
        <v>58699.945966989188</v>
      </c>
      <c r="U6" s="33">
        <v>4.5236218749996624</v>
      </c>
      <c r="V6" s="5">
        <v>2</v>
      </c>
      <c r="W6" s="5">
        <v>90</v>
      </c>
      <c r="X6" s="33">
        <v>51.399692909885594</v>
      </c>
      <c r="Y6" s="5">
        <v>56.963921048155299</v>
      </c>
      <c r="Z6" s="5">
        <v>2054.1168591707014</v>
      </c>
      <c r="AA6" s="45"/>
    </row>
    <row r="7" spans="2:27" x14ac:dyDescent="0.2">
      <c r="B7" s="4">
        <v>4</v>
      </c>
      <c r="C7" s="4">
        <v>249</v>
      </c>
      <c r="D7" s="23">
        <v>50920.462020404622</v>
      </c>
      <c r="E7" s="33">
        <v>4.4986180420000892</v>
      </c>
      <c r="F7" s="5">
        <v>2</v>
      </c>
      <c r="G7" s="23">
        <v>90</v>
      </c>
      <c r="H7" s="33">
        <v>2.0095980618539975</v>
      </c>
      <c r="I7" s="23">
        <v>28.875163782820579</v>
      </c>
      <c r="J7" s="5">
        <v>1423.9372774318756</v>
      </c>
      <c r="K7" s="31"/>
      <c r="L7" s="23">
        <v>65701.833190560399</v>
      </c>
      <c r="M7" s="33">
        <v>4.5158943750011531</v>
      </c>
      <c r="N7" s="5">
        <v>2</v>
      </c>
      <c r="O7" s="5">
        <v>70</v>
      </c>
      <c r="P7" s="33">
        <v>0</v>
      </c>
      <c r="Q7" s="5">
        <v>20.529521780002735</v>
      </c>
      <c r="R7" s="5">
        <v>1354.0251190554459</v>
      </c>
      <c r="S7" s="45"/>
      <c r="T7" s="23">
        <v>58699.945966989188</v>
      </c>
      <c r="U7" s="33">
        <v>4.5825988329997926</v>
      </c>
      <c r="V7" s="5">
        <v>2</v>
      </c>
      <c r="W7" s="5">
        <v>90</v>
      </c>
      <c r="X7" s="33">
        <v>51.399692909885594</v>
      </c>
      <c r="Y7" s="5">
        <v>56.963921048155299</v>
      </c>
      <c r="Z7" s="5">
        <v>2054.1168591707014</v>
      </c>
      <c r="AA7" s="45"/>
    </row>
    <row r="8" spans="2:27" x14ac:dyDescent="0.2">
      <c r="B8" s="4">
        <v>5</v>
      </c>
      <c r="C8" s="4">
        <v>371</v>
      </c>
      <c r="D8" s="23">
        <v>50920.462020404622</v>
      </c>
      <c r="E8" s="33">
        <v>4.8797603749999334</v>
      </c>
      <c r="F8" s="5">
        <v>2</v>
      </c>
      <c r="G8" s="23">
        <v>90</v>
      </c>
      <c r="H8" s="33">
        <v>2.0095980618539975</v>
      </c>
      <c r="I8" s="23">
        <v>28.875163782820579</v>
      </c>
      <c r="J8" s="5">
        <v>1423.9372774318756</v>
      </c>
      <c r="K8" s="31"/>
      <c r="L8" s="23">
        <v>65701.833190560399</v>
      </c>
      <c r="M8" s="33">
        <v>4.532893082998271</v>
      </c>
      <c r="N8" s="5">
        <v>2</v>
      </c>
      <c r="O8" s="5">
        <v>70</v>
      </c>
      <c r="P8" s="33">
        <v>0</v>
      </c>
      <c r="Q8" s="5">
        <v>20.529521780002735</v>
      </c>
      <c r="R8" s="5">
        <v>1354.0251190554459</v>
      </c>
      <c r="S8" s="45"/>
      <c r="T8" s="23">
        <v>58699.945966989188</v>
      </c>
      <c r="U8" s="33">
        <v>4.6629704999995738</v>
      </c>
      <c r="V8" s="5">
        <v>2</v>
      </c>
      <c r="W8" s="5">
        <v>90</v>
      </c>
      <c r="X8" s="33">
        <v>51.399692909885594</v>
      </c>
      <c r="Y8" s="5">
        <v>56.963921048155299</v>
      </c>
      <c r="Z8" s="5">
        <v>2054.1168591707014</v>
      </c>
      <c r="AA8" s="45"/>
    </row>
    <row r="9" spans="2:27" x14ac:dyDescent="0.2">
      <c r="B9" s="4">
        <v>6</v>
      </c>
      <c r="C9" s="4">
        <v>372</v>
      </c>
      <c r="D9" s="23">
        <v>50920.462020404622</v>
      </c>
      <c r="E9" s="33">
        <v>4.9936402499999986</v>
      </c>
      <c r="F9" s="5">
        <v>2</v>
      </c>
      <c r="G9" s="23">
        <v>90</v>
      </c>
      <c r="H9" s="33">
        <v>2.0095980618539975</v>
      </c>
      <c r="I9" s="23">
        <v>28.875163782820579</v>
      </c>
      <c r="J9" s="5">
        <v>1423.9372774318756</v>
      </c>
      <c r="K9" s="31"/>
      <c r="L9" s="23">
        <v>65701.833190560399</v>
      </c>
      <c r="M9" s="33">
        <v>4.608669250001185</v>
      </c>
      <c r="N9" s="5">
        <v>2</v>
      </c>
      <c r="O9" s="5">
        <v>70</v>
      </c>
      <c r="P9" s="33">
        <v>0</v>
      </c>
      <c r="Q9" s="5">
        <v>20.529521780002735</v>
      </c>
      <c r="R9" s="5">
        <v>1354.0251190554459</v>
      </c>
      <c r="S9" s="45"/>
      <c r="T9" s="23">
        <v>58699.945966989188</v>
      </c>
      <c r="U9" s="33">
        <v>4.7271378749992436</v>
      </c>
      <c r="V9" s="5">
        <v>2</v>
      </c>
      <c r="W9" s="5">
        <v>90</v>
      </c>
      <c r="X9" s="33">
        <v>51.399692909885594</v>
      </c>
      <c r="Y9" s="5">
        <v>56.963921048155299</v>
      </c>
      <c r="Z9" s="5">
        <v>2054.1168591707014</v>
      </c>
      <c r="AA9" s="45"/>
    </row>
    <row r="10" spans="2:27" x14ac:dyDescent="0.2">
      <c r="B10" s="4">
        <v>7</v>
      </c>
      <c r="C10" s="4">
        <v>531</v>
      </c>
      <c r="D10" s="23">
        <v>50920.462020404622</v>
      </c>
      <c r="E10" s="33">
        <v>4.9455382920000366</v>
      </c>
      <c r="F10" s="5">
        <v>2</v>
      </c>
      <c r="G10" s="23">
        <v>90</v>
      </c>
      <c r="H10" s="33">
        <v>2.0095980618539975</v>
      </c>
      <c r="I10" s="23">
        <v>28.875163782820579</v>
      </c>
      <c r="J10" s="5">
        <v>1423.9372774318756</v>
      </c>
      <c r="K10" s="31"/>
      <c r="L10" s="23">
        <v>65701.833190560399</v>
      </c>
      <c r="M10" s="33">
        <v>4.6595121250011289</v>
      </c>
      <c r="N10" s="5">
        <v>2</v>
      </c>
      <c r="O10" s="5">
        <v>70</v>
      </c>
      <c r="P10" s="33">
        <v>0</v>
      </c>
      <c r="Q10" s="5">
        <v>20.529521780002735</v>
      </c>
      <c r="R10" s="5">
        <v>1354.0251190554459</v>
      </c>
      <c r="S10" s="45"/>
      <c r="T10" s="23">
        <v>58699.945966989188</v>
      </c>
      <c r="U10" s="33">
        <v>4.5563436669999646</v>
      </c>
      <c r="V10" s="5">
        <v>2</v>
      </c>
      <c r="W10" s="5">
        <v>90</v>
      </c>
      <c r="X10" s="33">
        <v>51.399692909885594</v>
      </c>
      <c r="Y10" s="5">
        <v>56.963921048155299</v>
      </c>
      <c r="Z10" s="5">
        <v>2054.1168591707014</v>
      </c>
      <c r="AA10" s="45"/>
    </row>
    <row r="11" spans="2:27" x14ac:dyDescent="0.2">
      <c r="B11" s="4">
        <v>8</v>
      </c>
      <c r="C11" s="4">
        <v>536</v>
      </c>
      <c r="D11" s="23">
        <v>50920.462020404622</v>
      </c>
      <c r="E11" s="33">
        <v>4.9973057080001126</v>
      </c>
      <c r="F11" s="5">
        <v>2</v>
      </c>
      <c r="G11" s="23">
        <v>90</v>
      </c>
      <c r="H11" s="33">
        <v>2.0095980618539975</v>
      </c>
      <c r="I11" s="23">
        <v>28.875163782820579</v>
      </c>
      <c r="J11" s="5">
        <v>1423.9372774318756</v>
      </c>
      <c r="K11" s="31"/>
      <c r="L11" s="23">
        <v>65701.833190560399</v>
      </c>
      <c r="M11" s="33">
        <v>4.515502166999795</v>
      </c>
      <c r="N11" s="5">
        <v>2</v>
      </c>
      <c r="O11" s="5">
        <v>70</v>
      </c>
      <c r="P11" s="33">
        <v>0</v>
      </c>
      <c r="Q11" s="5">
        <v>20.529521780002735</v>
      </c>
      <c r="R11" s="5">
        <v>1354.0251190554459</v>
      </c>
      <c r="S11" s="45"/>
      <c r="T11" s="23">
        <v>58699.945966989188</v>
      </c>
      <c r="U11" s="33">
        <v>4.5247347080003237</v>
      </c>
      <c r="V11" s="5">
        <v>2</v>
      </c>
      <c r="W11" s="5">
        <v>90</v>
      </c>
      <c r="X11" s="33">
        <v>51.399692909885594</v>
      </c>
      <c r="Y11" s="5">
        <v>56.963921048155299</v>
      </c>
      <c r="Z11" s="5">
        <v>2054.1168591707014</v>
      </c>
      <c r="AA11" s="45"/>
    </row>
    <row r="12" spans="2:27" x14ac:dyDescent="0.2">
      <c r="B12" s="4">
        <v>9</v>
      </c>
      <c r="C12" s="4">
        <v>873</v>
      </c>
      <c r="D12" s="23">
        <v>50920.462020404622</v>
      </c>
      <c r="E12" s="33">
        <v>4.862360290999959</v>
      </c>
      <c r="F12" s="5">
        <v>2</v>
      </c>
      <c r="G12" s="23">
        <v>90</v>
      </c>
      <c r="H12" s="33">
        <v>2.0095980618539975</v>
      </c>
      <c r="I12" s="23">
        <v>28.875163782820579</v>
      </c>
      <c r="J12" s="5">
        <v>1423.9372774318756</v>
      </c>
      <c r="K12" s="31"/>
      <c r="L12" s="23">
        <v>84817.226813804649</v>
      </c>
      <c r="M12" s="33">
        <v>3.007025916998828</v>
      </c>
      <c r="N12" s="5">
        <v>2</v>
      </c>
      <c r="O12" s="5">
        <v>40</v>
      </c>
      <c r="P12" s="33">
        <v>0</v>
      </c>
      <c r="Q12" s="5">
        <v>11.581365707952855</v>
      </c>
      <c r="R12" s="5">
        <v>871.37514756799408</v>
      </c>
      <c r="S12" s="45"/>
      <c r="T12" s="23">
        <v>58699.945966989188</v>
      </c>
      <c r="U12" s="33">
        <v>4.4802776659998926</v>
      </c>
      <c r="V12" s="5">
        <v>2</v>
      </c>
      <c r="W12" s="5">
        <v>90</v>
      </c>
      <c r="X12" s="33">
        <v>51.399692909885594</v>
      </c>
      <c r="Y12" s="5">
        <v>56.963921048155299</v>
      </c>
      <c r="Z12" s="5">
        <v>2054.1168591707014</v>
      </c>
      <c r="AA12" s="45"/>
    </row>
    <row r="13" spans="2:27" x14ac:dyDescent="0.2">
      <c r="B13" s="4">
        <v>10</v>
      </c>
      <c r="C13" s="4">
        <v>876</v>
      </c>
      <c r="D13" s="23">
        <v>50920.462020404622</v>
      </c>
      <c r="E13" s="33">
        <v>4.8991035410001587</v>
      </c>
      <c r="F13" s="5">
        <v>2</v>
      </c>
      <c r="G13" s="23">
        <v>90</v>
      </c>
      <c r="H13" s="33">
        <v>2.0095980618539975</v>
      </c>
      <c r="I13" s="23">
        <v>28.875163782820579</v>
      </c>
      <c r="J13" s="5">
        <v>1423.9372774318756</v>
      </c>
      <c r="K13" s="31"/>
      <c r="L13" s="23">
        <v>65701.833190560399</v>
      </c>
      <c r="M13" s="33">
        <v>4.5782650000001013</v>
      </c>
      <c r="N13" s="5">
        <v>2</v>
      </c>
      <c r="O13" s="5">
        <v>70</v>
      </c>
      <c r="P13" s="33">
        <v>0</v>
      </c>
      <c r="Q13" s="5">
        <v>20.529521780002735</v>
      </c>
      <c r="R13" s="5">
        <v>1354.0251190554459</v>
      </c>
      <c r="S13" s="45"/>
      <c r="T13" s="23">
        <v>58699.945966989188</v>
      </c>
      <c r="U13" s="33">
        <v>4.6393315000004796</v>
      </c>
      <c r="V13" s="5">
        <v>2</v>
      </c>
      <c r="W13" s="5">
        <v>90</v>
      </c>
      <c r="X13" s="33">
        <v>51.399692909885594</v>
      </c>
      <c r="Y13" s="5">
        <v>56.963921048155299</v>
      </c>
      <c r="Z13" s="5">
        <v>2054.1168591707014</v>
      </c>
      <c r="AA13" s="45"/>
    </row>
    <row r="14" spans="2:27" x14ac:dyDescent="0.2">
      <c r="B14" s="46" t="s">
        <v>3</v>
      </c>
      <c r="C14" s="47"/>
      <c r="D14" s="9">
        <f>MIN(D4:D13)</f>
        <v>50920.462020404622</v>
      </c>
      <c r="E14" s="22">
        <f>INDEX(E4:E13, MATCH($D$14, D4:D13, 0))</f>
        <v>5.0026408329999867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2.0095980618539975</v>
      </c>
      <c r="I14" s="22">
        <f>INDEX(I4:I13, MATCH($D$14, D4:D13, 0))</f>
        <v>28.875163782820579</v>
      </c>
      <c r="J14" s="22">
        <f>INDEX(J4:J13, MATCH($D$14, D4:D13, 0))</f>
        <v>1423.9372774318756</v>
      </c>
      <c r="K14" s="32"/>
      <c r="L14" s="16">
        <f>MIN(L4:L13)</f>
        <v>65701.833190560399</v>
      </c>
      <c r="M14" s="21">
        <f>INDEX(M4:M13, MATCH($L$14, L4:L13, 0))</f>
        <v>4.5110125000010157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20.529521780002735</v>
      </c>
      <c r="R14" s="21">
        <f>INDEX(R4:R13, MATCH($L$14, L4:L13, 0))</f>
        <v>1354.0251190554459</v>
      </c>
      <c r="S14" s="42" t="e">
        <f>(L14-$D$15)/$D$15</f>
        <v>#DIV/0!</v>
      </c>
      <c r="T14" s="38">
        <f>MIN(T4:T13)</f>
        <v>58699.945966989188</v>
      </c>
      <c r="U14" s="43">
        <f>INDEX(U4:U13, MATCH($T$14, T4:T13, 0))</f>
        <v>4.5467916670004342</v>
      </c>
      <c r="V14" s="38">
        <f>INDEX(V4:V13, MATCH($T$14, T4:T13, 0))</f>
        <v>2</v>
      </c>
      <c r="W14" s="38">
        <f>INDEX(W4:W13, MATCH($T$14, T4:T13, 0))</f>
        <v>90</v>
      </c>
      <c r="X14" s="43">
        <f>INDEX(X4:X13, MATCH($T$14, T4:T13, 0))</f>
        <v>51.399692909885594</v>
      </c>
      <c r="Y14" s="43">
        <f>INDEX(Y4:Y13, MATCH($T$14, T4:T13, 0))</f>
        <v>56.963921048155299</v>
      </c>
      <c r="Z14" s="43">
        <f>INDEX(Z4:Z13, MATCH($T$14, T4:T13, 0))</f>
        <v>2054.1168591707014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95" priority="9"/>
    <cfRule type="duplicateValues" dxfId="94" priority="10"/>
  </conditionalFormatting>
  <conditionalFormatting sqref="C14">
    <cfRule type="duplicateValues" dxfId="93" priority="5"/>
    <cfRule type="duplicateValues" dxfId="92" priority="6"/>
  </conditionalFormatting>
  <conditionalFormatting sqref="C15:C26">
    <cfRule type="duplicateValues" dxfId="31" priority="3"/>
    <cfRule type="duplicateValues" dxfId="30" priority="4"/>
  </conditionalFormatting>
  <conditionalFormatting sqref="C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E99B-1E0F-324F-8C3A-09E4C4A0C84E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223</v>
      </c>
      <c r="D4" s="23">
        <v>53777.552548424981</v>
      </c>
      <c r="E4" s="33">
        <v>4.9474367919999622</v>
      </c>
      <c r="F4" s="5">
        <v>2</v>
      </c>
      <c r="G4" s="23">
        <v>90</v>
      </c>
      <c r="H4" s="33">
        <v>5.4397662561213007</v>
      </c>
      <c r="I4" s="23">
        <v>18.36790525535087</v>
      </c>
      <c r="J4" s="5">
        <v>1463.9088681082449</v>
      </c>
      <c r="K4" s="31"/>
      <c r="L4" s="23">
        <v>56560.229267899529</v>
      </c>
      <c r="M4" s="33">
        <v>5.0693548750004993</v>
      </c>
      <c r="N4" s="5">
        <v>2</v>
      </c>
      <c r="O4" s="5">
        <v>85</v>
      </c>
      <c r="P4" s="33">
        <v>0</v>
      </c>
      <c r="Q4" s="5">
        <v>17.757230663485053</v>
      </c>
      <c r="R4" s="5">
        <v>1405.2594573815877</v>
      </c>
      <c r="S4" s="45"/>
      <c r="T4" s="23">
        <v>61680.386365562023</v>
      </c>
      <c r="U4" s="33">
        <v>4.8434692090013414</v>
      </c>
      <c r="V4" s="5">
        <v>2</v>
      </c>
      <c r="W4" s="5">
        <v>85</v>
      </c>
      <c r="X4" s="33">
        <v>73.276502443711408</v>
      </c>
      <c r="Y4" s="5">
        <v>25.215384922942615</v>
      </c>
      <c r="Z4" s="5">
        <v>1759.6929857830496</v>
      </c>
      <c r="AA4" s="45"/>
    </row>
    <row r="5" spans="2:27" x14ac:dyDescent="0.2">
      <c r="B5" s="4">
        <v>2</v>
      </c>
      <c r="C5" s="4">
        <v>252</v>
      </c>
      <c r="D5" s="23">
        <v>53777.552548424981</v>
      </c>
      <c r="E5" s="33">
        <v>4.8801236669996797</v>
      </c>
      <c r="F5" s="5">
        <v>2</v>
      </c>
      <c r="G5" s="23">
        <v>90</v>
      </c>
      <c r="H5" s="33">
        <v>5.4397662561213007</v>
      </c>
      <c r="I5" s="23">
        <v>18.36790525535087</v>
      </c>
      <c r="J5" s="5">
        <v>1463.9088681082449</v>
      </c>
      <c r="K5" s="31"/>
      <c r="L5" s="23">
        <v>56560.229267899529</v>
      </c>
      <c r="M5" s="33">
        <v>5.1107360419991892</v>
      </c>
      <c r="N5" s="5">
        <v>2</v>
      </c>
      <c r="O5" s="5">
        <v>85</v>
      </c>
      <c r="P5" s="33">
        <v>0</v>
      </c>
      <c r="Q5" s="5">
        <v>17.757230663485053</v>
      </c>
      <c r="R5" s="5">
        <v>1405.2594573815877</v>
      </c>
      <c r="S5" s="45"/>
      <c r="T5" s="23">
        <v>61680.386365562023</v>
      </c>
      <c r="U5" s="33">
        <v>4.8334329999997863</v>
      </c>
      <c r="V5" s="5">
        <v>2</v>
      </c>
      <c r="W5" s="5">
        <v>85</v>
      </c>
      <c r="X5" s="33">
        <v>73.276502443711408</v>
      </c>
      <c r="Y5" s="5">
        <v>25.215384922942615</v>
      </c>
      <c r="Z5" s="5">
        <v>1759.6929857830496</v>
      </c>
      <c r="AA5" s="45"/>
    </row>
    <row r="6" spans="2:27" x14ac:dyDescent="0.2">
      <c r="B6" s="4">
        <v>3</v>
      </c>
      <c r="C6" s="4">
        <v>278</v>
      </c>
      <c r="D6" s="23">
        <v>61269.615342777986</v>
      </c>
      <c r="E6" s="33">
        <v>1.445553958000346</v>
      </c>
      <c r="F6" s="5">
        <v>1</v>
      </c>
      <c r="G6" s="23">
        <v>60</v>
      </c>
      <c r="H6" s="33">
        <v>0</v>
      </c>
      <c r="I6" s="23">
        <v>27.183227329854901</v>
      </c>
      <c r="J6" s="5">
        <v>1094.5178463038712</v>
      </c>
      <c r="K6" s="31"/>
      <c r="L6" s="23">
        <v>68352.131927802067</v>
      </c>
      <c r="M6" s="33">
        <v>2.801457542000207</v>
      </c>
      <c r="N6" s="5">
        <v>2</v>
      </c>
      <c r="O6" s="5">
        <v>60</v>
      </c>
      <c r="P6" s="33">
        <v>0</v>
      </c>
      <c r="Q6" s="5">
        <v>14.588761551927696</v>
      </c>
      <c r="R6" s="5">
        <v>882.64784367534639</v>
      </c>
      <c r="S6" s="45"/>
      <c r="T6" s="23">
        <v>63378.868509877029</v>
      </c>
      <c r="U6" s="33">
        <v>1.468760542000382</v>
      </c>
      <c r="V6" s="5">
        <v>1</v>
      </c>
      <c r="W6" s="5">
        <v>60</v>
      </c>
      <c r="X6" s="33">
        <v>0</v>
      </c>
      <c r="Y6" s="5">
        <v>40.779039207926267</v>
      </c>
      <c r="Z6" s="5">
        <v>1365.9446346376881</v>
      </c>
      <c r="AA6" s="45"/>
    </row>
    <row r="7" spans="2:27" x14ac:dyDescent="0.2">
      <c r="B7" s="4">
        <v>4</v>
      </c>
      <c r="C7" s="4">
        <v>299</v>
      </c>
      <c r="D7" s="23">
        <v>61269.615342777986</v>
      </c>
      <c r="E7" s="33">
        <v>1.485005583000202</v>
      </c>
      <c r="F7" s="5">
        <v>1</v>
      </c>
      <c r="G7" s="23">
        <v>60</v>
      </c>
      <c r="H7" s="33">
        <v>0</v>
      </c>
      <c r="I7" s="23">
        <v>27.183227329854901</v>
      </c>
      <c r="J7" s="5">
        <v>1094.5178463038712</v>
      </c>
      <c r="K7" s="31"/>
      <c r="L7" s="23">
        <v>68352.131927802067</v>
      </c>
      <c r="M7" s="33">
        <v>2.787340417000451</v>
      </c>
      <c r="N7" s="5">
        <v>2</v>
      </c>
      <c r="O7" s="5">
        <v>60</v>
      </c>
      <c r="P7" s="33">
        <v>0</v>
      </c>
      <c r="Q7" s="5">
        <v>14.588761551927696</v>
      </c>
      <c r="R7" s="5">
        <v>882.64784367534639</v>
      </c>
      <c r="S7" s="45"/>
      <c r="T7" s="23">
        <v>63378.868509877029</v>
      </c>
      <c r="U7" s="33">
        <v>1.4692406670001219</v>
      </c>
      <c r="V7" s="5">
        <v>1</v>
      </c>
      <c r="W7" s="5">
        <v>60</v>
      </c>
      <c r="X7" s="33">
        <v>0</v>
      </c>
      <c r="Y7" s="5">
        <v>40.779039207926267</v>
      </c>
      <c r="Z7" s="5">
        <v>1365.9446346376881</v>
      </c>
      <c r="AA7" s="45"/>
    </row>
    <row r="8" spans="2:27" x14ac:dyDescent="0.2">
      <c r="B8" s="4">
        <v>5</v>
      </c>
      <c r="C8" s="4">
        <v>351</v>
      </c>
      <c r="D8" s="23">
        <v>61269.615342777986</v>
      </c>
      <c r="E8" s="33">
        <v>1.4856649999999261</v>
      </c>
      <c r="F8" s="5">
        <v>1</v>
      </c>
      <c r="G8" s="23">
        <v>60</v>
      </c>
      <c r="H8" s="33">
        <v>0</v>
      </c>
      <c r="I8" s="23">
        <v>27.183227329854901</v>
      </c>
      <c r="J8" s="5">
        <v>1094.5178463038712</v>
      </c>
      <c r="K8" s="31"/>
      <c r="L8" s="23">
        <v>68161.824509691127</v>
      </c>
      <c r="M8" s="33">
        <v>3.01914220800063</v>
      </c>
      <c r="N8" s="5">
        <v>1</v>
      </c>
      <c r="O8" s="5">
        <v>50</v>
      </c>
      <c r="P8" s="33">
        <v>0</v>
      </c>
      <c r="Q8" s="5">
        <v>21.879879651140641</v>
      </c>
      <c r="R8" s="5">
        <v>973.64181324602009</v>
      </c>
      <c r="S8" s="45"/>
      <c r="T8" s="23">
        <v>63378.868509877029</v>
      </c>
      <c r="U8" s="33">
        <v>1.4782291250012349</v>
      </c>
      <c r="V8" s="5">
        <v>1</v>
      </c>
      <c r="W8" s="5">
        <v>60</v>
      </c>
      <c r="X8" s="33">
        <v>0</v>
      </c>
      <c r="Y8" s="5">
        <v>40.779039207926267</v>
      </c>
      <c r="Z8" s="5">
        <v>1365.9446346376881</v>
      </c>
      <c r="AA8" s="45"/>
    </row>
    <row r="9" spans="2:27" x14ac:dyDescent="0.2">
      <c r="B9" s="4">
        <v>6</v>
      </c>
      <c r="C9" s="4">
        <v>384</v>
      </c>
      <c r="D9" s="23">
        <v>61269.615342777986</v>
      </c>
      <c r="E9" s="33">
        <v>1.506306291000328</v>
      </c>
      <c r="F9" s="5">
        <v>1</v>
      </c>
      <c r="G9" s="23">
        <v>60</v>
      </c>
      <c r="H9" s="33">
        <v>0</v>
      </c>
      <c r="I9" s="23">
        <v>27.183227329854901</v>
      </c>
      <c r="J9" s="5">
        <v>1094.5178463038712</v>
      </c>
      <c r="K9" s="31"/>
      <c r="L9" s="23">
        <v>68352.131927802067</v>
      </c>
      <c r="M9" s="33">
        <v>2.7838715409998258</v>
      </c>
      <c r="N9" s="5">
        <v>2</v>
      </c>
      <c r="O9" s="5">
        <v>60</v>
      </c>
      <c r="P9" s="33">
        <v>0</v>
      </c>
      <c r="Q9" s="5">
        <v>14.588761551927696</v>
      </c>
      <c r="R9" s="5">
        <v>882.64784367534639</v>
      </c>
      <c r="S9" s="45"/>
      <c r="T9" s="23">
        <v>63378.868509877029</v>
      </c>
      <c r="U9" s="33">
        <v>1.478495207999003</v>
      </c>
      <c r="V9" s="5">
        <v>1</v>
      </c>
      <c r="W9" s="5">
        <v>60</v>
      </c>
      <c r="X9" s="33">
        <v>0</v>
      </c>
      <c r="Y9" s="5">
        <v>40.779039207926267</v>
      </c>
      <c r="Z9" s="5">
        <v>1365.9446346376881</v>
      </c>
      <c r="AA9" s="45"/>
    </row>
    <row r="10" spans="2:27" x14ac:dyDescent="0.2">
      <c r="B10" s="4">
        <v>7</v>
      </c>
      <c r="C10" s="4">
        <v>526</v>
      </c>
      <c r="D10" s="23">
        <v>53777.552548424981</v>
      </c>
      <c r="E10" s="33">
        <v>4.9646780419998322</v>
      </c>
      <c r="F10" s="5">
        <v>2</v>
      </c>
      <c r="G10" s="23">
        <v>90</v>
      </c>
      <c r="H10" s="33">
        <v>5.4397662561213007</v>
      </c>
      <c r="I10" s="23">
        <v>18.36790525535087</v>
      </c>
      <c r="J10" s="5">
        <v>1463.9088681082449</v>
      </c>
      <c r="K10" s="31"/>
      <c r="L10" s="23">
        <v>56560.229267899529</v>
      </c>
      <c r="M10" s="33">
        <v>5.0948301669995999</v>
      </c>
      <c r="N10" s="5">
        <v>2</v>
      </c>
      <c r="O10" s="5">
        <v>85</v>
      </c>
      <c r="P10" s="33">
        <v>0</v>
      </c>
      <c r="Q10" s="5">
        <v>17.757230663485053</v>
      </c>
      <c r="R10" s="5">
        <v>1405.2594573815877</v>
      </c>
      <c r="S10" s="45"/>
      <c r="T10" s="23">
        <v>61680.386365562023</v>
      </c>
      <c r="U10" s="33">
        <v>5.0238244590000249</v>
      </c>
      <c r="V10" s="5">
        <v>2</v>
      </c>
      <c r="W10" s="5">
        <v>85</v>
      </c>
      <c r="X10" s="33">
        <v>73.276502443711408</v>
      </c>
      <c r="Y10" s="5">
        <v>25.215384922942615</v>
      </c>
      <c r="Z10" s="5">
        <v>1759.6929857830496</v>
      </c>
      <c r="AA10" s="45"/>
    </row>
    <row r="11" spans="2:27" x14ac:dyDescent="0.2">
      <c r="B11" s="4">
        <v>8</v>
      </c>
      <c r="C11" s="4">
        <v>646</v>
      </c>
      <c r="D11" s="23">
        <v>53777.552548424981</v>
      </c>
      <c r="E11" s="33">
        <v>4.9739043750000747</v>
      </c>
      <c r="F11" s="5">
        <v>2</v>
      </c>
      <c r="G11" s="23">
        <v>90</v>
      </c>
      <c r="H11" s="33">
        <v>5.4397662561213007</v>
      </c>
      <c r="I11" s="23">
        <v>18.36790525535087</v>
      </c>
      <c r="J11" s="5">
        <v>1463.9088681082449</v>
      </c>
      <c r="K11" s="31"/>
      <c r="L11" s="23">
        <v>56560.229267899529</v>
      </c>
      <c r="M11" s="33">
        <v>5.0116668749997189</v>
      </c>
      <c r="N11" s="5">
        <v>2</v>
      </c>
      <c r="O11" s="5">
        <v>85</v>
      </c>
      <c r="P11" s="33">
        <v>0</v>
      </c>
      <c r="Q11" s="5">
        <v>17.757230663485053</v>
      </c>
      <c r="R11" s="5">
        <v>1405.2594573815877</v>
      </c>
      <c r="S11" s="45"/>
      <c r="T11" s="23">
        <v>61680.386365562023</v>
      </c>
      <c r="U11" s="33">
        <v>5.0064794579993759</v>
      </c>
      <c r="V11" s="5">
        <v>2</v>
      </c>
      <c r="W11" s="5">
        <v>85</v>
      </c>
      <c r="X11" s="33">
        <v>73.276502443711408</v>
      </c>
      <c r="Y11" s="5">
        <v>25.215384922942615</v>
      </c>
      <c r="Z11" s="5">
        <v>1759.6929857830496</v>
      </c>
      <c r="AA11" s="45"/>
    </row>
    <row r="12" spans="2:27" x14ac:dyDescent="0.2">
      <c r="B12" s="4">
        <v>9</v>
      </c>
      <c r="C12" s="4">
        <v>741</v>
      </c>
      <c r="D12" s="23">
        <v>61269.615342777986</v>
      </c>
      <c r="E12" s="33">
        <v>1.4921342079999249</v>
      </c>
      <c r="F12" s="5">
        <v>1</v>
      </c>
      <c r="G12" s="23">
        <v>60</v>
      </c>
      <c r="H12" s="33">
        <v>0</v>
      </c>
      <c r="I12" s="23">
        <v>27.183227329854901</v>
      </c>
      <c r="J12" s="5">
        <v>1094.5178463038712</v>
      </c>
      <c r="K12" s="31"/>
      <c r="L12" s="23">
        <v>68352.131927802067</v>
      </c>
      <c r="M12" s="33">
        <v>2.7681258339998749</v>
      </c>
      <c r="N12" s="5">
        <v>2</v>
      </c>
      <c r="O12" s="5">
        <v>60</v>
      </c>
      <c r="P12" s="33">
        <v>0</v>
      </c>
      <c r="Q12" s="5">
        <v>14.588761551927696</v>
      </c>
      <c r="R12" s="5">
        <v>882.64784367534639</v>
      </c>
      <c r="S12" s="45"/>
      <c r="T12" s="23">
        <v>63378.868509877029</v>
      </c>
      <c r="U12" s="33">
        <v>1.463765541999237</v>
      </c>
      <c r="V12" s="5">
        <v>1</v>
      </c>
      <c r="W12" s="5">
        <v>60</v>
      </c>
      <c r="X12" s="33">
        <v>0</v>
      </c>
      <c r="Y12" s="5">
        <v>40.779039207926267</v>
      </c>
      <c r="Z12" s="5">
        <v>1365.9446346376881</v>
      </c>
      <c r="AA12" s="45"/>
    </row>
    <row r="13" spans="2:27" x14ac:dyDescent="0.2">
      <c r="B13" s="4">
        <v>10</v>
      </c>
      <c r="C13" s="4">
        <v>786</v>
      </c>
      <c r="D13" s="23">
        <v>53777.552548424981</v>
      </c>
      <c r="E13" s="33">
        <v>4.9259775839998383</v>
      </c>
      <c r="F13" s="5">
        <v>2</v>
      </c>
      <c r="G13" s="23">
        <v>90</v>
      </c>
      <c r="H13" s="33">
        <v>5.4397662561213007</v>
      </c>
      <c r="I13" s="23">
        <v>18.36790525535087</v>
      </c>
      <c r="J13" s="5">
        <v>1463.9088681082449</v>
      </c>
      <c r="K13" s="31"/>
      <c r="L13" s="23">
        <v>56560.229267899529</v>
      </c>
      <c r="M13" s="33">
        <v>5.0933537500004604</v>
      </c>
      <c r="N13" s="5">
        <v>2</v>
      </c>
      <c r="O13" s="5">
        <v>85</v>
      </c>
      <c r="P13" s="33">
        <v>0</v>
      </c>
      <c r="Q13" s="5">
        <v>17.757230663485053</v>
      </c>
      <c r="R13" s="5">
        <v>1405.2594573815877</v>
      </c>
      <c r="S13" s="45"/>
      <c r="T13" s="23">
        <v>61680.386365562023</v>
      </c>
      <c r="U13" s="33">
        <v>4.8220799999999144</v>
      </c>
      <c r="V13" s="5">
        <v>2</v>
      </c>
      <c r="W13" s="5">
        <v>85</v>
      </c>
      <c r="X13" s="33">
        <v>73.276502443711408</v>
      </c>
      <c r="Y13" s="5">
        <v>25.215384922942615</v>
      </c>
      <c r="Z13" s="5">
        <v>1759.6929857830496</v>
      </c>
      <c r="AA13" s="45"/>
    </row>
    <row r="14" spans="2:27" x14ac:dyDescent="0.2">
      <c r="B14" s="46" t="s">
        <v>3</v>
      </c>
      <c r="C14" s="47"/>
      <c r="D14" s="9">
        <f>MIN(D4:D13)</f>
        <v>53777.552548424981</v>
      </c>
      <c r="E14" s="22">
        <f>INDEX(E4:E13, MATCH($D$14, D4:D13, 0))</f>
        <v>4.9474367919999622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5.4397662561213007</v>
      </c>
      <c r="I14" s="22">
        <f>INDEX(I4:I13, MATCH($D$14, D4:D13, 0))</f>
        <v>18.36790525535087</v>
      </c>
      <c r="J14" s="22">
        <f>INDEX(J4:J13, MATCH($D$14, D4:D13, 0))</f>
        <v>1463.9088681082449</v>
      </c>
      <c r="K14" s="32"/>
      <c r="L14" s="16">
        <f>MIN(L4:L13)</f>
        <v>56560.229267899529</v>
      </c>
      <c r="M14" s="21">
        <f>INDEX(M4:M13, MATCH($L$14, L4:L13, 0))</f>
        <v>5.0693548750004993</v>
      </c>
      <c r="N14" s="16">
        <f>INDEX(N4:N13, MATCH($L$14, L4:L13, 0))</f>
        <v>2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17.757230663485053</v>
      </c>
      <c r="R14" s="21">
        <f>INDEX(R4:R13, MATCH($L$14, L4:L13, 0))</f>
        <v>1405.2594573815877</v>
      </c>
      <c r="S14" s="42" t="e">
        <f>(L14-$D$15)/$D$15</f>
        <v>#DIV/0!</v>
      </c>
      <c r="T14" s="38">
        <f>MIN(T4:T13)</f>
        <v>61680.386365562023</v>
      </c>
      <c r="U14" s="43">
        <f>INDEX(U4:U13, MATCH($T$14, T4:T13, 0))</f>
        <v>4.8434692090013414</v>
      </c>
      <c r="V14" s="38">
        <f>INDEX(V4:V13, MATCH($T$14, T4:T13, 0))</f>
        <v>2</v>
      </c>
      <c r="W14" s="38">
        <f>INDEX(W4:W13, MATCH($T$14, T4:T13, 0))</f>
        <v>85</v>
      </c>
      <c r="X14" s="43">
        <f>INDEX(X4:X13, MATCH($T$14, T4:T13, 0))</f>
        <v>73.276502443711408</v>
      </c>
      <c r="Y14" s="43">
        <f>INDEX(Y4:Y13, MATCH($T$14, T4:T13, 0))</f>
        <v>25.215384922942615</v>
      </c>
      <c r="Z14" s="43">
        <f>INDEX(Z4:Z13, MATCH($T$14, T4:T13, 0))</f>
        <v>1759.6929857830496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91" priority="9"/>
    <cfRule type="duplicateValues" dxfId="90" priority="10"/>
  </conditionalFormatting>
  <conditionalFormatting sqref="C14">
    <cfRule type="duplicateValues" dxfId="89" priority="5"/>
    <cfRule type="duplicateValues" dxfId="88" priority="6"/>
  </conditionalFormatting>
  <conditionalFormatting sqref="C15:C26">
    <cfRule type="duplicateValues" dxfId="29" priority="3"/>
    <cfRule type="duplicateValues" dxfId="28" priority="4"/>
  </conditionalFormatting>
  <conditionalFormatting sqref="C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191E-F933-CD4C-8668-63FFDE1EE522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250</v>
      </c>
      <c r="D4" s="23">
        <v>55501.121768250829</v>
      </c>
      <c r="E4" s="33">
        <v>4.8886496249997444</v>
      </c>
      <c r="F4" s="5">
        <v>2</v>
      </c>
      <c r="G4" s="23">
        <v>85</v>
      </c>
      <c r="H4" s="33">
        <v>0</v>
      </c>
      <c r="I4" s="23">
        <v>31.270511545843355</v>
      </c>
      <c r="J4" s="5">
        <v>1540.5610533773049</v>
      </c>
      <c r="K4" s="31"/>
      <c r="L4" s="23">
        <v>72496.657076823714</v>
      </c>
      <c r="M4" s="33">
        <v>4.0313939170009689</v>
      </c>
      <c r="N4" s="5">
        <v>2</v>
      </c>
      <c r="O4" s="5">
        <v>60</v>
      </c>
      <c r="P4" s="33">
        <v>0</v>
      </c>
      <c r="Q4" s="5">
        <v>20.113012822057208</v>
      </c>
      <c r="R4" s="5">
        <v>1304.8859096085009</v>
      </c>
      <c r="S4" s="45"/>
      <c r="T4" s="23">
        <v>67387.299909539506</v>
      </c>
      <c r="U4" s="33">
        <v>4.6344881250006438</v>
      </c>
      <c r="V4" s="5">
        <v>2</v>
      </c>
      <c r="W4" s="5">
        <v>75</v>
      </c>
      <c r="X4" s="33">
        <v>32.496853278234717</v>
      </c>
      <c r="Y4" s="5">
        <v>52.174914376263175</v>
      </c>
      <c r="Z4" s="5">
        <v>2172.1174105471541</v>
      </c>
      <c r="AA4" s="45"/>
    </row>
    <row r="5" spans="2:27" x14ac:dyDescent="0.2">
      <c r="B5" s="4">
        <v>2</v>
      </c>
      <c r="C5" s="4">
        <v>267</v>
      </c>
      <c r="D5" s="23">
        <v>55501.121768250829</v>
      </c>
      <c r="E5" s="33">
        <v>4.9640679169997384</v>
      </c>
      <c r="F5" s="5">
        <v>2</v>
      </c>
      <c r="G5" s="23">
        <v>85</v>
      </c>
      <c r="H5" s="33">
        <v>0</v>
      </c>
      <c r="I5" s="23">
        <v>31.270511545843355</v>
      </c>
      <c r="J5" s="5">
        <v>1540.5610533773049</v>
      </c>
      <c r="K5" s="31"/>
      <c r="L5" s="23">
        <v>72496.657076823714</v>
      </c>
      <c r="M5" s="33">
        <v>4.0796552920000977</v>
      </c>
      <c r="N5" s="5">
        <v>2</v>
      </c>
      <c r="O5" s="5">
        <v>60</v>
      </c>
      <c r="P5" s="33">
        <v>0</v>
      </c>
      <c r="Q5" s="5">
        <v>20.113012822057208</v>
      </c>
      <c r="R5" s="5">
        <v>1304.8859096085009</v>
      </c>
      <c r="S5" s="45"/>
      <c r="T5" s="23">
        <v>67387.299909539506</v>
      </c>
      <c r="U5" s="33">
        <v>4.6858224589996098</v>
      </c>
      <c r="V5" s="5">
        <v>2</v>
      </c>
      <c r="W5" s="5">
        <v>75</v>
      </c>
      <c r="X5" s="33">
        <v>32.496853278234717</v>
      </c>
      <c r="Y5" s="5">
        <v>52.174914376263175</v>
      </c>
      <c r="Z5" s="5">
        <v>2172.1174105471541</v>
      </c>
      <c r="AA5" s="45"/>
    </row>
    <row r="6" spans="2:27" x14ac:dyDescent="0.2">
      <c r="B6" s="4">
        <v>3</v>
      </c>
      <c r="C6" s="4">
        <v>287</v>
      </c>
      <c r="D6" s="23">
        <v>55501.121768250829</v>
      </c>
      <c r="E6" s="33">
        <v>5.0229988750002121</v>
      </c>
      <c r="F6" s="5">
        <v>2</v>
      </c>
      <c r="G6" s="23">
        <v>85</v>
      </c>
      <c r="H6" s="33">
        <v>0</v>
      </c>
      <c r="I6" s="23">
        <v>31.270511545843355</v>
      </c>
      <c r="J6" s="5">
        <v>1540.5610533773049</v>
      </c>
      <c r="K6" s="31"/>
      <c r="L6" s="23">
        <v>72496.657076823714</v>
      </c>
      <c r="M6" s="33">
        <v>3.7062145420004531</v>
      </c>
      <c r="N6" s="5">
        <v>2</v>
      </c>
      <c r="O6" s="5">
        <v>60</v>
      </c>
      <c r="P6" s="33">
        <v>0</v>
      </c>
      <c r="Q6" s="5">
        <v>20.113012822057208</v>
      </c>
      <c r="R6" s="5">
        <v>1304.8859096085009</v>
      </c>
      <c r="S6" s="45"/>
      <c r="T6" s="23">
        <v>67387.299909539506</v>
      </c>
      <c r="U6" s="33">
        <v>4.6395516249995126</v>
      </c>
      <c r="V6" s="5">
        <v>2</v>
      </c>
      <c r="W6" s="5">
        <v>75</v>
      </c>
      <c r="X6" s="33">
        <v>32.496853278234717</v>
      </c>
      <c r="Y6" s="5">
        <v>52.174914376263175</v>
      </c>
      <c r="Z6" s="5">
        <v>2172.1174105471541</v>
      </c>
      <c r="AA6" s="45"/>
    </row>
    <row r="7" spans="2:27" x14ac:dyDescent="0.2">
      <c r="B7" s="4">
        <v>4</v>
      </c>
      <c r="C7" s="4">
        <v>411</v>
      </c>
      <c r="D7" s="23">
        <v>55501.121768250829</v>
      </c>
      <c r="E7" s="33">
        <v>5.0005431250001493</v>
      </c>
      <c r="F7" s="5">
        <v>2</v>
      </c>
      <c r="G7" s="23">
        <v>85</v>
      </c>
      <c r="H7" s="33">
        <v>0</v>
      </c>
      <c r="I7" s="23">
        <v>31.270511545843355</v>
      </c>
      <c r="J7" s="5">
        <v>1540.5610533773049</v>
      </c>
      <c r="K7" s="31"/>
      <c r="L7" s="23">
        <v>72496.657076823714</v>
      </c>
      <c r="M7" s="33">
        <v>4.0311670000010054</v>
      </c>
      <c r="N7" s="5">
        <v>2</v>
      </c>
      <c r="O7" s="5">
        <v>60</v>
      </c>
      <c r="P7" s="33">
        <v>0</v>
      </c>
      <c r="Q7" s="5">
        <v>20.113012822057208</v>
      </c>
      <c r="R7" s="5">
        <v>1304.8859096085009</v>
      </c>
      <c r="S7" s="45"/>
      <c r="T7" s="23">
        <v>67387.299909539506</v>
      </c>
      <c r="U7" s="33">
        <v>4.6169996669996181</v>
      </c>
      <c r="V7" s="5">
        <v>2</v>
      </c>
      <c r="W7" s="5">
        <v>75</v>
      </c>
      <c r="X7" s="33">
        <v>32.496853278234717</v>
      </c>
      <c r="Y7" s="5">
        <v>52.174914376263175</v>
      </c>
      <c r="Z7" s="5">
        <v>2172.1174105471541</v>
      </c>
      <c r="AA7" s="45"/>
    </row>
    <row r="8" spans="2:27" x14ac:dyDescent="0.2">
      <c r="B8" s="4">
        <v>5</v>
      </c>
      <c r="C8" s="4">
        <v>548</v>
      </c>
      <c r="D8" s="23">
        <v>55501.121768250829</v>
      </c>
      <c r="E8" s="33">
        <v>4.9487337079999634</v>
      </c>
      <c r="F8" s="5">
        <v>2</v>
      </c>
      <c r="G8" s="23">
        <v>85</v>
      </c>
      <c r="H8" s="33">
        <v>0</v>
      </c>
      <c r="I8" s="23">
        <v>31.270511545843355</v>
      </c>
      <c r="J8" s="5">
        <v>1540.5610533773049</v>
      </c>
      <c r="K8" s="31"/>
      <c r="L8" s="23">
        <v>72496.657076823714</v>
      </c>
      <c r="M8" s="33">
        <v>4.1038192920004803</v>
      </c>
      <c r="N8" s="5">
        <v>2</v>
      </c>
      <c r="O8" s="5">
        <v>60</v>
      </c>
      <c r="P8" s="33">
        <v>0</v>
      </c>
      <c r="Q8" s="5">
        <v>20.113012822057208</v>
      </c>
      <c r="R8" s="5">
        <v>1304.8859096085009</v>
      </c>
      <c r="S8" s="45"/>
      <c r="T8" s="23">
        <v>67387.299909539506</v>
      </c>
      <c r="U8" s="33">
        <v>4.7617065829999774</v>
      </c>
      <c r="V8" s="5">
        <v>2</v>
      </c>
      <c r="W8" s="5">
        <v>75</v>
      </c>
      <c r="X8" s="33">
        <v>32.496853278234717</v>
      </c>
      <c r="Y8" s="5">
        <v>52.174914376263175</v>
      </c>
      <c r="Z8" s="5">
        <v>2172.1174105471541</v>
      </c>
      <c r="AA8" s="45"/>
    </row>
    <row r="9" spans="2:27" x14ac:dyDescent="0.2">
      <c r="B9" s="4">
        <v>6</v>
      </c>
      <c r="C9" s="4">
        <v>737</v>
      </c>
      <c r="D9" s="23">
        <v>55501.121768250829</v>
      </c>
      <c r="E9" s="33">
        <v>4.9297334580001007</v>
      </c>
      <c r="F9" s="5">
        <v>2</v>
      </c>
      <c r="G9" s="23">
        <v>85</v>
      </c>
      <c r="H9" s="33">
        <v>0</v>
      </c>
      <c r="I9" s="23">
        <v>31.270511545843355</v>
      </c>
      <c r="J9" s="5">
        <v>1540.5610533773049</v>
      </c>
      <c r="K9" s="31"/>
      <c r="L9" s="23">
        <v>72496.657076823714</v>
      </c>
      <c r="M9" s="33">
        <v>3.9939703330001071</v>
      </c>
      <c r="N9" s="5">
        <v>2</v>
      </c>
      <c r="O9" s="5">
        <v>60</v>
      </c>
      <c r="P9" s="33">
        <v>0</v>
      </c>
      <c r="Q9" s="5">
        <v>20.113012822057208</v>
      </c>
      <c r="R9" s="5">
        <v>1304.8859096085009</v>
      </c>
      <c r="S9" s="45"/>
      <c r="T9" s="23">
        <v>67387.299909539506</v>
      </c>
      <c r="U9" s="33">
        <v>4.7147735840007954</v>
      </c>
      <c r="V9" s="5">
        <v>2</v>
      </c>
      <c r="W9" s="5">
        <v>75</v>
      </c>
      <c r="X9" s="33">
        <v>32.496853278234717</v>
      </c>
      <c r="Y9" s="5">
        <v>52.174914376263175</v>
      </c>
      <c r="Z9" s="5">
        <v>2172.1174105471541</v>
      </c>
      <c r="AA9" s="45"/>
    </row>
    <row r="10" spans="2:27" x14ac:dyDescent="0.2">
      <c r="B10" s="4">
        <v>7</v>
      </c>
      <c r="C10" s="4">
        <v>843</v>
      </c>
      <c r="D10" s="23">
        <v>55501.121768250829</v>
      </c>
      <c r="E10" s="33">
        <v>4.961002500000177</v>
      </c>
      <c r="F10" s="5">
        <v>2</v>
      </c>
      <c r="G10" s="23">
        <v>85</v>
      </c>
      <c r="H10" s="33">
        <v>0</v>
      </c>
      <c r="I10" s="23">
        <v>31.270511545843355</v>
      </c>
      <c r="J10" s="5">
        <v>1540.5610533773049</v>
      </c>
      <c r="K10" s="31"/>
      <c r="L10" s="23">
        <v>72496.657076823714</v>
      </c>
      <c r="M10" s="33">
        <v>4.0358440420004627</v>
      </c>
      <c r="N10" s="5">
        <v>2</v>
      </c>
      <c r="O10" s="5">
        <v>60</v>
      </c>
      <c r="P10" s="33">
        <v>0</v>
      </c>
      <c r="Q10" s="5">
        <v>20.113012822057208</v>
      </c>
      <c r="R10" s="5">
        <v>1304.8859096085009</v>
      </c>
      <c r="S10" s="45"/>
      <c r="T10" s="23">
        <v>67387.299909539506</v>
      </c>
      <c r="U10" s="33">
        <v>4.6803872500004218</v>
      </c>
      <c r="V10" s="5">
        <v>2</v>
      </c>
      <c r="W10" s="5">
        <v>75</v>
      </c>
      <c r="X10" s="33">
        <v>32.496853278234717</v>
      </c>
      <c r="Y10" s="5">
        <v>52.174914376263175</v>
      </c>
      <c r="Z10" s="5">
        <v>2172.1174105471541</v>
      </c>
      <c r="AA10" s="45"/>
    </row>
    <row r="11" spans="2:27" x14ac:dyDescent="0.2">
      <c r="B11" s="4">
        <v>8</v>
      </c>
      <c r="C11" s="4">
        <v>852</v>
      </c>
      <c r="D11" s="23">
        <v>55501.121768250829</v>
      </c>
      <c r="E11" s="33">
        <v>4.905478624999887</v>
      </c>
      <c r="F11" s="5">
        <v>2</v>
      </c>
      <c r="G11" s="23">
        <v>85</v>
      </c>
      <c r="H11" s="33">
        <v>0</v>
      </c>
      <c r="I11" s="23">
        <v>31.270511545843355</v>
      </c>
      <c r="J11" s="5">
        <v>1540.5610533773049</v>
      </c>
      <c r="K11" s="31"/>
      <c r="L11" s="23">
        <v>82261.145232336276</v>
      </c>
      <c r="M11" s="33">
        <v>3.675919915998747</v>
      </c>
      <c r="N11" s="5">
        <v>2</v>
      </c>
      <c r="O11" s="5">
        <v>45</v>
      </c>
      <c r="P11" s="33">
        <v>0</v>
      </c>
      <c r="Q11" s="5">
        <v>15.982229536997851</v>
      </c>
      <c r="R11" s="5">
        <v>1112.8014870013239</v>
      </c>
      <c r="S11" s="45"/>
      <c r="T11" s="23">
        <v>67387.299909539506</v>
      </c>
      <c r="U11" s="33">
        <v>4.6660424999990937</v>
      </c>
      <c r="V11" s="5">
        <v>2</v>
      </c>
      <c r="W11" s="5">
        <v>75</v>
      </c>
      <c r="X11" s="33">
        <v>32.496853278234717</v>
      </c>
      <c r="Y11" s="5">
        <v>52.174914376263175</v>
      </c>
      <c r="Z11" s="5">
        <v>2172.1174105471541</v>
      </c>
      <c r="AA11" s="45"/>
    </row>
    <row r="12" spans="2:27" x14ac:dyDescent="0.2">
      <c r="B12" s="4">
        <v>9</v>
      </c>
      <c r="C12" s="4">
        <v>867</v>
      </c>
      <c r="D12" s="23">
        <v>55501.121768250829</v>
      </c>
      <c r="E12" s="33">
        <v>4.8945501250000234</v>
      </c>
      <c r="F12" s="5">
        <v>2</v>
      </c>
      <c r="G12" s="23">
        <v>85</v>
      </c>
      <c r="H12" s="33">
        <v>0</v>
      </c>
      <c r="I12" s="23">
        <v>31.270511545843355</v>
      </c>
      <c r="J12" s="5">
        <v>1540.5610533773049</v>
      </c>
      <c r="K12" s="31"/>
      <c r="L12" s="23">
        <v>72496.657076823714</v>
      </c>
      <c r="M12" s="33">
        <v>3.9907928339998762</v>
      </c>
      <c r="N12" s="5">
        <v>2</v>
      </c>
      <c r="O12" s="5">
        <v>60</v>
      </c>
      <c r="P12" s="33">
        <v>0</v>
      </c>
      <c r="Q12" s="5">
        <v>20.113012822057208</v>
      </c>
      <c r="R12" s="5">
        <v>1304.8859096085009</v>
      </c>
      <c r="S12" s="45"/>
      <c r="T12" s="23">
        <v>67387.299909539506</v>
      </c>
      <c r="U12" s="33">
        <v>4.8336523340003623</v>
      </c>
      <c r="V12" s="5">
        <v>2</v>
      </c>
      <c r="W12" s="5">
        <v>75</v>
      </c>
      <c r="X12" s="33">
        <v>32.496853278234717</v>
      </c>
      <c r="Y12" s="5">
        <v>52.174914376263175</v>
      </c>
      <c r="Z12" s="5">
        <v>2172.1174105471541</v>
      </c>
      <c r="AA12" s="45"/>
    </row>
    <row r="13" spans="2:27" x14ac:dyDescent="0.2">
      <c r="B13" s="4">
        <v>10</v>
      </c>
      <c r="C13" s="4">
        <v>925</v>
      </c>
      <c r="D13" s="23">
        <v>55501.121768250829</v>
      </c>
      <c r="E13" s="33">
        <v>4.9621204170002784</v>
      </c>
      <c r="F13" s="5">
        <v>2</v>
      </c>
      <c r="G13" s="23">
        <v>85</v>
      </c>
      <c r="H13" s="33">
        <v>0</v>
      </c>
      <c r="I13" s="23">
        <v>31.270511545843355</v>
      </c>
      <c r="J13" s="5">
        <v>1540.5610533773049</v>
      </c>
      <c r="K13" s="31"/>
      <c r="L13" s="23">
        <v>72496.657076823714</v>
      </c>
      <c r="M13" s="33">
        <v>4.1205978750003851</v>
      </c>
      <c r="N13" s="5">
        <v>2</v>
      </c>
      <c r="O13" s="5">
        <v>60</v>
      </c>
      <c r="P13" s="33">
        <v>0</v>
      </c>
      <c r="Q13" s="5">
        <v>20.113012822057208</v>
      </c>
      <c r="R13" s="5">
        <v>1304.8859096085009</v>
      </c>
      <c r="S13" s="45"/>
      <c r="T13" s="23">
        <v>67387.299909539506</v>
      </c>
      <c r="U13" s="33">
        <v>4.8597952090003673</v>
      </c>
      <c r="V13" s="5">
        <v>2</v>
      </c>
      <c r="W13" s="5">
        <v>75</v>
      </c>
      <c r="X13" s="33">
        <v>32.496853278234717</v>
      </c>
      <c r="Y13" s="5">
        <v>52.174914376263175</v>
      </c>
      <c r="Z13" s="5">
        <v>2172.1174105471541</v>
      </c>
      <c r="AA13" s="45"/>
    </row>
    <row r="14" spans="2:27" x14ac:dyDescent="0.2">
      <c r="B14" s="46" t="s">
        <v>3</v>
      </c>
      <c r="C14" s="47"/>
      <c r="D14" s="9">
        <f>MIN(D4:D13)</f>
        <v>55501.121768250829</v>
      </c>
      <c r="E14" s="22">
        <f>INDEX(E4:E13, MATCH($D$14, D4:D13, 0))</f>
        <v>4.8886496249997444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31.270511545843355</v>
      </c>
      <c r="J14" s="22">
        <f>INDEX(J4:J13, MATCH($D$14, D4:D13, 0))</f>
        <v>1540.5610533773049</v>
      </c>
      <c r="K14" s="32"/>
      <c r="L14" s="16">
        <f>MIN(L4:L13)</f>
        <v>72496.657076823714</v>
      </c>
      <c r="M14" s="21">
        <f>INDEX(M4:M13, MATCH($L$14, L4:L13, 0))</f>
        <v>4.0313939170009689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20.113012822057208</v>
      </c>
      <c r="R14" s="21">
        <f>INDEX(R4:R13, MATCH($L$14, L4:L13, 0))</f>
        <v>1304.8859096085009</v>
      </c>
      <c r="S14" s="42" t="e">
        <f>(L14-$D$15)/$D$15</f>
        <v>#DIV/0!</v>
      </c>
      <c r="T14" s="38">
        <f>MIN(T4:T13)</f>
        <v>67387.299909539506</v>
      </c>
      <c r="U14" s="43">
        <f>INDEX(U4:U13, MATCH($T$14, T4:T13, 0))</f>
        <v>4.6344881250006438</v>
      </c>
      <c r="V14" s="38">
        <f>INDEX(V4:V13, MATCH($T$14, T4:T13, 0))</f>
        <v>2</v>
      </c>
      <c r="W14" s="38">
        <f>INDEX(W4:W13, MATCH($T$14, T4:T13, 0))</f>
        <v>75</v>
      </c>
      <c r="X14" s="43">
        <f>INDEX(X4:X13, MATCH($T$14, T4:T13, 0))</f>
        <v>32.496853278234717</v>
      </c>
      <c r="Y14" s="43">
        <f>INDEX(Y4:Y13, MATCH($T$14, T4:T13, 0))</f>
        <v>52.174914376263175</v>
      </c>
      <c r="Z14" s="43">
        <f>INDEX(Z4:Z13, MATCH($T$14, T4:T13, 0))</f>
        <v>2172.1174105471541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87" priority="9"/>
    <cfRule type="duplicateValues" dxfId="86" priority="10"/>
  </conditionalFormatting>
  <conditionalFormatting sqref="C14">
    <cfRule type="duplicateValues" dxfId="85" priority="5"/>
    <cfRule type="duplicateValues" dxfId="84" priority="6"/>
  </conditionalFormatting>
  <conditionalFormatting sqref="C15:C26">
    <cfRule type="duplicateValues" dxfId="27" priority="3"/>
    <cfRule type="duplicateValues" dxfId="26" priority="4"/>
  </conditionalFormatting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9172-0C0D-E849-814F-ECDC141C8513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149</v>
      </c>
      <c r="D4" s="23">
        <v>56362.025923255387</v>
      </c>
      <c r="E4" s="33">
        <v>4.7806040840005153</v>
      </c>
      <c r="F4" s="5">
        <v>2</v>
      </c>
      <c r="G4" s="23">
        <v>85</v>
      </c>
      <c r="H4" s="33">
        <v>0</v>
      </c>
      <c r="I4" s="23">
        <v>28.21543360336463</v>
      </c>
      <c r="J4" s="5">
        <v>1471.2125993134923</v>
      </c>
      <c r="K4" s="31"/>
      <c r="L4" s="23">
        <v>67379.710958221694</v>
      </c>
      <c r="M4" s="33">
        <v>4.4303961670011631</v>
      </c>
      <c r="N4" s="5">
        <v>2</v>
      </c>
      <c r="O4" s="5">
        <v>65</v>
      </c>
      <c r="P4" s="33">
        <v>0</v>
      </c>
      <c r="Q4" s="5">
        <v>21.666726408105713</v>
      </c>
      <c r="R4" s="5">
        <v>1270.6876282538365</v>
      </c>
      <c r="S4" s="45"/>
      <c r="T4" s="23">
        <v>63503.06841615423</v>
      </c>
      <c r="U4" s="33">
        <v>4.2412105839994183</v>
      </c>
      <c r="V4" s="5">
        <v>2</v>
      </c>
      <c r="W4" s="5">
        <v>80</v>
      </c>
      <c r="X4" s="33">
        <v>26.095753285562413</v>
      </c>
      <c r="Y4" s="5">
        <v>45.072126558014659</v>
      </c>
      <c r="Z4" s="5">
        <v>1884.5936191813892</v>
      </c>
      <c r="AA4" s="45"/>
    </row>
    <row r="5" spans="2:27" x14ac:dyDescent="0.2">
      <c r="B5" s="4">
        <v>2</v>
      </c>
      <c r="C5" s="4">
        <v>165</v>
      </c>
      <c r="D5" s="23">
        <v>56362.025923255387</v>
      </c>
      <c r="E5" s="33">
        <v>4.709660291999171</v>
      </c>
      <c r="F5" s="5">
        <v>2</v>
      </c>
      <c r="G5" s="23">
        <v>85</v>
      </c>
      <c r="H5" s="33">
        <v>0</v>
      </c>
      <c r="I5" s="23">
        <v>28.21543360336463</v>
      </c>
      <c r="J5" s="5">
        <v>1471.2125993134923</v>
      </c>
      <c r="K5" s="31"/>
      <c r="L5" s="23">
        <v>67379.710958221694</v>
      </c>
      <c r="M5" s="33">
        <v>4.4043387499987148</v>
      </c>
      <c r="N5" s="5">
        <v>2</v>
      </c>
      <c r="O5" s="5">
        <v>65</v>
      </c>
      <c r="P5" s="33">
        <v>0</v>
      </c>
      <c r="Q5" s="5">
        <v>21.666726408105713</v>
      </c>
      <c r="R5" s="5">
        <v>1270.6876282538365</v>
      </c>
      <c r="S5" s="45"/>
      <c r="T5" s="23">
        <v>63503.06841615423</v>
      </c>
      <c r="U5" s="33">
        <v>4.2853045829997427</v>
      </c>
      <c r="V5" s="5">
        <v>2</v>
      </c>
      <c r="W5" s="5">
        <v>80</v>
      </c>
      <c r="X5" s="33">
        <v>26.095753285562413</v>
      </c>
      <c r="Y5" s="5">
        <v>45.072126558014659</v>
      </c>
      <c r="Z5" s="5">
        <v>1884.5936191813892</v>
      </c>
      <c r="AA5" s="45"/>
    </row>
    <row r="6" spans="2:27" x14ac:dyDescent="0.2">
      <c r="B6" s="4">
        <v>3</v>
      </c>
      <c r="C6" s="4">
        <v>518</v>
      </c>
      <c r="D6" s="23">
        <v>56362.025923255387</v>
      </c>
      <c r="E6" s="33">
        <v>4.6185794590019214</v>
      </c>
      <c r="F6" s="5">
        <v>2</v>
      </c>
      <c r="G6" s="23">
        <v>85</v>
      </c>
      <c r="H6" s="33">
        <v>0</v>
      </c>
      <c r="I6" s="23">
        <v>28.21543360336463</v>
      </c>
      <c r="J6" s="5">
        <v>1471.2125993134923</v>
      </c>
      <c r="K6" s="31"/>
      <c r="L6" s="23">
        <v>67379.710958221694</v>
      </c>
      <c r="M6" s="33">
        <v>4.419302708000032</v>
      </c>
      <c r="N6" s="5">
        <v>2</v>
      </c>
      <c r="O6" s="5">
        <v>65</v>
      </c>
      <c r="P6" s="33">
        <v>0</v>
      </c>
      <c r="Q6" s="5">
        <v>21.666726408105713</v>
      </c>
      <c r="R6" s="5">
        <v>1270.6876282538365</v>
      </c>
      <c r="S6" s="45"/>
      <c r="T6" s="23">
        <v>63503.06841615423</v>
      </c>
      <c r="U6" s="33">
        <v>4.3485880419993919</v>
      </c>
      <c r="V6" s="5">
        <v>2</v>
      </c>
      <c r="W6" s="5">
        <v>80</v>
      </c>
      <c r="X6" s="33">
        <v>26.095753285562413</v>
      </c>
      <c r="Y6" s="5">
        <v>45.072126558014659</v>
      </c>
      <c r="Z6" s="5">
        <v>1884.5936191813892</v>
      </c>
      <c r="AA6" s="45"/>
    </row>
    <row r="7" spans="2:27" x14ac:dyDescent="0.2">
      <c r="B7" s="4">
        <v>4</v>
      </c>
      <c r="C7" s="4">
        <v>387</v>
      </c>
      <c r="D7" s="23">
        <v>56362.025923255387</v>
      </c>
      <c r="E7" s="33">
        <v>4.7588442499982193</v>
      </c>
      <c r="F7" s="5">
        <v>2</v>
      </c>
      <c r="G7" s="23">
        <v>85</v>
      </c>
      <c r="H7" s="33">
        <v>0</v>
      </c>
      <c r="I7" s="23">
        <v>28.21543360336463</v>
      </c>
      <c r="J7" s="5">
        <v>1471.2125993134923</v>
      </c>
      <c r="K7" s="31"/>
      <c r="L7" s="23">
        <v>67379.710958221694</v>
      </c>
      <c r="M7" s="33">
        <v>4.4207307500000752</v>
      </c>
      <c r="N7" s="5">
        <v>2</v>
      </c>
      <c r="O7" s="5">
        <v>65</v>
      </c>
      <c r="P7" s="33">
        <v>0</v>
      </c>
      <c r="Q7" s="5">
        <v>21.666726408105713</v>
      </c>
      <c r="R7" s="5">
        <v>1270.6876282538365</v>
      </c>
      <c r="S7" s="45"/>
      <c r="T7" s="23">
        <v>63503.06841615423</v>
      </c>
      <c r="U7" s="33">
        <v>4.3213876250010799</v>
      </c>
      <c r="V7" s="5">
        <v>2</v>
      </c>
      <c r="W7" s="5">
        <v>80</v>
      </c>
      <c r="X7" s="33">
        <v>26.095753285562413</v>
      </c>
      <c r="Y7" s="5">
        <v>45.072126558014659</v>
      </c>
      <c r="Z7" s="5">
        <v>1884.5936191813892</v>
      </c>
      <c r="AA7" s="45"/>
    </row>
    <row r="8" spans="2:27" x14ac:dyDescent="0.2">
      <c r="B8" s="4">
        <v>5</v>
      </c>
      <c r="C8" s="4">
        <v>471</v>
      </c>
      <c r="D8" s="23">
        <v>56362.025923255387</v>
      </c>
      <c r="E8" s="33">
        <v>4.794832999999926</v>
      </c>
      <c r="F8" s="5">
        <v>2</v>
      </c>
      <c r="G8" s="23">
        <v>85</v>
      </c>
      <c r="H8" s="33">
        <v>0</v>
      </c>
      <c r="I8" s="23">
        <v>28.21543360336463</v>
      </c>
      <c r="J8" s="5">
        <v>1471.2125993134923</v>
      </c>
      <c r="K8" s="31"/>
      <c r="L8" s="23">
        <v>67379.710958221694</v>
      </c>
      <c r="M8" s="33">
        <v>4.4616810419993271</v>
      </c>
      <c r="N8" s="5">
        <v>2</v>
      </c>
      <c r="O8" s="5">
        <v>65</v>
      </c>
      <c r="P8" s="33">
        <v>0</v>
      </c>
      <c r="Q8" s="5">
        <v>21.666726408105713</v>
      </c>
      <c r="R8" s="5">
        <v>1270.6876282538365</v>
      </c>
      <c r="S8" s="45"/>
      <c r="T8" s="23">
        <v>63503.06841615423</v>
      </c>
      <c r="U8" s="33">
        <v>4.4934061670010124</v>
      </c>
      <c r="V8" s="5">
        <v>2</v>
      </c>
      <c r="W8" s="5">
        <v>80</v>
      </c>
      <c r="X8" s="33">
        <v>26.095753285562413</v>
      </c>
      <c r="Y8" s="5">
        <v>45.072126558014659</v>
      </c>
      <c r="Z8" s="5">
        <v>1884.5936191813892</v>
      </c>
      <c r="AA8" s="45"/>
    </row>
    <row r="9" spans="2:27" x14ac:dyDescent="0.2">
      <c r="B9" s="4">
        <v>6</v>
      </c>
      <c r="C9" s="4">
        <v>563</v>
      </c>
      <c r="D9" s="23">
        <v>56362.025923255387</v>
      </c>
      <c r="E9" s="33">
        <v>4.6684533339976042</v>
      </c>
      <c r="F9" s="5">
        <v>2</v>
      </c>
      <c r="G9" s="23">
        <v>85</v>
      </c>
      <c r="H9" s="33">
        <v>0</v>
      </c>
      <c r="I9" s="23">
        <v>28.21543360336463</v>
      </c>
      <c r="J9" s="5">
        <v>1471.2125993134923</v>
      </c>
      <c r="K9" s="31"/>
      <c r="L9" s="23">
        <v>67379.710958221694</v>
      </c>
      <c r="M9" s="33">
        <v>4.4476622920010414</v>
      </c>
      <c r="N9" s="5">
        <v>2</v>
      </c>
      <c r="O9" s="5">
        <v>65</v>
      </c>
      <c r="P9" s="33">
        <v>0</v>
      </c>
      <c r="Q9" s="5">
        <v>21.666726408105713</v>
      </c>
      <c r="R9" s="5">
        <v>1270.6876282538365</v>
      </c>
      <c r="S9" s="45"/>
      <c r="T9" s="23">
        <v>63503.06841615423</v>
      </c>
      <c r="U9" s="33">
        <v>4.5102031250007713</v>
      </c>
      <c r="V9" s="5">
        <v>2</v>
      </c>
      <c r="W9" s="5">
        <v>80</v>
      </c>
      <c r="X9" s="33">
        <v>26.095753285562413</v>
      </c>
      <c r="Y9" s="5">
        <v>45.072126558014659</v>
      </c>
      <c r="Z9" s="5">
        <v>1884.5936191813892</v>
      </c>
      <c r="AA9" s="45"/>
    </row>
    <row r="10" spans="2:27" x14ac:dyDescent="0.2">
      <c r="B10" s="4">
        <v>7</v>
      </c>
      <c r="C10" s="4">
        <v>558</v>
      </c>
      <c r="D10" s="23">
        <v>56362.025923255387</v>
      </c>
      <c r="E10" s="33">
        <v>4.7030028750014026</v>
      </c>
      <c r="F10" s="5">
        <v>2</v>
      </c>
      <c r="G10" s="23">
        <v>85</v>
      </c>
      <c r="H10" s="33">
        <v>0</v>
      </c>
      <c r="I10" s="23">
        <v>28.21543360336463</v>
      </c>
      <c r="J10" s="5">
        <v>1471.2125993134923</v>
      </c>
      <c r="K10" s="31"/>
      <c r="L10" s="23">
        <v>67379.710958221694</v>
      </c>
      <c r="M10" s="33">
        <v>4.44427879199975</v>
      </c>
      <c r="N10" s="5">
        <v>2</v>
      </c>
      <c r="O10" s="5">
        <v>65</v>
      </c>
      <c r="P10" s="33">
        <v>0</v>
      </c>
      <c r="Q10" s="5">
        <v>21.666726408105713</v>
      </c>
      <c r="R10" s="5">
        <v>1270.6876282538365</v>
      </c>
      <c r="S10" s="45"/>
      <c r="T10" s="23">
        <v>63503.06841615423</v>
      </c>
      <c r="U10" s="33">
        <v>4.3843790829996578</v>
      </c>
      <c r="V10" s="5">
        <v>2</v>
      </c>
      <c r="W10" s="5">
        <v>80</v>
      </c>
      <c r="X10" s="33">
        <v>26.095753285562413</v>
      </c>
      <c r="Y10" s="5">
        <v>45.072126558014659</v>
      </c>
      <c r="Z10" s="5">
        <v>1884.5936191813892</v>
      </c>
      <c r="AA10" s="45"/>
    </row>
    <row r="11" spans="2:27" x14ac:dyDescent="0.2">
      <c r="B11" s="4">
        <v>8</v>
      </c>
      <c r="C11" s="4">
        <v>771</v>
      </c>
      <c r="D11" s="23">
        <v>56362.025923255387</v>
      </c>
      <c r="E11" s="33">
        <v>4.8440555409979424</v>
      </c>
      <c r="F11" s="5">
        <v>2</v>
      </c>
      <c r="G11" s="23">
        <v>85</v>
      </c>
      <c r="H11" s="33">
        <v>0</v>
      </c>
      <c r="I11" s="23">
        <v>28.21543360336463</v>
      </c>
      <c r="J11" s="5">
        <v>1471.2125993134923</v>
      </c>
      <c r="K11" s="31"/>
      <c r="L11" s="23">
        <v>67379.710958221694</v>
      </c>
      <c r="M11" s="33">
        <v>4.4226730000009411</v>
      </c>
      <c r="N11" s="5">
        <v>2</v>
      </c>
      <c r="O11" s="5">
        <v>65</v>
      </c>
      <c r="P11" s="33">
        <v>0</v>
      </c>
      <c r="Q11" s="5">
        <v>21.666726408105713</v>
      </c>
      <c r="R11" s="5">
        <v>1270.6876282538365</v>
      </c>
      <c r="S11" s="45"/>
      <c r="T11" s="23">
        <v>63503.06841615423</v>
      </c>
      <c r="U11" s="33">
        <v>4.2900054999990971</v>
      </c>
      <c r="V11" s="5">
        <v>2</v>
      </c>
      <c r="W11" s="5">
        <v>80</v>
      </c>
      <c r="X11" s="33">
        <v>26.095753285562413</v>
      </c>
      <c r="Y11" s="5">
        <v>45.072126558014659</v>
      </c>
      <c r="Z11" s="5">
        <v>1884.5936191813892</v>
      </c>
      <c r="AA11" s="45"/>
    </row>
    <row r="12" spans="2:27" x14ac:dyDescent="0.2">
      <c r="B12" s="4">
        <v>9</v>
      </c>
      <c r="C12" s="4">
        <v>775</v>
      </c>
      <c r="D12" s="23">
        <v>56362.025923255387</v>
      </c>
      <c r="E12" s="33">
        <v>4.5871445419979864</v>
      </c>
      <c r="F12" s="5">
        <v>2</v>
      </c>
      <c r="G12" s="23">
        <v>85</v>
      </c>
      <c r="H12" s="33">
        <v>0</v>
      </c>
      <c r="I12" s="23">
        <v>28.21543360336463</v>
      </c>
      <c r="J12" s="5">
        <v>1471.2125993134923</v>
      </c>
      <c r="K12" s="31"/>
      <c r="L12" s="23">
        <v>67379.710958221694</v>
      </c>
      <c r="M12" s="33">
        <v>4.4643520829995396</v>
      </c>
      <c r="N12" s="5">
        <v>2</v>
      </c>
      <c r="O12" s="5">
        <v>65</v>
      </c>
      <c r="P12" s="33">
        <v>0</v>
      </c>
      <c r="Q12" s="5">
        <v>21.666726408105713</v>
      </c>
      <c r="R12" s="5">
        <v>1270.6876282538365</v>
      </c>
      <c r="S12" s="45"/>
      <c r="T12" s="23">
        <v>63503.06841615423</v>
      </c>
      <c r="U12" s="33">
        <v>4.4893606250006997</v>
      </c>
      <c r="V12" s="5">
        <v>2</v>
      </c>
      <c r="W12" s="5">
        <v>80</v>
      </c>
      <c r="X12" s="33">
        <v>26.095753285562413</v>
      </c>
      <c r="Y12" s="5">
        <v>45.072126558014659</v>
      </c>
      <c r="Z12" s="5">
        <v>1884.5936191813892</v>
      </c>
      <c r="AA12" s="45"/>
    </row>
    <row r="13" spans="2:27" x14ac:dyDescent="0.2">
      <c r="B13" s="4">
        <v>10</v>
      </c>
      <c r="C13" s="4">
        <v>897</v>
      </c>
      <c r="D13" s="23">
        <v>56362.025923255387</v>
      </c>
      <c r="E13" s="33">
        <v>4.7116497909992177</v>
      </c>
      <c r="F13" s="5">
        <v>2</v>
      </c>
      <c r="G13" s="23">
        <v>85</v>
      </c>
      <c r="H13" s="33">
        <v>0</v>
      </c>
      <c r="I13" s="23">
        <v>28.21543360336463</v>
      </c>
      <c r="J13" s="5">
        <v>1471.2125993134923</v>
      </c>
      <c r="K13" s="31"/>
      <c r="L13" s="23">
        <v>67379.710958221694</v>
      </c>
      <c r="M13" s="33">
        <v>4.5897550419995241</v>
      </c>
      <c r="N13" s="5">
        <v>2</v>
      </c>
      <c r="O13" s="5">
        <v>65</v>
      </c>
      <c r="P13" s="33">
        <v>0</v>
      </c>
      <c r="Q13" s="5">
        <v>21.666726408105713</v>
      </c>
      <c r="R13" s="5">
        <v>1270.6876282538365</v>
      </c>
      <c r="S13" s="45"/>
      <c r="T13" s="23">
        <v>63503.06841615423</v>
      </c>
      <c r="U13" s="33">
        <v>4.4784756250010096</v>
      </c>
      <c r="V13" s="5">
        <v>2</v>
      </c>
      <c r="W13" s="5">
        <v>80</v>
      </c>
      <c r="X13" s="33">
        <v>26.095753285562413</v>
      </c>
      <c r="Y13" s="5">
        <v>45.072126558014659</v>
      </c>
      <c r="Z13" s="5">
        <v>1884.5936191813892</v>
      </c>
      <c r="AA13" s="45"/>
    </row>
    <row r="14" spans="2:27" x14ac:dyDescent="0.2">
      <c r="B14" s="46" t="s">
        <v>3</v>
      </c>
      <c r="C14" s="47"/>
      <c r="D14" s="9">
        <f>MIN(D4:D13)</f>
        <v>56362.025923255387</v>
      </c>
      <c r="E14" s="22">
        <f>INDEX(E4:E13, MATCH($D$14, D4:D13, 0))</f>
        <v>4.7806040840005153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28.21543360336463</v>
      </c>
      <c r="J14" s="22">
        <f>INDEX(J4:J13, MATCH($D$14, D4:D13, 0))</f>
        <v>1471.2125993134923</v>
      </c>
      <c r="K14" s="32"/>
      <c r="L14" s="16">
        <f>MIN(L4:L13)</f>
        <v>67379.710958221694</v>
      </c>
      <c r="M14" s="21">
        <f>INDEX(M4:M13, MATCH($L$14, L4:L13, 0))</f>
        <v>4.4303961670011631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21.666726408105713</v>
      </c>
      <c r="R14" s="21">
        <f>INDEX(R4:R13, MATCH($L$14, L4:L13, 0))</f>
        <v>1270.6876282538365</v>
      </c>
      <c r="S14" s="42" t="e">
        <f>(L14-$D$15)/$D$15</f>
        <v>#DIV/0!</v>
      </c>
      <c r="T14" s="38">
        <f>MIN(T4:T13)</f>
        <v>63503.06841615423</v>
      </c>
      <c r="U14" s="43">
        <f>INDEX(U4:U13, MATCH($T$14, T4:T13, 0))</f>
        <v>4.2412105839994183</v>
      </c>
      <c r="V14" s="38">
        <f>INDEX(V4:V13, MATCH($T$14, T4:T13, 0))</f>
        <v>2</v>
      </c>
      <c r="W14" s="38">
        <f>INDEX(W4:W13, MATCH($T$14, T4:T13, 0))</f>
        <v>80</v>
      </c>
      <c r="X14" s="43">
        <f>INDEX(X4:X13, MATCH($T$14, T4:T13, 0))</f>
        <v>26.095753285562413</v>
      </c>
      <c r="Y14" s="43">
        <f>INDEX(Y4:Y13, MATCH($T$14, T4:T13, 0))</f>
        <v>45.072126558014659</v>
      </c>
      <c r="Z14" s="43">
        <f>INDEX(Z4:Z13, MATCH($T$14, T4:T13, 0))</f>
        <v>1884.5936191813892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83" priority="9"/>
    <cfRule type="duplicateValues" dxfId="82" priority="10"/>
  </conditionalFormatting>
  <conditionalFormatting sqref="C14">
    <cfRule type="duplicateValues" dxfId="81" priority="5"/>
    <cfRule type="duplicateValues" dxfId="80" priority="6"/>
  </conditionalFormatting>
  <conditionalFormatting sqref="C15:C26">
    <cfRule type="duplicateValues" dxfId="25" priority="3"/>
    <cfRule type="duplicateValues" dxfId="24" priority="4"/>
  </conditionalFormatting>
  <conditionalFormatting sqref="C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CA2D-4591-B94C-BB9C-AB036356A44F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58</v>
      </c>
      <c r="D4" s="23">
        <v>61383.429584058693</v>
      </c>
      <c r="E4" s="33">
        <v>4.6391949999997451</v>
      </c>
      <c r="F4" s="5">
        <v>2</v>
      </c>
      <c r="G4" s="23">
        <v>90</v>
      </c>
      <c r="H4" s="33">
        <v>11.542058356880489</v>
      </c>
      <c r="I4" s="23">
        <v>28.051907765875129</v>
      </c>
      <c r="J4" s="5">
        <v>1990.3487838481992</v>
      </c>
      <c r="K4" s="31"/>
      <c r="L4" s="23">
        <v>89649.944055763277</v>
      </c>
      <c r="M4" s="33">
        <v>2.759166709000056</v>
      </c>
      <c r="N4" s="5">
        <v>2</v>
      </c>
      <c r="O4" s="5">
        <v>35</v>
      </c>
      <c r="P4" s="33">
        <v>0</v>
      </c>
      <c r="Q4" s="5">
        <v>12.470050956824458</v>
      </c>
      <c r="R4" s="5">
        <v>1106.1193836299769</v>
      </c>
      <c r="S4" s="45"/>
      <c r="T4" s="23">
        <v>73797.250847909512</v>
      </c>
      <c r="U4" s="33">
        <v>4.3049579580001591</v>
      </c>
      <c r="V4" s="5">
        <v>2</v>
      </c>
      <c r="W4" s="5">
        <v>70</v>
      </c>
      <c r="X4" s="33">
        <v>4.8948367479456136</v>
      </c>
      <c r="Y4" s="5">
        <v>32.373301973770708</v>
      </c>
      <c r="Z4" s="5">
        <v>2107.7723747955501</v>
      </c>
      <c r="AA4" s="45"/>
    </row>
    <row r="5" spans="2:27" x14ac:dyDescent="0.2">
      <c r="B5" s="4">
        <v>2</v>
      </c>
      <c r="C5" s="4">
        <v>183</v>
      </c>
      <c r="D5" s="23">
        <v>61383.429584058693</v>
      </c>
      <c r="E5" s="33">
        <v>4.7710955000002286</v>
      </c>
      <c r="F5" s="5">
        <v>2</v>
      </c>
      <c r="G5" s="23">
        <v>90</v>
      </c>
      <c r="H5" s="33">
        <v>11.542058356880489</v>
      </c>
      <c r="I5" s="23">
        <v>28.051907765875129</v>
      </c>
      <c r="J5" s="5">
        <v>1990.3487838481992</v>
      </c>
      <c r="K5" s="31"/>
      <c r="L5" s="23">
        <v>69327.869708972197</v>
      </c>
      <c r="M5" s="33">
        <v>4.6794774999998481</v>
      </c>
      <c r="N5" s="5">
        <v>2</v>
      </c>
      <c r="O5" s="5">
        <v>70</v>
      </c>
      <c r="P5" s="33">
        <v>0</v>
      </c>
      <c r="Q5" s="5">
        <v>20.340709601516451</v>
      </c>
      <c r="R5" s="5">
        <v>1596.6458098185019</v>
      </c>
      <c r="S5" s="45"/>
      <c r="T5" s="23">
        <v>73797.250847909512</v>
      </c>
      <c r="U5" s="33">
        <v>4.3554835839986481</v>
      </c>
      <c r="V5" s="5">
        <v>2</v>
      </c>
      <c r="W5" s="5">
        <v>70</v>
      </c>
      <c r="X5" s="33">
        <v>4.8948367479456136</v>
      </c>
      <c r="Y5" s="5">
        <v>32.373301973770708</v>
      </c>
      <c r="Z5" s="5">
        <v>2107.7723747955501</v>
      </c>
      <c r="AA5" s="45"/>
    </row>
    <row r="6" spans="2:27" x14ac:dyDescent="0.2">
      <c r="B6" s="4">
        <v>3</v>
      </c>
      <c r="C6" s="4">
        <v>277</v>
      </c>
      <c r="D6" s="23">
        <v>61383.429584058693</v>
      </c>
      <c r="E6" s="33">
        <v>4.7493963339984484</v>
      </c>
      <c r="F6" s="5">
        <v>2</v>
      </c>
      <c r="G6" s="23">
        <v>90</v>
      </c>
      <c r="H6" s="33">
        <v>11.542058356880489</v>
      </c>
      <c r="I6" s="23">
        <v>28.051907765875129</v>
      </c>
      <c r="J6" s="5">
        <v>1990.3487838481992</v>
      </c>
      <c r="K6" s="31"/>
      <c r="L6" s="23">
        <v>69327.869708972197</v>
      </c>
      <c r="M6" s="33">
        <v>4.5827667499997924</v>
      </c>
      <c r="N6" s="5">
        <v>2</v>
      </c>
      <c r="O6" s="5">
        <v>70</v>
      </c>
      <c r="P6" s="33">
        <v>0</v>
      </c>
      <c r="Q6" s="5">
        <v>20.340709601516451</v>
      </c>
      <c r="R6" s="5">
        <v>1596.6458098185019</v>
      </c>
      <c r="S6" s="45"/>
      <c r="T6" s="23">
        <v>73797.250847909512</v>
      </c>
      <c r="U6" s="33">
        <v>4.2459965840007499</v>
      </c>
      <c r="V6" s="5">
        <v>2</v>
      </c>
      <c r="W6" s="5">
        <v>70</v>
      </c>
      <c r="X6" s="33">
        <v>4.8948367479456136</v>
      </c>
      <c r="Y6" s="5">
        <v>32.373301973770708</v>
      </c>
      <c r="Z6" s="5">
        <v>2107.7723747955501</v>
      </c>
      <c r="AA6" s="45"/>
    </row>
    <row r="7" spans="2:27" x14ac:dyDescent="0.2">
      <c r="B7" s="4">
        <v>4</v>
      </c>
      <c r="C7" s="4">
        <v>287</v>
      </c>
      <c r="D7" s="23">
        <v>61383.429584058693</v>
      </c>
      <c r="E7" s="33">
        <v>4.5633056670012593</v>
      </c>
      <c r="F7" s="5">
        <v>2</v>
      </c>
      <c r="G7" s="23">
        <v>90</v>
      </c>
      <c r="H7" s="33">
        <v>11.542058356880489</v>
      </c>
      <c r="I7" s="23">
        <v>28.051907765875129</v>
      </c>
      <c r="J7" s="5">
        <v>1990.3487838481992</v>
      </c>
      <c r="K7" s="31"/>
      <c r="L7" s="23">
        <v>69327.869708972197</v>
      </c>
      <c r="M7" s="33">
        <v>4.646297916999174</v>
      </c>
      <c r="N7" s="5">
        <v>2</v>
      </c>
      <c r="O7" s="5">
        <v>70</v>
      </c>
      <c r="P7" s="33">
        <v>0</v>
      </c>
      <c r="Q7" s="5">
        <v>20.340709601516451</v>
      </c>
      <c r="R7" s="5">
        <v>1596.6458098185019</v>
      </c>
      <c r="S7" s="45"/>
      <c r="T7" s="23">
        <v>73797.250847909512</v>
      </c>
      <c r="U7" s="33">
        <v>4.3121139590002713</v>
      </c>
      <c r="V7" s="5">
        <v>2</v>
      </c>
      <c r="W7" s="5">
        <v>70</v>
      </c>
      <c r="X7" s="33">
        <v>4.8948367479456136</v>
      </c>
      <c r="Y7" s="5">
        <v>32.373301973770708</v>
      </c>
      <c r="Z7" s="5">
        <v>2107.7723747955501</v>
      </c>
      <c r="AA7" s="45"/>
    </row>
    <row r="8" spans="2:27" x14ac:dyDescent="0.2">
      <c r="B8" s="4">
        <v>5</v>
      </c>
      <c r="C8" s="4">
        <v>100</v>
      </c>
      <c r="D8" s="23">
        <v>61383.429584058693</v>
      </c>
      <c r="E8" s="33">
        <v>4.6344321249998757</v>
      </c>
      <c r="F8" s="5">
        <v>2</v>
      </c>
      <c r="G8" s="23">
        <v>90</v>
      </c>
      <c r="H8" s="33">
        <v>11.542058356880489</v>
      </c>
      <c r="I8" s="23">
        <v>28.051907765875129</v>
      </c>
      <c r="J8" s="5">
        <v>1990.3487838481992</v>
      </c>
      <c r="K8" s="31"/>
      <c r="L8" s="23">
        <v>69327.869708972197</v>
      </c>
      <c r="M8" s="33">
        <v>4.6511722920004104</v>
      </c>
      <c r="N8" s="5">
        <v>2</v>
      </c>
      <c r="O8" s="5">
        <v>70</v>
      </c>
      <c r="P8" s="33">
        <v>0</v>
      </c>
      <c r="Q8" s="5">
        <v>20.340709601516451</v>
      </c>
      <c r="R8" s="5">
        <v>1596.6458098185019</v>
      </c>
      <c r="S8" s="45"/>
      <c r="T8" s="23">
        <v>73797.250847909512</v>
      </c>
      <c r="U8" s="33">
        <v>4.4264437910005654</v>
      </c>
      <c r="V8" s="5">
        <v>2</v>
      </c>
      <c r="W8" s="5">
        <v>70</v>
      </c>
      <c r="X8" s="33">
        <v>4.8948367479456136</v>
      </c>
      <c r="Y8" s="5">
        <v>32.373301973770708</v>
      </c>
      <c r="Z8" s="5">
        <v>2107.7723747955501</v>
      </c>
      <c r="AA8" s="45"/>
    </row>
    <row r="9" spans="2:27" x14ac:dyDescent="0.2">
      <c r="B9" s="4">
        <v>6</v>
      </c>
      <c r="C9" s="4">
        <v>408</v>
      </c>
      <c r="D9" s="23">
        <v>61383.429584058693</v>
      </c>
      <c r="E9" s="33">
        <v>4.5166155000006256</v>
      </c>
      <c r="F9" s="5">
        <v>2</v>
      </c>
      <c r="G9" s="23">
        <v>90</v>
      </c>
      <c r="H9" s="33">
        <v>11.542058356880489</v>
      </c>
      <c r="I9" s="23">
        <v>28.051907765875129</v>
      </c>
      <c r="J9" s="5">
        <v>1990.3487838481992</v>
      </c>
      <c r="K9" s="31"/>
      <c r="L9" s="23">
        <v>69327.869708972197</v>
      </c>
      <c r="M9" s="33">
        <v>4.6642319169986877</v>
      </c>
      <c r="N9" s="5">
        <v>2</v>
      </c>
      <c r="O9" s="5">
        <v>70</v>
      </c>
      <c r="P9" s="33">
        <v>0</v>
      </c>
      <c r="Q9" s="5">
        <v>20.340709601516451</v>
      </c>
      <c r="R9" s="5">
        <v>1596.6458098185019</v>
      </c>
      <c r="S9" s="45"/>
      <c r="T9" s="23">
        <v>73797.250847909512</v>
      </c>
      <c r="U9" s="33">
        <v>4.4408864159995574</v>
      </c>
      <c r="V9" s="5">
        <v>2</v>
      </c>
      <c r="W9" s="5">
        <v>70</v>
      </c>
      <c r="X9" s="33">
        <v>4.8948367479456136</v>
      </c>
      <c r="Y9" s="5">
        <v>32.373301973770708</v>
      </c>
      <c r="Z9" s="5">
        <v>2107.7723747955501</v>
      </c>
      <c r="AA9" s="45"/>
    </row>
    <row r="10" spans="2:27" x14ac:dyDescent="0.2">
      <c r="B10" s="4">
        <v>7</v>
      </c>
      <c r="C10" s="4">
        <v>499</v>
      </c>
      <c r="D10" s="23">
        <v>61383.429584058693</v>
      </c>
      <c r="E10" s="33">
        <v>4.7419291669975792</v>
      </c>
      <c r="F10" s="5">
        <v>2</v>
      </c>
      <c r="G10" s="23">
        <v>90</v>
      </c>
      <c r="H10" s="33">
        <v>11.542058356880489</v>
      </c>
      <c r="I10" s="23">
        <v>28.051907765875129</v>
      </c>
      <c r="J10" s="5">
        <v>1990.3487838481992</v>
      </c>
      <c r="K10" s="31"/>
      <c r="L10" s="23">
        <v>69327.869708972197</v>
      </c>
      <c r="M10" s="33">
        <v>4.7129099169997062</v>
      </c>
      <c r="N10" s="5">
        <v>2</v>
      </c>
      <c r="O10" s="5">
        <v>70</v>
      </c>
      <c r="P10" s="33">
        <v>0</v>
      </c>
      <c r="Q10" s="5">
        <v>20.340709601516451</v>
      </c>
      <c r="R10" s="5">
        <v>1596.6458098185019</v>
      </c>
      <c r="S10" s="45"/>
      <c r="T10" s="23">
        <v>73797.250847909512</v>
      </c>
      <c r="U10" s="33">
        <v>4.2715019589995791</v>
      </c>
      <c r="V10" s="5">
        <v>2</v>
      </c>
      <c r="W10" s="5">
        <v>70</v>
      </c>
      <c r="X10" s="33">
        <v>4.8948367479456136</v>
      </c>
      <c r="Y10" s="5">
        <v>32.373301973770708</v>
      </c>
      <c r="Z10" s="5">
        <v>2107.7723747955501</v>
      </c>
      <c r="AA10" s="45"/>
    </row>
    <row r="11" spans="2:27" x14ac:dyDescent="0.2">
      <c r="B11" s="4">
        <v>8</v>
      </c>
      <c r="C11" s="4">
        <v>597</v>
      </c>
      <c r="D11" s="23">
        <v>61383.429584058693</v>
      </c>
      <c r="E11" s="33">
        <v>4.7008222080003179</v>
      </c>
      <c r="F11" s="5">
        <v>2</v>
      </c>
      <c r="G11" s="23">
        <v>90</v>
      </c>
      <c r="H11" s="33">
        <v>11.542058356880489</v>
      </c>
      <c r="I11" s="23">
        <v>28.051907765875129</v>
      </c>
      <c r="J11" s="5">
        <v>1990.3487838481992</v>
      </c>
      <c r="K11" s="31"/>
      <c r="L11" s="23">
        <v>69327.869708972197</v>
      </c>
      <c r="M11" s="33">
        <v>4.6352253330005624</v>
      </c>
      <c r="N11" s="5">
        <v>2</v>
      </c>
      <c r="O11" s="5">
        <v>70</v>
      </c>
      <c r="P11" s="33">
        <v>0</v>
      </c>
      <c r="Q11" s="5">
        <v>20.340709601516451</v>
      </c>
      <c r="R11" s="5">
        <v>1596.6458098185019</v>
      </c>
      <c r="S11" s="45"/>
      <c r="T11" s="23">
        <v>73797.250847909512</v>
      </c>
      <c r="U11" s="33">
        <v>4.3225087079990772</v>
      </c>
      <c r="V11" s="5">
        <v>2</v>
      </c>
      <c r="W11" s="5">
        <v>70</v>
      </c>
      <c r="X11" s="33">
        <v>4.8948367479456136</v>
      </c>
      <c r="Y11" s="5">
        <v>32.373301973770708</v>
      </c>
      <c r="Z11" s="5">
        <v>2107.7723747955501</v>
      </c>
      <c r="AA11" s="45"/>
    </row>
    <row r="12" spans="2:27" x14ac:dyDescent="0.2">
      <c r="B12" s="4">
        <v>9</v>
      </c>
      <c r="C12" s="4">
        <v>242</v>
      </c>
      <c r="D12" s="23">
        <v>61383.429584058693</v>
      </c>
      <c r="E12" s="33">
        <v>4.67564266699992</v>
      </c>
      <c r="F12" s="5">
        <v>2</v>
      </c>
      <c r="G12" s="23">
        <v>90</v>
      </c>
      <c r="H12" s="33">
        <v>11.542058356880489</v>
      </c>
      <c r="I12" s="23">
        <v>28.051907765875129</v>
      </c>
      <c r="J12" s="5">
        <v>1990.3487838481992</v>
      </c>
      <c r="K12" s="31"/>
      <c r="L12" s="23">
        <v>69327.869708972197</v>
      </c>
      <c r="M12" s="33">
        <v>4.6920415420008794</v>
      </c>
      <c r="N12" s="5">
        <v>2</v>
      </c>
      <c r="O12" s="5">
        <v>70</v>
      </c>
      <c r="P12" s="33">
        <v>0</v>
      </c>
      <c r="Q12" s="5">
        <v>20.340709601516451</v>
      </c>
      <c r="R12" s="5">
        <v>1596.6458098185019</v>
      </c>
      <c r="S12" s="45"/>
      <c r="T12" s="23">
        <v>73797.250847909512</v>
      </c>
      <c r="U12" s="33">
        <v>4.326117417000205</v>
      </c>
      <c r="V12" s="5">
        <v>2</v>
      </c>
      <c r="W12" s="5">
        <v>70</v>
      </c>
      <c r="X12" s="33">
        <v>4.8948367479456136</v>
      </c>
      <c r="Y12" s="5">
        <v>32.373301973770708</v>
      </c>
      <c r="Z12" s="5">
        <v>2107.7723747955501</v>
      </c>
      <c r="AA12" s="45"/>
    </row>
    <row r="13" spans="2:27" x14ac:dyDescent="0.2">
      <c r="B13" s="4">
        <v>10</v>
      </c>
      <c r="C13" s="4">
        <v>876</v>
      </c>
      <c r="D13" s="23">
        <v>61383.429584058693</v>
      </c>
      <c r="E13" s="33">
        <v>4.5830997089979064</v>
      </c>
      <c r="F13" s="5">
        <v>2</v>
      </c>
      <c r="G13" s="23">
        <v>90</v>
      </c>
      <c r="H13" s="33">
        <v>11.542058356880489</v>
      </c>
      <c r="I13" s="23">
        <v>28.051907765875129</v>
      </c>
      <c r="J13" s="5">
        <v>1990.3487838481992</v>
      </c>
      <c r="K13" s="31"/>
      <c r="L13" s="23">
        <v>69327.869708972197</v>
      </c>
      <c r="M13" s="33">
        <v>4.8051982079996378</v>
      </c>
      <c r="N13" s="5">
        <v>2</v>
      </c>
      <c r="O13" s="5">
        <v>70</v>
      </c>
      <c r="P13" s="33">
        <v>0</v>
      </c>
      <c r="Q13" s="5">
        <v>20.340709601516451</v>
      </c>
      <c r="R13" s="5">
        <v>1596.6458098185019</v>
      </c>
      <c r="S13" s="45"/>
      <c r="T13" s="23">
        <v>73797.250847909512</v>
      </c>
      <c r="U13" s="33">
        <v>4.4289937079993251</v>
      </c>
      <c r="V13" s="5">
        <v>2</v>
      </c>
      <c r="W13" s="5">
        <v>70</v>
      </c>
      <c r="X13" s="33">
        <v>4.8948367479456136</v>
      </c>
      <c r="Y13" s="5">
        <v>32.373301973770708</v>
      </c>
      <c r="Z13" s="5">
        <v>2107.7723747955501</v>
      </c>
      <c r="AA13" s="45"/>
    </row>
    <row r="14" spans="2:27" x14ac:dyDescent="0.2">
      <c r="B14" s="46" t="s">
        <v>3</v>
      </c>
      <c r="C14" s="47"/>
      <c r="D14" s="9">
        <f>MIN(D4:D13)</f>
        <v>61383.429584058693</v>
      </c>
      <c r="E14" s="22">
        <f>INDEX(E4:E13, MATCH($D$14, D4:D13, 0))</f>
        <v>4.6391949999997451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11.542058356880489</v>
      </c>
      <c r="I14" s="22">
        <f>INDEX(I4:I13, MATCH($D$14, D4:D13, 0))</f>
        <v>28.051907765875129</v>
      </c>
      <c r="J14" s="22">
        <f>INDEX(J4:J13, MATCH($D$14, D4:D13, 0))</f>
        <v>1990.3487838481992</v>
      </c>
      <c r="K14" s="32"/>
      <c r="L14" s="16">
        <f>MIN(L4:L13)</f>
        <v>69327.869708972197</v>
      </c>
      <c r="M14" s="21">
        <f>INDEX(M4:M13, MATCH($L$14, L4:L13, 0))</f>
        <v>4.6794774999998481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20.340709601516451</v>
      </c>
      <c r="R14" s="21">
        <f>INDEX(R4:R13, MATCH($L$14, L4:L13, 0))</f>
        <v>1596.6458098185019</v>
      </c>
      <c r="S14" s="42" t="e">
        <f>(L14-$D$15)/$D$15</f>
        <v>#DIV/0!</v>
      </c>
      <c r="T14" s="38">
        <f>MIN(T4:T13)</f>
        <v>73797.250847909512</v>
      </c>
      <c r="U14" s="43">
        <f>INDEX(U4:U13, MATCH($T$14, T4:T13, 0))</f>
        <v>4.3049579580001591</v>
      </c>
      <c r="V14" s="38">
        <f>INDEX(V4:V13, MATCH($T$14, T4:T13, 0))</f>
        <v>2</v>
      </c>
      <c r="W14" s="38">
        <f>INDEX(W4:W13, MATCH($T$14, T4:T13, 0))</f>
        <v>70</v>
      </c>
      <c r="X14" s="43">
        <f>INDEX(X4:X13, MATCH($T$14, T4:T13, 0))</f>
        <v>4.8948367479456136</v>
      </c>
      <c r="Y14" s="43">
        <f>INDEX(Y4:Y13, MATCH($T$14, T4:T13, 0))</f>
        <v>32.373301973770708</v>
      </c>
      <c r="Z14" s="43">
        <f>INDEX(Z4:Z13, MATCH($T$14, T4:T13, 0))</f>
        <v>2107.7723747955501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79" priority="9"/>
    <cfRule type="duplicateValues" dxfId="78" priority="10"/>
  </conditionalFormatting>
  <conditionalFormatting sqref="C14">
    <cfRule type="duplicateValues" dxfId="77" priority="5"/>
    <cfRule type="duplicateValues" dxfId="76" priority="6"/>
  </conditionalFormatting>
  <conditionalFormatting sqref="C15:C26">
    <cfRule type="duplicateValues" dxfId="23" priority="3"/>
    <cfRule type="duplicateValues" dxfId="22" priority="4"/>
  </conditionalFormatting>
  <conditionalFormatting sqref="C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9E33-0DEF-FE48-9582-F2C0084E359F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26</v>
      </c>
      <c r="D4" s="23">
        <v>68438.786562109191</v>
      </c>
      <c r="E4" s="33">
        <v>4.8068872919975547</v>
      </c>
      <c r="F4" s="5">
        <v>2</v>
      </c>
      <c r="G4" s="23">
        <v>85</v>
      </c>
      <c r="H4" s="33">
        <v>104.99148961235005</v>
      </c>
      <c r="I4" s="23">
        <v>24.82540831276566</v>
      </c>
      <c r="J4" s="5">
        <v>2198.2744395462264</v>
      </c>
      <c r="K4" s="31"/>
      <c r="L4" s="23">
        <v>72330.920685118152</v>
      </c>
      <c r="M4" s="33">
        <v>4.7708706249995876</v>
      </c>
      <c r="N4" s="5">
        <v>2</v>
      </c>
      <c r="O4" s="5">
        <v>70</v>
      </c>
      <c r="P4" s="33">
        <v>30.602286016037173</v>
      </c>
      <c r="Q4" s="5">
        <v>19.171071442581692</v>
      </c>
      <c r="R4" s="5">
        <v>1834.8486216878887</v>
      </c>
      <c r="S4" s="45"/>
      <c r="T4" s="23">
        <v>78801.605463528496</v>
      </c>
      <c r="U4" s="33">
        <v>4.1979242090001208</v>
      </c>
      <c r="V4" s="5">
        <v>2</v>
      </c>
      <c r="W4" s="5">
        <v>65</v>
      </c>
      <c r="X4" s="33">
        <v>72.976555494180928</v>
      </c>
      <c r="Y4" s="5">
        <v>28.915509903185736</v>
      </c>
      <c r="Z4" s="5">
        <v>2143.9735757696767</v>
      </c>
      <c r="AA4" s="45"/>
    </row>
    <row r="5" spans="2:27" x14ac:dyDescent="0.2">
      <c r="B5" s="4">
        <v>2</v>
      </c>
      <c r="C5" s="4">
        <v>216</v>
      </c>
      <c r="D5" s="23">
        <v>68438.786562109191</v>
      </c>
      <c r="E5" s="33">
        <v>4.8277240409988744</v>
      </c>
      <c r="F5" s="5">
        <v>2</v>
      </c>
      <c r="G5" s="23">
        <v>85</v>
      </c>
      <c r="H5" s="33">
        <v>104.99148961235005</v>
      </c>
      <c r="I5" s="23">
        <v>24.82540831276566</v>
      </c>
      <c r="J5" s="5">
        <v>2198.2744395462264</v>
      </c>
      <c r="K5" s="31"/>
      <c r="L5" s="23">
        <v>72330.920685118152</v>
      </c>
      <c r="M5" s="33">
        <v>4.8028023750011926</v>
      </c>
      <c r="N5" s="5">
        <v>2</v>
      </c>
      <c r="O5" s="5">
        <v>70</v>
      </c>
      <c r="P5" s="33">
        <v>30.602286016037173</v>
      </c>
      <c r="Q5" s="5">
        <v>19.171071442581692</v>
      </c>
      <c r="R5" s="5">
        <v>1834.8486216878887</v>
      </c>
      <c r="S5" s="45"/>
      <c r="T5" s="23">
        <v>78801.605463528496</v>
      </c>
      <c r="U5" s="33">
        <v>4.190611333000561</v>
      </c>
      <c r="V5" s="5">
        <v>2</v>
      </c>
      <c r="W5" s="5">
        <v>65</v>
      </c>
      <c r="X5" s="33">
        <v>72.976555494180928</v>
      </c>
      <c r="Y5" s="5">
        <v>28.915509903185736</v>
      </c>
      <c r="Z5" s="5">
        <v>2143.9735757696767</v>
      </c>
      <c r="AA5" s="45"/>
    </row>
    <row r="6" spans="2:27" x14ac:dyDescent="0.2">
      <c r="B6" s="4">
        <v>3</v>
      </c>
      <c r="C6" s="4">
        <v>268</v>
      </c>
      <c r="D6" s="23">
        <v>68438.786562109191</v>
      </c>
      <c r="E6" s="33">
        <v>4.9362045830021088</v>
      </c>
      <c r="F6" s="5">
        <v>2</v>
      </c>
      <c r="G6" s="23">
        <v>85</v>
      </c>
      <c r="H6" s="33">
        <v>104.99148961235005</v>
      </c>
      <c r="I6" s="23">
        <v>24.82540831276566</v>
      </c>
      <c r="J6" s="5">
        <v>2198.2744395462264</v>
      </c>
      <c r="K6" s="31"/>
      <c r="L6" s="23">
        <v>72330.920685118152</v>
      </c>
      <c r="M6" s="33">
        <v>4.7990871670008346</v>
      </c>
      <c r="N6" s="5">
        <v>2</v>
      </c>
      <c r="O6" s="5">
        <v>70</v>
      </c>
      <c r="P6" s="33">
        <v>30.602286016037173</v>
      </c>
      <c r="Q6" s="5">
        <v>19.171071442581692</v>
      </c>
      <c r="R6" s="5">
        <v>1834.8486216878887</v>
      </c>
      <c r="S6" s="45"/>
      <c r="T6" s="23">
        <v>78801.605463528496</v>
      </c>
      <c r="U6" s="33">
        <v>4.2247966250015452</v>
      </c>
      <c r="V6" s="5">
        <v>2</v>
      </c>
      <c r="W6" s="5">
        <v>65</v>
      </c>
      <c r="X6" s="33">
        <v>72.976555494180928</v>
      </c>
      <c r="Y6" s="5">
        <v>28.915509903185736</v>
      </c>
      <c r="Z6" s="5">
        <v>2143.9735757696767</v>
      </c>
      <c r="AA6" s="45"/>
    </row>
    <row r="7" spans="2:27" x14ac:dyDescent="0.2">
      <c r="B7" s="4">
        <v>4</v>
      </c>
      <c r="C7" s="4">
        <v>448</v>
      </c>
      <c r="D7" s="23">
        <v>68438.786562109191</v>
      </c>
      <c r="E7" s="33">
        <v>4.7661092500020459</v>
      </c>
      <c r="F7" s="5">
        <v>2</v>
      </c>
      <c r="G7" s="23">
        <v>85</v>
      </c>
      <c r="H7" s="33">
        <v>104.99148961235005</v>
      </c>
      <c r="I7" s="23">
        <v>24.82540831276566</v>
      </c>
      <c r="J7" s="5">
        <v>2198.2744395462264</v>
      </c>
      <c r="K7" s="31"/>
      <c r="L7" s="23">
        <v>72330.920685118152</v>
      </c>
      <c r="M7" s="33">
        <v>4.6898064169999998</v>
      </c>
      <c r="N7" s="5">
        <v>2</v>
      </c>
      <c r="O7" s="5">
        <v>70</v>
      </c>
      <c r="P7" s="33">
        <v>30.602286016037173</v>
      </c>
      <c r="Q7" s="5">
        <v>19.171071442581692</v>
      </c>
      <c r="R7" s="5">
        <v>1834.8486216878887</v>
      </c>
      <c r="S7" s="45"/>
      <c r="T7" s="23">
        <v>78801.605463528496</v>
      </c>
      <c r="U7" s="33">
        <v>4.1776340000014898</v>
      </c>
      <c r="V7" s="5">
        <v>2</v>
      </c>
      <c r="W7" s="5">
        <v>65</v>
      </c>
      <c r="X7" s="33">
        <v>72.976555494180928</v>
      </c>
      <c r="Y7" s="5">
        <v>28.915509903185736</v>
      </c>
      <c r="Z7" s="5">
        <v>2143.9735757696767</v>
      </c>
      <c r="AA7" s="45"/>
    </row>
    <row r="8" spans="2:27" x14ac:dyDescent="0.2">
      <c r="B8" s="4">
        <v>5</v>
      </c>
      <c r="C8" s="4">
        <v>483</v>
      </c>
      <c r="D8" s="23">
        <v>68438.786562109191</v>
      </c>
      <c r="E8" s="33">
        <v>4.8567215000002761</v>
      </c>
      <c r="F8" s="5">
        <v>2</v>
      </c>
      <c r="G8" s="23">
        <v>85</v>
      </c>
      <c r="H8" s="33">
        <v>104.99148961235005</v>
      </c>
      <c r="I8" s="23">
        <v>24.82540831276566</v>
      </c>
      <c r="J8" s="5">
        <v>2198.2744395462264</v>
      </c>
      <c r="K8" s="31"/>
      <c r="L8" s="23">
        <v>72330.920685118152</v>
      </c>
      <c r="M8" s="33">
        <v>4.8450471659998584</v>
      </c>
      <c r="N8" s="5">
        <v>2</v>
      </c>
      <c r="O8" s="5">
        <v>70</v>
      </c>
      <c r="P8" s="33">
        <v>30.602286016037173</v>
      </c>
      <c r="Q8" s="5">
        <v>19.171071442581692</v>
      </c>
      <c r="R8" s="5">
        <v>1834.8486216878887</v>
      </c>
      <c r="S8" s="45"/>
      <c r="T8" s="23">
        <v>78801.605463528496</v>
      </c>
      <c r="U8" s="33">
        <v>4.3857276250000723</v>
      </c>
      <c r="V8" s="5">
        <v>2</v>
      </c>
      <c r="W8" s="5">
        <v>65</v>
      </c>
      <c r="X8" s="33">
        <v>72.976555494180928</v>
      </c>
      <c r="Y8" s="5">
        <v>28.915509903185736</v>
      </c>
      <c r="Z8" s="5">
        <v>2143.9735757696767</v>
      </c>
      <c r="AA8" s="45"/>
    </row>
    <row r="9" spans="2:27" x14ac:dyDescent="0.2">
      <c r="B9" s="4">
        <v>6</v>
      </c>
      <c r="C9" s="4">
        <v>511</v>
      </c>
      <c r="D9" s="23">
        <v>68438.786562109191</v>
      </c>
      <c r="E9" s="33">
        <v>4.9111227499997767</v>
      </c>
      <c r="F9" s="5">
        <v>2</v>
      </c>
      <c r="G9" s="23">
        <v>85</v>
      </c>
      <c r="H9" s="33">
        <v>104.99148961235005</v>
      </c>
      <c r="I9" s="23">
        <v>24.82540831276566</v>
      </c>
      <c r="J9" s="5">
        <v>2198.2744395462264</v>
      </c>
      <c r="K9" s="31"/>
      <c r="L9" s="23">
        <v>72330.920685118152</v>
      </c>
      <c r="M9" s="33">
        <v>4.8050326659995326</v>
      </c>
      <c r="N9" s="5">
        <v>2</v>
      </c>
      <c r="O9" s="5">
        <v>70</v>
      </c>
      <c r="P9" s="33">
        <v>30.602286016037173</v>
      </c>
      <c r="Q9" s="5">
        <v>19.171071442581692</v>
      </c>
      <c r="R9" s="5">
        <v>1834.8486216878887</v>
      </c>
      <c r="S9" s="45"/>
      <c r="T9" s="23">
        <v>78801.605463528496</v>
      </c>
      <c r="U9" s="33">
        <v>4.2080117080004129</v>
      </c>
      <c r="V9" s="5">
        <v>2</v>
      </c>
      <c r="W9" s="5">
        <v>65</v>
      </c>
      <c r="X9" s="33">
        <v>72.976555494180928</v>
      </c>
      <c r="Y9" s="5">
        <v>28.915509903185736</v>
      </c>
      <c r="Z9" s="5">
        <v>2143.9735757696767</v>
      </c>
      <c r="AA9" s="45"/>
    </row>
    <row r="10" spans="2:27" x14ac:dyDescent="0.2">
      <c r="B10" s="4">
        <v>7</v>
      </c>
      <c r="C10" s="4">
        <v>566</v>
      </c>
      <c r="D10" s="23">
        <v>68438.786562109191</v>
      </c>
      <c r="E10" s="33">
        <v>4.8888550000010582</v>
      </c>
      <c r="F10" s="5">
        <v>2</v>
      </c>
      <c r="G10" s="23">
        <v>85</v>
      </c>
      <c r="H10" s="33">
        <v>104.99148961235005</v>
      </c>
      <c r="I10" s="23">
        <v>24.82540831276566</v>
      </c>
      <c r="J10" s="5">
        <v>2198.2744395462264</v>
      </c>
      <c r="K10" s="31"/>
      <c r="L10" s="23">
        <v>72330.920685118152</v>
      </c>
      <c r="M10" s="33">
        <v>4.8147526249995281</v>
      </c>
      <c r="N10" s="5">
        <v>2</v>
      </c>
      <c r="O10" s="5">
        <v>70</v>
      </c>
      <c r="P10" s="33">
        <v>30.602286016037173</v>
      </c>
      <c r="Q10" s="5">
        <v>19.171071442581692</v>
      </c>
      <c r="R10" s="5">
        <v>1834.8486216878887</v>
      </c>
      <c r="S10" s="45"/>
      <c r="T10" s="23">
        <v>78801.605463528496</v>
      </c>
      <c r="U10" s="33">
        <v>4.6714964580005471</v>
      </c>
      <c r="V10" s="5">
        <v>2</v>
      </c>
      <c r="W10" s="5">
        <v>65</v>
      </c>
      <c r="X10" s="33">
        <v>72.976555494180928</v>
      </c>
      <c r="Y10" s="5">
        <v>28.915509903185736</v>
      </c>
      <c r="Z10" s="5">
        <v>2143.9735757696767</v>
      </c>
      <c r="AA10" s="45"/>
    </row>
    <row r="11" spans="2:27" x14ac:dyDescent="0.2">
      <c r="B11" s="4">
        <v>8</v>
      </c>
      <c r="C11" s="4">
        <v>702</v>
      </c>
      <c r="D11" s="23">
        <v>68438.786562109191</v>
      </c>
      <c r="E11" s="33">
        <v>4.907996041001752</v>
      </c>
      <c r="F11" s="5">
        <v>2</v>
      </c>
      <c r="G11" s="23">
        <v>85</v>
      </c>
      <c r="H11" s="33">
        <v>104.99148961235005</v>
      </c>
      <c r="I11" s="23">
        <v>24.82540831276566</v>
      </c>
      <c r="J11" s="5">
        <v>2198.2744395462264</v>
      </c>
      <c r="K11" s="31"/>
      <c r="L11" s="23">
        <v>72330.920685118152</v>
      </c>
      <c r="M11" s="33">
        <v>4.8034732080013782</v>
      </c>
      <c r="N11" s="5">
        <v>2</v>
      </c>
      <c r="O11" s="5">
        <v>70</v>
      </c>
      <c r="P11" s="33">
        <v>30.602286016037173</v>
      </c>
      <c r="Q11" s="5">
        <v>19.171071442581692</v>
      </c>
      <c r="R11" s="5">
        <v>1834.8486216878887</v>
      </c>
      <c r="S11" s="45"/>
      <c r="T11" s="23">
        <v>78801.605463528496</v>
      </c>
      <c r="U11" s="33">
        <v>4.241655334000825</v>
      </c>
      <c r="V11" s="5">
        <v>2</v>
      </c>
      <c r="W11" s="5">
        <v>65</v>
      </c>
      <c r="X11" s="33">
        <v>72.976555494180928</v>
      </c>
      <c r="Y11" s="5">
        <v>28.915509903185736</v>
      </c>
      <c r="Z11" s="5">
        <v>2143.9735757696767</v>
      </c>
      <c r="AA11" s="45"/>
    </row>
    <row r="12" spans="2:27" x14ac:dyDescent="0.2">
      <c r="B12" s="4">
        <v>9</v>
      </c>
      <c r="C12" s="4">
        <v>886</v>
      </c>
      <c r="D12" s="23">
        <v>68438.786562109191</v>
      </c>
      <c r="E12" s="33">
        <v>4.825025457997981</v>
      </c>
      <c r="F12" s="5">
        <v>2</v>
      </c>
      <c r="G12" s="23">
        <v>85</v>
      </c>
      <c r="H12" s="33">
        <v>104.99148961235005</v>
      </c>
      <c r="I12" s="23">
        <v>24.82540831276566</v>
      </c>
      <c r="J12" s="5">
        <v>2198.2744395462264</v>
      </c>
      <c r="K12" s="31"/>
      <c r="L12" s="23">
        <v>72330.920685118152</v>
      </c>
      <c r="M12" s="33">
        <v>4.6690864159991179</v>
      </c>
      <c r="N12" s="5">
        <v>2</v>
      </c>
      <c r="O12" s="5">
        <v>70</v>
      </c>
      <c r="P12" s="33">
        <v>30.602286016037173</v>
      </c>
      <c r="Q12" s="5">
        <v>19.171071442581692</v>
      </c>
      <c r="R12" s="5">
        <v>1834.8486216878887</v>
      </c>
      <c r="S12" s="45"/>
      <c r="T12" s="23">
        <v>78801.605463528496</v>
      </c>
      <c r="U12" s="33">
        <v>4.1460566250007096</v>
      </c>
      <c r="V12" s="5">
        <v>2</v>
      </c>
      <c r="W12" s="5">
        <v>65</v>
      </c>
      <c r="X12" s="33">
        <v>72.976555494180928</v>
      </c>
      <c r="Y12" s="5">
        <v>28.915509903185736</v>
      </c>
      <c r="Z12" s="5">
        <v>2143.9735757696767</v>
      </c>
      <c r="AA12" s="45"/>
    </row>
    <row r="13" spans="2:27" x14ac:dyDescent="0.2">
      <c r="B13" s="4">
        <v>10</v>
      </c>
      <c r="C13" s="4">
        <v>960</v>
      </c>
      <c r="D13" s="23">
        <v>68438.786562109191</v>
      </c>
      <c r="E13" s="33">
        <v>4.8553770420003266</v>
      </c>
      <c r="F13" s="5">
        <v>2</v>
      </c>
      <c r="G13" s="23">
        <v>85</v>
      </c>
      <c r="H13" s="33">
        <v>104.99148961235005</v>
      </c>
      <c r="I13" s="23">
        <v>24.82540831276566</v>
      </c>
      <c r="J13" s="5">
        <v>2198.2744395462264</v>
      </c>
      <c r="K13" s="31"/>
      <c r="L13" s="23">
        <v>72330.920685118152</v>
      </c>
      <c r="M13" s="33">
        <v>4.7703013749996899</v>
      </c>
      <c r="N13" s="5">
        <v>2</v>
      </c>
      <c r="O13" s="5">
        <v>70</v>
      </c>
      <c r="P13" s="33">
        <v>30.602286016037173</v>
      </c>
      <c r="Q13" s="5">
        <v>19.171071442581692</v>
      </c>
      <c r="R13" s="5">
        <v>1834.8486216878887</v>
      </c>
      <c r="S13" s="45"/>
      <c r="T13" s="23">
        <v>78801.605463528496</v>
      </c>
      <c r="U13" s="33">
        <v>4.2198682920006831</v>
      </c>
      <c r="V13" s="5">
        <v>2</v>
      </c>
      <c r="W13" s="5">
        <v>65</v>
      </c>
      <c r="X13" s="33">
        <v>72.976555494180928</v>
      </c>
      <c r="Y13" s="5">
        <v>28.915509903185736</v>
      </c>
      <c r="Z13" s="5">
        <v>2143.9735757696767</v>
      </c>
      <c r="AA13" s="45"/>
    </row>
    <row r="14" spans="2:27" x14ac:dyDescent="0.2">
      <c r="B14" s="46" t="s">
        <v>3</v>
      </c>
      <c r="C14" s="47"/>
      <c r="D14" s="9">
        <f>MIN(D4:D13)</f>
        <v>68438.786562109191</v>
      </c>
      <c r="E14" s="22">
        <f>INDEX(E4:E13, MATCH($D$14, D4:D13, 0))</f>
        <v>4.8068872919975547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104.99148961235005</v>
      </c>
      <c r="I14" s="22">
        <f>INDEX(I4:I13, MATCH($D$14, D4:D13, 0))</f>
        <v>24.82540831276566</v>
      </c>
      <c r="J14" s="22">
        <f>INDEX(J4:J13, MATCH($D$14, D4:D13, 0))</f>
        <v>2198.2744395462264</v>
      </c>
      <c r="K14" s="32"/>
      <c r="L14" s="16">
        <f>MIN(L4:L13)</f>
        <v>72330.920685118152</v>
      </c>
      <c r="M14" s="21">
        <f>INDEX(M4:M13, MATCH($L$14, L4:L13, 0))</f>
        <v>4.7708706249995876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30.602286016037173</v>
      </c>
      <c r="Q14" s="21">
        <f>INDEX(Q4:Q13, MATCH($L$14, L4:L13, 0))</f>
        <v>19.171071442581692</v>
      </c>
      <c r="R14" s="21">
        <f>INDEX(R4:R13, MATCH($L$14, L4:L13, 0))</f>
        <v>1834.8486216878887</v>
      </c>
      <c r="S14" s="42" t="e">
        <f>(L14-$D$15)/$D$15</f>
        <v>#DIV/0!</v>
      </c>
      <c r="T14" s="38">
        <f>MIN(T4:T13)</f>
        <v>78801.605463528496</v>
      </c>
      <c r="U14" s="43">
        <f>INDEX(U4:U13, MATCH($T$14, T4:T13, 0))</f>
        <v>4.1979242090001208</v>
      </c>
      <c r="V14" s="38">
        <f>INDEX(V4:V13, MATCH($T$14, T4:T13, 0))</f>
        <v>2</v>
      </c>
      <c r="W14" s="38">
        <f>INDEX(W4:W13, MATCH($T$14, T4:T13, 0))</f>
        <v>65</v>
      </c>
      <c r="X14" s="43">
        <f>INDEX(X4:X13, MATCH($T$14, T4:T13, 0))</f>
        <v>72.976555494180928</v>
      </c>
      <c r="Y14" s="43">
        <f>INDEX(Y4:Y13, MATCH($T$14, T4:T13, 0))</f>
        <v>28.915509903185736</v>
      </c>
      <c r="Z14" s="43">
        <f>INDEX(Z4:Z13, MATCH($T$14, T4:T13, 0))</f>
        <v>2143.9735757696767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75" priority="9"/>
    <cfRule type="duplicateValues" dxfId="74" priority="10"/>
  </conditionalFormatting>
  <conditionalFormatting sqref="C14">
    <cfRule type="duplicateValues" dxfId="73" priority="5"/>
    <cfRule type="duplicateValues" dxfId="72" priority="6"/>
  </conditionalFormatting>
  <conditionalFormatting sqref="C15:C26">
    <cfRule type="duplicateValues" dxfId="21" priority="3"/>
    <cfRule type="duplicateValues" dxfId="20" priority="4"/>
  </conditionalFormatting>
  <conditionalFormatting sqref="C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F33A-57F5-C040-9430-CD53AF76B905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</v>
      </c>
      <c r="D4" s="23">
        <v>63831.725391357919</v>
      </c>
      <c r="E4" s="33">
        <v>4.8380603750010778</v>
      </c>
      <c r="F4" s="5">
        <v>2</v>
      </c>
      <c r="G4" s="23">
        <v>80</v>
      </c>
      <c r="H4" s="33">
        <v>0</v>
      </c>
      <c r="I4" s="23">
        <v>18.526762434924276</v>
      </c>
      <c r="J4" s="5">
        <v>1668.2267721822759</v>
      </c>
      <c r="K4" s="31"/>
      <c r="L4" s="23">
        <v>68179.729899526341</v>
      </c>
      <c r="M4" s="33">
        <v>4.9413673339986417</v>
      </c>
      <c r="N4" s="5">
        <v>2</v>
      </c>
      <c r="O4" s="5">
        <v>70</v>
      </c>
      <c r="P4" s="33">
        <v>0</v>
      </c>
      <c r="Q4" s="5">
        <v>14.144316135678064</v>
      </c>
      <c r="R4" s="5">
        <v>1461.4572462519884</v>
      </c>
      <c r="S4" s="45"/>
      <c r="T4" s="23">
        <v>70746.957952492783</v>
      </c>
      <c r="U4" s="33">
        <v>4.5581803339991893</v>
      </c>
      <c r="V4" s="5">
        <v>2</v>
      </c>
      <c r="W4" s="5">
        <v>75</v>
      </c>
      <c r="X4" s="33">
        <v>5.27478201446044</v>
      </c>
      <c r="Y4" s="5">
        <v>26.373575202523394</v>
      </c>
      <c r="Z4" s="5">
        <v>1991.4018901619909</v>
      </c>
      <c r="AA4" s="45"/>
    </row>
    <row r="5" spans="2:27" x14ac:dyDescent="0.2">
      <c r="B5" s="4">
        <v>2</v>
      </c>
      <c r="C5" s="4">
        <v>107</v>
      </c>
      <c r="D5" s="23">
        <v>63831.725391357919</v>
      </c>
      <c r="E5" s="33">
        <v>4.8095957500008808</v>
      </c>
      <c r="F5" s="5">
        <v>2</v>
      </c>
      <c r="G5" s="23">
        <v>80</v>
      </c>
      <c r="H5" s="33">
        <v>0</v>
      </c>
      <c r="I5" s="23">
        <v>18.526762434924276</v>
      </c>
      <c r="J5" s="5">
        <v>1668.2267721822759</v>
      </c>
      <c r="K5" s="31"/>
      <c r="L5" s="23">
        <v>71120.323579222255</v>
      </c>
      <c r="M5" s="33">
        <v>4.9943877910009178</v>
      </c>
      <c r="N5" s="5">
        <v>2</v>
      </c>
      <c r="O5" s="5">
        <v>70</v>
      </c>
      <c r="P5" s="33">
        <v>0</v>
      </c>
      <c r="Q5" s="5">
        <v>15.087095620483344</v>
      </c>
      <c r="R5" s="5">
        <v>1671.2701378052366</v>
      </c>
      <c r="S5" s="45"/>
      <c r="T5" s="23">
        <v>70746.957952492783</v>
      </c>
      <c r="U5" s="33">
        <v>4.6142529579992697</v>
      </c>
      <c r="V5" s="5">
        <v>2</v>
      </c>
      <c r="W5" s="5">
        <v>75</v>
      </c>
      <c r="X5" s="33">
        <v>5.27478201446044</v>
      </c>
      <c r="Y5" s="5">
        <v>26.373575202523394</v>
      </c>
      <c r="Z5" s="5">
        <v>1991.4018901619909</v>
      </c>
      <c r="AA5" s="45"/>
    </row>
    <row r="6" spans="2:27" x14ac:dyDescent="0.2">
      <c r="B6" s="4">
        <v>3</v>
      </c>
      <c r="C6" s="4">
        <v>134</v>
      </c>
      <c r="D6" s="23">
        <v>63831.725391357919</v>
      </c>
      <c r="E6" s="33">
        <v>4.9206323750004231</v>
      </c>
      <c r="F6" s="5">
        <v>2</v>
      </c>
      <c r="G6" s="23">
        <v>80</v>
      </c>
      <c r="H6" s="33">
        <v>0</v>
      </c>
      <c r="I6" s="23">
        <v>18.526762434924276</v>
      </c>
      <c r="J6" s="5">
        <v>1668.2267721822759</v>
      </c>
      <c r="K6" s="31"/>
      <c r="L6" s="23">
        <v>68179.729899526341</v>
      </c>
      <c r="M6" s="33">
        <v>5.0188503749996016</v>
      </c>
      <c r="N6" s="5">
        <v>2</v>
      </c>
      <c r="O6" s="5">
        <v>70</v>
      </c>
      <c r="P6" s="33">
        <v>0</v>
      </c>
      <c r="Q6" s="5">
        <v>14.144316135678064</v>
      </c>
      <c r="R6" s="5">
        <v>1461.4572462519884</v>
      </c>
      <c r="S6" s="45"/>
      <c r="T6" s="23">
        <v>70746.957952492783</v>
      </c>
      <c r="U6" s="33">
        <v>4.6550722920001144</v>
      </c>
      <c r="V6" s="5">
        <v>2</v>
      </c>
      <c r="W6" s="5">
        <v>75</v>
      </c>
      <c r="X6" s="33">
        <v>5.27478201446044</v>
      </c>
      <c r="Y6" s="5">
        <v>26.373575202523394</v>
      </c>
      <c r="Z6" s="5">
        <v>1991.4018901619909</v>
      </c>
      <c r="AA6" s="45"/>
    </row>
    <row r="7" spans="2:27" x14ac:dyDescent="0.2">
      <c r="B7" s="4">
        <v>4</v>
      </c>
      <c r="C7" s="4">
        <v>185</v>
      </c>
      <c r="D7" s="23">
        <v>63831.725391357919</v>
      </c>
      <c r="E7" s="33">
        <v>4.8298974169993016</v>
      </c>
      <c r="F7" s="5">
        <v>2</v>
      </c>
      <c r="G7" s="23">
        <v>80</v>
      </c>
      <c r="H7" s="33">
        <v>0</v>
      </c>
      <c r="I7" s="23">
        <v>18.526762434924276</v>
      </c>
      <c r="J7" s="5">
        <v>1668.2267721822759</v>
      </c>
      <c r="K7" s="31"/>
      <c r="L7" s="23">
        <v>68179.729899526341</v>
      </c>
      <c r="M7" s="33">
        <v>4.9801507909996872</v>
      </c>
      <c r="N7" s="5">
        <v>2</v>
      </c>
      <c r="O7" s="5">
        <v>70</v>
      </c>
      <c r="P7" s="33">
        <v>0</v>
      </c>
      <c r="Q7" s="5">
        <v>14.144316135678064</v>
      </c>
      <c r="R7" s="5">
        <v>1461.4572462519884</v>
      </c>
      <c r="S7" s="45"/>
      <c r="T7" s="23">
        <v>70746.957952492783</v>
      </c>
      <c r="U7" s="33">
        <v>4.5572668330005399</v>
      </c>
      <c r="V7" s="5">
        <v>2</v>
      </c>
      <c r="W7" s="5">
        <v>75</v>
      </c>
      <c r="X7" s="33">
        <v>5.27478201446044</v>
      </c>
      <c r="Y7" s="5">
        <v>26.373575202523394</v>
      </c>
      <c r="Z7" s="5">
        <v>1991.4018901619909</v>
      </c>
      <c r="AA7" s="45"/>
    </row>
    <row r="8" spans="2:27" x14ac:dyDescent="0.2">
      <c r="B8" s="4">
        <v>5</v>
      </c>
      <c r="C8" s="4">
        <v>499</v>
      </c>
      <c r="D8" s="23">
        <v>63831.725391357919</v>
      </c>
      <c r="E8" s="33">
        <v>4.8427304160031781</v>
      </c>
      <c r="F8" s="5">
        <v>2</v>
      </c>
      <c r="G8" s="23">
        <v>80</v>
      </c>
      <c r="H8" s="33">
        <v>0</v>
      </c>
      <c r="I8" s="23">
        <v>18.526762434924276</v>
      </c>
      <c r="J8" s="5">
        <v>1668.2267721822759</v>
      </c>
      <c r="K8" s="31"/>
      <c r="L8" s="23">
        <v>68179.729899526341</v>
      </c>
      <c r="M8" s="33">
        <v>4.84459170899936</v>
      </c>
      <c r="N8" s="5">
        <v>2</v>
      </c>
      <c r="O8" s="5">
        <v>70</v>
      </c>
      <c r="P8" s="33">
        <v>0</v>
      </c>
      <c r="Q8" s="5">
        <v>14.144316135678064</v>
      </c>
      <c r="R8" s="5">
        <v>1461.4572462519884</v>
      </c>
      <c r="S8" s="45"/>
      <c r="T8" s="23">
        <v>70746.957952492783</v>
      </c>
      <c r="U8" s="33">
        <v>4.5456823340009578</v>
      </c>
      <c r="V8" s="5">
        <v>2</v>
      </c>
      <c r="W8" s="5">
        <v>75</v>
      </c>
      <c r="X8" s="33">
        <v>5.27478201446044</v>
      </c>
      <c r="Y8" s="5">
        <v>26.373575202523394</v>
      </c>
      <c r="Z8" s="5">
        <v>1991.4018901619909</v>
      </c>
      <c r="AA8" s="45"/>
    </row>
    <row r="9" spans="2:27" x14ac:dyDescent="0.2">
      <c r="B9" s="4">
        <v>6</v>
      </c>
      <c r="C9" s="4">
        <v>542</v>
      </c>
      <c r="D9" s="23">
        <v>63831.725391357919</v>
      </c>
      <c r="E9" s="33">
        <v>4.8135653749995981</v>
      </c>
      <c r="F9" s="5">
        <v>2</v>
      </c>
      <c r="G9" s="23">
        <v>80</v>
      </c>
      <c r="H9" s="33">
        <v>0</v>
      </c>
      <c r="I9" s="23">
        <v>18.526762434924276</v>
      </c>
      <c r="J9" s="5">
        <v>1668.2267721822759</v>
      </c>
      <c r="K9" s="31"/>
      <c r="L9" s="23">
        <v>68179.729899526341</v>
      </c>
      <c r="M9" s="33">
        <v>4.9145237499997174</v>
      </c>
      <c r="N9" s="5">
        <v>2</v>
      </c>
      <c r="O9" s="5">
        <v>70</v>
      </c>
      <c r="P9" s="33">
        <v>0</v>
      </c>
      <c r="Q9" s="5">
        <v>14.144316135678064</v>
      </c>
      <c r="R9" s="5">
        <v>1461.4572462519884</v>
      </c>
      <c r="S9" s="45"/>
      <c r="T9" s="23">
        <v>70746.957952492783</v>
      </c>
      <c r="U9" s="33">
        <v>4.5583129999995444</v>
      </c>
      <c r="V9" s="5">
        <v>2</v>
      </c>
      <c r="W9" s="5">
        <v>75</v>
      </c>
      <c r="X9" s="33">
        <v>5.27478201446044</v>
      </c>
      <c r="Y9" s="5">
        <v>26.373575202523394</v>
      </c>
      <c r="Z9" s="5">
        <v>1991.4018901619909</v>
      </c>
      <c r="AA9" s="45"/>
    </row>
    <row r="10" spans="2:27" x14ac:dyDescent="0.2">
      <c r="B10" s="4">
        <v>7</v>
      </c>
      <c r="C10" s="4">
        <v>654</v>
      </c>
      <c r="D10" s="23">
        <v>63831.725391357919</v>
      </c>
      <c r="E10" s="33">
        <v>4.9011349579996022</v>
      </c>
      <c r="F10" s="5">
        <v>2</v>
      </c>
      <c r="G10" s="23">
        <v>80</v>
      </c>
      <c r="H10" s="33">
        <v>0</v>
      </c>
      <c r="I10" s="23">
        <v>18.526762434924276</v>
      </c>
      <c r="J10" s="5">
        <v>1668.2267721822759</v>
      </c>
      <c r="K10" s="31"/>
      <c r="L10" s="23">
        <v>68179.729899526341</v>
      </c>
      <c r="M10" s="33">
        <v>4.8061548749992653</v>
      </c>
      <c r="N10" s="5">
        <v>2</v>
      </c>
      <c r="O10" s="5">
        <v>70</v>
      </c>
      <c r="P10" s="33">
        <v>0</v>
      </c>
      <c r="Q10" s="5">
        <v>14.144316135678064</v>
      </c>
      <c r="R10" s="5">
        <v>1461.4572462519884</v>
      </c>
      <c r="S10" s="45"/>
      <c r="T10" s="23">
        <v>70746.957952492783</v>
      </c>
      <c r="U10" s="33">
        <v>4.4279867920013203</v>
      </c>
      <c r="V10" s="5">
        <v>2</v>
      </c>
      <c r="W10" s="5">
        <v>75</v>
      </c>
      <c r="X10" s="33">
        <v>5.27478201446044</v>
      </c>
      <c r="Y10" s="5">
        <v>26.373575202523394</v>
      </c>
      <c r="Z10" s="5">
        <v>1991.4018901619909</v>
      </c>
      <c r="AA10" s="45"/>
    </row>
    <row r="11" spans="2:27" x14ac:dyDescent="0.2">
      <c r="B11" s="4">
        <v>8</v>
      </c>
      <c r="C11" s="4">
        <v>696</v>
      </c>
      <c r="D11" s="23">
        <v>63831.725391357919</v>
      </c>
      <c r="E11" s="33">
        <v>4.8742732910031918</v>
      </c>
      <c r="F11" s="5">
        <v>2</v>
      </c>
      <c r="G11" s="23">
        <v>80</v>
      </c>
      <c r="H11" s="33">
        <v>0</v>
      </c>
      <c r="I11" s="23">
        <v>18.526762434924276</v>
      </c>
      <c r="J11" s="5">
        <v>1668.2267721822759</v>
      </c>
      <c r="K11" s="31"/>
      <c r="L11" s="23">
        <v>68179.729899526341</v>
      </c>
      <c r="M11" s="33">
        <v>4.756008042000758</v>
      </c>
      <c r="N11" s="5">
        <v>2</v>
      </c>
      <c r="O11" s="5">
        <v>70</v>
      </c>
      <c r="P11" s="33">
        <v>0</v>
      </c>
      <c r="Q11" s="5">
        <v>14.144316135678064</v>
      </c>
      <c r="R11" s="5">
        <v>1461.4572462519884</v>
      </c>
      <c r="S11" s="45"/>
      <c r="T11" s="23">
        <v>70746.957952492783</v>
      </c>
      <c r="U11" s="33">
        <v>4.4886932080007682</v>
      </c>
      <c r="V11" s="5">
        <v>2</v>
      </c>
      <c r="W11" s="5">
        <v>75</v>
      </c>
      <c r="X11" s="33">
        <v>5.27478201446044</v>
      </c>
      <c r="Y11" s="5">
        <v>26.373575202523394</v>
      </c>
      <c r="Z11" s="5">
        <v>1991.4018901619909</v>
      </c>
      <c r="AA11" s="45"/>
    </row>
    <row r="12" spans="2:27" x14ac:dyDescent="0.2">
      <c r="B12" s="4">
        <v>9</v>
      </c>
      <c r="C12" s="4">
        <v>854</v>
      </c>
      <c r="D12" s="23">
        <v>63831.725391357919</v>
      </c>
      <c r="E12" s="33">
        <v>4.7913901249994524</v>
      </c>
      <c r="F12" s="5">
        <v>2</v>
      </c>
      <c r="G12" s="23">
        <v>80</v>
      </c>
      <c r="H12" s="33">
        <v>0</v>
      </c>
      <c r="I12" s="23">
        <v>18.526762434924276</v>
      </c>
      <c r="J12" s="5">
        <v>1668.2267721822759</v>
      </c>
      <c r="K12" s="31"/>
      <c r="L12" s="23">
        <v>68179.729899526341</v>
      </c>
      <c r="M12" s="33">
        <v>4.8648268750002899</v>
      </c>
      <c r="N12" s="5">
        <v>2</v>
      </c>
      <c r="O12" s="5">
        <v>70</v>
      </c>
      <c r="P12" s="33">
        <v>0</v>
      </c>
      <c r="Q12" s="5">
        <v>14.144316135678064</v>
      </c>
      <c r="R12" s="5">
        <v>1461.4572462519884</v>
      </c>
      <c r="S12" s="45"/>
      <c r="T12" s="23">
        <v>70746.957952492783</v>
      </c>
      <c r="U12" s="33">
        <v>4.5347661670002708</v>
      </c>
      <c r="V12" s="5">
        <v>2</v>
      </c>
      <c r="W12" s="5">
        <v>75</v>
      </c>
      <c r="X12" s="33">
        <v>5.27478201446044</v>
      </c>
      <c r="Y12" s="5">
        <v>26.373575202523394</v>
      </c>
      <c r="Z12" s="5">
        <v>1991.4018901619909</v>
      </c>
      <c r="AA12" s="45"/>
    </row>
    <row r="13" spans="2:27" x14ac:dyDescent="0.2">
      <c r="B13" s="4">
        <v>10</v>
      </c>
      <c r="C13" s="4">
        <v>882</v>
      </c>
      <c r="D13" s="23">
        <v>63831.725391357919</v>
      </c>
      <c r="E13" s="33">
        <v>4.8402747500003898</v>
      </c>
      <c r="F13" s="5">
        <v>2</v>
      </c>
      <c r="G13" s="23">
        <v>80</v>
      </c>
      <c r="H13" s="33">
        <v>0</v>
      </c>
      <c r="I13" s="23">
        <v>18.526762434924276</v>
      </c>
      <c r="J13" s="5">
        <v>1668.2267721822759</v>
      </c>
      <c r="K13" s="31"/>
      <c r="L13" s="23">
        <v>71120.323579222255</v>
      </c>
      <c r="M13" s="33">
        <v>4.7345808750014839</v>
      </c>
      <c r="N13" s="5">
        <v>2</v>
      </c>
      <c r="O13" s="5">
        <v>70</v>
      </c>
      <c r="P13" s="33">
        <v>0</v>
      </c>
      <c r="Q13" s="5">
        <v>15.087095620483344</v>
      </c>
      <c r="R13" s="5">
        <v>1671.2701378052366</v>
      </c>
      <c r="S13" s="45"/>
      <c r="T13" s="23">
        <v>70746.957952492783</v>
      </c>
      <c r="U13" s="33">
        <v>4.4637367079994874</v>
      </c>
      <c r="V13" s="5">
        <v>2</v>
      </c>
      <c r="W13" s="5">
        <v>75</v>
      </c>
      <c r="X13" s="33">
        <v>5.27478201446044</v>
      </c>
      <c r="Y13" s="5">
        <v>26.373575202523394</v>
      </c>
      <c r="Z13" s="5">
        <v>1991.4018901619909</v>
      </c>
      <c r="AA13" s="45"/>
    </row>
    <row r="14" spans="2:27" x14ac:dyDescent="0.2">
      <c r="B14" s="46" t="s">
        <v>3</v>
      </c>
      <c r="C14" s="47"/>
      <c r="D14" s="9">
        <f>MIN(D4:D13)</f>
        <v>63831.725391357919</v>
      </c>
      <c r="E14" s="22">
        <f>INDEX(E4:E13, MATCH($D$14, D4:D13, 0))</f>
        <v>4.8380603750010778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18.526762434924276</v>
      </c>
      <c r="J14" s="22">
        <f>INDEX(J4:J13, MATCH($D$14, D4:D13, 0))</f>
        <v>1668.2267721822759</v>
      </c>
      <c r="K14" s="32"/>
      <c r="L14" s="16">
        <f>MIN(L4:L13)</f>
        <v>68179.729899526341</v>
      </c>
      <c r="M14" s="21">
        <f>INDEX(M4:M13, MATCH($L$14, L4:L13, 0))</f>
        <v>4.9413673339986417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14.144316135678064</v>
      </c>
      <c r="R14" s="21">
        <f>INDEX(R4:R13, MATCH($L$14, L4:L13, 0))</f>
        <v>1461.4572462519884</v>
      </c>
      <c r="S14" s="42" t="e">
        <f>(L14-$D$15)/$D$15</f>
        <v>#DIV/0!</v>
      </c>
      <c r="T14" s="38">
        <f>MIN(T4:T13)</f>
        <v>70746.957952492783</v>
      </c>
      <c r="U14" s="43">
        <f>INDEX(U4:U13, MATCH($T$14, T4:T13, 0))</f>
        <v>4.5581803339991893</v>
      </c>
      <c r="V14" s="38">
        <f>INDEX(V4:V13, MATCH($T$14, T4:T13, 0))</f>
        <v>2</v>
      </c>
      <c r="W14" s="38">
        <f>INDEX(W4:W13, MATCH($T$14, T4:T13, 0))</f>
        <v>75</v>
      </c>
      <c r="X14" s="43">
        <f>INDEX(X4:X13, MATCH($T$14, T4:T13, 0))</f>
        <v>5.27478201446044</v>
      </c>
      <c r="Y14" s="43">
        <f>INDEX(Y4:Y13, MATCH($T$14, T4:T13, 0))</f>
        <v>26.373575202523394</v>
      </c>
      <c r="Z14" s="43">
        <f>INDEX(Z4:Z13, MATCH($T$14, T4:T13, 0))</f>
        <v>1991.4018901619909</v>
      </c>
      <c r="AA14" s="44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7:C1048576 C3:C13">
    <cfRule type="duplicateValues" dxfId="71" priority="9"/>
    <cfRule type="duplicateValues" dxfId="70" priority="10"/>
  </conditionalFormatting>
  <conditionalFormatting sqref="C14">
    <cfRule type="duplicateValues" dxfId="69" priority="5"/>
    <cfRule type="duplicateValues" dxfId="68" priority="6"/>
  </conditionalFormatting>
  <conditionalFormatting sqref="C15:C26">
    <cfRule type="duplicateValues" dxfId="19" priority="3"/>
    <cfRule type="duplicateValues" dxfId="18" priority="4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</vt:lpstr>
      <vt:lpstr>results224</vt:lpstr>
      <vt:lpstr>results418</vt:lpstr>
      <vt:lpstr>results466</vt:lpstr>
      <vt:lpstr>results575</vt:lpstr>
      <vt:lpstr>results594</vt:lpstr>
      <vt:lpstr>results623</vt:lpstr>
      <vt:lpstr>results870</vt:lpstr>
      <vt:lpstr>results883</vt:lpstr>
      <vt:lpstr>results935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2026-10-15T21:31:33Z</dcterms:modified>
</cp:coreProperties>
</file>