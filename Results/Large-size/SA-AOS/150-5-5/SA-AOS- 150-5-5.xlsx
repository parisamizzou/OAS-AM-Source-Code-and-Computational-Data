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150-5-5/"/>
    </mc:Choice>
  </mc:AlternateContent>
  <xr:revisionPtr revIDLastSave="0" documentId="13_ncr:1_{A5E277E6-68CA-964D-B170-C0793593FD2A}" xr6:coauthVersionLast="47" xr6:coauthVersionMax="47" xr10:uidLastSave="{00000000-0000-0000-0000-000000000000}"/>
  <bookViews>
    <workbookView xWindow="0" yWindow="760" windowWidth="34560" windowHeight="20520" tabRatio="802" activeTab="10" xr2:uid="{41E620E7-D6DF-9342-B452-EA60AB3B07C5}"/>
  </bookViews>
  <sheets>
    <sheet name="Summary" sheetId="75" r:id="rId1"/>
    <sheet name="results107" sheetId="57" r:id="rId2"/>
    <sheet name="results130" sheetId="58" r:id="rId3"/>
    <sheet name="results191" sheetId="67" r:id="rId4"/>
    <sheet name="results199" sheetId="68" r:id="rId5"/>
    <sheet name="results211" sheetId="69" r:id="rId6"/>
    <sheet name="results299" sheetId="74" r:id="rId7"/>
    <sheet name="results603" sheetId="70" r:id="rId8"/>
    <sheet name="results732" sheetId="71" r:id="rId9"/>
    <sheet name="results986" sheetId="72" r:id="rId10"/>
    <sheet name="results990" sheetId="73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V5" i="75" a="1"/>
  <c r="C10" i="75" a="1"/>
  <c r="U8" i="75" a="1"/>
  <c r="N4" i="75" a="1"/>
  <c r="E5" i="75" a="1"/>
  <c r="X11" i="75" a="1"/>
  <c r="Y3" i="75" a="1"/>
  <c r="E3" i="75" a="1"/>
  <c r="M3" i="75" a="1"/>
  <c r="S5" i="75" a="1"/>
  <c r="O11" i="75" a="1"/>
  <c r="Q5" i="75" a="1"/>
  <c r="K6" i="75" a="1"/>
  <c r="M5" i="75" a="1"/>
  <c r="K5" i="75" a="1"/>
  <c r="V6" i="75" a="1"/>
  <c r="U7" i="75" a="1"/>
  <c r="O9" i="75" a="1"/>
  <c r="P5" i="75" a="1"/>
  <c r="S12" i="75" a="1"/>
  <c r="O10" i="75" a="1"/>
  <c r="N6" i="75" a="1"/>
  <c r="M4" i="75" a="1"/>
  <c r="X12" i="75" a="1"/>
  <c r="G3" i="75" a="1"/>
  <c r="O5" i="75" a="1"/>
  <c r="W7" i="75" a="1"/>
  <c r="Y4" i="75" a="1"/>
  <c r="E6" i="75" a="1"/>
  <c r="K12" i="75" a="1"/>
  <c r="I8" i="75" a="1"/>
  <c r="O3" i="75" a="1"/>
  <c r="Y7" i="75" a="1"/>
  <c r="V7" i="75" a="1"/>
  <c r="Q4" i="75" a="1"/>
  <c r="U4" i="75" a="1"/>
  <c r="H4" i="75" a="1"/>
  <c r="Q3" i="75" a="1"/>
  <c r="G6" i="75" a="1"/>
  <c r="Q8" i="75" a="1"/>
  <c r="K11" i="75" a="1"/>
  <c r="C4" i="75" a="1"/>
  <c r="O12" i="75" a="1"/>
  <c r="H9" i="75" a="1"/>
  <c r="S10" i="75" a="1"/>
  <c r="C5" i="75" a="1"/>
  <c r="K10" i="75" a="1"/>
  <c r="Q12" i="75" a="1"/>
  <c r="G8" i="75" a="1"/>
  <c r="E9" i="75" a="1"/>
  <c r="V11" i="75" a="1"/>
  <c r="C9" i="75" a="1"/>
  <c r="S3" i="75" a="1"/>
  <c r="M8" i="75" a="1"/>
  <c r="Q11" i="75" a="1"/>
  <c r="H7" i="75" a="1"/>
  <c r="X5" i="75" a="1"/>
  <c r="M10" i="75" a="1"/>
  <c r="X3" i="75" a="1"/>
  <c r="U6" i="75" a="1"/>
  <c r="S8" i="75" a="1"/>
  <c r="I3" i="75" a="1"/>
  <c r="P11" i="75" a="1"/>
  <c r="Y10" i="75" a="1"/>
  <c r="E8" i="75" a="1"/>
  <c r="W8" i="75" a="1"/>
  <c r="N8" i="75" a="1"/>
  <c r="S4" i="75" a="1"/>
  <c r="W12" i="75" a="1"/>
  <c r="Q7" i="75" a="1"/>
  <c r="I7" i="75" a="1"/>
  <c r="O7" i="75" a="1"/>
  <c r="Y6" i="75" a="1"/>
  <c r="N5" i="75" a="1"/>
  <c r="V9" i="75" a="1"/>
  <c r="X7" i="75" a="1"/>
  <c r="Q9" i="75" a="1"/>
  <c r="M6" i="75" a="1"/>
  <c r="W4" i="75" a="1"/>
  <c r="M9" i="75" a="1"/>
  <c r="W3" i="75" a="1"/>
  <c r="F10" i="75" a="1"/>
  <c r="W5" i="75" a="1"/>
  <c r="U10" i="75" a="1"/>
  <c r="E7" i="75" a="1"/>
  <c r="O8" i="75" a="1"/>
  <c r="Y11" i="75" a="1"/>
  <c r="U3" i="75" a="1"/>
  <c r="F9" i="75" a="1"/>
  <c r="G7" i="75" a="1"/>
  <c r="Y5" i="75" a="1"/>
  <c r="N3" i="75" a="1"/>
  <c r="F4" i="75" a="1"/>
  <c r="H5" i="75" a="1"/>
  <c r="X9" i="75" a="1"/>
  <c r="H6" i="75" a="1"/>
  <c r="V4" i="75" a="1"/>
  <c r="S11" i="75" a="1"/>
  <c r="P4" i="75" a="1"/>
  <c r="P12" i="75" a="1"/>
  <c r="H3" i="75" a="1"/>
  <c r="K4" i="75" a="1"/>
  <c r="C7" i="75" a="1"/>
  <c r="W11" i="75" a="1"/>
  <c r="N11" i="75" a="1"/>
  <c r="X4" i="75" a="1"/>
  <c r="F7" i="75" a="1"/>
  <c r="O6" i="75" a="1"/>
  <c r="E4" i="75" a="1"/>
  <c r="O4" i="75" a="1"/>
  <c r="P3" i="75" a="1"/>
  <c r="K9" i="75" a="1"/>
  <c r="I5" i="75" a="1"/>
  <c r="G10" i="75" a="1"/>
  <c r="C3" i="75" a="1"/>
  <c r="Y12" i="75" a="1"/>
  <c r="N12" i="75" a="1"/>
  <c r="V12" i="75" a="1"/>
  <c r="N7" i="75" a="1"/>
  <c r="E10" i="75" a="1"/>
  <c r="M12" i="75" a="1"/>
  <c r="N9" i="75" a="1"/>
  <c r="F5" i="75" a="1"/>
  <c r="V3" i="75" a="1"/>
  <c r="F6" i="75" a="1"/>
  <c r="I6" i="75" a="1"/>
  <c r="P10" i="75" a="1"/>
  <c r="F3" i="75" a="1"/>
  <c r="W9" i="75" a="1"/>
  <c r="S9" i="75" a="1"/>
  <c r="G5" i="75" a="1"/>
  <c r="X10" i="75" a="1"/>
  <c r="P9" i="75" a="1"/>
  <c r="X6" i="75" a="1"/>
  <c r="Q6" i="75" a="1"/>
  <c r="K7" i="75" a="1"/>
  <c r="U11" i="75" a="1"/>
  <c r="P6" i="75" a="1"/>
  <c r="S6" i="75" a="1"/>
  <c r="P8" i="75" a="1"/>
  <c r="K3" i="75" a="1"/>
  <c r="V10" i="75" a="1"/>
  <c r="G9" i="75" a="1"/>
  <c r="I9" i="75" a="1"/>
  <c r="P7" i="75" a="1"/>
  <c r="K8" i="75" a="1"/>
  <c r="U12" i="75" a="1"/>
  <c r="U9" i="75" a="1"/>
  <c r="F8" i="75" a="1"/>
  <c r="S7" i="75" a="1"/>
  <c r="I10" i="75" a="1"/>
  <c r="H8" i="75" a="1"/>
  <c r="X8" i="75" a="1"/>
  <c r="M11" i="75" a="1"/>
  <c r="C6" i="75" a="1"/>
  <c r="W6" i="75" a="1"/>
  <c r="U5" i="75" a="1"/>
  <c r="N10" i="75" a="1"/>
  <c r="Y9" i="75" a="1"/>
  <c r="C8" i="75" a="1"/>
  <c r="I4" i="75" a="1"/>
  <c r="G4" i="75" a="1"/>
  <c r="Y8" i="75" a="1"/>
  <c r="W10" i="75" a="1"/>
  <c r="V8" i="75" a="1"/>
  <c r="Q10" i="75" a="1"/>
  <c r="H10" i="75" a="1"/>
  <c r="H10" i="75" l="1"/>
  <c r="N4" i="75"/>
  <c r="Y10" i="75"/>
  <c r="E5" i="75"/>
  <c r="V4" i="75"/>
  <c r="F3" i="75"/>
  <c r="G7" i="75"/>
  <c r="P3" i="75"/>
  <c r="O12" i="75"/>
  <c r="M8" i="75"/>
  <c r="M10" i="75"/>
  <c r="O3" i="75"/>
  <c r="X5" i="75"/>
  <c r="F10" i="75"/>
  <c r="C7" i="75"/>
  <c r="H4" i="75"/>
  <c r="Q9" i="75"/>
  <c r="S8" i="75"/>
  <c r="P10" i="75"/>
  <c r="U9" i="75"/>
  <c r="U5" i="75"/>
  <c r="W6" i="75"/>
  <c r="S11" i="75"/>
  <c r="W9" i="75"/>
  <c r="O6" i="75"/>
  <c r="Y5" i="75"/>
  <c r="U3" i="75"/>
  <c r="Q6" i="75"/>
  <c r="M5" i="75"/>
  <c r="W11" i="75"/>
  <c r="G9" i="75"/>
  <c r="N11" i="75"/>
  <c r="U12" i="75"/>
  <c r="O4" i="75"/>
  <c r="I3" i="75"/>
  <c r="M6" i="75"/>
  <c r="W12" i="75"/>
  <c r="G10" i="75"/>
  <c r="F4" i="75"/>
  <c r="S7" i="75"/>
  <c r="U8" i="75"/>
  <c r="K10" i="75"/>
  <c r="Y3" i="75"/>
  <c r="V10" i="75"/>
  <c r="K12" i="75"/>
  <c r="C6" i="75"/>
  <c r="E6" i="75"/>
  <c r="N12" i="75"/>
  <c r="Y6" i="75"/>
  <c r="U4" i="75"/>
  <c r="V3" i="75"/>
  <c r="N10" i="75"/>
  <c r="P5" i="75"/>
  <c r="K11" i="75"/>
  <c r="Q10" i="75"/>
  <c r="K4" i="75"/>
  <c r="P7" i="75"/>
  <c r="F9" i="75"/>
  <c r="C9" i="75"/>
  <c r="M4" i="75"/>
  <c r="P12" i="75"/>
  <c r="N9" i="75"/>
  <c r="P4" i="75"/>
  <c r="F5" i="75"/>
  <c r="X4" i="75"/>
  <c r="U11" i="75"/>
  <c r="G4" i="75"/>
  <c r="V12" i="75"/>
  <c r="K8" i="75"/>
  <c r="V7" i="75"/>
  <c r="X3" i="75"/>
  <c r="M3" i="75"/>
  <c r="W5" i="75"/>
  <c r="I9" i="75"/>
  <c r="X7" i="75"/>
  <c r="O7" i="75"/>
  <c r="I4" i="75"/>
  <c r="U6" i="75"/>
  <c r="C4" i="75"/>
  <c r="I8" i="75"/>
  <c r="E4" i="75"/>
  <c r="O11" i="75"/>
  <c r="N7" i="75"/>
  <c r="W4" i="75"/>
  <c r="O8" i="75"/>
  <c r="G5" i="75"/>
  <c r="V9" i="75"/>
  <c r="P9" i="75"/>
  <c r="E7" i="75"/>
  <c r="H6" i="75"/>
  <c r="M12" i="75"/>
  <c r="S4" i="75"/>
  <c r="Q11" i="75"/>
  <c r="X10" i="75"/>
  <c r="Y11" i="75"/>
  <c r="X6" i="75"/>
  <c r="K3" i="75"/>
  <c r="I6" i="75"/>
  <c r="F8" i="75"/>
  <c r="V6" i="75"/>
  <c r="W8" i="75"/>
  <c r="H9" i="75"/>
  <c r="C5" i="75"/>
  <c r="F7" i="75"/>
  <c r="N8" i="75"/>
  <c r="H5" i="75"/>
  <c r="Q8" i="75"/>
  <c r="O5" i="75"/>
  <c r="W7" i="75"/>
  <c r="I10" i="75"/>
  <c r="E8" i="75"/>
  <c r="Y8" i="75"/>
  <c r="G6" i="75"/>
  <c r="S5" i="75"/>
  <c r="Y9" i="75"/>
  <c r="N3" i="75"/>
  <c r="G3" i="75"/>
  <c r="S6" i="75"/>
  <c r="S12" i="75"/>
  <c r="S9" i="75"/>
  <c r="X11" i="75"/>
  <c r="N6" i="75"/>
  <c r="C3" i="75"/>
  <c r="X8" i="75"/>
  <c r="Y4" i="75"/>
  <c r="Q3" i="75"/>
  <c r="I7" i="75"/>
  <c r="P8" i="75"/>
  <c r="G8" i="75"/>
  <c r="H8" i="75"/>
  <c r="U10" i="75"/>
  <c r="S3" i="75"/>
  <c r="P6" i="75"/>
  <c r="W10" i="75"/>
  <c r="Q7" i="75"/>
  <c r="M9" i="75"/>
  <c r="Q12" i="75"/>
  <c r="M11" i="75"/>
  <c r="S10" i="75"/>
  <c r="P11" i="75"/>
  <c r="Y7" i="75"/>
  <c r="K7" i="75"/>
  <c r="W3" i="75"/>
  <c r="F6" i="75"/>
  <c r="K6" i="75"/>
  <c r="E9" i="75"/>
  <c r="H3" i="75"/>
  <c r="I5" i="75"/>
  <c r="H7" i="75"/>
  <c r="X12" i="75"/>
  <c r="E3" i="75"/>
  <c r="V5" i="75"/>
  <c r="K5" i="75"/>
  <c r="U7" i="75"/>
  <c r="K9" i="75"/>
  <c r="N5" i="75"/>
  <c r="Q5" i="75"/>
  <c r="X9" i="75"/>
  <c r="E10" i="75"/>
  <c r="O10" i="75"/>
  <c r="Y12" i="75"/>
  <c r="Q4" i="75"/>
  <c r="V8" i="75"/>
  <c r="C8" i="75"/>
  <c r="C10" i="75"/>
  <c r="V11" i="75"/>
  <c r="O9" i="75"/>
  <c r="L14" i="72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S16" i="75" l="1"/>
  <c r="K16" i="75"/>
  <c r="K13" i="75"/>
  <c r="R13" i="75" s="1"/>
  <c r="N13" i="75"/>
  <c r="V13" i="75"/>
  <c r="O13" i="75"/>
  <c r="S13" i="75"/>
  <c r="Z13" i="75" s="1"/>
  <c r="Y13" i="75"/>
  <c r="U13" i="75"/>
  <c r="P13" i="75"/>
  <c r="W13" i="75"/>
  <c r="Q13" i="75"/>
  <c r="X13" i="75"/>
  <c r="L14" i="73"/>
  <c r="L14" i="70"/>
  <c r="M14" i="70" s="1"/>
  <c r="L14" i="71"/>
  <c r="N14" i="71" s="1"/>
  <c r="L14" i="74"/>
  <c r="N14" i="74" s="1"/>
  <c r="L14" i="69"/>
  <c r="R14" i="69" s="1"/>
  <c r="L14" i="67"/>
  <c r="S14" i="67" s="1"/>
  <c r="L14" i="68"/>
  <c r="L14" i="58"/>
  <c r="L14" i="57"/>
  <c r="T14" i="73"/>
  <c r="T14" i="72"/>
  <c r="T14" i="71"/>
  <c r="V14" i="71" s="1"/>
  <c r="T14" i="70"/>
  <c r="AA14" i="70" s="1"/>
  <c r="T14" i="74"/>
  <c r="T14" i="69"/>
  <c r="AA14" i="69" s="1"/>
  <c r="T14" i="68"/>
  <c r="X14" i="68" s="1"/>
  <c r="T14" i="67"/>
  <c r="T14" i="58"/>
  <c r="D14" i="74"/>
  <c r="T15" i="74" s="1"/>
  <c r="S14" i="74"/>
  <c r="R14" i="74"/>
  <c r="Q14" i="74"/>
  <c r="P14" i="74"/>
  <c r="M14" i="74"/>
  <c r="AA14" i="74"/>
  <c r="Z14" i="74"/>
  <c r="Y14" i="74"/>
  <c r="U14" i="74"/>
  <c r="X14" i="74"/>
  <c r="W14" i="74"/>
  <c r="V14" i="74"/>
  <c r="W14" i="70"/>
  <c r="V14" i="70"/>
  <c r="S14" i="70"/>
  <c r="R14" i="70"/>
  <c r="Q14" i="70"/>
  <c r="N14" i="70"/>
  <c r="P14" i="70"/>
  <c r="O14" i="70"/>
  <c r="AA14" i="73"/>
  <c r="Z14" i="73"/>
  <c r="Y14" i="73"/>
  <c r="X14" i="73"/>
  <c r="W14" i="73"/>
  <c r="V14" i="73"/>
  <c r="U14" i="73"/>
  <c r="D14" i="72"/>
  <c r="D14" i="70"/>
  <c r="T15" i="70" s="1"/>
  <c r="S14" i="73"/>
  <c r="R14" i="73"/>
  <c r="Q14" i="73"/>
  <c r="P14" i="73"/>
  <c r="M14" i="73"/>
  <c r="O14" i="73"/>
  <c r="N14" i="73"/>
  <c r="AA14" i="72"/>
  <c r="Z14" i="72"/>
  <c r="Y14" i="72"/>
  <c r="X14" i="72"/>
  <c r="W14" i="72"/>
  <c r="V14" i="72"/>
  <c r="U14" i="72"/>
  <c r="D14" i="71"/>
  <c r="T15" i="71" s="1"/>
  <c r="AA14" i="71"/>
  <c r="Z14" i="71"/>
  <c r="W14" i="71"/>
  <c r="U14" i="71"/>
  <c r="D14" i="73"/>
  <c r="S14" i="72"/>
  <c r="R14" i="72"/>
  <c r="Q14" i="72"/>
  <c r="P14" i="72"/>
  <c r="O14" i="72"/>
  <c r="N14" i="72"/>
  <c r="M14" i="72"/>
  <c r="S14" i="71"/>
  <c r="R14" i="71"/>
  <c r="Q14" i="71"/>
  <c r="P14" i="71"/>
  <c r="O14" i="71"/>
  <c r="Z14" i="69"/>
  <c r="Y14" i="69"/>
  <c r="X14" i="69"/>
  <c r="W14" i="69"/>
  <c r="V14" i="69"/>
  <c r="U14" i="69"/>
  <c r="D14" i="69"/>
  <c r="T15" i="69" s="1"/>
  <c r="AA14" i="68"/>
  <c r="Z14" i="68"/>
  <c r="Y14" i="68"/>
  <c r="W14" i="68"/>
  <c r="V14" i="68"/>
  <c r="U14" i="68"/>
  <c r="S14" i="68"/>
  <c r="R14" i="68"/>
  <c r="O14" i="68"/>
  <c r="Q14" i="68"/>
  <c r="P14" i="68"/>
  <c r="N14" i="68"/>
  <c r="M14" i="68"/>
  <c r="D14" i="68"/>
  <c r="T15" i="68" s="1"/>
  <c r="AA14" i="67"/>
  <c r="Y14" i="67"/>
  <c r="Z14" i="67"/>
  <c r="X14" i="67"/>
  <c r="W14" i="67"/>
  <c r="V14" i="67"/>
  <c r="U14" i="67"/>
  <c r="D14" i="67"/>
  <c r="T15" i="67" s="1"/>
  <c r="R14" i="67"/>
  <c r="Q14" i="67"/>
  <c r="N14" i="67"/>
  <c r="M14" i="67"/>
  <c r="T14" i="57"/>
  <c r="Y14" i="57" s="1"/>
  <c r="D14" i="58"/>
  <c r="T15" i="58" s="1"/>
  <c r="AA14" i="58"/>
  <c r="Z14" i="58"/>
  <c r="Y14" i="58"/>
  <c r="V14" i="58"/>
  <c r="X14" i="58"/>
  <c r="W14" i="58"/>
  <c r="U14" i="58"/>
  <c r="M14" i="58"/>
  <c r="S14" i="58"/>
  <c r="R14" i="58"/>
  <c r="Q14" i="58"/>
  <c r="P14" i="58"/>
  <c r="O14" i="58"/>
  <c r="N14" i="58"/>
  <c r="N14" i="57"/>
  <c r="S14" i="57"/>
  <c r="R14" i="57"/>
  <c r="Q14" i="57"/>
  <c r="P14" i="57"/>
  <c r="M14" i="57"/>
  <c r="O14" i="57"/>
  <c r="D1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L4" i="75" a="1"/>
  <c r="L3" i="75" a="1"/>
  <c r="T11" i="75" a="1"/>
  <c r="T10" i="75" a="1"/>
  <c r="L9" i="75" a="1"/>
  <c r="T8" i="75" a="1"/>
  <c r="C11" i="75" a="1"/>
  <c r="T7" i="75" a="1"/>
  <c r="C12" i="75" a="1"/>
  <c r="T6" i="75" a="1"/>
  <c r="T4" i="75" a="1"/>
  <c r="L6" i="75" a="1"/>
  <c r="L5" i="75" a="1"/>
  <c r="T5" i="75" a="1"/>
  <c r="L12" i="75" a="1"/>
  <c r="L11" i="75" a="1"/>
  <c r="L8" i="75" a="1"/>
  <c r="T12" i="75" a="1"/>
  <c r="T12" i="75" l="1"/>
  <c r="L12" i="75"/>
  <c r="T11" i="75"/>
  <c r="L11" i="75"/>
  <c r="T10" i="75"/>
  <c r="L9" i="75"/>
  <c r="T8" i="75"/>
  <c r="L8" i="75"/>
  <c r="T7" i="75"/>
  <c r="T6" i="75"/>
  <c r="L6" i="75"/>
  <c r="T5" i="75"/>
  <c r="L5" i="75"/>
  <c r="T4" i="75"/>
  <c r="L4" i="75"/>
  <c r="L3" i="75"/>
  <c r="C12" i="75"/>
  <c r="T15" i="73"/>
  <c r="C11" i="75"/>
  <c r="C16" i="75" s="1"/>
  <c r="T15" i="72"/>
  <c r="Q14" i="69"/>
  <c r="P14" i="69"/>
  <c r="M14" i="69"/>
  <c r="N14" i="69"/>
  <c r="S14" i="69"/>
  <c r="O14" i="69"/>
  <c r="M14" i="71"/>
  <c r="O14" i="74"/>
  <c r="O14" i="67"/>
  <c r="P14" i="67"/>
  <c r="L15" i="73"/>
  <c r="L15" i="72"/>
  <c r="L15" i="71"/>
  <c r="L15" i="70"/>
  <c r="L15" i="74"/>
  <c r="L15" i="69"/>
  <c r="L15" i="68"/>
  <c r="L15" i="67"/>
  <c r="L15" i="58"/>
  <c r="L15" i="57"/>
  <c r="T15" i="57"/>
  <c r="X14" i="71"/>
  <c r="Y14" i="71"/>
  <c r="U14" i="70"/>
  <c r="Y14" i="70"/>
  <c r="X14" i="70"/>
  <c r="Z14" i="70"/>
  <c r="Z2" i="70" s="1"/>
  <c r="Z2" i="74"/>
  <c r="Z2" i="73"/>
  <c r="Z2" i="72"/>
  <c r="X2" i="74"/>
  <c r="G14" i="74"/>
  <c r="W15" i="74" s="1"/>
  <c r="F14" i="74"/>
  <c r="V15" i="74" s="1"/>
  <c r="E14" i="74"/>
  <c r="K14" i="74"/>
  <c r="J14" i="74"/>
  <c r="R15" i="74" s="1"/>
  <c r="I14" i="74"/>
  <c r="Y15" i="74" s="1"/>
  <c r="H14" i="74"/>
  <c r="X2" i="71"/>
  <c r="X2" i="73"/>
  <c r="X2" i="72"/>
  <c r="G14" i="73"/>
  <c r="F14" i="73"/>
  <c r="E14" i="73"/>
  <c r="K14" i="73"/>
  <c r="I14" i="73"/>
  <c r="J14" i="73"/>
  <c r="H14" i="73"/>
  <c r="G14" i="70"/>
  <c r="W15" i="70" s="1"/>
  <c r="F14" i="70"/>
  <c r="V15" i="70" s="1"/>
  <c r="E14" i="70"/>
  <c r="H14" i="70"/>
  <c r="K14" i="70"/>
  <c r="J14" i="70"/>
  <c r="R15" i="70" s="1"/>
  <c r="I14" i="70"/>
  <c r="Y15" i="70" s="1"/>
  <c r="X2" i="70"/>
  <c r="G14" i="72"/>
  <c r="F14" i="72"/>
  <c r="E14" i="72"/>
  <c r="K14" i="72"/>
  <c r="I14" i="72"/>
  <c r="J14" i="72"/>
  <c r="H14" i="72"/>
  <c r="Z2" i="71"/>
  <c r="Z2" i="68"/>
  <c r="G14" i="71"/>
  <c r="W15" i="71" s="1"/>
  <c r="F14" i="71"/>
  <c r="V15" i="71" s="1"/>
  <c r="E14" i="71"/>
  <c r="I14" i="71"/>
  <c r="Y15" i="71" s="1"/>
  <c r="K14" i="71"/>
  <c r="J14" i="71"/>
  <c r="H14" i="71"/>
  <c r="G14" i="69"/>
  <c r="W15" i="69" s="1"/>
  <c r="F14" i="69"/>
  <c r="V15" i="69" s="1"/>
  <c r="E14" i="69"/>
  <c r="I14" i="69"/>
  <c r="Y15" i="69" s="1"/>
  <c r="K14" i="69"/>
  <c r="J14" i="69"/>
  <c r="H14" i="69"/>
  <c r="X2" i="69"/>
  <c r="W14" i="57"/>
  <c r="Z2" i="69"/>
  <c r="G14" i="68"/>
  <c r="W15" i="68" s="1"/>
  <c r="F14" i="68"/>
  <c r="V15" i="68" s="1"/>
  <c r="E14" i="68"/>
  <c r="I14" i="68"/>
  <c r="Y15" i="68" s="1"/>
  <c r="K14" i="68"/>
  <c r="H14" i="68"/>
  <c r="J14" i="68"/>
  <c r="X2" i="68"/>
  <c r="X14" i="57"/>
  <c r="X2" i="57" s="1"/>
  <c r="Z14" i="57"/>
  <c r="Z2" i="57" s="1"/>
  <c r="AA14" i="57"/>
  <c r="G14" i="67"/>
  <c r="W15" i="67" s="1"/>
  <c r="F14" i="67"/>
  <c r="V15" i="67" s="1"/>
  <c r="E14" i="67"/>
  <c r="J14" i="67"/>
  <c r="K14" i="67"/>
  <c r="H14" i="67"/>
  <c r="I14" i="67"/>
  <c r="Y15" i="67" s="1"/>
  <c r="X2" i="67"/>
  <c r="Z2" i="67"/>
  <c r="V14" i="57"/>
  <c r="U14" i="57"/>
  <c r="Z2" i="58"/>
  <c r="X2" i="58"/>
  <c r="G14" i="58"/>
  <c r="W15" i="58" s="1"/>
  <c r="F14" i="58"/>
  <c r="V15" i="58" s="1"/>
  <c r="E14" i="58"/>
  <c r="K14" i="58"/>
  <c r="J14" i="58"/>
  <c r="H14" i="58"/>
  <c r="I14" i="58"/>
  <c r="Y15" i="58" s="1"/>
  <c r="G14" i="57"/>
  <c r="F14" i="57"/>
  <c r="E14" i="57"/>
  <c r="H14" i="57"/>
  <c r="X15" i="57" s="1"/>
  <c r="J14" i="57"/>
  <c r="Z15" i="57" s="1"/>
  <c r="K14" i="57"/>
  <c r="I14" i="57"/>
  <c r="G14" i="26"/>
  <c r="E14" i="26"/>
  <c r="D14" i="26"/>
  <c r="K14" i="26"/>
  <c r="P14" i="25"/>
  <c r="N14" i="25"/>
  <c r="M14" i="25"/>
  <c r="T14" i="25"/>
  <c r="D14" i="25"/>
  <c r="L10" i="75" a="1"/>
  <c r="T9" i="75" a="1"/>
  <c r="T3" i="75" a="1"/>
  <c r="I12" i="75" a="1"/>
  <c r="G12" i="75" a="1"/>
  <c r="D3" i="75" a="1"/>
  <c r="D11" i="75" a="1"/>
  <c r="I11" i="75" a="1"/>
  <c r="H4" i="23" a="1"/>
  <c r="I4" i="23" a="1"/>
  <c r="D10" i="75" a="1"/>
  <c r="H11" i="75" a="1"/>
  <c r="F12" i="75" a="1"/>
  <c r="D7" i="75" a="1"/>
  <c r="F11" i="75" a="1"/>
  <c r="D5" i="75" a="1"/>
  <c r="G11" i="75" a="1"/>
  <c r="E11" i="75" a="1"/>
  <c r="D6" i="75" a="1"/>
  <c r="D8" i="75" a="1"/>
  <c r="E12" i="75" a="1"/>
  <c r="L7" i="75" a="1"/>
  <c r="D9" i="75" a="1"/>
  <c r="H12" i="75" a="1"/>
  <c r="D12" i="75" a="1"/>
  <c r="M7" i="75" a="1"/>
  <c r="D4" i="75" a="1"/>
  <c r="L10" i="75" l="1"/>
  <c r="D10" i="75"/>
  <c r="U15" i="71"/>
  <c r="T9" i="75"/>
  <c r="D9" i="75"/>
  <c r="U15" i="70"/>
  <c r="D8" i="75"/>
  <c r="U15" i="74"/>
  <c r="M7" i="75"/>
  <c r="M13" i="75" s="1"/>
  <c r="L7" i="75"/>
  <c r="L13" i="75" s="1"/>
  <c r="D7" i="75"/>
  <c r="U15" i="69"/>
  <c r="D6" i="75"/>
  <c r="U15" i="68"/>
  <c r="D5" i="75"/>
  <c r="U15" i="67"/>
  <c r="D4" i="75"/>
  <c r="U15" i="58"/>
  <c r="T3" i="75"/>
  <c r="D3" i="75"/>
  <c r="C13" i="75"/>
  <c r="J13" i="75" s="1"/>
  <c r="G12" i="75"/>
  <c r="H12" i="75"/>
  <c r="D12" i="75"/>
  <c r="F12" i="75"/>
  <c r="I12" i="75"/>
  <c r="E12" i="75"/>
  <c r="Y15" i="73"/>
  <c r="U15" i="73"/>
  <c r="W15" i="73"/>
  <c r="V15" i="73"/>
  <c r="I11" i="75"/>
  <c r="H11" i="75"/>
  <c r="E11" i="75"/>
  <c r="F11" i="75"/>
  <c r="G11" i="75"/>
  <c r="D11" i="75"/>
  <c r="Y15" i="72"/>
  <c r="V15" i="72"/>
  <c r="W15" i="72"/>
  <c r="U15" i="72"/>
  <c r="N15" i="71"/>
  <c r="O15" i="73"/>
  <c r="P2" i="73"/>
  <c r="X15" i="73"/>
  <c r="N15" i="73"/>
  <c r="R2" i="73"/>
  <c r="Z15" i="73"/>
  <c r="R15" i="73"/>
  <c r="Q15" i="73"/>
  <c r="P15" i="73"/>
  <c r="M15" i="73"/>
  <c r="H2" i="72"/>
  <c r="X15" i="72"/>
  <c r="R2" i="72"/>
  <c r="Z15" i="72"/>
  <c r="O15" i="71"/>
  <c r="R15" i="72"/>
  <c r="N15" i="72"/>
  <c r="Q15" i="72"/>
  <c r="P15" i="72"/>
  <c r="O15" i="72"/>
  <c r="M15" i="72"/>
  <c r="H2" i="71"/>
  <c r="X15" i="71"/>
  <c r="N15" i="70"/>
  <c r="M15" i="71"/>
  <c r="R2" i="71"/>
  <c r="Z15" i="71"/>
  <c r="Q15" i="71"/>
  <c r="R15" i="71"/>
  <c r="P15" i="71"/>
  <c r="R2" i="70"/>
  <c r="Z15" i="70"/>
  <c r="Q15" i="70"/>
  <c r="P2" i="70"/>
  <c r="X15" i="70"/>
  <c r="P15" i="70"/>
  <c r="O15" i="70"/>
  <c r="M15" i="70"/>
  <c r="P2" i="74"/>
  <c r="X15" i="74"/>
  <c r="P15" i="74"/>
  <c r="N15" i="74"/>
  <c r="O15" i="74"/>
  <c r="R2" i="74"/>
  <c r="Z15" i="74"/>
  <c r="M15" i="74"/>
  <c r="Q15" i="74"/>
  <c r="H2" i="69"/>
  <c r="X15" i="69"/>
  <c r="R2" i="69"/>
  <c r="Z15" i="69"/>
  <c r="R15" i="69"/>
  <c r="N15" i="69"/>
  <c r="Q15" i="69"/>
  <c r="O15" i="69"/>
  <c r="P15" i="69"/>
  <c r="M15" i="69"/>
  <c r="H2" i="68"/>
  <c r="X15" i="68"/>
  <c r="M15" i="68"/>
  <c r="O15" i="68"/>
  <c r="R2" i="68"/>
  <c r="Z15" i="68"/>
  <c r="Q15" i="68"/>
  <c r="P15" i="68"/>
  <c r="R15" i="68"/>
  <c r="N15" i="68"/>
  <c r="H2" i="67"/>
  <c r="X15" i="67"/>
  <c r="Q15" i="67"/>
  <c r="R2" i="67"/>
  <c r="Z15" i="67"/>
  <c r="P15" i="67"/>
  <c r="R15" i="67"/>
  <c r="O15" i="67"/>
  <c r="M15" i="67"/>
  <c r="N15" i="67"/>
  <c r="P2" i="58"/>
  <c r="X15" i="58"/>
  <c r="J2" i="58"/>
  <c r="Z15" i="58"/>
  <c r="R15" i="58"/>
  <c r="P15" i="58"/>
  <c r="O15" i="58"/>
  <c r="N15" i="58"/>
  <c r="Q15" i="58"/>
  <c r="M15" i="58"/>
  <c r="N15" i="57"/>
  <c r="V15" i="57"/>
  <c r="M15" i="57"/>
  <c r="U15" i="57"/>
  <c r="O15" i="57"/>
  <c r="W15" i="57"/>
  <c r="Q15" i="57"/>
  <c r="Y15" i="57"/>
  <c r="H2" i="57"/>
  <c r="P15" i="57"/>
  <c r="R2" i="57"/>
  <c r="R15" i="57"/>
  <c r="H2" i="73"/>
  <c r="J2" i="70"/>
  <c r="P2" i="69"/>
  <c r="J2" i="74"/>
  <c r="H2" i="74"/>
  <c r="J2" i="68"/>
  <c r="H2" i="70"/>
  <c r="P2" i="68"/>
  <c r="J2" i="72"/>
  <c r="P2" i="72"/>
  <c r="P2" i="67"/>
  <c r="J2" i="71"/>
  <c r="J2" i="73"/>
  <c r="P2" i="71"/>
  <c r="J2" i="69"/>
  <c r="J2" i="67"/>
  <c r="H2" i="58"/>
  <c r="P2" i="57"/>
  <c r="R2" i="58"/>
  <c r="J2" i="57"/>
  <c r="H4" i="23"/>
  <c r="I4" i="23"/>
  <c r="E10" i="23" a="1"/>
  <c r="F6" i="23" a="1"/>
  <c r="E9" i="23" a="1"/>
  <c r="E5" i="23" a="1"/>
  <c r="D11" i="23" a="1"/>
  <c r="D6" i="23" a="1"/>
  <c r="D5" i="23" a="1"/>
  <c r="G12" i="23" a="1"/>
  <c r="D7" i="23" a="1"/>
  <c r="G4" i="23" a="1"/>
  <c r="G9" i="23" a="1"/>
  <c r="E7" i="23" a="1"/>
  <c r="D13" i="23" a="1"/>
  <c r="E6" i="23" a="1"/>
  <c r="E13" i="23" a="1"/>
  <c r="F9" i="23" a="1"/>
  <c r="G6" i="23" a="1"/>
  <c r="E4" i="23" a="1"/>
  <c r="D12" i="23" a="1"/>
  <c r="G13" i="23" a="1"/>
  <c r="D9" i="23" a="1"/>
  <c r="F8" i="23" a="1"/>
  <c r="F10" i="23" a="1"/>
  <c r="D4" i="23" a="1"/>
  <c r="E11" i="23" a="1"/>
  <c r="G11" i="23" a="1"/>
  <c r="E8" i="23" a="1"/>
  <c r="E12" i="23" a="1"/>
  <c r="D8" i="23" a="1"/>
  <c r="G8" i="23" a="1"/>
  <c r="F12" i="23" a="1"/>
  <c r="F11" i="23" a="1"/>
  <c r="F4" i="23" a="1"/>
  <c r="G10" i="23" a="1"/>
  <c r="G7" i="23" a="1"/>
  <c r="F13" i="23" a="1"/>
  <c r="F5" i="23" a="1"/>
  <c r="D10" i="23" a="1"/>
  <c r="G5" i="23" a="1"/>
  <c r="F7" i="23" a="1"/>
  <c r="T13" i="75" l="1"/>
  <c r="G13" i="75"/>
  <c r="W14" i="75" s="1"/>
  <c r="I13" i="75"/>
  <c r="Q14" i="75" s="1"/>
  <c r="D13" i="75"/>
  <c r="L14" i="75" s="1"/>
  <c r="F13" i="75"/>
  <c r="V14" i="75" s="1"/>
  <c r="E13" i="75"/>
  <c r="M14" i="75" s="1"/>
  <c r="H13" i="75"/>
  <c r="P14" i="75" s="1"/>
  <c r="K14" i="75"/>
  <c r="S14" i="75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O14" i="75" l="1"/>
  <c r="Y14" i="75"/>
  <c r="U14" i="75"/>
  <c r="N14" i="75"/>
  <c r="T14" i="75"/>
  <c r="X14" i="7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<sst xmlns="http://schemas.openxmlformats.org/spreadsheetml/2006/main" count="677" uniqueCount="22">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</sst>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8540-15F4-401B-9B25-D55B2EAE17A3}">
  <dimension ref="B2:Z16"/>
  <sheetViews>
    <sheetView zoomScale="85" zoomScaleNormal="85" workbookViewId="0">
      <selection activeCell="T3" sqref="T3:T12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107</v>
      </c>
      <c r="C3" s="5" cm="1">
        <f t="array" aca="1" ref="C3" ca="1">INDIRECT("'results" &amp; $B3 &amp; "'!D$14")</f>
        <v>1680123.348893635</v>
      </c>
      <c r="D3" s="33" cm="1">
        <f t="array" aca="1" ref="D3" ca="1">INDIRECT("'results" &amp; $B3 &amp; "'!E$14")</f>
        <v>208.09116182222755</v>
      </c>
      <c r="E3" s="5" cm="1">
        <f t="array" aca="1" ref="E3" ca="1">INDIRECT("'results" &amp; $B3 &amp; "'!F$14")</f>
        <v>10</v>
      </c>
      <c r="F3" s="5" cm="1">
        <f t="array" aca="1" ref="F3" ca="1">INDIRECT("'results" &amp; $B3 &amp; "'!G$14")</f>
        <v>77.333333333333329</v>
      </c>
      <c r="G3" s="5" cm="1">
        <f t="array" aca="1" ref="G3" ca="1">INDIRECT("'results" &amp; $B3 &amp; "'!H$14")</f>
        <v>1262.3915166215613</v>
      </c>
      <c r="H3" s="33" cm="1">
        <f t="array" aca="1" ref="H3" ca="1">INDIRECT("'results" &amp; $B3 &amp; "'!I$14")</f>
        <v>39.448263962467607</v>
      </c>
      <c r="I3" s="5" cm="1">
        <f t="array" aca="1" ref="I3" ca="1">INDIRECT("'results" &amp; $B3 &amp; "'!J$14")</f>
        <v>6548.6499094865258</v>
      </c>
      <c r="J3" s="5"/>
      <c r="K3" s="5" cm="1">
        <f t="array" aca="1" ref="K3" ca="1">INDIRECT("'results" &amp; $B3 &amp; "'!L$14")</f>
        <v>1903237.696957727</v>
      </c>
      <c r="L3" s="5" cm="1">
        <f t="array" aca="1" ref="L3" ca="1">INDIRECT("'results" &amp; $B3 &amp; "'!M$14")</f>
        <v>150.5444640888729</v>
      </c>
      <c r="M3" s="5" cm="1">
        <f t="array" aca="1" ref="M3" ca="1">INDIRECT("'results" &amp; $B3 &amp; "'!N$14")</f>
        <v>15</v>
      </c>
      <c r="N3" s="5" cm="1">
        <f t="array" aca="1" ref="N3" ca="1">INDIRECT("'results" &amp; $B3 &amp; "'!O$14")</f>
        <v>65.333333333333329</v>
      </c>
      <c r="O3" s="5" cm="1">
        <f t="array" aca="1" ref="O3" ca="1">INDIRECT("'results" &amp; $B3 &amp; "'!P$14")</f>
        <v>892.70092138802318</v>
      </c>
      <c r="P3" s="5" cm="1">
        <f t="array" aca="1" ref="P3" ca="1">INDIRECT("'results" &amp; $B3 &amp; "'!Q$14")</f>
        <v>20.834465588892744</v>
      </c>
      <c r="Q3" s="5" cm="1">
        <f t="array" aca="1" ref="Q3" ca="1">INDIRECT("'results" &amp; $B3 &amp; "'!R$14")</f>
        <v>5549.5586876719972</v>
      </c>
      <c r="R3" s="5"/>
      <c r="S3" s="5" cm="1">
        <f t="array" aca="1" ref="S3" ca="1">INDIRECT("'results" &amp; $B3 &amp; "'!T$14")</f>
        <v>1951117.6207544981</v>
      </c>
      <c r="T3" s="5" cm="1">
        <f t="array" aca="1" ref="T3" ca="1">INDIRECT("'results" &amp; $B3 &amp; "'!U$14")</f>
        <v>187.18531980000748</v>
      </c>
      <c r="U3" s="5" cm="1">
        <f t="array" aca="1" ref="U3" ca="1">INDIRECT("'results" &amp; $B3 &amp; "'!V$14")</f>
        <v>10</v>
      </c>
      <c r="V3" s="5" cm="1">
        <f t="array" aca="1" ref="V3" ca="1">INDIRECT("'results" &amp; $B3 &amp; "'!W$14")</f>
        <v>63.333333333333343</v>
      </c>
      <c r="W3" s="5" cm="1">
        <f t="array" aca="1" ref="W3" ca="1">INDIRECT("'results" &amp; $B3 &amp; "'!X$14")</f>
        <v>1390.8171263911329</v>
      </c>
      <c r="X3" s="5" cm="1">
        <f t="array" aca="1" ref="X3" ca="1">INDIRECT("'results" &amp; $B3 &amp; "'!Y$14")</f>
        <v>47.319897203644352</v>
      </c>
      <c r="Y3" s="5" cm="1">
        <f t="array" aca="1" ref="Y3" ca="1">INDIRECT("'results" &amp; $B3 &amp; "'!Z$14")</f>
        <v>6659.1770791736189</v>
      </c>
      <c r="Z3" s="5"/>
    </row>
    <row r="4" spans="2:26" x14ac:dyDescent="0.2">
      <c r="B4" s="4">
        <v>130</v>
      </c>
      <c r="C4" s="5" cm="1">
        <f t="array" aca="1" ref="C4" ca="1">INDIRECT("'results" &amp; $B4 &amp; "'!D$14")</f>
        <v>1489191.235358458</v>
      </c>
      <c r="D4" s="33" cm="1">
        <f t="array" aca="1" ref="D4" ca="1">INDIRECT("'results" &amp; $B4 &amp; "'!E$14")</f>
        <v>230.82498568888866</v>
      </c>
      <c r="E4" s="5" cm="1">
        <f t="array" aca="1" ref="E4" ca="1">INDIRECT("'results" &amp; $B4 &amp; "'!F$14")</f>
        <v>9</v>
      </c>
      <c r="F4" s="5" cm="1">
        <f t="array" aca="1" ref="F4" ca="1">INDIRECT("'results" &amp; $B4 &amp; "'!G$14")</f>
        <v>84</v>
      </c>
      <c r="G4" s="5" cm="1">
        <f t="array" aca="1" ref="G4" ca="1">INDIRECT("'results" &amp; $B4 &amp; "'!H$14")</f>
        <v>1105.339600798801</v>
      </c>
      <c r="H4" s="33" cm="1">
        <f t="array" aca="1" ref="H4" ca="1">INDIRECT("'results" &amp; $B4 &amp; "'!I$14")</f>
        <v>47.373656453400613</v>
      </c>
      <c r="I4" s="5" cm="1">
        <f t="array" aca="1" ref="I4" ca="1">INDIRECT("'results" &amp; $B4 &amp; "'!J$14")</f>
        <v>6429.8920324078817</v>
      </c>
      <c r="J4" s="5"/>
      <c r="K4" s="5" cm="1">
        <f t="array" aca="1" ref="K4" ca="1">INDIRECT("'results" &amp; $B4 &amp; "'!L$14")</f>
        <v>1828965.504116449</v>
      </c>
      <c r="L4" s="5" cm="1">
        <f t="array" aca="1" ref="L4" ca="1">INDIRECT("'results" &amp; $B4 &amp; "'!M$14")</f>
        <v>288.25368748889821</v>
      </c>
      <c r="M4" s="5" cm="1">
        <f t="array" aca="1" ref="M4" ca="1">INDIRECT("'results" &amp; $B4 &amp; "'!N$14")</f>
        <v>16</v>
      </c>
      <c r="N4" s="5" cm="1">
        <f t="array" aca="1" ref="N4" ca="1">INDIRECT("'results" &amp; $B4 &amp; "'!O$14")</f>
        <v>66.666666666666671</v>
      </c>
      <c r="O4" s="5" cm="1">
        <f t="array" aca="1" ref="O4" ca="1">INDIRECT("'results" &amp; $B4 &amp; "'!P$14")</f>
        <v>835.8575095355576</v>
      </c>
      <c r="P4" s="5" cm="1">
        <f t="array" aca="1" ref="P4" ca="1">INDIRECT("'results" &amp; $B4 &amp; "'!Q$14")</f>
        <v>19.265203562693575</v>
      </c>
      <c r="Q4" s="5" cm="1">
        <f t="array" aca="1" ref="Q4" ca="1">INDIRECT("'results" &amp; $B4 &amp; "'!R$14")</f>
        <v>5100.0000753671657</v>
      </c>
      <c r="R4" s="5"/>
      <c r="S4" s="5" cm="1">
        <f t="array" aca="1" ref="S4" ca="1">INDIRECT("'results" &amp; $B4 &amp; "'!T$14")</f>
        <v>1853671.289719159</v>
      </c>
      <c r="T4" s="5" cm="1">
        <f t="array" aca="1" ref="T4" ca="1">INDIRECT("'results" &amp; $B4 &amp; "'!U$14")</f>
        <v>149.08456326666703</v>
      </c>
      <c r="U4" s="5" cm="1">
        <f t="array" aca="1" ref="U4" ca="1">INDIRECT("'results" &amp; $B4 &amp; "'!V$14")</f>
        <v>10</v>
      </c>
      <c r="V4" s="5" cm="1">
        <f t="array" aca="1" ref="V4" ca="1">INDIRECT("'results" &amp; $B4 &amp; "'!W$14")</f>
        <v>66</v>
      </c>
      <c r="W4" s="5" cm="1">
        <f t="array" aca="1" ref="W4" ca="1">INDIRECT("'results" &amp; $B4 &amp; "'!X$14")</f>
        <v>1314.5106211895204</v>
      </c>
      <c r="X4" s="5" cm="1">
        <f t="array" aca="1" ref="X4" ca="1">INDIRECT("'results" &amp; $B4 &amp; "'!Y$14")</f>
        <v>53.234821852917392</v>
      </c>
      <c r="Y4" s="5" cm="1">
        <f t="array" aca="1" ref="Y4" ca="1">INDIRECT("'results" &amp; $B4 &amp; "'!Z$14")</f>
        <v>6526.5506548861595</v>
      </c>
      <c r="Z4" s="5"/>
    </row>
    <row r="5" spans="2:26" x14ac:dyDescent="0.2">
      <c r="B5" s="4">
        <v>191</v>
      </c>
      <c r="C5" s="5" cm="1">
        <f t="array" aca="1" ref="C5" ca="1">INDIRECT("'results" &amp; $B5 &amp; "'!D$14")</f>
        <v>1322827.544839419</v>
      </c>
      <c r="D5" s="33" cm="1">
        <f t="array" aca="1" ref="D5" ca="1">INDIRECT("'results" &amp; $B5 &amp; "'!E$14")</f>
        <v>160.87170853333859</v>
      </c>
      <c r="E5" s="5" cm="1">
        <f t="array" aca="1" ref="E5" ca="1">INDIRECT("'results" &amp; $B5 &amp; "'!F$14")</f>
        <v>11</v>
      </c>
      <c r="F5" s="5" cm="1">
        <f t="array" aca="1" ref="F5" ca="1">INDIRECT("'results" &amp; $B5 &amp; "'!G$14")</f>
        <v>94.666666666666671</v>
      </c>
      <c r="G5" s="5" cm="1">
        <f t="array" aca="1" ref="G5" ca="1">INDIRECT("'results" &amp; $B5 &amp; "'!H$14")</f>
        <v>1133.0453309321897</v>
      </c>
      <c r="H5" s="33" cm="1">
        <f t="array" aca="1" ref="H5" ca="1">INDIRECT("'results" &amp; $B5 &amp; "'!I$14")</f>
        <v>55.870822641933771</v>
      </c>
      <c r="I5" s="5" cm="1">
        <f t="array" aca="1" ref="I5" ca="1">INDIRECT("'results" &amp; $B5 &amp; "'!J$14")</f>
        <v>6472.8436710744527</v>
      </c>
      <c r="J5" s="5"/>
      <c r="K5" s="5" cm="1">
        <f t="array" aca="1" ref="K5" ca="1">INDIRECT("'results" &amp; $B5 &amp; "'!L$14")</f>
        <v>1706480.993796089</v>
      </c>
      <c r="L5" s="5" cm="1">
        <f t="array" aca="1" ref="L5" ca="1">INDIRECT("'results" &amp; $B5 &amp; "'!M$14")</f>
        <v>351.35220082223196</v>
      </c>
      <c r="M5" s="5" cm="1">
        <f t="array" aca="1" ref="M5" ca="1">INDIRECT("'results" &amp; $B5 &amp; "'!N$14")</f>
        <v>17</v>
      </c>
      <c r="N5" s="5" cm="1">
        <f t="array" aca="1" ref="N5" ca="1">INDIRECT("'results" &amp; $B5 &amp; "'!O$14")</f>
        <v>73.333333333333329</v>
      </c>
      <c r="O5" s="5" cm="1">
        <f t="array" aca="1" ref="O5" ca="1">INDIRECT("'results" &amp; $B5 &amp; "'!P$14")</f>
        <v>763.75302550944798</v>
      </c>
      <c r="P5" s="5" cm="1">
        <f t="array" aca="1" ref="P5" ca="1">INDIRECT("'results" &amp; $B5 &amp; "'!Q$14")</f>
        <v>26.664880650201539</v>
      </c>
      <c r="Q5" s="5" cm="1">
        <f t="array" aca="1" ref="Q5" ca="1">INDIRECT("'results" &amp; $B5 &amp; "'!R$14")</f>
        <v>5285.6767973492088</v>
      </c>
      <c r="R5" s="5"/>
      <c r="S5" s="5" cm="1">
        <f t="array" aca="1" ref="S5" ca="1">INDIRECT("'results" &amp; $B5 &amp; "'!T$14")</f>
        <v>1793378.6845830651</v>
      </c>
      <c r="T5" s="5" cm="1">
        <f t="array" aca="1" ref="T5" ca="1">INDIRECT("'results" &amp; $B5 &amp; "'!U$14")</f>
        <v>115.57984666666016</v>
      </c>
      <c r="U5" s="5" cm="1">
        <f t="array" aca="1" ref="U5" ca="1">INDIRECT("'results" &amp; $B5 &amp; "'!V$14")</f>
        <v>10</v>
      </c>
      <c r="V5" s="5" cm="1">
        <f t="array" aca="1" ref="V5" ca="1">INDIRECT("'results" &amp; $B5 &amp; "'!W$14")</f>
        <v>71.333333333333329</v>
      </c>
      <c r="W5" s="5" cm="1">
        <f t="array" aca="1" ref="W5" ca="1">INDIRECT("'results" &amp; $B5 &amp; "'!X$14")</f>
        <v>1438.6765452742518</v>
      </c>
      <c r="X5" s="5" cm="1">
        <f t="array" aca="1" ref="X5" ca="1">INDIRECT("'results" &amp; $B5 &amp; "'!Y$14")</f>
        <v>65.586911270849058</v>
      </c>
      <c r="Y5" s="5" cm="1">
        <f t="array" aca="1" ref="Y5" ca="1">INDIRECT("'results" &amp; $B5 &amp; "'!Z$14")</f>
        <v>6916.0336558304998</v>
      </c>
      <c r="Z5" s="5"/>
    </row>
    <row r="6" spans="2:26" x14ac:dyDescent="0.2">
      <c r="B6" s="4">
        <v>199</v>
      </c>
      <c r="C6" s="5" cm="1">
        <f t="array" aca="1" ref="C6" ca="1">INDIRECT("'results" &amp; $B6 &amp; "'!D$14")</f>
        <v>1511141.413270805</v>
      </c>
      <c r="D6" s="33" cm="1">
        <f t="array" aca="1" ref="D6" ca="1">INDIRECT("'results" &amp; $B6 &amp; "'!E$14")</f>
        <v>194.51852519999051</v>
      </c>
      <c r="E6" s="5" cm="1">
        <f t="array" aca="1" ref="E6" ca="1">INDIRECT("'results" &amp; $B6 &amp; "'!F$14")</f>
        <v>10</v>
      </c>
      <c r="F6" s="5" cm="1">
        <f t="array" aca="1" ref="F6" ca="1">INDIRECT("'results" &amp; $B6 &amp; "'!G$14")</f>
        <v>87.333333333333329</v>
      </c>
      <c r="G6" s="5" cm="1">
        <f t="array" aca="1" ref="G6" ca="1">INDIRECT("'results" &amp; $B6 &amp; "'!H$14")</f>
        <v>1232.1663986866758</v>
      </c>
      <c r="H6" s="33" cm="1">
        <f t="array" aca="1" ref="H6" ca="1">INDIRECT("'results" &amp; $B6 &amp; "'!I$14")</f>
        <v>37.525228727560986</v>
      </c>
      <c r="I6" s="5" cm="1">
        <f t="array" aca="1" ref="I6" ca="1">INDIRECT("'results" &amp; $B6 &amp; "'!J$14")</f>
        <v>6543.69573867688</v>
      </c>
      <c r="J6" s="5"/>
      <c r="K6" s="5" cm="1">
        <f t="array" aca="1" ref="K6" ca="1">INDIRECT("'results" &amp; $B6 &amp; "'!L$14")</f>
        <v>1802177.5401574851</v>
      </c>
      <c r="L6" s="5" cm="1">
        <f t="array" aca="1" ref="L6" ca="1">INDIRECT("'results" &amp; $B6 &amp; "'!M$14")</f>
        <v>196.12359388889229</v>
      </c>
      <c r="M6" s="5" cm="1">
        <f t="array" aca="1" ref="M6" ca="1">INDIRECT("'results" &amp; $B6 &amp; "'!N$14")</f>
        <v>18</v>
      </c>
      <c r="N6" s="5" cm="1">
        <f t="array" aca="1" ref="N6" ca="1">INDIRECT("'results" &amp; $B6 &amp; "'!O$14")</f>
        <v>76</v>
      </c>
      <c r="O6" s="5" cm="1">
        <f t="array" aca="1" ref="O6" ca="1">INDIRECT("'results" &amp; $B6 &amp; "'!P$14")</f>
        <v>1166.3998804542989</v>
      </c>
      <c r="P6" s="5" cm="1">
        <f t="array" aca="1" ref="P6" ca="1">INDIRECT("'results" &amp; $B6 &amp; "'!Q$14")</f>
        <v>17.156807100075113</v>
      </c>
      <c r="Q6" s="5" cm="1">
        <f t="array" aca="1" ref="Q6" ca="1">INDIRECT("'results" &amp; $B6 &amp; "'!R$14")</f>
        <v>5848.3755504155506</v>
      </c>
      <c r="R6" s="5"/>
      <c r="S6" s="5" cm="1">
        <f t="array" aca="1" ref="S6" ca="1">INDIRECT("'results" &amp; $B6 &amp; "'!T$14")</f>
        <v>1947334.152251076</v>
      </c>
      <c r="T6" s="5" cm="1">
        <f t="array" aca="1" ref="T6" ca="1">INDIRECT("'results" &amp; $B6 &amp; "'!U$14")</f>
        <v>313.41786566666423</v>
      </c>
      <c r="U6" s="5" cm="1">
        <f t="array" aca="1" ref="U6" ca="1">INDIRECT("'results" &amp; $B6 &amp; "'!V$14")</f>
        <v>10</v>
      </c>
      <c r="V6" s="5" cm="1">
        <f t="array" aca="1" ref="V6" ca="1">INDIRECT("'results" &amp; $B6 &amp; "'!W$14")</f>
        <v>67.333333333333329</v>
      </c>
      <c r="W6" s="5" cm="1">
        <f t="array" aca="1" ref="W6" ca="1">INDIRECT("'results" &amp; $B6 &amp; "'!X$14")</f>
        <v>1631.6263161705792</v>
      </c>
      <c r="X6" s="5" cm="1">
        <f t="array" aca="1" ref="X6" ca="1">INDIRECT("'results" &amp; $B6 &amp; "'!Y$14")</f>
        <v>42.590258174653414</v>
      </c>
      <c r="Y6" s="5" cm="1">
        <f t="array" aca="1" ref="Y6" ca="1">INDIRECT("'results" &amp; $B6 &amp; "'!Z$14")</f>
        <v>7116.7585024803466</v>
      </c>
      <c r="Z6" s="5"/>
    </row>
    <row r="7" spans="2:26" x14ac:dyDescent="0.2">
      <c r="B7" s="4">
        <v>211</v>
      </c>
      <c r="C7" s="5" cm="1">
        <f t="array" aca="1" ref="C7" ca="1">INDIRECT("'results" &amp; $B7 &amp; "'!D$14")</f>
        <v>1792544.052836474</v>
      </c>
      <c r="D7" s="33" cm="1">
        <f t="array" aca="1" ref="D7" ca="1">INDIRECT("'results" &amp; $B7 &amp; "'!E$14")</f>
        <v>268.08670004444309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76</v>
      </c>
      <c r="G7" s="5" cm="1">
        <f t="array" aca="1" ref="G7" ca="1">INDIRECT("'results" &amp; $B7 &amp; "'!H$14")</f>
        <v>1520.1024010458177</v>
      </c>
      <c r="H7" s="33" cm="1">
        <f t="array" aca="1" ref="H7" ca="1">INDIRECT("'results" &amp; $B7 &amp; "'!I$14")</f>
        <v>41.368248611375705</v>
      </c>
      <c r="I7" s="5" cm="1">
        <f t="array" aca="1" ref="I7" ca="1">INDIRECT("'results" &amp; $B7 &amp; "'!J$14")</f>
        <v>7080.6765883135477</v>
      </c>
      <c r="J7" s="5"/>
      <c r="K7" s="5" cm="1">
        <f t="array" aca="1" ref="K7" ca="1">INDIRECT("'results" &amp; $B7 &amp; "'!L$14")</f>
        <v>1998898.3522800929</v>
      </c>
      <c r="L7" s="5" cm="1">
        <f t="array" aca="1" ref="L7" ca="1">INDIRECT("'results" &amp; $B7 &amp; "'!M$14")</f>
        <v>311.1498153333344</v>
      </c>
      <c r="M7" s="5" cm="1">
        <f t="array" aca="1" ref="M7" ca="1">INDIRECT("'results" &amp; $B7 &amp; "'!N$14")</f>
        <v>15</v>
      </c>
      <c r="N7" s="5" cm="1">
        <f t="array" aca="1" ref="N7" ca="1">INDIRECT("'results" &amp; $B7 &amp; "'!O$14")</f>
        <v>64.666666666666671</v>
      </c>
      <c r="O7" s="5" cm="1">
        <f t="array" aca="1" ref="O7" ca="1">INDIRECT("'results" &amp; $B7 &amp; "'!P$14")</f>
        <v>1272.6840938582332</v>
      </c>
      <c r="P7" s="5" cm="1">
        <f t="array" aca="1" ref="P7" ca="1">INDIRECT("'results" &amp; $B7 &amp; "'!Q$14")</f>
        <v>22.702037562547819</v>
      </c>
      <c r="Q7" s="5" cm="1">
        <f t="array" aca="1" ref="Q7" ca="1">INDIRECT("'results" &amp; $B7 &amp; "'!R$14")</f>
        <v>6275.8508063578302</v>
      </c>
      <c r="R7" s="5"/>
      <c r="S7" s="5" cm="1">
        <f t="array" aca="1" ref="S7" ca="1">INDIRECT("'results" &amp; $B7 &amp; "'!T$14")</f>
        <v>2158720.7010869551</v>
      </c>
      <c r="T7" s="5" cm="1">
        <f t="array" aca="1" ref="T7" ca="1">INDIRECT("'results" &amp; $B7 &amp; "'!U$14")</f>
        <v>226.99321657778802</v>
      </c>
      <c r="U7" s="5" cm="1">
        <f t="array" aca="1" ref="U7" ca="1">INDIRECT("'results" &amp; $B7 &amp; "'!V$14")</f>
        <v>9</v>
      </c>
      <c r="V7" s="5" cm="1">
        <f t="array" aca="1" ref="V7" ca="1">INDIRECT("'results" &amp; $B7 &amp; "'!W$14")</f>
        <v>55.333333333333343</v>
      </c>
      <c r="W7" s="5" cm="1">
        <f t="array" aca="1" ref="W7" ca="1">INDIRECT("'results" &amp; $B7 &amp; "'!X$14")</f>
        <v>1867.7775065348103</v>
      </c>
      <c r="X7" s="5" cm="1">
        <f t="array" aca="1" ref="X7" ca="1">INDIRECT("'results" &amp; $B7 &amp; "'!Y$14")</f>
        <v>48.516303576535911</v>
      </c>
      <c r="Y7" s="5" cm="1">
        <f t="array" aca="1" ref="Y7" ca="1">INDIRECT("'results" &amp; $B7 &amp; "'!Z$14")</f>
        <v>7413.7765097656675</v>
      </c>
      <c r="Z7" s="5"/>
    </row>
    <row r="8" spans="2:26" x14ac:dyDescent="0.2">
      <c r="B8" s="4">
        <v>299</v>
      </c>
      <c r="C8" s="5" cm="1">
        <f t="array" aca="1" ref="C8" ca="1">INDIRECT("'results" &amp; $B8 &amp; "'!D$14")</f>
        <v>1800564.0683627459</v>
      </c>
      <c r="D8" s="33" cm="1">
        <f t="array" aca="1" ref="D8" ca="1">INDIRECT("'results" &amp; $B8 &amp; "'!E$14")</f>
        <v>71.592046866684953</v>
      </c>
      <c r="E8" s="5" cm="1">
        <f t="array" aca="1" ref="E8" ca="1">INDIRECT("'results" &amp; $B8 &amp; "'!F$14")</f>
        <v>9</v>
      </c>
      <c r="F8" s="5" cm="1">
        <f t="array" aca="1" ref="F8" ca="1">INDIRECT("'results" &amp; $B8 &amp; "'!G$14")</f>
        <v>69.333333333333329</v>
      </c>
      <c r="G8" s="5" cm="1">
        <f t="array" aca="1" ref="G8" ca="1">INDIRECT("'results" &amp; $B8 &amp; "'!H$14")</f>
        <v>1166.0688272460904</v>
      </c>
      <c r="H8" s="33" cm="1">
        <f t="array" aca="1" ref="H8" ca="1">INDIRECT("'results" &amp; $B8 &amp; "'!I$14")</f>
        <v>43.449117175650052</v>
      </c>
      <c r="I8" s="5" cm="1">
        <f t="array" aca="1" ref="I8" ca="1">INDIRECT("'results" &amp; $B8 &amp; "'!J$14")</f>
        <v>6576.6717904293218</v>
      </c>
      <c r="J8" s="5"/>
      <c r="K8" s="5" cm="1">
        <f t="array" aca="1" ref="K8" ca="1">INDIRECT("'results" &amp; $B8 &amp; "'!L$14")</f>
        <v>2066261.5012827171</v>
      </c>
      <c r="L8" s="5" cm="1">
        <f t="array" aca="1" ref="L8" ca="1">INDIRECT("'results" &amp; $B8 &amp; "'!M$14")</f>
        <v>198.428310377782</v>
      </c>
      <c r="M8" s="5" cm="1">
        <f t="array" aca="1" ref="M8" ca="1">INDIRECT("'results" &amp; $B8 &amp; "'!N$14")</f>
        <v>15</v>
      </c>
      <c r="N8" s="5" cm="1">
        <f t="array" aca="1" ref="N8" ca="1">INDIRECT("'results" &amp; $B8 &amp; "'!O$14")</f>
        <v>57.333333333333343</v>
      </c>
      <c r="O8" s="5" cm="1">
        <f t="array" aca="1" ref="O8" ca="1">INDIRECT("'results" &amp; $B8 &amp; "'!P$14")</f>
        <v>1022.7358612427626</v>
      </c>
      <c r="P8" s="5" cm="1">
        <f t="array" aca="1" ref="P8" ca="1">INDIRECT("'results" &amp; $B8 &amp; "'!Q$14")</f>
        <v>19.98048235006415</v>
      </c>
      <c r="Q8" s="5" cm="1">
        <f t="array" aca="1" ref="Q8" ca="1">INDIRECT("'results" &amp; $B8 &amp; "'!R$14")</f>
        <v>5707.449559335334</v>
      </c>
      <c r="R8" s="5"/>
      <c r="S8" s="5" cm="1">
        <f t="array" aca="1" ref="S8" ca="1">INDIRECT("'results" &amp; $B8 &amp; "'!T$14")</f>
        <v>2112252.25960659</v>
      </c>
      <c r="T8" s="5" cm="1">
        <f t="array" aca="1" ref="T8" ca="1">INDIRECT("'results" &amp; $B8 &amp; "'!U$14")</f>
        <v>218.05727384446396</v>
      </c>
      <c r="U8" s="5" cm="1">
        <f t="array" aca="1" ref="U8" ca="1">INDIRECT("'results" &amp; $B8 &amp; "'!V$14")</f>
        <v>9</v>
      </c>
      <c r="V8" s="5" cm="1">
        <f t="array" aca="1" ref="V8" ca="1">INDIRECT("'results" &amp; $B8 &amp; "'!W$14")</f>
        <v>54</v>
      </c>
      <c r="W8" s="5" cm="1">
        <f t="array" aca="1" ref="W8" ca="1">INDIRECT("'results" &amp; $B8 &amp; "'!X$14")</f>
        <v>1481.5138786822988</v>
      </c>
      <c r="X8" s="5" cm="1">
        <f t="array" aca="1" ref="X8" ca="1">INDIRECT("'results" &amp; $B8 &amp; "'!Y$14")</f>
        <v>53.120340921264166</v>
      </c>
      <c r="Y8" s="5" cm="1">
        <f t="array" aca="1" ref="Y8" ca="1">INDIRECT("'results" &amp; $B8 &amp; "'!Z$14")</f>
        <v>6896.9156559582307</v>
      </c>
      <c r="Z8" s="5"/>
    </row>
    <row r="9" spans="2:26" x14ac:dyDescent="0.2">
      <c r="B9" s="4">
        <v>603</v>
      </c>
      <c r="C9" s="5" cm="1">
        <f t="array" aca="1" ref="C9" ca="1">INDIRECT("'results" &amp; $B9 &amp; "'!D$14")</f>
        <v>1513168.8975274831</v>
      </c>
      <c r="D9" s="33" cm="1">
        <f t="array" aca="1" ref="D9" ca="1">INDIRECT("'results" &amp; $B9 &amp; "'!E$14")</f>
        <v>166.06721882222013</v>
      </c>
      <c r="E9" s="5" cm="1">
        <f t="array" aca="1" ref="E9" ca="1">INDIRECT("'results" &amp; $B9 &amp; "'!F$14")</f>
        <v>10</v>
      </c>
      <c r="F9" s="5" cm="1">
        <f t="array" aca="1" ref="F9" ca="1">INDIRECT("'results" &amp; $B9 &amp; "'!G$14")</f>
        <v>89.333333333333329</v>
      </c>
      <c r="G9" s="5" cm="1">
        <f t="array" aca="1" ref="G9" ca="1">INDIRECT("'results" &amp; $B9 &amp; "'!H$14")</f>
        <v>1397.7581421572941</v>
      </c>
      <c r="H9" s="33" cm="1">
        <f t="array" aca="1" ref="H9" ca="1">INDIRECT("'results" &amp; $B9 &amp; "'!I$14")</f>
        <v>37.330274209897617</v>
      </c>
      <c r="I9" s="5" cm="1">
        <f t="array" aca="1" ref="I9" ca="1">INDIRECT("'results" &amp; $B9 &amp; "'!J$14")</f>
        <v>6870.9822002932005</v>
      </c>
      <c r="J9" s="5"/>
      <c r="K9" s="5" cm="1">
        <f t="array" aca="1" ref="K9" ca="1">INDIRECT("'results" &amp; $B9 &amp; "'!L$14")</f>
        <v>1825471.642482589</v>
      </c>
      <c r="L9" s="5" cm="1">
        <f t="array" aca="1" ref="L9" ca="1">INDIRECT("'results" &amp; $B9 &amp; "'!M$14")</f>
        <v>243.57183888888287</v>
      </c>
      <c r="M9" s="5" cm="1">
        <f t="array" aca="1" ref="M9" ca="1">INDIRECT("'results" &amp; $B9 &amp; "'!N$14")</f>
        <v>16</v>
      </c>
      <c r="N9" s="5" cm="1">
        <f t="array" aca="1" ref="N9" ca="1">INDIRECT("'results" &amp; $B9 &amp; "'!O$14")</f>
        <v>72.666666666666671</v>
      </c>
      <c r="O9" s="5" cm="1">
        <f t="array" aca="1" ref="O9" ca="1">INDIRECT("'results" &amp; $B9 &amp; "'!P$14")</f>
        <v>1164.4610760988026</v>
      </c>
      <c r="P9" s="5" cm="1">
        <f t="array" aca="1" ref="P9" ca="1">INDIRECT("'results" &amp; $B9 &amp; "'!Q$14")</f>
        <v>17.718387871351688</v>
      </c>
      <c r="Q9" s="5" cm="1">
        <f t="array" aca="1" ref="Q9" ca="1">INDIRECT("'results" &amp; $B9 &amp; "'!R$14")</f>
        <v>6007.8377918702745</v>
      </c>
      <c r="R9" s="5"/>
      <c r="S9" s="5" cm="1">
        <f t="array" aca="1" ref="S9" ca="1">INDIRECT("'results" &amp; $B9 &amp; "'!T$14")</f>
        <v>1995470.1110058271</v>
      </c>
      <c r="T9" s="5" cm="1">
        <f t="array" aca="1" ref="T9" ca="1">INDIRECT("'results" &amp; $B9 &amp; "'!U$14")</f>
        <v>209.21092108888035</v>
      </c>
      <c r="U9" s="5" cm="1">
        <f t="array" aca="1" ref="U9" ca="1">INDIRECT("'results" &amp; $B9 &amp; "'!V$14")</f>
        <v>10</v>
      </c>
      <c r="V9" s="5" cm="1">
        <f t="array" aca="1" ref="V9" ca="1">INDIRECT("'results" &amp; $B9 &amp; "'!W$14")</f>
        <v>63.333333333333343</v>
      </c>
      <c r="W9" s="5" cm="1">
        <f t="array" aca="1" ref="W9" ca="1">INDIRECT("'results" &amp; $B9 &amp; "'!X$14")</f>
        <v>1470.3656320321163</v>
      </c>
      <c r="X9" s="5" cm="1">
        <f t="array" aca="1" ref="X9" ca="1">INDIRECT("'results" &amp; $B9 &amp; "'!Y$14")</f>
        <v>38.855841801733291</v>
      </c>
      <c r="Y9" s="5" cm="1">
        <f t="array" aca="1" ref="Y9" ca="1">INDIRECT("'results" &amp; $B9 &amp; "'!Z$14")</f>
        <v>7044.8968728476448</v>
      </c>
      <c r="Z9" s="5"/>
    </row>
    <row r="10" spans="2:26" x14ac:dyDescent="0.2">
      <c r="B10" s="4">
        <v>732</v>
      </c>
      <c r="C10" s="5" cm="1">
        <f t="array" aca="1" ref="C10" ca="1">INDIRECT("'results" &amp; $B10 &amp; "'!D$14")</f>
        <v>1443392.20703525</v>
      </c>
      <c r="D10" s="33" cm="1">
        <f t="array" aca="1" ref="D10" ca="1">INDIRECT("'results" &amp; $B10 &amp; "'!E$14")</f>
        <v>114.43175884444888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92.666666666666671</v>
      </c>
      <c r="G10" s="5" cm="1">
        <f t="array" aca="1" ref="G10" ca="1">INDIRECT("'results" &amp; $B10 &amp; "'!H$14")</f>
        <v>1426.892399595506</v>
      </c>
      <c r="H10" s="33" cm="1">
        <f t="array" aca="1" ref="H10" ca="1">INDIRECT("'results" &amp; $B10 &amp; "'!I$14")</f>
        <v>58.320870857051545</v>
      </c>
      <c r="I10" s="5" cm="1">
        <f t="array" aca="1" ref="I10" ca="1">INDIRECT("'results" &amp; $B10 &amp; "'!J$14")</f>
        <v>6900.5834854200784</v>
      </c>
      <c r="J10" s="5"/>
      <c r="K10" s="5" cm="1">
        <f t="array" aca="1" ref="K10" ca="1">INDIRECT("'results" &amp; $B10 &amp; "'!L$14")</f>
        <v>1849437.38406351</v>
      </c>
      <c r="L10" s="5" cm="1">
        <f t="array" aca="1" ref="L10" ca="1">INDIRECT("'results" &amp; $B10 &amp; "'!M$14")</f>
        <v>280.8611905111207</v>
      </c>
      <c r="M10" s="5" cm="1">
        <f t="array" aca="1" ref="M10" ca="1">INDIRECT("'results" &amp; $B10 &amp; "'!N$14")</f>
        <v>18</v>
      </c>
      <c r="N10" s="5" cm="1">
        <f t="array" aca="1" ref="N10" ca="1">INDIRECT("'results" &amp; $B10 &amp; "'!O$14")</f>
        <v>72</v>
      </c>
      <c r="O10" s="5" cm="1">
        <f t="array" aca="1" ref="O10" ca="1">INDIRECT("'results" &amp; $B10 &amp; "'!P$14")</f>
        <v>1080.1682170902127</v>
      </c>
      <c r="P10" s="5" cm="1">
        <f t="array" aca="1" ref="P10" ca="1">INDIRECT("'results" &amp; $B10 &amp; "'!Q$14")</f>
        <v>22.748981194872975</v>
      </c>
      <c r="Q10" s="5" cm="1">
        <f t="array" aca="1" ref="Q10" ca="1">INDIRECT("'results" &amp; $B10 &amp; "'!R$14")</f>
        <v>5867.9888325074526</v>
      </c>
      <c r="R10" s="5"/>
      <c r="S10" s="5" cm="1">
        <f t="array" aca="1" ref="S10" ca="1">INDIRECT("'results" &amp; $B10 &amp; "'!T$14")</f>
        <v>1932711.918610075</v>
      </c>
      <c r="T10" s="5" cm="1">
        <f t="array" aca="1" ref="T10" ca="1">INDIRECT("'results" &amp; $B10 &amp; "'!U$14")</f>
        <v>52.464251022216757</v>
      </c>
      <c r="U10" s="5" cm="1">
        <f t="array" aca="1" ref="U10" ca="1">INDIRECT("'results" &amp; $B10 &amp; "'!V$14")</f>
        <v>9</v>
      </c>
      <c r="V10" s="5" cm="1">
        <f t="array" aca="1" ref="V10" ca="1">INDIRECT("'results" &amp; $B10 &amp; "'!W$14")</f>
        <v>64.666666666666671</v>
      </c>
      <c r="W10" s="5" cm="1">
        <f t="array" aca="1" ref="W10" ca="1">INDIRECT("'results" &amp; $B10 &amp; "'!X$14")</f>
        <v>1661.1338775651359</v>
      </c>
      <c r="X10" s="5" cm="1">
        <f t="array" aca="1" ref="X10" ca="1">INDIRECT("'results" &amp; $B10 &amp; "'!Y$14")</f>
        <v>68.708922002389528</v>
      </c>
      <c r="Y10" s="5" cm="1">
        <f t="array" aca="1" ref="Y10" ca="1">INDIRECT("'results" &amp; $B10 &amp; "'!Z$14")</f>
        <v>7088.1751881078844</v>
      </c>
      <c r="Z10" s="5"/>
    </row>
    <row r="11" spans="2:26" x14ac:dyDescent="0.2">
      <c r="B11" s="4">
        <v>986</v>
      </c>
      <c r="C11" s="5" cm="1">
        <f t="array" aca="1" ref="C11" ca="1">INDIRECT("'results" &amp; $B11 &amp; "'!D$14")</f>
        <v>1769115.538754889</v>
      </c>
      <c r="D11" s="33" cm="1">
        <f t="array" aca="1" ref="D11" ca="1">INDIRECT("'results" &amp; $B11 &amp; "'!E$14")</f>
        <v>116.88704739999957</v>
      </c>
      <c r="E11" s="5" cm="1">
        <f t="array" aca="1" ref="E11" ca="1">INDIRECT("'results" &amp; $B11 &amp; "'!F$14")</f>
        <v>7</v>
      </c>
      <c r="F11" s="5" cm="1">
        <f t="array" aca="1" ref="F11" ca="1">INDIRECT("'results" &amp; $B11 &amp; "'!G$14")</f>
        <v>70.666666666666671</v>
      </c>
      <c r="G11" s="5" cm="1">
        <f t="array" aca="1" ref="G11" ca="1">INDIRECT("'results" &amp; $B11 &amp; "'!H$14")</f>
        <v>1241.0640743572033</v>
      </c>
      <c r="H11" s="33" cm="1">
        <f t="array" aca="1" ref="H11" ca="1">INDIRECT("'results" &amp; $B11 &amp; "'!I$14")</f>
        <v>52.49287336968338</v>
      </c>
      <c r="I11" s="5" cm="1">
        <f t="array" aca="1" ref="I11" ca="1">INDIRECT("'results" &amp; $B11 &amp; "'!J$14")</f>
        <v>6684.1154774264842</v>
      </c>
      <c r="J11" s="5"/>
      <c r="K11" s="5" cm="1">
        <f t="array" aca="1" ref="K11" ca="1">INDIRECT("'results" &amp; $B11 &amp; "'!L$14")</f>
        <v>2043203.9734539739</v>
      </c>
      <c r="L11" s="5" cm="1">
        <f t="array" aca="1" ref="L11" ca="1">INDIRECT("'results" &amp; $B11 &amp; "'!M$14")</f>
        <v>167.41612013333685</v>
      </c>
      <c r="M11" s="5" cm="1">
        <f t="array" aca="1" ref="M11" ca="1">INDIRECT("'results" &amp; $B11 &amp; "'!N$14")</f>
        <v>14</v>
      </c>
      <c r="N11" s="5" cm="1">
        <f t="array" aca="1" ref="N11" ca="1">INDIRECT("'results" &amp; $B11 &amp; "'!O$14")</f>
        <v>58.666666666666657</v>
      </c>
      <c r="O11" s="5" cm="1">
        <f t="array" aca="1" ref="O11" ca="1">INDIRECT("'results" &amp; $B11 &amp; "'!P$14")</f>
        <v>916.99021136750446</v>
      </c>
      <c r="P11" s="5" cm="1">
        <f t="array" aca="1" ref="P11" ca="1">INDIRECT("'results" &amp; $B11 &amp; "'!Q$14")</f>
        <v>21.284609060616116</v>
      </c>
      <c r="Q11" s="5" cm="1">
        <f t="array" aca="1" ref="Q11" ca="1">INDIRECT("'results" &amp; $B11 &amp; "'!R$14")</f>
        <v>5770.6078185764427</v>
      </c>
      <c r="R11" s="5"/>
      <c r="S11" s="5" cm="1">
        <f t="array" aca="1" ref="S11" ca="1">INDIRECT("'results" &amp; $B11 &amp; "'!T$14")</f>
        <v>2117126.9122263831</v>
      </c>
      <c r="T11" s="5" cm="1">
        <f t="array" aca="1" ref="T11" ca="1">INDIRECT("'results" &amp; $B11 &amp; "'!U$14")</f>
        <v>108.64693555556651</v>
      </c>
      <c r="U11" s="5" cm="1">
        <f t="array" aca="1" ref="U11" ca="1">INDIRECT("'results" &amp; $B11 &amp; "'!V$14")</f>
        <v>10</v>
      </c>
      <c r="V11" s="5" cm="1">
        <f t="array" aca="1" ref="V11" ca="1">INDIRECT("'results" &amp; $B11 &amp; "'!W$14")</f>
        <v>56</v>
      </c>
      <c r="W11" s="5" cm="1">
        <f t="array" aca="1" ref="W11" ca="1">INDIRECT("'results" &amp; $B11 &amp; "'!X$14")</f>
        <v>1646.3759459055225</v>
      </c>
      <c r="X11" s="5" cm="1">
        <f t="array" aca="1" ref="X11" ca="1">INDIRECT("'results" &amp; $B11 &amp; "'!Y$14")</f>
        <v>49.158645330063592</v>
      </c>
      <c r="Y11" s="5" cm="1">
        <f t="array" aca="1" ref="Y11" ca="1">INDIRECT("'results" &amp; $B11 &amp; "'!Z$14")</f>
        <v>7022.0643324124467</v>
      </c>
      <c r="Z11" s="5"/>
    </row>
    <row r="12" spans="2:26" x14ac:dyDescent="0.2">
      <c r="B12" s="4">
        <v>990</v>
      </c>
      <c r="C12" s="5" cm="1">
        <f t="array" aca="1" ref="C12" ca="1">INDIRECT("'results" &amp; $B12 &amp; "'!D$14")</f>
        <v>1502165.2099343289</v>
      </c>
      <c r="D12" s="33" cm="1">
        <f t="array" aca="1" ref="D12" ca="1">INDIRECT("'results" &amp; $B12 &amp; "'!E$14")</f>
        <v>144.38603482222081</v>
      </c>
      <c r="E12" s="5" cm="1">
        <f t="array" aca="1" ref="E12" ca="1">INDIRECT("'results" &amp; $B12 &amp; "'!F$14")</f>
        <v>10</v>
      </c>
      <c r="F12" s="5" cm="1">
        <f t="array" aca="1" ref="F12" ca="1">INDIRECT("'results" &amp; $B12 &amp; "'!G$14")</f>
        <v>89.333333333333329</v>
      </c>
      <c r="G12" s="5" cm="1">
        <f t="array" aca="1" ref="G12" ca="1">INDIRECT("'results" &amp; $B12 &amp; "'!H$14")</f>
        <v>1507.9998222500553</v>
      </c>
      <c r="H12" s="33" cm="1">
        <f t="array" aca="1" ref="H12" ca="1">INDIRECT("'results" &amp; $B12 &amp; "'!I$14")</f>
        <v>48.847811404285594</v>
      </c>
      <c r="I12" s="5" cm="1">
        <f t="array" aca="1" ref="I12" ca="1">INDIRECT("'results" &amp; $B12 &amp; "'!J$14")</f>
        <v>6877.8858668577641</v>
      </c>
      <c r="J12" s="5"/>
      <c r="K12" s="5" cm="1">
        <f t="array" aca="1" ref="K12" ca="1">INDIRECT("'results" &amp; $B12 &amp; "'!L$14")</f>
        <v>1910567.5656079189</v>
      </c>
      <c r="L12" s="5" cm="1">
        <f t="array" aca="1" ref="L12" ca="1">INDIRECT("'results" &amp; $B12 &amp; "'!M$14")</f>
        <v>533.14029582222508</v>
      </c>
      <c r="M12" s="5" cm="1">
        <f t="array" aca="1" ref="M12" ca="1">INDIRECT("'results" &amp; $B12 &amp; "'!N$14")</f>
        <v>15</v>
      </c>
      <c r="N12" s="5" cm="1">
        <f t="array" aca="1" ref="N12" ca="1">INDIRECT("'results" &amp; $B12 &amp; "'!O$14")</f>
        <v>66.666666666666671</v>
      </c>
      <c r="O12" s="5" cm="1">
        <f t="array" aca="1" ref="O12" ca="1">INDIRECT("'results" &amp; $B12 &amp; "'!P$14")</f>
        <v>1113.8809844247776</v>
      </c>
      <c r="P12" s="5" cm="1">
        <f t="array" aca="1" ref="P12" ca="1">INDIRECT("'results" &amp; $B12 &amp; "'!Q$14")</f>
        <v>21.967514586999492</v>
      </c>
      <c r="Q12" s="5" cm="1">
        <f t="array" aca="1" ref="Q12" ca="1">INDIRECT("'results" &amp; $B12 &amp; "'!R$14")</f>
        <v>5863.231934387074</v>
      </c>
      <c r="R12" s="5"/>
      <c r="S12" s="5" cm="1">
        <f t="array" aca="1" ref="S12" ca="1">INDIRECT("'results" &amp; $B12 &amp; "'!T$14")</f>
        <v>1923125.789903691</v>
      </c>
      <c r="T12" s="5" cm="1">
        <f t="array" aca="1" ref="T12" ca="1">INDIRECT("'results" &amp; $B12 &amp; "'!U$14")</f>
        <v>131.09704988889604</v>
      </c>
      <c r="U12" s="5" cm="1">
        <f t="array" aca="1" ref="U12" ca="1">INDIRECT("'results" &amp; $B12 &amp; "'!V$14")</f>
        <v>10</v>
      </c>
      <c r="V12" s="5" cm="1">
        <f t="array" aca="1" ref="V12" ca="1">INDIRECT("'results" &amp; $B12 &amp; "'!W$14")</f>
        <v>66.666666666666671</v>
      </c>
      <c r="W12" s="5" cm="1">
        <f t="array" aca="1" ref="W12" ca="1">INDIRECT("'results" &amp; $B12 &amp; "'!X$14")</f>
        <v>1625.8813196253018</v>
      </c>
      <c r="X12" s="5" cm="1">
        <f t="array" aca="1" ref="X12" ca="1">INDIRECT("'results" &amp; $B12 &amp; "'!Y$14")</f>
        <v>50.54443358702504</v>
      </c>
      <c r="Y12" s="5" cm="1">
        <f t="array" aca="1" ref="Y12" ca="1">INDIRECT("'results" &amp; $B12 &amp; "'!Z$14")</f>
        <v>7133.4626072287992</v>
      </c>
      <c r="Z12" s="5"/>
    </row>
    <row r="13" spans="2:26" x14ac:dyDescent="0.2">
      <c r="B13" s="8" t="s">
        <v>3</v>
      </c>
      <c r="C13" s="9">
        <f ca="1">AVERAGE(C3:C12)</f>
        <v>1582423.3516813491</v>
      </c>
      <c r="D13" s="10">
        <f t="shared" ref="D13:I13" ca="1" si="0">AVERAGE(D3:D12)</f>
        <v>167.5757188044463</v>
      </c>
      <c r="E13" s="9">
        <f t="shared" ca="1" si="0"/>
        <v>9.6</v>
      </c>
      <c r="F13" s="9">
        <f t="shared" ca="1" si="0"/>
        <v>83.066666666666663</v>
      </c>
      <c r="G13" s="9">
        <f t="shared" ca="1" si="0"/>
        <v>1299.2828513691195</v>
      </c>
      <c r="H13" s="10">
        <f t="shared" ca="1" si="0"/>
        <v>46.202716741330683</v>
      </c>
      <c r="I13" s="9">
        <f t="shared" ca="1" si="0"/>
        <v>6698.5996760386142</v>
      </c>
      <c r="J13" s="32" t="e">
        <f ca="1">(C13-$D$15)/$D$15</f>
        <v>#DIV/0!</v>
      </c>
      <c r="K13" s="16">
        <f ca="1">AVERAGE(K3:K12)</f>
        <v>1893470.2154198554</v>
      </c>
      <c r="L13" s="42">
        <f t="shared" ref="L13:Q13" ca="1" si="1">AVERAGE(L3:L12)</f>
        <v>272.08415173555778</v>
      </c>
      <c r="M13" s="16">
        <f t="shared" ca="1" si="1"/>
        <v>15.9</v>
      </c>
      <c r="N13" s="16">
        <f ca="1">AVERAGE(N3:N12)</f>
        <v>67.333333333333329</v>
      </c>
      <c r="O13" s="16">
        <f t="shared" ca="1" si="1"/>
        <v>1022.9631780969621</v>
      </c>
      <c r="P13" s="42">
        <f t="shared" ca="1" si="1"/>
        <v>21.032336952831521</v>
      </c>
      <c r="Q13" s="16">
        <f t="shared" ca="1" si="1"/>
        <v>5727.6577853838335</v>
      </c>
      <c r="R13" s="43" t="e">
        <f ca="1">(K13-$D$15)/$D$15</f>
        <v>#DIV/0!</v>
      </c>
      <c r="S13" s="38">
        <f ca="1">AVERAGE(S3:S12)</f>
        <v>1978490.943974732</v>
      </c>
      <c r="T13" s="44">
        <f t="shared" ref="T13:Y13" ca="1" si="2">AVERAGE(T3:T12)</f>
        <v>171.17372433778104</v>
      </c>
      <c r="U13" s="38">
        <f t="shared" ca="1" si="2"/>
        <v>9.6999999999999993</v>
      </c>
      <c r="V13" s="38">
        <f t="shared" ca="1" si="2"/>
        <v>62.800000000000011</v>
      </c>
      <c r="W13" s="38">
        <f t="shared" ca="1" si="2"/>
        <v>1552.867876937067</v>
      </c>
      <c r="X13" s="44">
        <f t="shared" ca="1" si="2"/>
        <v>51.763637572107577</v>
      </c>
      <c r="Y13" s="38">
        <f t="shared" ca="1" si="2"/>
        <v>6981.7811058691295</v>
      </c>
      <c r="Z13" s="45" t="e">
        <f ca="1">(S13-$D$15)/$D$15</f>
        <v>#DIV/0!</v>
      </c>
    </row>
    <row r="14" spans="2:26" x14ac:dyDescent="0.2">
      <c r="K14" s="46">
        <f ca="1">(K13-C13)/C13</f>
        <v>0.1965636208591173</v>
      </c>
      <c r="L14" s="46">
        <f t="shared" ref="L14:Q14" ca="1" si="3">(L13-D13)/D13</f>
        <v>0.6236490207335369</v>
      </c>
      <c r="M14" s="46">
        <f t="shared" ca="1" si="3"/>
        <v>0.65625000000000011</v>
      </c>
      <c r="N14" s="46">
        <f t="shared" ca="1" si="3"/>
        <v>-0.18940609951845908</v>
      </c>
      <c r="O14" s="46">
        <f t="shared" ca="1" si="3"/>
        <v>-0.21267091532916446</v>
      </c>
      <c r="P14" s="46">
        <f t="shared" ca="1" si="3"/>
        <v>-0.54478138005211663</v>
      </c>
      <c r="Q14" s="46">
        <f t="shared" ca="1" si="3"/>
        <v>-0.14494699453796464</v>
      </c>
      <c r="S14" s="46">
        <f ca="1">(S13-C13)/C13</f>
        <v>0.25029180204687634</v>
      </c>
      <c r="T14" s="46">
        <f t="shared" ref="T14:Y14" ca="1" si="4">(T13-D13)/D13</f>
        <v>2.1470924063488345E-2</v>
      </c>
      <c r="U14" s="46">
        <f t="shared" ca="1" si="4"/>
        <v>1.041666666666663E-2</v>
      </c>
      <c r="V14" s="46">
        <f ca="1">(V13-F13)/F13</f>
        <v>-0.24398073836276066</v>
      </c>
      <c r="W14" s="46">
        <f t="shared" ca="1" si="4"/>
        <v>0.19517307205335022</v>
      </c>
      <c r="X14" s="46">
        <f t="shared" ca="1" si="4"/>
        <v>0.12035917415657869</v>
      </c>
      <c r="Y14" s="46">
        <f t="shared" ca="1" si="4"/>
        <v>4.2274720617127816E-2</v>
      </c>
    </row>
    <row r="16" spans="2:26" x14ac:dyDescent="0.2">
      <c r="B16" s="1" t="s">
        <v>21</v>
      </c>
      <c r="C16">
        <f ca="1">_xlfn.STDEV.S(C3:C12)</f>
        <v>165953.76752569061</v>
      </c>
      <c r="J16" s="1" t="s">
        <v>21</v>
      </c>
      <c r="K16">
        <f ca="1">_xlfn.STDEV.S(K3:K12)</f>
        <v>114408.00155833486</v>
      </c>
      <c r="R16" s="1" t="s">
        <v>21</v>
      </c>
      <c r="S16">
        <f ca="1">_xlfn.STDEV.S(S3:S12)</f>
        <v>118607.96175415993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9E0F-9E0D-410C-9B59-3A58D31B59E0}">
  <dimension ref="B1:AA17"/>
  <sheetViews>
    <sheetView zoomScale="80" zoomScaleNormal="80" workbookViewId="0">
      <selection activeCell="A17" sqref="A17:XFD3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-0.98349603485561254</v>
      </c>
      <c r="J2" s="28" t="e">
        <f>(S14-J14)/J14</f>
        <v>#DIV/0!</v>
      </c>
      <c r="K2" s="28"/>
      <c r="L2" s="1" t="s">
        <v>19</v>
      </c>
      <c r="P2" s="1">
        <f>(P14-H14)/H14</f>
        <v>-0.29284939764401452</v>
      </c>
      <c r="R2" s="1">
        <f>(R14-J14)/J14</f>
        <v>-0.15256445765519117</v>
      </c>
      <c r="T2" s="1" t="s">
        <v>20</v>
      </c>
      <c r="X2" s="1">
        <f>(X14-P14)/P14</f>
        <v>0.55798777963465052</v>
      </c>
      <c r="Z2" s="1">
        <f>(Z14-R14)/R14</f>
        <v>0.19994714065580937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1680123.348893635</v>
      </c>
      <c r="E4" s="33">
        <v>208.09116182222755</v>
      </c>
      <c r="F4" s="5">
        <v>10</v>
      </c>
      <c r="G4" s="23">
        <v>77.333333333333329</v>
      </c>
      <c r="H4" s="33">
        <v>1262.3915166215613</v>
      </c>
      <c r="I4" s="23">
        <v>39.448263962467607</v>
      </c>
      <c r="J4" s="5">
        <v>6548.6499094865258</v>
      </c>
      <c r="K4" s="31"/>
      <c r="L4" s="23">
        <v>1981342.7916921841</v>
      </c>
      <c r="M4" s="33">
        <v>121.46445431110139</v>
      </c>
      <c r="N4" s="5">
        <v>13</v>
      </c>
      <c r="O4" s="5">
        <v>60.666666666666657</v>
      </c>
      <c r="P4" s="33">
        <v>1077.9277250735829</v>
      </c>
      <c r="Q4" s="5">
        <v>21.844149760124296</v>
      </c>
      <c r="R4" s="5">
        <v>5710.6884649135245</v>
      </c>
      <c r="S4" s="35"/>
      <c r="T4" s="23">
        <v>1997926.064848854</v>
      </c>
      <c r="U4" s="33">
        <v>121.71480126666009</v>
      </c>
      <c r="V4" s="5">
        <v>9</v>
      </c>
      <c r="W4" s="5">
        <v>58.666666666666657</v>
      </c>
      <c r="X4" s="33">
        <v>1158.0906344734567</v>
      </c>
      <c r="Y4" s="5">
        <v>48.525160886298139</v>
      </c>
      <c r="Z4" s="5">
        <v>6455.3686861846008</v>
      </c>
      <c r="AA4" s="35"/>
    </row>
    <row r="5" spans="2:27" x14ac:dyDescent="0.2">
      <c r="B5" s="4">
        <v>2</v>
      </c>
      <c r="C5" s="4">
        <v>261</v>
      </c>
      <c r="D5" s="23">
        <v>1689120.9867940149</v>
      </c>
      <c r="E5" s="33">
        <v>319.3180419777571</v>
      </c>
      <c r="F5" s="5">
        <v>10</v>
      </c>
      <c r="G5" s="23">
        <v>76.666666666666671</v>
      </c>
      <c r="H5" s="33">
        <v>1241.7643691753085</v>
      </c>
      <c r="I5" s="23">
        <v>38.279301750001409</v>
      </c>
      <c r="J5" s="5">
        <v>6495.8617599690888</v>
      </c>
      <c r="K5" s="31"/>
      <c r="L5" s="23">
        <v>1945036.742044138</v>
      </c>
      <c r="M5" s="33">
        <v>240.88917675557443</v>
      </c>
      <c r="N5" s="5">
        <v>12</v>
      </c>
      <c r="O5" s="5">
        <v>61.333333333333343</v>
      </c>
      <c r="P5" s="33">
        <v>1042.8915196228993</v>
      </c>
      <c r="Q5" s="5">
        <v>24.211033650864518</v>
      </c>
      <c r="R5" s="5">
        <v>5667.1528366523089</v>
      </c>
      <c r="S5" s="35"/>
      <c r="T5" s="23">
        <v>1997780.1012454701</v>
      </c>
      <c r="U5" s="33">
        <v>143.38437371111164</v>
      </c>
      <c r="V5" s="5">
        <v>9</v>
      </c>
      <c r="W5" s="5">
        <v>58.666666666666657</v>
      </c>
      <c r="X5" s="33">
        <v>1103.0783485675563</v>
      </c>
      <c r="Y5" s="5">
        <v>47.944748129661136</v>
      </c>
      <c r="Z5" s="5">
        <v>6505.9976863414049</v>
      </c>
      <c r="AA5" s="35"/>
    </row>
    <row r="6" spans="2:27" x14ac:dyDescent="0.2">
      <c r="B6" s="4">
        <v>3</v>
      </c>
      <c r="C6" s="4">
        <v>414</v>
      </c>
      <c r="D6" s="23">
        <v>1707246.887370111</v>
      </c>
      <c r="E6" s="33">
        <v>219.1820582000073</v>
      </c>
      <c r="F6" s="5">
        <v>10</v>
      </c>
      <c r="G6" s="23">
        <v>74.666666666666671</v>
      </c>
      <c r="H6" s="33">
        <v>1062.6515672657736</v>
      </c>
      <c r="I6" s="23">
        <v>37.602119837042324</v>
      </c>
      <c r="J6" s="5">
        <v>6372.6758363897525</v>
      </c>
      <c r="K6" s="31"/>
      <c r="L6" s="23">
        <v>1966285.7337295781</v>
      </c>
      <c r="M6" s="33">
        <v>136.18143133335332</v>
      </c>
      <c r="N6" s="5">
        <v>12</v>
      </c>
      <c r="O6" s="5">
        <v>58</v>
      </c>
      <c r="P6" s="33">
        <v>831.52878931970918</v>
      </c>
      <c r="Q6" s="5">
        <v>22.387017766015418</v>
      </c>
      <c r="R6" s="5">
        <v>5299.825373301539</v>
      </c>
      <c r="S6" s="35"/>
      <c r="T6" s="23">
        <v>1977857.428171003</v>
      </c>
      <c r="U6" s="33">
        <v>108.53154322220426</v>
      </c>
      <c r="V6" s="5">
        <v>9</v>
      </c>
      <c r="W6" s="5">
        <v>60</v>
      </c>
      <c r="X6" s="33">
        <v>1206.3600520230279</v>
      </c>
      <c r="Y6" s="5">
        <v>48.30467789968732</v>
      </c>
      <c r="Z6" s="5">
        <v>6522.0206886548367</v>
      </c>
      <c r="AA6" s="35"/>
    </row>
    <row r="7" spans="2:27" x14ac:dyDescent="0.2">
      <c r="B7" s="4">
        <v>4</v>
      </c>
      <c r="C7" s="4">
        <v>452</v>
      </c>
      <c r="D7" s="23">
        <v>1693744.1259114619</v>
      </c>
      <c r="E7" s="33">
        <v>78.642224333352516</v>
      </c>
      <c r="F7" s="5">
        <v>10</v>
      </c>
      <c r="G7" s="23">
        <v>77.333333333333329</v>
      </c>
      <c r="H7" s="33">
        <v>1335.5307308402678</v>
      </c>
      <c r="I7" s="23">
        <v>39.273869855869997</v>
      </c>
      <c r="J7" s="5">
        <v>6675.0820098073837</v>
      </c>
      <c r="K7" s="31"/>
      <c r="L7" s="23">
        <v>1940063.52282986</v>
      </c>
      <c r="M7" s="33">
        <v>135.17206304445347</v>
      </c>
      <c r="N7" s="5">
        <v>15</v>
      </c>
      <c r="O7" s="5">
        <v>65.333333333333329</v>
      </c>
      <c r="P7" s="33">
        <v>1153.1218852344145</v>
      </c>
      <c r="Q7" s="5">
        <v>20.905236232201926</v>
      </c>
      <c r="R7" s="5">
        <v>5840.6808685697306</v>
      </c>
      <c r="S7" s="35"/>
      <c r="T7" s="23">
        <v>2004575.374017379</v>
      </c>
      <c r="U7" s="33">
        <v>117.25616900001963</v>
      </c>
      <c r="V7" s="5">
        <v>8</v>
      </c>
      <c r="W7" s="5">
        <v>57.333333333333343</v>
      </c>
      <c r="X7" s="33">
        <v>1046.8721781487964</v>
      </c>
      <c r="Y7" s="5">
        <v>50.393005173721775</v>
      </c>
      <c r="Z7" s="5">
        <v>6443.9295737814555</v>
      </c>
      <c r="AA7" s="35"/>
    </row>
    <row r="8" spans="2:27" x14ac:dyDescent="0.2">
      <c r="B8" s="4">
        <v>5</v>
      </c>
      <c r="C8" s="4">
        <v>465</v>
      </c>
      <c r="D8" s="23">
        <v>1684311.304290727</v>
      </c>
      <c r="E8" s="33">
        <v>86.399021111092424</v>
      </c>
      <c r="F8" s="5">
        <v>10</v>
      </c>
      <c r="G8" s="23">
        <v>76</v>
      </c>
      <c r="H8" s="33">
        <v>1149.1676031045984</v>
      </c>
      <c r="I8" s="23">
        <v>38.583517803542293</v>
      </c>
      <c r="J8" s="5">
        <v>6393.3927994602409</v>
      </c>
      <c r="K8" s="31"/>
      <c r="L8" s="23">
        <v>1921033.3954495189</v>
      </c>
      <c r="M8" s="33">
        <v>141.6385876222048</v>
      </c>
      <c r="N8" s="5">
        <v>14</v>
      </c>
      <c r="O8" s="5">
        <v>63.333333333333343</v>
      </c>
      <c r="P8" s="33">
        <v>847.73951429643841</v>
      </c>
      <c r="Q8" s="5">
        <v>21.247393931581342</v>
      </c>
      <c r="R8" s="5">
        <v>5507.6807459329802</v>
      </c>
      <c r="S8" s="35"/>
      <c r="T8" s="23">
        <v>1998108.05190055</v>
      </c>
      <c r="U8" s="33">
        <v>80.621176555571665</v>
      </c>
      <c r="V8" s="5">
        <v>9</v>
      </c>
      <c r="W8" s="5">
        <v>58.666666666666657</v>
      </c>
      <c r="X8" s="33">
        <v>1097.9041120799941</v>
      </c>
      <c r="Y8" s="5">
        <v>48.127014412755109</v>
      </c>
      <c r="Z8" s="5">
        <v>6469.6223656820885</v>
      </c>
      <c r="AA8" s="35"/>
    </row>
    <row r="9" spans="2:27" x14ac:dyDescent="0.2">
      <c r="B9" s="4">
        <v>6</v>
      </c>
      <c r="C9" s="4">
        <v>647</v>
      </c>
      <c r="D9" s="23">
        <v>1726135.462444029</v>
      </c>
      <c r="E9" s="33">
        <v>92.002243511094193</v>
      </c>
      <c r="F9" s="5">
        <v>8</v>
      </c>
      <c r="G9" s="23">
        <v>72</v>
      </c>
      <c r="H9" s="33">
        <v>1067.0460729145987</v>
      </c>
      <c r="I9" s="23">
        <v>43.73880795872789</v>
      </c>
      <c r="J9" s="5">
        <v>6433.8223927050094</v>
      </c>
      <c r="K9" s="31"/>
      <c r="L9" s="23">
        <v>1993715.335079331</v>
      </c>
      <c r="M9" s="33">
        <v>205.63938000001428</v>
      </c>
      <c r="N9" s="5">
        <v>14</v>
      </c>
      <c r="O9" s="5">
        <v>60.666666666666657</v>
      </c>
      <c r="P9" s="33">
        <v>1028.1731711643117</v>
      </c>
      <c r="Q9" s="5">
        <v>20.290098658225151</v>
      </c>
      <c r="R9" s="5">
        <v>5597.6271722410956</v>
      </c>
      <c r="S9" s="35"/>
      <c r="T9" s="23">
        <v>2125806.5631986051</v>
      </c>
      <c r="U9" s="33">
        <v>88.89921357777591</v>
      </c>
      <c r="V9" s="5">
        <v>9</v>
      </c>
      <c r="W9" s="5">
        <v>54</v>
      </c>
      <c r="X9" s="33">
        <v>1166.5391659619338</v>
      </c>
      <c r="Y9" s="5">
        <v>39.504200036378997</v>
      </c>
      <c r="Z9" s="5">
        <v>6689.1514390034081</v>
      </c>
      <c r="AA9" s="35"/>
    </row>
    <row r="10" spans="2:27" x14ac:dyDescent="0.2">
      <c r="B10" s="4">
        <v>7</v>
      </c>
      <c r="C10" s="4">
        <v>796</v>
      </c>
      <c r="D10" s="23">
        <v>1682932.518898769</v>
      </c>
      <c r="E10" s="33">
        <v>135.74555637777991</v>
      </c>
      <c r="F10" s="5">
        <v>10</v>
      </c>
      <c r="G10" s="23">
        <v>76.666666666666671</v>
      </c>
      <c r="H10" s="33">
        <v>1266.913043718647</v>
      </c>
      <c r="I10" s="23">
        <v>39.178733104882205</v>
      </c>
      <c r="J10" s="5">
        <v>6463.3519089433848</v>
      </c>
      <c r="K10" s="31"/>
      <c r="L10" s="23">
        <v>1934916.9924706549</v>
      </c>
      <c r="M10" s="33">
        <v>150.9111796666661</v>
      </c>
      <c r="N10" s="5">
        <v>15</v>
      </c>
      <c r="O10" s="5">
        <v>64</v>
      </c>
      <c r="P10" s="33">
        <v>997.57066835025853</v>
      </c>
      <c r="Q10" s="5">
        <v>20.070400021163064</v>
      </c>
      <c r="R10" s="5">
        <v>5599.5510810348924</v>
      </c>
      <c r="S10" s="35"/>
      <c r="T10" s="23">
        <v>1997073.324788685</v>
      </c>
      <c r="U10" s="33">
        <v>162.67353804445722</v>
      </c>
      <c r="V10" s="5">
        <v>9</v>
      </c>
      <c r="W10" s="5">
        <v>58.666666666666657</v>
      </c>
      <c r="X10" s="33">
        <v>1062.9061935011216</v>
      </c>
      <c r="Y10" s="5">
        <v>47.835836596793413</v>
      </c>
      <c r="Z10" s="5">
        <v>6490.6838083598595</v>
      </c>
      <c r="AA10" s="35"/>
    </row>
    <row r="11" spans="2:27" x14ac:dyDescent="0.2">
      <c r="B11" s="4">
        <v>8</v>
      </c>
      <c r="C11" s="4">
        <v>909</v>
      </c>
      <c r="D11" s="23">
        <v>1689957.523658511</v>
      </c>
      <c r="E11" s="33">
        <v>135.11038460000418</v>
      </c>
      <c r="F11" s="5">
        <v>10</v>
      </c>
      <c r="G11" s="23">
        <v>76</v>
      </c>
      <c r="H11" s="33">
        <v>1210.1422804944787</v>
      </c>
      <c r="I11" s="23">
        <v>38.419907151833719</v>
      </c>
      <c r="J11" s="5">
        <v>6444.6539591824821</v>
      </c>
      <c r="K11" s="31"/>
      <c r="L11" s="23">
        <v>1928291.503227409</v>
      </c>
      <c r="M11" s="33">
        <v>193.66857711111919</v>
      </c>
      <c r="N11" s="5">
        <v>14</v>
      </c>
      <c r="O11" s="5">
        <v>63.333333333333343</v>
      </c>
      <c r="P11" s="33">
        <v>948.11923969586326</v>
      </c>
      <c r="Q11" s="5">
        <v>21.794141289838119</v>
      </c>
      <c r="R11" s="5">
        <v>5575.0735118752173</v>
      </c>
      <c r="S11" s="35"/>
      <c r="T11" s="23">
        <v>1951117.6207544981</v>
      </c>
      <c r="U11" s="33">
        <v>187.18531980000748</v>
      </c>
      <c r="V11" s="5">
        <v>10</v>
      </c>
      <c r="W11" s="5">
        <v>63.333333333333343</v>
      </c>
      <c r="X11" s="33">
        <v>1390.8171263911329</v>
      </c>
      <c r="Y11" s="5">
        <v>47.319897203644352</v>
      </c>
      <c r="Z11" s="5">
        <v>6659.1770791736189</v>
      </c>
      <c r="AA11" s="35"/>
    </row>
    <row r="12" spans="2:27" x14ac:dyDescent="0.2">
      <c r="B12" s="4">
        <v>9</v>
      </c>
      <c r="C12" s="4">
        <v>932</v>
      </c>
      <c r="D12" s="23">
        <v>1716307.291780933</v>
      </c>
      <c r="E12" s="33">
        <v>152.21060284444442</v>
      </c>
      <c r="F12" s="5">
        <v>8</v>
      </c>
      <c r="G12" s="23">
        <v>72</v>
      </c>
      <c r="H12" s="33">
        <v>1085.5174135870843</v>
      </c>
      <c r="I12" s="23">
        <v>44.451128299255366</v>
      </c>
      <c r="J12" s="5">
        <v>6342.4759758973732</v>
      </c>
      <c r="K12" s="31"/>
      <c r="L12" s="23">
        <v>1903237.696957727</v>
      </c>
      <c r="M12" s="33">
        <v>150.5444640888729</v>
      </c>
      <c r="N12" s="5">
        <v>15</v>
      </c>
      <c r="O12" s="5">
        <v>65.333333333333329</v>
      </c>
      <c r="P12" s="33">
        <v>892.70092138802318</v>
      </c>
      <c r="Q12" s="5">
        <v>20.834465588892744</v>
      </c>
      <c r="R12" s="5">
        <v>5549.5586876719972</v>
      </c>
      <c r="S12" s="35"/>
      <c r="T12" s="23">
        <v>1977259.8520629159</v>
      </c>
      <c r="U12" s="33">
        <v>61.645972866668473</v>
      </c>
      <c r="V12" s="5">
        <v>9</v>
      </c>
      <c r="W12" s="5">
        <v>60.666666666666657</v>
      </c>
      <c r="X12" s="33">
        <v>1295.224048236141</v>
      </c>
      <c r="Y12" s="5">
        <v>49.060043747380078</v>
      </c>
      <c r="Z12" s="5">
        <v>6599.1491209303804</v>
      </c>
      <c r="AA12" s="35"/>
    </row>
    <row r="13" spans="2:27" x14ac:dyDescent="0.2">
      <c r="B13" s="4">
        <v>10</v>
      </c>
      <c r="C13" s="4">
        <v>949</v>
      </c>
      <c r="D13" s="23">
        <v>1713899.6009533741</v>
      </c>
      <c r="E13" s="33">
        <v>139.21570200002236</v>
      </c>
      <c r="F13" s="5">
        <v>8</v>
      </c>
      <c r="G13" s="23">
        <v>71.333333333333329</v>
      </c>
      <c r="H13" s="33">
        <v>975.75079125490538</v>
      </c>
      <c r="I13" s="23">
        <v>43.199943803822713</v>
      </c>
      <c r="J13" s="5">
        <v>6229.4242311031148</v>
      </c>
      <c r="K13" s="31"/>
      <c r="L13" s="23">
        <v>2073662.869218902</v>
      </c>
      <c r="M13" s="33">
        <v>150.99264784444435</v>
      </c>
      <c r="N13" s="5">
        <v>13</v>
      </c>
      <c r="O13" s="5">
        <v>57.333333333333343</v>
      </c>
      <c r="P13" s="33">
        <v>1160.2691039031497</v>
      </c>
      <c r="Q13" s="5">
        <v>19.916412332919041</v>
      </c>
      <c r="R13" s="5">
        <v>5807.0490363815079</v>
      </c>
      <c r="S13" s="35"/>
      <c r="T13" s="23">
        <v>1976162.694004453</v>
      </c>
      <c r="U13" s="33">
        <v>86.977641311111952</v>
      </c>
      <c r="V13" s="5">
        <v>9</v>
      </c>
      <c r="W13" s="5">
        <v>60.666666666666657</v>
      </c>
      <c r="X13" s="33">
        <v>1306.2408375888197</v>
      </c>
      <c r="Y13" s="5">
        <v>49.34411354526825</v>
      </c>
      <c r="Z13" s="5">
        <v>6616.2908016974052</v>
      </c>
      <c r="AA13" s="35"/>
    </row>
    <row r="14" spans="2:27" x14ac:dyDescent="0.2">
      <c r="B14" s="47" t="s">
        <v>3</v>
      </c>
      <c r="C14" s="48"/>
      <c r="D14" s="9">
        <f>MIN(D4:D13)</f>
        <v>1680123.348893635</v>
      </c>
      <c r="E14" s="22">
        <f>INDEX(E4:E13, MATCH($D$14, D4:D13, 0))</f>
        <v>208.09116182222755</v>
      </c>
      <c r="F14" s="9">
        <f>INDEX(F4:F13, MATCH($D$14, D4:D13, 0))</f>
        <v>10</v>
      </c>
      <c r="G14" s="9">
        <f>INDEX(G4:G13, MATCH($D$14, D4:D13, 0))</f>
        <v>77.333333333333329</v>
      </c>
      <c r="H14" s="22">
        <f>INDEX(H4:H13, MATCH($D$14, D4:D13, 0))</f>
        <v>1262.3915166215613</v>
      </c>
      <c r="I14" s="22">
        <f>INDEX(I4:I13, MATCH($D$14, D4:D13, 0))</f>
        <v>39.448263962467607</v>
      </c>
      <c r="J14" s="22">
        <f>INDEX(J4:J13, MATCH($D$14, D4:D13, 0))</f>
        <v>6548.6499094865258</v>
      </c>
      <c r="K14" s="32" t="e">
        <f>(D14-$D$15)/$D$15</f>
        <v>#DIV/0!</v>
      </c>
      <c r="L14" s="16">
        <f>MIN(L4:L13)</f>
        <v>1903237.696957727</v>
      </c>
      <c r="M14" s="21">
        <f>INDEX(M4:M13, MATCH($L$14, L4:L13, 0))</f>
        <v>150.5444640888729</v>
      </c>
      <c r="N14" s="16">
        <f>INDEX(N4:N13, MATCH($L$14, L4:L13, 0))</f>
        <v>15</v>
      </c>
      <c r="O14" s="16">
        <f>INDEX(O4:O13, MATCH($L$14, L4:L13, 0))</f>
        <v>65.333333333333329</v>
      </c>
      <c r="P14" s="21">
        <f>INDEX(P4:P13, MATCH($L$14, L4:L13, 0))</f>
        <v>892.70092138802318</v>
      </c>
      <c r="Q14" s="21">
        <f>INDEX(Q4:Q13, MATCH($L$14, L4:L13, 0))</f>
        <v>20.834465588892744</v>
      </c>
      <c r="R14" s="21">
        <f>INDEX(R4:R13, MATCH($L$14, L4:L13, 0))</f>
        <v>5549.5586876719972</v>
      </c>
      <c r="S14" s="36" t="e">
        <f>(L14-$D$15)/$D$15</f>
        <v>#DIV/0!</v>
      </c>
      <c r="T14" s="38">
        <f>MIN(T4:T13)</f>
        <v>1951117.6207544981</v>
      </c>
      <c r="U14" s="39">
        <f>INDEX(U4:U13, MATCH($T$14, T4:T13, 0))</f>
        <v>187.18531980000748</v>
      </c>
      <c r="V14" s="38">
        <f>INDEX(V4:V13, MATCH($T$14, T4:T13, 0))</f>
        <v>10</v>
      </c>
      <c r="W14" s="38">
        <f>INDEX(W4:W13, MATCH($T$14, T4:T13, 0))</f>
        <v>63.333333333333343</v>
      </c>
      <c r="X14" s="39">
        <f>INDEX(X4:X13, MATCH($T$14, T4:T13, 0))</f>
        <v>1390.8171263911329</v>
      </c>
      <c r="Y14" s="39">
        <f>INDEX(Y4:Y13, MATCH($T$14, T4:T13, 0))</f>
        <v>47.319897203644352</v>
      </c>
      <c r="Z14" s="39">
        <f>INDEX(Z4:Z13, MATCH($T$14, T4:T13, 0))</f>
        <v>6659.1770791736189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0.1327964093892352</v>
      </c>
      <c r="M15" s="41">
        <f t="shared" ref="M15:R15" si="0">(M14-E14)/E14</f>
        <v>-0.27654561217028928</v>
      </c>
      <c r="N15" s="41">
        <f t="shared" si="0"/>
        <v>0.5</v>
      </c>
      <c r="O15" s="41">
        <f t="shared" si="0"/>
        <v>-0.15517241379310345</v>
      </c>
      <c r="P15" s="41">
        <f t="shared" si="0"/>
        <v>-0.29284939764401452</v>
      </c>
      <c r="Q15" s="41">
        <f t="shared" si="0"/>
        <v>-0.47185342278394432</v>
      </c>
      <c r="R15" s="41">
        <f t="shared" si="0"/>
        <v>-0.15256445765519117</v>
      </c>
      <c r="T15" s="41">
        <f>(T14-D14)/D14</f>
        <v>0.16129427166125238</v>
      </c>
      <c r="U15" s="41">
        <f t="shared" ref="U15:Y15" si="1">(U14-E14)/E14</f>
        <v>-0.10046482435462564</v>
      </c>
      <c r="V15" s="41">
        <f t="shared" si="1"/>
        <v>0</v>
      </c>
      <c r="W15" s="41">
        <f t="shared" si="1"/>
        <v>-0.18103448275862052</v>
      </c>
      <c r="X15" s="41">
        <f t="shared" si="1"/>
        <v>0.10173199683190749</v>
      </c>
      <c r="Y15" s="41">
        <f t="shared" si="1"/>
        <v>0.19954321053687127</v>
      </c>
      <c r="Z15" s="41">
        <f>(Z14-J14)/J14</f>
        <v>1.6877855926758428E-2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123" priority="3"/>
    <cfRule type="duplicateValues" dxfId="122" priority="4"/>
  </conditionalFormatting>
  <conditionalFormatting sqref="C14">
    <cfRule type="duplicateValues" dxfId="121" priority="1"/>
    <cfRule type="duplicateValues" dxfId="12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8C85-C55C-4923-B7E7-6AB132677642}">
  <dimension ref="B1:AA17"/>
  <sheetViews>
    <sheetView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3" width="11.33203125" style="1" bestFit="1" customWidth="1"/>
    <col min="14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-0.98257078317942181</v>
      </c>
      <c r="J2" s="28" t="e">
        <f>(S14-J14)/J14</f>
        <v>#DIV/0!</v>
      </c>
      <c r="K2" s="28"/>
      <c r="L2" s="1" t="s">
        <v>19</v>
      </c>
      <c r="P2" s="1">
        <f>(P14-H14)/H14</f>
        <v>-0.24380026832341439</v>
      </c>
      <c r="R2" s="1">
        <f>(R14-J14)/J14</f>
        <v>-0.20682959376888554</v>
      </c>
      <c r="T2" s="1" t="s">
        <v>20</v>
      </c>
      <c r="X2" s="1">
        <f>(X14-P14)/P14</f>
        <v>0.57264917308684038</v>
      </c>
      <c r="Z2" s="1">
        <f>(Z14-R14)/R14</f>
        <v>0.27971579577207983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675</v>
      </c>
      <c r="D4" s="23">
        <v>1489191.235358458</v>
      </c>
      <c r="E4" s="33">
        <v>230.82498568888866</v>
      </c>
      <c r="F4" s="5">
        <v>9</v>
      </c>
      <c r="G4" s="23">
        <v>84</v>
      </c>
      <c r="H4" s="33">
        <v>1105.339600798801</v>
      </c>
      <c r="I4" s="23">
        <v>47.373656453400613</v>
      </c>
      <c r="J4" s="5">
        <v>6429.8920324078817</v>
      </c>
      <c r="K4" s="31"/>
      <c r="L4" s="23">
        <v>1866178.943780221</v>
      </c>
      <c r="M4" s="33">
        <v>344.01208691110111</v>
      </c>
      <c r="N4" s="5">
        <v>14</v>
      </c>
      <c r="O4" s="5">
        <v>63.333333333333343</v>
      </c>
      <c r="P4" s="33">
        <v>779.93384740929673</v>
      </c>
      <c r="Q4" s="5">
        <v>20.686694072730113</v>
      </c>
      <c r="R4" s="5">
        <v>5131.0700840730333</v>
      </c>
      <c r="S4" s="35"/>
      <c r="T4" s="23">
        <v>1894662.593499834</v>
      </c>
      <c r="U4" s="33">
        <v>147.09948264445282</v>
      </c>
      <c r="V4" s="5">
        <v>9</v>
      </c>
      <c r="W4" s="5">
        <v>62</v>
      </c>
      <c r="X4" s="33">
        <v>1054.8068057564881</v>
      </c>
      <c r="Y4" s="5">
        <v>50.389830418851425</v>
      </c>
      <c r="Z4" s="5">
        <v>6282.1231510887028</v>
      </c>
      <c r="AA4" s="35"/>
    </row>
    <row r="5" spans="2:27" x14ac:dyDescent="0.2">
      <c r="B5" s="4">
        <v>2</v>
      </c>
      <c r="C5" s="4">
        <v>533</v>
      </c>
      <c r="D5" s="23">
        <v>1491826.2902992871</v>
      </c>
      <c r="E5" s="33">
        <v>121.16612148887685</v>
      </c>
      <c r="F5" s="5">
        <v>9</v>
      </c>
      <c r="G5" s="23">
        <v>84</v>
      </c>
      <c r="H5" s="33">
        <v>1155.0289061275339</v>
      </c>
      <c r="I5" s="23">
        <v>47.709993415404092</v>
      </c>
      <c r="J5" s="5">
        <v>6446.2643552433883</v>
      </c>
      <c r="K5" s="31"/>
      <c r="L5" s="23">
        <v>1978074.33377605</v>
      </c>
      <c r="M5" s="33">
        <v>210.17058531112141</v>
      </c>
      <c r="N5" s="5">
        <v>12</v>
      </c>
      <c r="O5" s="5">
        <v>58</v>
      </c>
      <c r="P5" s="33">
        <v>933.21183052023969</v>
      </c>
      <c r="Q5" s="5">
        <v>21.016991846596355</v>
      </c>
      <c r="R5" s="5">
        <v>5377.1610550724472</v>
      </c>
      <c r="S5" s="35"/>
      <c r="T5" s="23">
        <v>1922130.72513044</v>
      </c>
      <c r="U5" s="33">
        <v>158.37843166666829</v>
      </c>
      <c r="V5" s="5">
        <v>9</v>
      </c>
      <c r="W5" s="5">
        <v>63.333333333333343</v>
      </c>
      <c r="X5" s="33">
        <v>1349.0095427315814</v>
      </c>
      <c r="Y5" s="5">
        <v>50.723547607175107</v>
      </c>
      <c r="Z5" s="5">
        <v>6630.2694764247017</v>
      </c>
      <c r="AA5" s="35"/>
    </row>
    <row r="6" spans="2:27" x14ac:dyDescent="0.2">
      <c r="B6" s="4">
        <v>3</v>
      </c>
      <c r="C6" s="4">
        <v>999</v>
      </c>
      <c r="D6" s="23">
        <v>1513523.5598791761</v>
      </c>
      <c r="E6" s="33">
        <v>96.866806088869154</v>
      </c>
      <c r="F6" s="5">
        <v>9</v>
      </c>
      <c r="G6" s="23">
        <v>83.333333333333329</v>
      </c>
      <c r="H6" s="33">
        <v>1120.1172262994628</v>
      </c>
      <c r="I6" s="23">
        <v>45.531176150248726</v>
      </c>
      <c r="J6" s="5">
        <v>6503.9857585725149</v>
      </c>
      <c r="K6" s="31"/>
      <c r="L6" s="23">
        <v>1895462.595876598</v>
      </c>
      <c r="M6" s="33">
        <v>270.13069266665508</v>
      </c>
      <c r="N6" s="5">
        <v>13</v>
      </c>
      <c r="O6" s="5">
        <v>61.333333333333343</v>
      </c>
      <c r="P6" s="33">
        <v>702.61697286325943</v>
      </c>
      <c r="Q6" s="5">
        <v>19.564290056520186</v>
      </c>
      <c r="R6" s="5">
        <v>5169.5668392495636</v>
      </c>
      <c r="S6" s="35"/>
      <c r="T6" s="23">
        <v>1876402.0783463379</v>
      </c>
      <c r="U6" s="33">
        <v>167.66688313332594</v>
      </c>
      <c r="V6" s="5">
        <v>10</v>
      </c>
      <c r="W6" s="5">
        <v>64.666666666666671</v>
      </c>
      <c r="X6" s="33">
        <v>1184.5674475826684</v>
      </c>
      <c r="Y6" s="5">
        <v>48.247580768837125</v>
      </c>
      <c r="Z6" s="5">
        <v>6426.9728599903956</v>
      </c>
      <c r="AA6" s="35"/>
    </row>
    <row r="7" spans="2:27" x14ac:dyDescent="0.2">
      <c r="B7" s="4">
        <v>4</v>
      </c>
      <c r="C7" s="4">
        <v>561</v>
      </c>
      <c r="D7" s="23">
        <v>1513551.9508252209</v>
      </c>
      <c r="E7" s="33">
        <v>120.76847180002369</v>
      </c>
      <c r="F7" s="5">
        <v>9</v>
      </c>
      <c r="G7" s="23">
        <v>84</v>
      </c>
      <c r="H7" s="33">
        <v>1196.7323673748351</v>
      </c>
      <c r="I7" s="23">
        <v>45.685374710914616</v>
      </c>
      <c r="J7" s="5">
        <v>6554.1258149823152</v>
      </c>
      <c r="K7" s="31"/>
      <c r="L7" s="23">
        <v>1868395.8620910509</v>
      </c>
      <c r="M7" s="33">
        <v>176.42941677777304</v>
      </c>
      <c r="N7" s="5">
        <v>15</v>
      </c>
      <c r="O7" s="5">
        <v>64</v>
      </c>
      <c r="P7" s="33">
        <v>704.30374343045878</v>
      </c>
      <c r="Q7" s="5">
        <v>18.637215891313311</v>
      </c>
      <c r="R7" s="5">
        <v>5161.0007412667965</v>
      </c>
      <c r="S7" s="35"/>
      <c r="T7" s="23">
        <v>1891543.0387285601</v>
      </c>
      <c r="U7" s="33">
        <v>179.58923879997909</v>
      </c>
      <c r="V7" s="5">
        <v>9</v>
      </c>
      <c r="W7" s="5">
        <v>62.666666666666657</v>
      </c>
      <c r="X7" s="33">
        <v>1086.1349470770008</v>
      </c>
      <c r="Y7" s="5">
        <v>51.990419765052771</v>
      </c>
      <c r="Z7" s="5">
        <v>6396.8732537676342</v>
      </c>
      <c r="AA7" s="35"/>
    </row>
    <row r="8" spans="2:27" x14ac:dyDescent="0.2">
      <c r="B8" s="4">
        <v>5</v>
      </c>
      <c r="C8" s="4">
        <v>423</v>
      </c>
      <c r="D8" s="23">
        <v>1490431.788910371</v>
      </c>
      <c r="E8" s="33">
        <v>178.93907195557324</v>
      </c>
      <c r="F8" s="5">
        <v>10</v>
      </c>
      <c r="G8" s="23">
        <v>84.666666666666671</v>
      </c>
      <c r="H8" s="33">
        <v>1159.236986319316</v>
      </c>
      <c r="I8" s="23">
        <v>43.521712339068735</v>
      </c>
      <c r="J8" s="5">
        <v>6377.6648067870101</v>
      </c>
      <c r="K8" s="31"/>
      <c r="L8" s="23">
        <v>1828965.504116449</v>
      </c>
      <c r="M8" s="33">
        <v>288.25368748889821</v>
      </c>
      <c r="N8" s="5">
        <v>16</v>
      </c>
      <c r="O8" s="5">
        <v>66.666666666666671</v>
      </c>
      <c r="P8" s="33">
        <v>835.8575095355576</v>
      </c>
      <c r="Q8" s="5">
        <v>19.265203562693575</v>
      </c>
      <c r="R8" s="5">
        <v>5100.0000753671657</v>
      </c>
      <c r="S8" s="35"/>
      <c r="T8" s="23">
        <v>1896876.4864901679</v>
      </c>
      <c r="U8" s="33">
        <v>224.31886948888288</v>
      </c>
      <c r="V8" s="5">
        <v>9</v>
      </c>
      <c r="W8" s="5">
        <v>63.333333333333343</v>
      </c>
      <c r="X8" s="33">
        <v>1235.3701812458423</v>
      </c>
      <c r="Y8" s="5">
        <v>49.943704198866804</v>
      </c>
      <c r="Z8" s="5">
        <v>6489.3525947603712</v>
      </c>
      <c r="AA8" s="35"/>
    </row>
    <row r="9" spans="2:27" x14ac:dyDescent="0.2">
      <c r="B9" s="4">
        <v>6</v>
      </c>
      <c r="C9" s="4">
        <v>515</v>
      </c>
      <c r="D9" s="23">
        <v>1532120.991389903</v>
      </c>
      <c r="E9" s="33">
        <v>192.56690120001116</v>
      </c>
      <c r="F9" s="5">
        <v>10</v>
      </c>
      <c r="G9" s="23">
        <v>86</v>
      </c>
      <c r="H9" s="33">
        <v>1339.6966483522679</v>
      </c>
      <c r="I9" s="23">
        <v>42.127245307138111</v>
      </c>
      <c r="J9" s="5">
        <v>6719.2986488210481</v>
      </c>
      <c r="K9" s="31"/>
      <c r="L9" s="23">
        <v>1928868.803789546</v>
      </c>
      <c r="M9" s="33">
        <v>369.17798008891333</v>
      </c>
      <c r="N9" s="5">
        <v>15</v>
      </c>
      <c r="O9" s="5">
        <v>64</v>
      </c>
      <c r="P9" s="33">
        <v>971.78795880696123</v>
      </c>
      <c r="Q9" s="5">
        <v>19.743910364168521</v>
      </c>
      <c r="R9" s="5">
        <v>5551.3979731591744</v>
      </c>
      <c r="S9" s="35"/>
      <c r="T9" s="23">
        <v>1888001.1393642339</v>
      </c>
      <c r="U9" s="33">
        <v>76.638074800009932</v>
      </c>
      <c r="V9" s="5">
        <v>9</v>
      </c>
      <c r="W9" s="5">
        <v>62.666666666666657</v>
      </c>
      <c r="X9" s="33">
        <v>1139.6613223082747</v>
      </c>
      <c r="Y9" s="5">
        <v>52.122041047884245</v>
      </c>
      <c r="Z9" s="5">
        <v>6417.1776989082682</v>
      </c>
      <c r="AA9" s="35"/>
    </row>
    <row r="10" spans="2:27" x14ac:dyDescent="0.2">
      <c r="B10" s="4">
        <v>7</v>
      </c>
      <c r="C10" s="4">
        <v>521</v>
      </c>
      <c r="D10" s="23">
        <v>1489459.2696244051</v>
      </c>
      <c r="E10" s="33">
        <v>315.36207768890176</v>
      </c>
      <c r="F10" s="5">
        <v>9</v>
      </c>
      <c r="G10" s="23">
        <v>84</v>
      </c>
      <c r="H10" s="33">
        <v>1129.7231006005693</v>
      </c>
      <c r="I10" s="23">
        <v>47.671325805912971</v>
      </c>
      <c r="J10" s="5">
        <v>6416.344117999698</v>
      </c>
      <c r="K10" s="31"/>
      <c r="L10" s="23">
        <v>1841823.880703155</v>
      </c>
      <c r="M10" s="33">
        <v>287.19356337776935</v>
      </c>
      <c r="N10" s="5">
        <v>16</v>
      </c>
      <c r="O10" s="5">
        <v>68</v>
      </c>
      <c r="P10" s="33">
        <v>990.41618060804228</v>
      </c>
      <c r="Q10" s="5">
        <v>20.552532676033366</v>
      </c>
      <c r="R10" s="5">
        <v>5483.113222672052</v>
      </c>
      <c r="S10" s="35"/>
      <c r="T10" s="23">
        <v>1894278.1967494721</v>
      </c>
      <c r="U10" s="33">
        <v>54.231661200005973</v>
      </c>
      <c r="V10" s="5">
        <v>9</v>
      </c>
      <c r="W10" s="5">
        <v>63.333333333333343</v>
      </c>
      <c r="X10" s="33">
        <v>1206.4099801503394</v>
      </c>
      <c r="Y10" s="5">
        <v>52.817743355937147</v>
      </c>
      <c r="Z10" s="5">
        <v>6487.8609792110574</v>
      </c>
      <c r="AA10" s="35"/>
    </row>
    <row r="11" spans="2:27" x14ac:dyDescent="0.2">
      <c r="B11" s="4">
        <v>8</v>
      </c>
      <c r="C11" s="4">
        <v>532</v>
      </c>
      <c r="D11" s="23">
        <v>1548135.056189436</v>
      </c>
      <c r="E11" s="33">
        <v>77.860672733332564</v>
      </c>
      <c r="F11" s="5">
        <v>9</v>
      </c>
      <c r="G11" s="23">
        <v>80.666666666666671</v>
      </c>
      <c r="H11" s="33">
        <v>1004.618450556493</v>
      </c>
      <c r="I11" s="23">
        <v>43.816214606634404</v>
      </c>
      <c r="J11" s="5">
        <v>6331.0489357161568</v>
      </c>
      <c r="K11" s="31"/>
      <c r="L11" s="23">
        <v>1933896.630327506</v>
      </c>
      <c r="M11" s="33">
        <v>151.22864922224028</v>
      </c>
      <c r="N11" s="5">
        <v>12</v>
      </c>
      <c r="O11" s="5">
        <v>58.666666666666657</v>
      </c>
      <c r="P11" s="33">
        <v>671.46232991624652</v>
      </c>
      <c r="Q11" s="5">
        <v>21.595021998416907</v>
      </c>
      <c r="R11" s="5">
        <v>5137.2274845117508</v>
      </c>
      <c r="S11" s="35"/>
      <c r="T11" s="23">
        <v>1853671.289719159</v>
      </c>
      <c r="U11" s="33">
        <v>149.08456326666703</v>
      </c>
      <c r="V11" s="5">
        <v>10</v>
      </c>
      <c r="W11" s="5">
        <v>66</v>
      </c>
      <c r="X11" s="33">
        <v>1314.5106211895204</v>
      </c>
      <c r="Y11" s="5">
        <v>53.234821852917392</v>
      </c>
      <c r="Z11" s="5">
        <v>6526.5506548861595</v>
      </c>
      <c r="AA11" s="35"/>
    </row>
    <row r="12" spans="2:27" x14ac:dyDescent="0.2">
      <c r="B12" s="4">
        <v>9</v>
      </c>
      <c r="C12" s="4">
        <v>485</v>
      </c>
      <c r="D12" s="23">
        <v>1547912.5824624449</v>
      </c>
      <c r="E12" s="33">
        <v>87.930132911126648</v>
      </c>
      <c r="F12" s="5">
        <v>9</v>
      </c>
      <c r="G12" s="23">
        <v>81.333333333333329</v>
      </c>
      <c r="H12" s="33">
        <v>1057.8488243727506</v>
      </c>
      <c r="I12" s="23">
        <v>44.809557218000428</v>
      </c>
      <c r="J12" s="5">
        <v>6452.4006486688395</v>
      </c>
      <c r="K12" s="31"/>
      <c r="L12" s="23">
        <v>1936280.028103417</v>
      </c>
      <c r="M12" s="33">
        <v>229.14998591111757</v>
      </c>
      <c r="N12" s="5">
        <v>12</v>
      </c>
      <c r="O12" s="5">
        <v>57.333333333333343</v>
      </c>
      <c r="P12" s="33">
        <v>626.8163973925964</v>
      </c>
      <c r="Q12" s="5">
        <v>21.014288237389891</v>
      </c>
      <c r="R12" s="5">
        <v>4979.8599348182415</v>
      </c>
      <c r="S12" s="35"/>
      <c r="T12" s="23">
        <v>1870841.106469837</v>
      </c>
      <c r="U12" s="33">
        <v>159.83608246664517</v>
      </c>
      <c r="V12" s="5">
        <v>9</v>
      </c>
      <c r="W12" s="5">
        <v>62.666666666666657</v>
      </c>
      <c r="X12" s="33">
        <v>1073.3069632307179</v>
      </c>
      <c r="Y12" s="5">
        <v>54.239723152973511</v>
      </c>
      <c r="Z12" s="5">
        <v>6281.6407273604618</v>
      </c>
      <c r="AA12" s="35"/>
    </row>
    <row r="13" spans="2:27" x14ac:dyDescent="0.2">
      <c r="B13" s="4">
        <v>10</v>
      </c>
      <c r="C13" s="4">
        <v>769</v>
      </c>
      <c r="D13" s="23">
        <v>1510699.290341465</v>
      </c>
      <c r="E13" s="33">
        <v>241.21313371110909</v>
      </c>
      <c r="F13" s="5">
        <v>9</v>
      </c>
      <c r="G13" s="23">
        <v>83.333333333333329</v>
      </c>
      <c r="H13" s="33">
        <v>1100.7884517798263</v>
      </c>
      <c r="I13" s="23">
        <v>45.673776622302881</v>
      </c>
      <c r="J13" s="5">
        <v>6518.4100233047211</v>
      </c>
      <c r="K13" s="31"/>
      <c r="L13" s="23">
        <v>1833050.0600372199</v>
      </c>
      <c r="M13" s="33">
        <v>289.15559646668333</v>
      </c>
      <c r="N13" s="5">
        <v>16</v>
      </c>
      <c r="O13" s="5">
        <v>67.333333333333329</v>
      </c>
      <c r="P13" s="33">
        <v>876.243805888221</v>
      </c>
      <c r="Q13" s="5">
        <v>19.065975654043861</v>
      </c>
      <c r="R13" s="5">
        <v>5279.3635301314789</v>
      </c>
      <c r="S13" s="35"/>
      <c r="T13" s="23">
        <v>1896672.864715962</v>
      </c>
      <c r="U13" s="33">
        <v>210.91970942223756</v>
      </c>
      <c r="V13" s="5">
        <v>9</v>
      </c>
      <c r="W13" s="5">
        <v>63.333333333333343</v>
      </c>
      <c r="X13" s="33">
        <v>1222.7015223266042</v>
      </c>
      <c r="Y13" s="5">
        <v>49.970690379507161</v>
      </c>
      <c r="Z13" s="5">
        <v>6510.8329711983361</v>
      </c>
      <c r="AA13" s="35"/>
    </row>
    <row r="14" spans="2:27" x14ac:dyDescent="0.2">
      <c r="B14" s="47" t="s">
        <v>3</v>
      </c>
      <c r="C14" s="48"/>
      <c r="D14" s="9">
        <f>MIN(D4:D13)</f>
        <v>1489191.235358458</v>
      </c>
      <c r="E14" s="22">
        <f>INDEX(E4:E13, MATCH($D$14, D4:D13, 0))</f>
        <v>230.82498568888866</v>
      </c>
      <c r="F14" s="9">
        <f>INDEX(F4:F13, MATCH($D$14, D4:D13, 0))</f>
        <v>9</v>
      </c>
      <c r="G14" s="9">
        <f>INDEX(G4:G13, MATCH($D$14, D4:D13, 0))</f>
        <v>84</v>
      </c>
      <c r="H14" s="22">
        <f>INDEX(H4:H13, MATCH($D$14, D4:D13, 0))</f>
        <v>1105.339600798801</v>
      </c>
      <c r="I14" s="22">
        <f>INDEX(I4:I13, MATCH($D$14, D4:D13, 0))</f>
        <v>47.373656453400613</v>
      </c>
      <c r="J14" s="22">
        <f>INDEX(J4:J13, MATCH($D$14, D4:D13, 0))</f>
        <v>6429.8920324078817</v>
      </c>
      <c r="K14" s="32" t="e">
        <f>(D14-$D$15)/$D$15</f>
        <v>#DIV/0!</v>
      </c>
      <c r="L14" s="16">
        <f>MIN(L4:L13)</f>
        <v>1828965.504116449</v>
      </c>
      <c r="M14" s="21">
        <f>INDEX(M4:M13, MATCH($L$14, L4:L13, 0))</f>
        <v>288.25368748889821</v>
      </c>
      <c r="N14" s="16">
        <f>INDEX(N4:N13, MATCH($L$14, L4:L13, 0))</f>
        <v>16</v>
      </c>
      <c r="O14" s="16">
        <f>INDEX(O4:O13, MATCH($L$14, L4:L13, 0))</f>
        <v>66.666666666666671</v>
      </c>
      <c r="P14" s="21">
        <f>INDEX(P4:P13, MATCH($L$14, L4:L13, 0))</f>
        <v>835.8575095355576</v>
      </c>
      <c r="Q14" s="21">
        <f>INDEX(Q4:Q13, MATCH($L$14, L4:L13, 0))</f>
        <v>19.265203562693575</v>
      </c>
      <c r="R14" s="21">
        <f>INDEX(R4:R13, MATCH($L$14, L4:L13, 0))</f>
        <v>5100.0000753671657</v>
      </c>
      <c r="S14" s="36" t="e">
        <f>(L14-$D$15)/$D$15</f>
        <v>#DIV/0!</v>
      </c>
      <c r="T14" s="38">
        <f>MIN(T4:T13)</f>
        <v>1853671.289719159</v>
      </c>
      <c r="U14" s="39">
        <f>INDEX(U4:U13, MATCH($T$14, T4:T13, 0))</f>
        <v>149.08456326666703</v>
      </c>
      <c r="V14" s="38">
        <f>INDEX(V4:V13, MATCH($T$14, T4:T13, 0))</f>
        <v>10</v>
      </c>
      <c r="W14" s="38">
        <f>INDEX(W4:W13, MATCH($T$14, T4:T13, 0))</f>
        <v>66</v>
      </c>
      <c r="X14" s="39">
        <f>INDEX(X4:X13, MATCH($T$14, T4:T13, 0))</f>
        <v>1314.5106211895204</v>
      </c>
      <c r="Y14" s="39">
        <f>INDEX(Y4:Y13, MATCH($T$14, T4:T13, 0))</f>
        <v>53.234821852917392</v>
      </c>
      <c r="Z14" s="39">
        <f>INDEX(Z4:Z13, MATCH($T$14, T4:T13, 0))</f>
        <v>6526.5506548861595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0.22816026625096619</v>
      </c>
      <c r="M15" s="41">
        <f t="shared" ref="M15:R15" si="0">(M14-E14)/E14</f>
        <v>0.24879759714320226</v>
      </c>
      <c r="N15" s="41">
        <f t="shared" si="0"/>
        <v>0.77777777777777779</v>
      </c>
      <c r="O15" s="41">
        <f t="shared" si="0"/>
        <v>-0.20634920634920628</v>
      </c>
      <c r="P15" s="41">
        <f t="shared" si="0"/>
        <v>-0.24380026832341439</v>
      </c>
      <c r="Q15" s="41">
        <f t="shared" si="0"/>
        <v>-0.59333509370035831</v>
      </c>
      <c r="R15" s="41">
        <f t="shared" si="0"/>
        <v>-0.20682959376888554</v>
      </c>
      <c r="T15" s="41">
        <f>(T14-D14)/D14</f>
        <v>0.24475033542147345</v>
      </c>
      <c r="U15" s="41">
        <f t="shared" ref="U15:Y15" si="1">(U14-E14)/E14</f>
        <v>-0.35412293941347101</v>
      </c>
      <c r="V15" s="41">
        <f t="shared" si="1"/>
        <v>0.1111111111111111</v>
      </c>
      <c r="W15" s="41">
        <f t="shared" si="1"/>
        <v>-0.21428571428571427</v>
      </c>
      <c r="X15" s="41">
        <f t="shared" si="1"/>
        <v>0.1892368827096729</v>
      </c>
      <c r="Y15" s="41">
        <f t="shared" si="1"/>
        <v>0.12372203959561681</v>
      </c>
      <c r="Z15" s="41">
        <f>(Z14-J14)/J14</f>
        <v>1.5032697592914443E-2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29 C40:C1048576">
    <cfRule type="duplicateValues" dxfId="119" priority="7"/>
    <cfRule type="duplicateValues" dxfId="118" priority="8"/>
  </conditionalFormatting>
  <conditionalFormatting sqref="C14">
    <cfRule type="duplicateValues" dxfId="117" priority="5"/>
    <cfRule type="duplicateValues" dxfId="116" priority="6"/>
  </conditionalFormatting>
  <conditionalFormatting sqref="C15">
    <cfRule type="duplicateValues" dxfId="115" priority="3"/>
    <cfRule type="duplicateValues" dxfId="114" priority="4"/>
  </conditionalFormatting>
  <conditionalFormatting sqref="C30:C39">
    <cfRule type="duplicateValues" dxfId="113" priority="1"/>
    <cfRule type="duplicateValues" dxfId="11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E240-3E7F-4A1E-9942-46903D1A8728}">
  <dimension ref="B1:AA17"/>
  <sheetViews>
    <sheetView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3" width="11.33203125" style="1" bestFit="1" customWidth="1"/>
    <col min="14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-0.97646618372429683</v>
      </c>
      <c r="J2" s="28" t="e">
        <f>(S14-J14)/J14</f>
        <v>#DIV/0!</v>
      </c>
      <c r="K2" s="28"/>
      <c r="L2" s="1" t="s">
        <v>19</v>
      </c>
      <c r="P2" s="1">
        <f>(P14-H14)/H14</f>
        <v>-0.32592897683882965</v>
      </c>
      <c r="R2" s="1">
        <f>(R14-J14)/J14</f>
        <v>-0.18340731432004156</v>
      </c>
      <c r="T2" s="1" t="s">
        <v>20</v>
      </c>
      <c r="X2" s="1">
        <f>(X14-P14)/P14</f>
        <v>0.88369341557057401</v>
      </c>
      <c r="Z2" s="1">
        <f>(Z14-R14)/R14</f>
        <v>0.3084480797802322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102</v>
      </c>
      <c r="D4" s="23">
        <v>1323654.5669854269</v>
      </c>
      <c r="E4" s="33">
        <v>225.66613608891043</v>
      </c>
      <c r="F4" s="5">
        <v>11</v>
      </c>
      <c r="G4" s="23">
        <v>94.666666666666671</v>
      </c>
      <c r="H4" s="33">
        <v>1147.6729889937822</v>
      </c>
      <c r="I4" s="23">
        <v>55.907100970258391</v>
      </c>
      <c r="J4" s="5">
        <v>6469.4094936568399</v>
      </c>
      <c r="K4" s="31"/>
      <c r="L4" s="23">
        <v>1763727.6894982371</v>
      </c>
      <c r="M4" s="33">
        <v>302.18735762222468</v>
      </c>
      <c r="N4" s="5">
        <v>16</v>
      </c>
      <c r="O4" s="5">
        <v>71.333333333333329</v>
      </c>
      <c r="P4" s="33">
        <v>769.93887170753123</v>
      </c>
      <c r="Q4" s="5">
        <v>27.753543233017052</v>
      </c>
      <c r="R4" s="5">
        <v>5553.7808679031768</v>
      </c>
      <c r="S4" s="35"/>
      <c r="T4" s="23">
        <v>1812503.577245977</v>
      </c>
      <c r="U4" s="33">
        <v>99.99835215555504</v>
      </c>
      <c r="V4" s="5">
        <v>10</v>
      </c>
      <c r="W4" s="5">
        <v>69.333333333333329</v>
      </c>
      <c r="X4" s="33">
        <v>1324.1450086355705</v>
      </c>
      <c r="Y4" s="5">
        <v>64.3256375761583</v>
      </c>
      <c r="Z4" s="5">
        <v>6793.1024523052265</v>
      </c>
      <c r="AA4" s="35"/>
    </row>
    <row r="5" spans="2:27" x14ac:dyDescent="0.2">
      <c r="B5" s="4">
        <v>2</v>
      </c>
      <c r="C5" s="4">
        <v>835</v>
      </c>
      <c r="D5" s="23">
        <v>1324134.3690811971</v>
      </c>
      <c r="E5" s="33">
        <v>290.56996404444288</v>
      </c>
      <c r="F5" s="5">
        <v>11</v>
      </c>
      <c r="G5" s="23">
        <v>95.333333333333329</v>
      </c>
      <c r="H5" s="33">
        <v>1187.991298300122</v>
      </c>
      <c r="I5" s="23">
        <v>56.548570645009406</v>
      </c>
      <c r="J5" s="5">
        <v>6542.8328679378028</v>
      </c>
      <c r="K5" s="31"/>
      <c r="L5" s="23">
        <v>1738358.9844398131</v>
      </c>
      <c r="M5" s="33">
        <v>243.89260055556801</v>
      </c>
      <c r="N5" s="5">
        <v>19</v>
      </c>
      <c r="O5" s="5">
        <v>76.666666666666671</v>
      </c>
      <c r="P5" s="33">
        <v>990.90371371879178</v>
      </c>
      <c r="Q5" s="5">
        <v>23.974943207446348</v>
      </c>
      <c r="R5" s="5">
        <v>5645.9351860127072</v>
      </c>
      <c r="S5" s="35"/>
      <c r="T5" s="23">
        <v>1827497.063275116</v>
      </c>
      <c r="U5" s="33">
        <v>139.96876711111204</v>
      </c>
      <c r="V5" s="5">
        <v>10</v>
      </c>
      <c r="W5" s="5">
        <v>67.333333333333329</v>
      </c>
      <c r="X5" s="33">
        <v>1192.0558372894848</v>
      </c>
      <c r="Y5" s="5">
        <v>60.291441553070193</v>
      </c>
      <c r="Z5" s="5">
        <v>6610.8124445956146</v>
      </c>
      <c r="AA5" s="35"/>
    </row>
    <row r="6" spans="2:27" x14ac:dyDescent="0.2">
      <c r="B6" s="4">
        <v>3</v>
      </c>
      <c r="C6" s="4">
        <v>783</v>
      </c>
      <c r="D6" s="23">
        <v>1329955.2631370761</v>
      </c>
      <c r="E6" s="33">
        <v>197.15675242221914</v>
      </c>
      <c r="F6" s="5">
        <v>11</v>
      </c>
      <c r="G6" s="23">
        <v>95.333333333333329</v>
      </c>
      <c r="H6" s="33">
        <v>1230.422662850744</v>
      </c>
      <c r="I6" s="23">
        <v>56.512988269176212</v>
      </c>
      <c r="J6" s="5">
        <v>6544.0620950789726</v>
      </c>
      <c r="K6" s="31"/>
      <c r="L6" s="23">
        <v>1764716.584869656</v>
      </c>
      <c r="M6" s="33">
        <v>137.73017884444238</v>
      </c>
      <c r="N6" s="5">
        <v>16</v>
      </c>
      <c r="O6" s="5">
        <v>70.666666666666671</v>
      </c>
      <c r="P6" s="33">
        <v>869.11436696444741</v>
      </c>
      <c r="Q6" s="5">
        <v>26.695831392138082</v>
      </c>
      <c r="R6" s="5">
        <v>5452.6504895444114</v>
      </c>
      <c r="S6" s="35"/>
      <c r="T6" s="23">
        <v>1893209.4430639639</v>
      </c>
      <c r="U6" s="33">
        <v>159.61576080001475</v>
      </c>
      <c r="V6" s="5">
        <v>9</v>
      </c>
      <c r="W6" s="5">
        <v>65.333333333333329</v>
      </c>
      <c r="X6" s="33">
        <v>1384.759420542689</v>
      </c>
      <c r="Y6" s="5">
        <v>65.435801125311968</v>
      </c>
      <c r="Z6" s="5">
        <v>6948.5676802409116</v>
      </c>
      <c r="AA6" s="35"/>
    </row>
    <row r="7" spans="2:27" x14ac:dyDescent="0.2">
      <c r="B7" s="4">
        <v>4</v>
      </c>
      <c r="C7" s="4">
        <v>676</v>
      </c>
      <c r="D7" s="23">
        <v>1354736.9467435009</v>
      </c>
      <c r="E7" s="33">
        <v>166.74417053333795</v>
      </c>
      <c r="F7" s="5">
        <v>10</v>
      </c>
      <c r="G7" s="23">
        <v>92.666666666666671</v>
      </c>
      <c r="H7" s="33">
        <v>1147.6429243116186</v>
      </c>
      <c r="I7" s="23">
        <v>59.234361570697537</v>
      </c>
      <c r="J7" s="5">
        <v>6548.6825303635815</v>
      </c>
      <c r="K7" s="31"/>
      <c r="L7" s="23">
        <v>1797059.5099332021</v>
      </c>
      <c r="M7" s="33">
        <v>385.51672713334358</v>
      </c>
      <c r="N7" s="5">
        <v>15</v>
      </c>
      <c r="O7" s="5">
        <v>66.666666666666671</v>
      </c>
      <c r="P7" s="33">
        <v>601.65258048302803</v>
      </c>
      <c r="Q7" s="5">
        <v>27.214650557133563</v>
      </c>
      <c r="R7" s="5">
        <v>5279.1196885754898</v>
      </c>
      <c r="S7" s="35"/>
      <c r="T7" s="23">
        <v>1802012.6771582509</v>
      </c>
      <c r="U7" s="33">
        <v>174.23084813333116</v>
      </c>
      <c r="V7" s="5">
        <v>9</v>
      </c>
      <c r="W7" s="5">
        <v>67.333333333333329</v>
      </c>
      <c r="X7" s="33">
        <v>1114.6123569020083</v>
      </c>
      <c r="Y7" s="5">
        <v>69.383287715085658</v>
      </c>
      <c r="Z7" s="5">
        <v>6617.6460577714297</v>
      </c>
      <c r="AA7" s="35"/>
    </row>
    <row r="8" spans="2:27" x14ac:dyDescent="0.2">
      <c r="B8" s="4">
        <v>5</v>
      </c>
      <c r="C8" s="4">
        <v>843</v>
      </c>
      <c r="D8" s="23">
        <v>1354413.5591087791</v>
      </c>
      <c r="E8" s="33">
        <v>72.984316755551845</v>
      </c>
      <c r="F8" s="5">
        <v>10</v>
      </c>
      <c r="G8" s="23">
        <v>92.666666666666671</v>
      </c>
      <c r="H8" s="33">
        <v>1140.029388191419</v>
      </c>
      <c r="I8" s="23">
        <v>58.98653092539373</v>
      </c>
      <c r="J8" s="5">
        <v>6556.6805680245234</v>
      </c>
      <c r="K8" s="31"/>
      <c r="L8" s="23">
        <v>1706480.993796089</v>
      </c>
      <c r="M8" s="33">
        <v>351.35220082223196</v>
      </c>
      <c r="N8" s="5">
        <v>17</v>
      </c>
      <c r="O8" s="5">
        <v>73.333333333333329</v>
      </c>
      <c r="P8" s="33">
        <v>763.75302550944798</v>
      </c>
      <c r="Q8" s="5">
        <v>26.664880650201539</v>
      </c>
      <c r="R8" s="5">
        <v>5285.6767973492088</v>
      </c>
      <c r="S8" s="35"/>
      <c r="T8" s="23">
        <v>1808598.448022292</v>
      </c>
      <c r="U8" s="33">
        <v>246.9880879111071</v>
      </c>
      <c r="V8" s="5">
        <v>10</v>
      </c>
      <c r="W8" s="5">
        <v>70.666666666666671</v>
      </c>
      <c r="X8" s="33">
        <v>1474.9564419903156</v>
      </c>
      <c r="Y8" s="5">
        <v>65.206852931245365</v>
      </c>
      <c r="Z8" s="5">
        <v>6906.4295146796303</v>
      </c>
      <c r="AA8" s="35"/>
    </row>
    <row r="9" spans="2:27" x14ac:dyDescent="0.2">
      <c r="B9" s="4">
        <v>6</v>
      </c>
      <c r="C9" s="4">
        <v>225</v>
      </c>
      <c r="D9" s="23">
        <v>1322950.88425607</v>
      </c>
      <c r="E9" s="33">
        <v>229.91298797778376</v>
      </c>
      <c r="F9" s="5">
        <v>11</v>
      </c>
      <c r="G9" s="23">
        <v>95.333333333333329</v>
      </c>
      <c r="H9" s="33">
        <v>1183.8386105772802</v>
      </c>
      <c r="I9" s="23">
        <v>56.568071662693661</v>
      </c>
      <c r="J9" s="5">
        <v>6531.5913773817374</v>
      </c>
      <c r="K9" s="31"/>
      <c r="L9" s="23">
        <v>1766150.9821663641</v>
      </c>
      <c r="M9" s="33">
        <v>385.69309355553952</v>
      </c>
      <c r="N9" s="5">
        <v>16</v>
      </c>
      <c r="O9" s="5">
        <v>68.666666666666671</v>
      </c>
      <c r="P9" s="33">
        <v>632.95572626191313</v>
      </c>
      <c r="Q9" s="5">
        <v>24.828441111773067</v>
      </c>
      <c r="R9" s="5">
        <v>5098.727754284223</v>
      </c>
      <c r="S9" s="35"/>
      <c r="T9" s="23">
        <v>1873371.549393255</v>
      </c>
      <c r="U9" s="33">
        <v>90.496124222202013</v>
      </c>
      <c r="V9" s="5">
        <v>8</v>
      </c>
      <c r="W9" s="5">
        <v>61.333333333333343</v>
      </c>
      <c r="X9" s="33">
        <v>868.00331887404616</v>
      </c>
      <c r="Y9" s="5">
        <v>65.78946048831105</v>
      </c>
      <c r="Z9" s="5">
        <v>6348.3932129768955</v>
      </c>
      <c r="AA9" s="35"/>
    </row>
    <row r="10" spans="2:27" x14ac:dyDescent="0.2">
      <c r="B10" s="4">
        <v>7</v>
      </c>
      <c r="C10" s="4">
        <v>436</v>
      </c>
      <c r="D10" s="23">
        <v>1354831.9453119161</v>
      </c>
      <c r="E10" s="33">
        <v>274.78084784446065</v>
      </c>
      <c r="F10" s="5">
        <v>10</v>
      </c>
      <c r="G10" s="23">
        <v>93.333333333333329</v>
      </c>
      <c r="H10" s="33">
        <v>1210.6377372764612</v>
      </c>
      <c r="I10" s="23">
        <v>59.874236110952225</v>
      </c>
      <c r="J10" s="5">
        <v>6604.3263408210978</v>
      </c>
      <c r="K10" s="31"/>
      <c r="L10" s="23">
        <v>1719273.714665157</v>
      </c>
      <c r="M10" s="33">
        <v>319.25048088887712</v>
      </c>
      <c r="N10" s="5">
        <v>19</v>
      </c>
      <c r="O10" s="5">
        <v>75.333333333333329</v>
      </c>
      <c r="P10" s="33">
        <v>843.68209570880947</v>
      </c>
      <c r="Q10" s="5">
        <v>23.56820297366675</v>
      </c>
      <c r="R10" s="5">
        <v>5393.5071259298684</v>
      </c>
      <c r="S10" s="35"/>
      <c r="T10" s="23">
        <v>1793378.6845830651</v>
      </c>
      <c r="U10" s="33">
        <v>115.57984666666016</v>
      </c>
      <c r="V10" s="5">
        <v>10</v>
      </c>
      <c r="W10" s="5">
        <v>71.333333333333329</v>
      </c>
      <c r="X10" s="33">
        <v>1438.6765452742518</v>
      </c>
      <c r="Y10" s="5">
        <v>65.586911270849058</v>
      </c>
      <c r="Z10" s="5">
        <v>6916.0336558304998</v>
      </c>
      <c r="AA10" s="35"/>
    </row>
    <row r="11" spans="2:27" x14ac:dyDescent="0.2">
      <c r="B11" s="4">
        <v>8</v>
      </c>
      <c r="C11" s="4">
        <v>688</v>
      </c>
      <c r="D11" s="23">
        <v>1325118.4439988211</v>
      </c>
      <c r="E11" s="33">
        <v>160.14290715557419</v>
      </c>
      <c r="F11" s="5">
        <v>11</v>
      </c>
      <c r="G11" s="23">
        <v>95.333333333333329</v>
      </c>
      <c r="H11" s="33">
        <v>1197.8716948304182</v>
      </c>
      <c r="I11" s="23">
        <v>56.533584130597724</v>
      </c>
      <c r="J11" s="5">
        <v>6529.1212447687558</v>
      </c>
      <c r="K11" s="31"/>
      <c r="L11" s="23">
        <v>1848337.169037048</v>
      </c>
      <c r="M11" s="33">
        <v>144.15724042223559</v>
      </c>
      <c r="N11" s="5">
        <v>12</v>
      </c>
      <c r="O11" s="5">
        <v>60</v>
      </c>
      <c r="P11" s="33">
        <v>457.84122547692886</v>
      </c>
      <c r="Q11" s="5">
        <v>29.971154423216078</v>
      </c>
      <c r="R11" s="5">
        <v>4817.6313435746206</v>
      </c>
      <c r="S11" s="35"/>
      <c r="T11" s="23">
        <v>1793546.0549668439</v>
      </c>
      <c r="U11" s="33">
        <v>193.60217279997758</v>
      </c>
      <c r="V11" s="5">
        <v>10</v>
      </c>
      <c r="W11" s="5">
        <v>70.666666666666671</v>
      </c>
      <c r="X11" s="33">
        <v>1375.5922774795824</v>
      </c>
      <c r="Y11" s="5">
        <v>65.273900318767431</v>
      </c>
      <c r="Z11" s="5">
        <v>6856.7839772556317</v>
      </c>
      <c r="AA11" s="35"/>
    </row>
    <row r="12" spans="2:27" x14ac:dyDescent="0.2">
      <c r="B12" s="4">
        <v>9</v>
      </c>
      <c r="C12" s="4">
        <v>956</v>
      </c>
      <c r="D12" s="23">
        <v>1322827.544839419</v>
      </c>
      <c r="E12" s="33">
        <v>160.87170853333859</v>
      </c>
      <c r="F12" s="5">
        <v>11</v>
      </c>
      <c r="G12" s="23">
        <v>94.666666666666671</v>
      </c>
      <c r="H12" s="33">
        <v>1133.0453309321897</v>
      </c>
      <c r="I12" s="23">
        <v>55.870822641933771</v>
      </c>
      <c r="J12" s="5">
        <v>6472.8436710744527</v>
      </c>
      <c r="K12" s="31"/>
      <c r="L12" s="23">
        <v>1734899.301245996</v>
      </c>
      <c r="M12" s="33">
        <v>276.77171784445335</v>
      </c>
      <c r="N12" s="5">
        <v>18</v>
      </c>
      <c r="O12" s="5">
        <v>73.333333333333329</v>
      </c>
      <c r="P12" s="33">
        <v>834.38530230717481</v>
      </c>
      <c r="Q12" s="5">
        <v>24.809759949570285</v>
      </c>
      <c r="R12" s="5">
        <v>5305.0155766545595</v>
      </c>
      <c r="S12" s="35"/>
      <c r="T12" s="23">
        <v>1910488.4957128861</v>
      </c>
      <c r="U12" s="33">
        <v>61.858682777784352</v>
      </c>
      <c r="V12" s="5">
        <v>8</v>
      </c>
      <c r="W12" s="5">
        <v>62.666666666666657</v>
      </c>
      <c r="X12" s="33">
        <v>1222.8103254553175</v>
      </c>
      <c r="Y12" s="5">
        <v>68.508157651149702</v>
      </c>
      <c r="Z12" s="5">
        <v>6833.1986818795185</v>
      </c>
      <c r="AA12" s="35"/>
    </row>
    <row r="13" spans="2:27" x14ac:dyDescent="0.2">
      <c r="B13" s="4">
        <v>10</v>
      </c>
      <c r="C13" s="4">
        <v>540</v>
      </c>
      <c r="D13" s="23">
        <v>1354418.393006061</v>
      </c>
      <c r="E13" s="33">
        <v>80.0356869999992</v>
      </c>
      <c r="F13" s="5">
        <v>10</v>
      </c>
      <c r="G13" s="23">
        <v>93.333333333333329</v>
      </c>
      <c r="H13" s="33">
        <v>1196.8535438886279</v>
      </c>
      <c r="I13" s="23">
        <v>59.649875130218255</v>
      </c>
      <c r="J13" s="5">
        <v>6591.3028898483981</v>
      </c>
      <c r="K13" s="31"/>
      <c r="L13" s="23">
        <v>1725563.9699356931</v>
      </c>
      <c r="M13" s="33">
        <v>508.61244379998089</v>
      </c>
      <c r="N13" s="5">
        <v>19</v>
      </c>
      <c r="O13" s="5">
        <v>75.333333333333329</v>
      </c>
      <c r="P13" s="33">
        <v>880.29153532151645</v>
      </c>
      <c r="Q13" s="5">
        <v>24.092980055721767</v>
      </c>
      <c r="R13" s="5">
        <v>5437.3071810834554</v>
      </c>
      <c r="S13" s="35"/>
      <c r="T13" s="23">
        <v>1824356.68863694</v>
      </c>
      <c r="U13" s="33">
        <v>226.88305255555957</v>
      </c>
      <c r="V13" s="5">
        <v>10</v>
      </c>
      <c r="W13" s="5">
        <v>67.333333333333329</v>
      </c>
      <c r="X13" s="33">
        <v>1157.8039411389304</v>
      </c>
      <c r="Y13" s="5">
        <v>60.086860604915174</v>
      </c>
      <c r="Z13" s="5">
        <v>6595.6064446301798</v>
      </c>
      <c r="AA13" s="35"/>
    </row>
    <row r="14" spans="2:27" x14ac:dyDescent="0.2">
      <c r="B14" s="47" t="s">
        <v>3</v>
      </c>
      <c r="C14" s="48"/>
      <c r="D14" s="9">
        <f>MIN(D4:D13)</f>
        <v>1322827.544839419</v>
      </c>
      <c r="E14" s="22">
        <f>INDEX(E4:E13, MATCH($D$14, D4:D13, 0))</f>
        <v>160.87170853333859</v>
      </c>
      <c r="F14" s="9">
        <f>INDEX(F4:F13, MATCH($D$14, D4:D13, 0))</f>
        <v>11</v>
      </c>
      <c r="G14" s="9">
        <f>INDEX(G4:G13, MATCH($D$14, D4:D13, 0))</f>
        <v>94.666666666666671</v>
      </c>
      <c r="H14" s="22">
        <f>INDEX(H4:H13, MATCH($D$14, D4:D13, 0))</f>
        <v>1133.0453309321897</v>
      </c>
      <c r="I14" s="22">
        <f>INDEX(I4:I13, MATCH($D$14, D4:D13, 0))</f>
        <v>55.870822641933771</v>
      </c>
      <c r="J14" s="22">
        <f>INDEX(J4:J13, MATCH($D$14, D4:D13, 0))</f>
        <v>6472.8436710744527</v>
      </c>
      <c r="K14" s="32" t="e">
        <f>(D14-$D$15)/$D$15</f>
        <v>#DIV/0!</v>
      </c>
      <c r="L14" s="16">
        <f>MIN(L4:L13)</f>
        <v>1706480.993796089</v>
      </c>
      <c r="M14" s="21">
        <f>INDEX(M4:M13, MATCH($L$14, L4:L13, 0))</f>
        <v>351.35220082223196</v>
      </c>
      <c r="N14" s="16">
        <f>INDEX(N4:N13, MATCH($L$14, L4:L13, 0))</f>
        <v>17</v>
      </c>
      <c r="O14" s="16">
        <f>INDEX(O4:O13, MATCH($L$14, L4:L13, 0))</f>
        <v>73.333333333333329</v>
      </c>
      <c r="P14" s="21">
        <f>INDEX(P4:P13, MATCH($L$14, L4:L13, 0))</f>
        <v>763.75302550944798</v>
      </c>
      <c r="Q14" s="21">
        <f>INDEX(Q4:Q13, MATCH($L$14, L4:L13, 0))</f>
        <v>26.664880650201539</v>
      </c>
      <c r="R14" s="21">
        <f>INDEX(R4:R13, MATCH($L$14, L4:L13, 0))</f>
        <v>5285.6767973492088</v>
      </c>
      <c r="S14" s="36" t="e">
        <f>(L14-$D$15)/$D$15</f>
        <v>#DIV/0!</v>
      </c>
      <c r="T14" s="38">
        <f>MIN(T4:T13)</f>
        <v>1793378.6845830651</v>
      </c>
      <c r="U14" s="39">
        <f>INDEX(U4:U13, MATCH($T$14, T4:T13, 0))</f>
        <v>115.57984666666016</v>
      </c>
      <c r="V14" s="38">
        <f>INDEX(V4:V13, MATCH($T$14, T4:T13, 0))</f>
        <v>10</v>
      </c>
      <c r="W14" s="38">
        <f>INDEX(W4:W13, MATCH($T$14, T4:T13, 0))</f>
        <v>71.333333333333329</v>
      </c>
      <c r="X14" s="39">
        <f>INDEX(X4:X13, MATCH($T$14, T4:T13, 0))</f>
        <v>1438.6765452742518</v>
      </c>
      <c r="Y14" s="39">
        <f>INDEX(Y4:Y13, MATCH($T$14, T4:T13, 0))</f>
        <v>65.586911270849058</v>
      </c>
      <c r="Z14" s="39">
        <f>INDEX(Z4:Z13, MATCH($T$14, T4:T13, 0))</f>
        <v>6916.0336558304998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0.29002529502305047</v>
      </c>
      <c r="M15" s="41">
        <f t="shared" ref="M15:R15" si="0">(M14-E14)/E14</f>
        <v>1.18405214953889</v>
      </c>
      <c r="N15" s="41">
        <f t="shared" si="0"/>
        <v>0.54545454545454541</v>
      </c>
      <c r="O15" s="41">
        <f t="shared" si="0"/>
        <v>-0.22535211267605643</v>
      </c>
      <c r="P15" s="41">
        <f t="shared" si="0"/>
        <v>-0.32592897683882965</v>
      </c>
      <c r="Q15" s="41">
        <f t="shared" si="0"/>
        <v>-0.52274050408936978</v>
      </c>
      <c r="R15" s="41">
        <f t="shared" si="0"/>
        <v>-0.18340731432004156</v>
      </c>
      <c r="T15" s="41">
        <f>(T14-D14)/D14</f>
        <v>0.3557161638940376</v>
      </c>
      <c r="U15" s="41">
        <f t="shared" ref="U15:Y15" si="1">(U14-E14)/E14</f>
        <v>-0.28154025514866882</v>
      </c>
      <c r="V15" s="41">
        <f t="shared" si="1"/>
        <v>-9.0909090909090912E-2</v>
      </c>
      <c r="W15" s="41">
        <f t="shared" si="1"/>
        <v>-0.24647887323943671</v>
      </c>
      <c r="X15" s="41">
        <f t="shared" si="1"/>
        <v>0.26974314795561649</v>
      </c>
      <c r="Y15" s="41">
        <f t="shared" si="1"/>
        <v>0.17390273078998644</v>
      </c>
      <c r="Z15" s="41">
        <f>(Z14-J14)/J14</f>
        <v>6.8469131540524336E-2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0:C1048576 C24:C29">
    <cfRule type="duplicateValues" dxfId="111" priority="9"/>
    <cfRule type="duplicateValues" dxfId="110" priority="10"/>
  </conditionalFormatting>
  <conditionalFormatting sqref="C14">
    <cfRule type="duplicateValues" dxfId="109" priority="7"/>
    <cfRule type="duplicateValues" dxfId="108" priority="8"/>
  </conditionalFormatting>
  <conditionalFormatting sqref="C15">
    <cfRule type="duplicateValues" dxfId="107" priority="5"/>
    <cfRule type="duplicateValues" dxfId="106" priority="6"/>
  </conditionalFormatting>
  <conditionalFormatting sqref="C30:C39">
    <cfRule type="duplicateValues" dxfId="105" priority="3"/>
    <cfRule type="duplicateValues" dxfId="104" priority="4"/>
  </conditionalFormatting>
  <conditionalFormatting sqref="C17:C23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1119-7E0C-44F7-840C-2C7175AA2E0B}">
  <dimension ref="B1:AA17"/>
  <sheetViews>
    <sheetView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-0.9860759008536818</v>
      </c>
      <c r="J2" s="28" t="e">
        <f>(S14-J14)/J14</f>
        <v>#DIV/0!</v>
      </c>
      <c r="K2" s="28"/>
      <c r="L2" s="1" t="s">
        <v>19</v>
      </c>
      <c r="P2" s="1">
        <f>(P14-H14)/H14</f>
        <v>-5.3374705155468632E-2</v>
      </c>
      <c r="R2" s="1">
        <f>(R14-J14)/J14</f>
        <v>-0.10625802543837734</v>
      </c>
      <c r="T2" s="1" t="s">
        <v>20</v>
      </c>
      <c r="X2" s="1">
        <f>(X14-P14)/P14</f>
        <v>0.39885672444949166</v>
      </c>
      <c r="Z2" s="1">
        <f>(Z14-R14)/R14</f>
        <v>0.21687782207739245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334</v>
      </c>
      <c r="D4" s="23">
        <v>1527680.8380413039</v>
      </c>
      <c r="E4" s="33">
        <v>171.41455804442779</v>
      </c>
      <c r="F4" s="5">
        <v>9</v>
      </c>
      <c r="G4" s="23">
        <v>87.333333333333329</v>
      </c>
      <c r="H4" s="33">
        <v>1254.7626740779297</v>
      </c>
      <c r="I4" s="23">
        <v>41.25325182496281</v>
      </c>
      <c r="J4" s="5">
        <v>6732.4775053619151</v>
      </c>
      <c r="K4" s="31"/>
      <c r="L4" s="23">
        <v>1823742.984323747</v>
      </c>
      <c r="M4" s="33">
        <v>208.55293662220032</v>
      </c>
      <c r="N4" s="5">
        <v>15</v>
      </c>
      <c r="O4" s="5">
        <v>69.333333333333329</v>
      </c>
      <c r="P4" s="33">
        <v>834.45516207409116</v>
      </c>
      <c r="Q4" s="5">
        <v>18.52758943478101</v>
      </c>
      <c r="R4" s="5">
        <v>5544.2273834581238</v>
      </c>
      <c r="S4" s="35"/>
      <c r="T4" s="23">
        <v>1997962.9666306321</v>
      </c>
      <c r="U4" s="33">
        <v>78.444138533332293</v>
      </c>
      <c r="V4" s="5">
        <v>7</v>
      </c>
      <c r="W4" s="5">
        <v>58.666666666666657</v>
      </c>
      <c r="X4" s="33">
        <v>1215.5560334394177</v>
      </c>
      <c r="Y4" s="5">
        <v>49.962137016586894</v>
      </c>
      <c r="Z4" s="5">
        <v>6670.3552301658519</v>
      </c>
      <c r="AA4" s="35"/>
    </row>
    <row r="5" spans="2:27" x14ac:dyDescent="0.2">
      <c r="B5" s="4">
        <v>2</v>
      </c>
      <c r="C5" s="4">
        <v>46</v>
      </c>
      <c r="D5" s="23">
        <v>1528350.1802492959</v>
      </c>
      <c r="E5" s="33">
        <v>177.40016591111714</v>
      </c>
      <c r="F5" s="5">
        <v>9</v>
      </c>
      <c r="G5" s="23">
        <v>86</v>
      </c>
      <c r="H5" s="33">
        <v>1171.9393745329069</v>
      </c>
      <c r="I5" s="23">
        <v>40.527035456553527</v>
      </c>
      <c r="J5" s="5">
        <v>6586.3579405838127</v>
      </c>
      <c r="K5" s="31"/>
      <c r="L5" s="23">
        <v>1819269.12024692</v>
      </c>
      <c r="M5" s="33">
        <v>178.30490568890752</v>
      </c>
      <c r="N5" s="5">
        <v>16</v>
      </c>
      <c r="O5" s="5">
        <v>72</v>
      </c>
      <c r="P5" s="33">
        <v>1042.7344484011637</v>
      </c>
      <c r="Q5" s="5">
        <v>18.218938438706783</v>
      </c>
      <c r="R5" s="5">
        <v>5705.8566893585739</v>
      </c>
      <c r="S5" s="35"/>
      <c r="T5" s="23">
        <v>2071209.107614215</v>
      </c>
      <c r="U5" s="33">
        <v>83.80901746666575</v>
      </c>
      <c r="V5" s="5">
        <v>8</v>
      </c>
      <c r="W5" s="5">
        <v>57.333333333333343</v>
      </c>
      <c r="X5" s="33">
        <v>1399.6673834320723</v>
      </c>
      <c r="Y5" s="5">
        <v>43.170651735026233</v>
      </c>
      <c r="Z5" s="5">
        <v>6863.8267607684356</v>
      </c>
      <c r="AA5" s="35"/>
    </row>
    <row r="6" spans="2:27" x14ac:dyDescent="0.2">
      <c r="B6" s="4">
        <v>3</v>
      </c>
      <c r="C6" s="4">
        <v>10</v>
      </c>
      <c r="D6" s="23">
        <v>1523817.983360097</v>
      </c>
      <c r="E6" s="33">
        <v>82.865033377763908</v>
      </c>
      <c r="F6" s="5">
        <v>9</v>
      </c>
      <c r="G6" s="23">
        <v>88</v>
      </c>
      <c r="H6" s="33">
        <v>1361.7289402828731</v>
      </c>
      <c r="I6" s="23">
        <v>41.797195469703929</v>
      </c>
      <c r="J6" s="5">
        <v>6765.0312802390181</v>
      </c>
      <c r="K6" s="31"/>
      <c r="L6" s="23">
        <v>1806583.1992177169</v>
      </c>
      <c r="M6" s="33">
        <v>272.31800837778599</v>
      </c>
      <c r="N6" s="5">
        <v>19</v>
      </c>
      <c r="O6" s="5">
        <v>78</v>
      </c>
      <c r="P6" s="33">
        <v>1290.5847451987715</v>
      </c>
      <c r="Q6" s="5">
        <v>16.965413811152899</v>
      </c>
      <c r="R6" s="5">
        <v>5957.2147463143237</v>
      </c>
      <c r="S6" s="35"/>
      <c r="T6" s="23">
        <v>1983305.498671745</v>
      </c>
      <c r="U6" s="33">
        <v>107.16513215556432</v>
      </c>
      <c r="V6" s="5">
        <v>8</v>
      </c>
      <c r="W6" s="5">
        <v>62.666666666666657</v>
      </c>
      <c r="X6" s="33">
        <v>1518.0870605300718</v>
      </c>
      <c r="Y6" s="5">
        <v>49.370534605311882</v>
      </c>
      <c r="Z6" s="5">
        <v>7010.8925303491069</v>
      </c>
      <c r="AA6" s="35"/>
    </row>
    <row r="7" spans="2:27" x14ac:dyDescent="0.2">
      <c r="B7" s="4">
        <v>4</v>
      </c>
      <c r="C7" s="4">
        <v>371</v>
      </c>
      <c r="D7" s="23">
        <v>1511141.413270805</v>
      </c>
      <c r="E7" s="33">
        <v>194.51852519999051</v>
      </c>
      <c r="F7" s="5">
        <v>10</v>
      </c>
      <c r="G7" s="23">
        <v>87.333333333333329</v>
      </c>
      <c r="H7" s="33">
        <v>1232.1663986866758</v>
      </c>
      <c r="I7" s="23">
        <v>37.525228727560986</v>
      </c>
      <c r="J7" s="5">
        <v>6543.69573867688</v>
      </c>
      <c r="K7" s="31"/>
      <c r="L7" s="23">
        <v>1867049.7608290559</v>
      </c>
      <c r="M7" s="33">
        <v>186.73901082220902</v>
      </c>
      <c r="N7" s="5">
        <v>14</v>
      </c>
      <c r="O7" s="5">
        <v>67.333333333333329</v>
      </c>
      <c r="P7" s="33">
        <v>1025.0639342967982</v>
      </c>
      <c r="Q7" s="5">
        <v>19.446445207300901</v>
      </c>
      <c r="R7" s="5">
        <v>5632.2025800859265</v>
      </c>
      <c r="S7" s="35"/>
      <c r="T7" s="23">
        <v>1970081.6175256851</v>
      </c>
      <c r="U7" s="33">
        <v>185.65133908890292</v>
      </c>
      <c r="V7" s="5">
        <v>9</v>
      </c>
      <c r="W7" s="5">
        <v>62.666666666666657</v>
      </c>
      <c r="X7" s="33">
        <v>1379.3724839001127</v>
      </c>
      <c r="Y7" s="5">
        <v>42.484036166879108</v>
      </c>
      <c r="Z7" s="5">
        <v>6798.6300725939846</v>
      </c>
      <c r="AA7" s="35"/>
    </row>
    <row r="8" spans="2:27" x14ac:dyDescent="0.2">
      <c r="B8" s="4">
        <v>5</v>
      </c>
      <c r="C8" s="4">
        <v>271</v>
      </c>
      <c r="D8" s="23">
        <v>1530857.350003435</v>
      </c>
      <c r="E8" s="33">
        <v>98.709581799986239</v>
      </c>
      <c r="F8" s="5">
        <v>9</v>
      </c>
      <c r="G8" s="23">
        <v>86</v>
      </c>
      <c r="H8" s="33">
        <v>1146.8210508944192</v>
      </c>
      <c r="I8" s="23">
        <v>40.300302677020142</v>
      </c>
      <c r="J8" s="5">
        <v>6603.4070705954337</v>
      </c>
      <c r="K8" s="31"/>
      <c r="L8" s="23">
        <v>1844749.4284553409</v>
      </c>
      <c r="M8" s="33">
        <v>339.59035293333648</v>
      </c>
      <c r="N8" s="5">
        <v>13</v>
      </c>
      <c r="O8" s="5">
        <v>65.333333333333329</v>
      </c>
      <c r="P8" s="33">
        <v>775.91194323057925</v>
      </c>
      <c r="Q8" s="5">
        <v>20.087440883354613</v>
      </c>
      <c r="R8" s="5">
        <v>5369.0713128036068</v>
      </c>
      <c r="S8" s="35"/>
      <c r="T8" s="23">
        <v>1996937.036816082</v>
      </c>
      <c r="U8" s="33">
        <v>136.63377288889347</v>
      </c>
      <c r="V8" s="5">
        <v>7</v>
      </c>
      <c r="W8" s="5">
        <v>58.666666666666657</v>
      </c>
      <c r="X8" s="33">
        <v>1176.4796556085387</v>
      </c>
      <c r="Y8" s="5">
        <v>49.453056234009701</v>
      </c>
      <c r="Z8" s="5">
        <v>6663.2168637165623</v>
      </c>
      <c r="AA8" s="35"/>
    </row>
    <row r="9" spans="2:27" x14ac:dyDescent="0.2">
      <c r="B9" s="4">
        <v>6</v>
      </c>
      <c r="C9" s="4">
        <v>50</v>
      </c>
      <c r="D9" s="23">
        <v>1630237.77928962</v>
      </c>
      <c r="E9" s="33">
        <v>85.707941244433925</v>
      </c>
      <c r="F9" s="5">
        <v>10</v>
      </c>
      <c r="G9" s="23">
        <v>84</v>
      </c>
      <c r="H9" s="33">
        <v>1382.1315530085358</v>
      </c>
      <c r="I9" s="23">
        <v>35.556090464391303</v>
      </c>
      <c r="J9" s="5">
        <v>6820.5514620897329</v>
      </c>
      <c r="K9" s="31"/>
      <c r="L9" s="23">
        <v>1847846.8827296591</v>
      </c>
      <c r="M9" s="33">
        <v>233.82687924442709</v>
      </c>
      <c r="N9" s="5">
        <v>14</v>
      </c>
      <c r="O9" s="5">
        <v>67.333333333333329</v>
      </c>
      <c r="P9" s="33">
        <v>922.90717755597802</v>
      </c>
      <c r="Q9" s="5">
        <v>18.825596040302493</v>
      </c>
      <c r="R9" s="5">
        <v>5447.6014180513357</v>
      </c>
      <c r="S9" s="35"/>
      <c r="T9" s="23">
        <v>1974666.9133465469</v>
      </c>
      <c r="U9" s="33">
        <v>156.88192379999802</v>
      </c>
      <c r="V9" s="5">
        <v>9</v>
      </c>
      <c r="W9" s="5">
        <v>62</v>
      </c>
      <c r="X9" s="33">
        <v>1324.6605565477676</v>
      </c>
      <c r="Y9" s="5">
        <v>41.566470289586398</v>
      </c>
      <c r="Z9" s="5">
        <v>6710.7782456507475</v>
      </c>
      <c r="AA9" s="35"/>
    </row>
    <row r="10" spans="2:27" x14ac:dyDescent="0.2">
      <c r="B10" s="4">
        <v>7</v>
      </c>
      <c r="C10" s="4">
        <v>417</v>
      </c>
      <c r="D10" s="23">
        <v>1513144.1088454709</v>
      </c>
      <c r="E10" s="33">
        <v>164.99486859999081</v>
      </c>
      <c r="F10" s="5">
        <v>10</v>
      </c>
      <c r="G10" s="23">
        <v>86.666666666666671</v>
      </c>
      <c r="H10" s="33">
        <v>1216.3224408347687</v>
      </c>
      <c r="I10" s="23">
        <v>37.114202798484243</v>
      </c>
      <c r="J10" s="5">
        <v>6481.3665159837992</v>
      </c>
      <c r="K10" s="31"/>
      <c r="L10" s="23">
        <v>1808067.9832533021</v>
      </c>
      <c r="M10" s="33">
        <v>246.46126493335598</v>
      </c>
      <c r="N10" s="5">
        <v>19</v>
      </c>
      <c r="O10" s="5">
        <v>76.666666666666671</v>
      </c>
      <c r="P10" s="33">
        <v>1119.4288658613477</v>
      </c>
      <c r="Q10" s="5">
        <v>16.235017682549266</v>
      </c>
      <c r="R10" s="5">
        <v>5831.6280689230489</v>
      </c>
      <c r="S10" s="35"/>
      <c r="T10" s="23">
        <v>1947454.8252319761</v>
      </c>
      <c r="U10" s="33">
        <v>254.13823577779755</v>
      </c>
      <c r="V10" s="5">
        <v>10</v>
      </c>
      <c r="W10" s="5">
        <v>66.666666666666671</v>
      </c>
      <c r="X10" s="33">
        <v>1594.9384226086538</v>
      </c>
      <c r="Y10" s="5">
        <v>41.844206037264243</v>
      </c>
      <c r="Z10" s="5">
        <v>7038.6462238950471</v>
      </c>
      <c r="AA10" s="35"/>
    </row>
    <row r="11" spans="2:27" x14ac:dyDescent="0.2">
      <c r="B11" s="4">
        <v>8</v>
      </c>
      <c r="C11" s="4">
        <v>743</v>
      </c>
      <c r="D11" s="23">
        <v>1531276.8592670329</v>
      </c>
      <c r="E11" s="33">
        <v>118.66784986667335</v>
      </c>
      <c r="F11" s="5">
        <v>9</v>
      </c>
      <c r="G11" s="23">
        <v>86.666666666666671</v>
      </c>
      <c r="H11" s="33">
        <v>1207.867836220614</v>
      </c>
      <c r="I11" s="23">
        <v>40.930856968380269</v>
      </c>
      <c r="J11" s="5">
        <v>6681.5219513505444</v>
      </c>
      <c r="K11" s="31"/>
      <c r="L11" s="23">
        <v>1851729.5119168749</v>
      </c>
      <c r="M11" s="33">
        <v>158.27273059998535</v>
      </c>
      <c r="N11" s="5">
        <v>14</v>
      </c>
      <c r="O11" s="5">
        <v>68.666666666666671</v>
      </c>
      <c r="P11" s="33">
        <v>1052.6636102161785</v>
      </c>
      <c r="Q11" s="5">
        <v>19.769557807488184</v>
      </c>
      <c r="R11" s="5">
        <v>5683.5399354157889</v>
      </c>
      <c r="S11" s="35"/>
      <c r="T11" s="23">
        <v>1978872.397736823</v>
      </c>
      <c r="U11" s="33">
        <v>101.7829683111308</v>
      </c>
      <c r="V11" s="5">
        <v>8</v>
      </c>
      <c r="W11" s="5">
        <v>62</v>
      </c>
      <c r="X11" s="33">
        <v>1402.4777306047154</v>
      </c>
      <c r="Y11" s="5">
        <v>47.703295728465662</v>
      </c>
      <c r="Z11" s="5">
        <v>6881.2211458078427</v>
      </c>
      <c r="AA11" s="35"/>
    </row>
    <row r="12" spans="2:27" x14ac:dyDescent="0.2">
      <c r="B12" s="4">
        <v>9</v>
      </c>
      <c r="C12" s="4">
        <v>511</v>
      </c>
      <c r="D12" s="23">
        <v>1633262.642067625</v>
      </c>
      <c r="E12" s="33">
        <v>185.53968775554353</v>
      </c>
      <c r="F12" s="5">
        <v>9</v>
      </c>
      <c r="G12" s="23">
        <v>82.666666666666671</v>
      </c>
      <c r="H12" s="33">
        <v>1364.1646649502773</v>
      </c>
      <c r="I12" s="23">
        <v>38.757236324505527</v>
      </c>
      <c r="J12" s="5">
        <v>6833.3695536418973</v>
      </c>
      <c r="K12" s="31"/>
      <c r="L12" s="23">
        <v>1820208.1773668481</v>
      </c>
      <c r="M12" s="33">
        <v>155.60848908889523</v>
      </c>
      <c r="N12" s="5">
        <v>17</v>
      </c>
      <c r="O12" s="5">
        <v>73.333333333333329</v>
      </c>
      <c r="P12" s="33">
        <v>1035.0205497378099</v>
      </c>
      <c r="Q12" s="5">
        <v>16.992645736391932</v>
      </c>
      <c r="R12" s="5">
        <v>5696.9385022031365</v>
      </c>
      <c r="S12" s="35"/>
      <c r="T12" s="23">
        <v>2060586.410095694</v>
      </c>
      <c r="U12" s="33">
        <v>136.53035555554865</v>
      </c>
      <c r="V12" s="5">
        <v>8</v>
      </c>
      <c r="W12" s="5">
        <v>56.666666666666657</v>
      </c>
      <c r="X12" s="33">
        <v>1399.1701109913972</v>
      </c>
      <c r="Y12" s="5">
        <v>43.144743143147679</v>
      </c>
      <c r="Z12" s="5">
        <v>6753.1704114943323</v>
      </c>
      <c r="AA12" s="35"/>
    </row>
    <row r="13" spans="2:27" x14ac:dyDescent="0.2">
      <c r="B13" s="4">
        <v>10</v>
      </c>
      <c r="C13" s="4">
        <v>261</v>
      </c>
      <c r="D13" s="23">
        <v>1568881.3676680741</v>
      </c>
      <c r="E13" s="33">
        <v>74.408803888907045</v>
      </c>
      <c r="F13" s="5">
        <v>8</v>
      </c>
      <c r="G13" s="23">
        <v>83.333333333333329</v>
      </c>
      <c r="H13" s="33">
        <v>1133.6051492688459</v>
      </c>
      <c r="I13" s="23">
        <v>43.484954656898509</v>
      </c>
      <c r="J13" s="5">
        <v>6678.219385378512</v>
      </c>
      <c r="K13" s="31"/>
      <c r="L13" s="23">
        <v>1802177.5401574851</v>
      </c>
      <c r="M13" s="33">
        <v>196.12359388889229</v>
      </c>
      <c r="N13" s="5">
        <v>18</v>
      </c>
      <c r="O13" s="5">
        <v>76</v>
      </c>
      <c r="P13" s="33">
        <v>1166.3998804542989</v>
      </c>
      <c r="Q13" s="5">
        <v>17.156807100075113</v>
      </c>
      <c r="R13" s="5">
        <v>5848.3755504155506</v>
      </c>
      <c r="S13" s="35"/>
      <c r="T13" s="23">
        <v>1947334.152251076</v>
      </c>
      <c r="U13" s="33">
        <v>313.41786566666423</v>
      </c>
      <c r="V13" s="5">
        <v>10</v>
      </c>
      <c r="W13" s="5">
        <v>67.333333333333329</v>
      </c>
      <c r="X13" s="33">
        <v>1631.6263161705792</v>
      </c>
      <c r="Y13" s="5">
        <v>42.590258174653414</v>
      </c>
      <c r="Z13" s="5">
        <v>7116.7585024803466</v>
      </c>
      <c r="AA13" s="35"/>
    </row>
    <row r="14" spans="2:27" x14ac:dyDescent="0.2">
      <c r="B14" s="47" t="s">
        <v>3</v>
      </c>
      <c r="C14" s="48"/>
      <c r="D14" s="9">
        <f>MIN(D4:D13)</f>
        <v>1511141.413270805</v>
      </c>
      <c r="E14" s="22">
        <f>INDEX(E4:E13, MATCH($D$14, D4:D13, 0))</f>
        <v>194.51852519999051</v>
      </c>
      <c r="F14" s="9">
        <f>INDEX(F4:F13, MATCH($D$14, D4:D13, 0))</f>
        <v>10</v>
      </c>
      <c r="G14" s="9">
        <f>INDEX(G4:G13, MATCH($D$14, D4:D13, 0))</f>
        <v>87.333333333333329</v>
      </c>
      <c r="H14" s="22">
        <f>INDEX(H4:H13, MATCH($D$14, D4:D13, 0))</f>
        <v>1232.1663986866758</v>
      </c>
      <c r="I14" s="22">
        <f>INDEX(I4:I13, MATCH($D$14, D4:D13, 0))</f>
        <v>37.525228727560986</v>
      </c>
      <c r="J14" s="22">
        <f>INDEX(J4:J13, MATCH($D$14, D4:D13, 0))</f>
        <v>6543.69573867688</v>
      </c>
      <c r="K14" s="32" t="e">
        <f>(D14-$D$15)/$D$15</f>
        <v>#DIV/0!</v>
      </c>
      <c r="L14" s="16">
        <f>MIN(L4:L13)</f>
        <v>1802177.5401574851</v>
      </c>
      <c r="M14" s="21">
        <f>INDEX(M4:M13, MATCH($L$14, L4:L13, 0))</f>
        <v>196.12359388889229</v>
      </c>
      <c r="N14" s="16">
        <f>INDEX(N4:N13, MATCH($L$14, L4:L13, 0))</f>
        <v>18</v>
      </c>
      <c r="O14" s="16">
        <f>INDEX(O4:O13, MATCH($L$14, L4:L13, 0))</f>
        <v>76</v>
      </c>
      <c r="P14" s="21">
        <f>INDEX(P4:P13, MATCH($L$14, L4:L13, 0))</f>
        <v>1166.3998804542989</v>
      </c>
      <c r="Q14" s="21">
        <f>INDEX(Q4:Q13, MATCH($L$14, L4:L13, 0))</f>
        <v>17.156807100075113</v>
      </c>
      <c r="R14" s="21">
        <f>INDEX(R4:R13, MATCH($L$14, L4:L13, 0))</f>
        <v>5848.3755504155506</v>
      </c>
      <c r="S14" s="36" t="e">
        <f>(L14-$D$15)/$D$15</f>
        <v>#DIV/0!</v>
      </c>
      <c r="T14" s="38">
        <f>MIN(T4:T13)</f>
        <v>1947334.152251076</v>
      </c>
      <c r="U14" s="39">
        <f>INDEX(U4:U13, MATCH($T$14, T4:T13, 0))</f>
        <v>313.41786566666423</v>
      </c>
      <c r="V14" s="38">
        <f>INDEX(V4:V13, MATCH($T$14, T4:T13, 0))</f>
        <v>10</v>
      </c>
      <c r="W14" s="38">
        <f>INDEX(W4:W13, MATCH($T$14, T4:T13, 0))</f>
        <v>67.333333333333329</v>
      </c>
      <c r="X14" s="39">
        <f>INDEX(X4:X13, MATCH($T$14, T4:T13, 0))</f>
        <v>1631.6263161705792</v>
      </c>
      <c r="Y14" s="39">
        <f>INDEX(Y4:Y13, MATCH($T$14, T4:T13, 0))</f>
        <v>42.590258174653414</v>
      </c>
      <c r="Z14" s="39">
        <f>INDEX(Z4:Z13, MATCH($T$14, T4:T13, 0))</f>
        <v>7116.7585024803466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0.19259357485064485</v>
      </c>
      <c r="M15" s="41">
        <f t="shared" ref="M15:R15" si="0">(M14-E14)/E14</f>
        <v>8.2514952611920152E-3</v>
      </c>
      <c r="N15" s="41">
        <f t="shared" si="0"/>
        <v>0.8</v>
      </c>
      <c r="O15" s="41">
        <f t="shared" si="0"/>
        <v>-0.12977099236641218</v>
      </c>
      <c r="P15" s="41">
        <f t="shared" si="0"/>
        <v>-5.3374705155468632E-2</v>
      </c>
      <c r="Q15" s="41">
        <f t="shared" si="0"/>
        <v>-0.54279273753036361</v>
      </c>
      <c r="R15" s="41">
        <f t="shared" si="0"/>
        <v>-0.10625802543837734</v>
      </c>
      <c r="T15" s="41">
        <f>(T14-D14)/D14</f>
        <v>0.28865117132628193</v>
      </c>
      <c r="U15" s="41">
        <f t="shared" ref="U15:Y15" si="1">(U14-E14)/E14</f>
        <v>0.61124944446514606</v>
      </c>
      <c r="V15" s="41">
        <f t="shared" si="1"/>
        <v>0</v>
      </c>
      <c r="W15" s="41">
        <f t="shared" si="1"/>
        <v>-0.22900763358778628</v>
      </c>
      <c r="X15" s="41">
        <f t="shared" si="1"/>
        <v>0.32419315922725539</v>
      </c>
      <c r="Y15" s="41">
        <f t="shared" si="1"/>
        <v>0.13497664421622402</v>
      </c>
      <c r="Z15" s="41">
        <f>(Z14-J14)/J14</f>
        <v>8.757478750369567E-2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0:C1048576 C24:C29">
    <cfRule type="duplicateValues" dxfId="103" priority="9"/>
    <cfRule type="duplicateValues" dxfId="102" priority="10"/>
  </conditionalFormatting>
  <conditionalFormatting sqref="C14">
    <cfRule type="duplicateValues" dxfId="101" priority="7"/>
    <cfRule type="duplicateValues" dxfId="100" priority="8"/>
  </conditionalFormatting>
  <conditionalFormatting sqref="C15">
    <cfRule type="duplicateValues" dxfId="99" priority="5"/>
    <cfRule type="duplicateValues" dxfId="98" priority="6"/>
  </conditionalFormatting>
  <conditionalFormatting sqref="C30:C39">
    <cfRule type="duplicateValues" dxfId="97" priority="3"/>
    <cfRule type="duplicateValues" dxfId="96" priority="4"/>
  </conditionalFormatting>
  <conditionalFormatting sqref="C17:C23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A357-274E-4BA1-8804-19DF822D2B49}">
  <dimension ref="B1:AA17"/>
  <sheetViews>
    <sheetView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-0.98506545509899268</v>
      </c>
      <c r="J2" s="28" t="e">
        <f>(S14-J14)/J14</f>
        <v>#DIV/0!</v>
      </c>
      <c r="K2" s="28"/>
      <c r="L2" s="1" t="s">
        <v>19</v>
      </c>
      <c r="P2" s="1">
        <f>(P14-H14)/H14</f>
        <v>-0.16276423681546903</v>
      </c>
      <c r="R2" s="1">
        <f>(R14-J14)/J14</f>
        <v>-0.11366509568931014</v>
      </c>
      <c r="T2" s="1" t="s">
        <v>20</v>
      </c>
      <c r="X2" s="1">
        <f>(X14-P14)/P14</f>
        <v>0.46758925922654437</v>
      </c>
      <c r="Z2" s="1">
        <f>(Z14-R14)/R14</f>
        <v>0.18131815725368219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576</v>
      </c>
      <c r="D4" s="23">
        <v>1823933.349241101</v>
      </c>
      <c r="E4" s="33">
        <v>189.60285402221294</v>
      </c>
      <c r="F4" s="5">
        <v>10</v>
      </c>
      <c r="G4" s="23">
        <v>74.666666666666671</v>
      </c>
      <c r="H4" s="33">
        <v>1615.1669423505011</v>
      </c>
      <c r="I4" s="23">
        <v>41.064890838394021</v>
      </c>
      <c r="J4" s="5">
        <v>7105.5910103999058</v>
      </c>
      <c r="K4" s="31"/>
      <c r="L4" s="23">
        <v>2010276.9836746489</v>
      </c>
      <c r="M4" s="33">
        <v>100.63227659999393</v>
      </c>
      <c r="N4" s="5">
        <v>16</v>
      </c>
      <c r="O4" s="5">
        <v>66</v>
      </c>
      <c r="P4" s="33">
        <v>1411.0274596687416</v>
      </c>
      <c r="Q4" s="5">
        <v>21.343838968115534</v>
      </c>
      <c r="R4" s="5">
        <v>6442.4380910510008</v>
      </c>
      <c r="S4" s="35"/>
      <c r="T4" s="23">
        <v>2197981.0416789972</v>
      </c>
      <c r="U4" s="33">
        <v>63.616422666676549</v>
      </c>
      <c r="V4" s="5">
        <v>8</v>
      </c>
      <c r="W4" s="5">
        <v>51.333333333333343</v>
      </c>
      <c r="X4" s="33">
        <v>1603.7554797645732</v>
      </c>
      <c r="Y4" s="5">
        <v>48.66071067392798</v>
      </c>
      <c r="Z4" s="5">
        <v>7160.4145135909212</v>
      </c>
      <c r="AA4" s="35"/>
    </row>
    <row r="5" spans="2:27" x14ac:dyDescent="0.2">
      <c r="B5" s="4">
        <v>2</v>
      </c>
      <c r="C5" s="4">
        <v>581</v>
      </c>
      <c r="D5" s="23">
        <v>1847083.7342991631</v>
      </c>
      <c r="E5" s="33">
        <v>119.01619788890497</v>
      </c>
      <c r="F5" s="5">
        <v>9</v>
      </c>
      <c r="G5" s="23">
        <v>70.666666666666671</v>
      </c>
      <c r="H5" s="33">
        <v>1322.6565666681458</v>
      </c>
      <c r="I5" s="23">
        <v>42.584716942319183</v>
      </c>
      <c r="J5" s="5">
        <v>7003.2191820535263</v>
      </c>
      <c r="K5" s="31"/>
      <c r="L5" s="23">
        <v>2026001.176384887</v>
      </c>
      <c r="M5" s="33">
        <v>228.23950704443268</v>
      </c>
      <c r="N5" s="5">
        <v>15</v>
      </c>
      <c r="O5" s="5">
        <v>64</v>
      </c>
      <c r="P5" s="33">
        <v>1396.8004819084235</v>
      </c>
      <c r="Q5" s="5">
        <v>22.135348522221282</v>
      </c>
      <c r="R5" s="5">
        <v>6322.5165346678259</v>
      </c>
      <c r="S5" s="35"/>
      <c r="T5" s="23">
        <v>2180251.4130903669</v>
      </c>
      <c r="U5" s="33">
        <v>75.361094022221451</v>
      </c>
      <c r="V5" s="5">
        <v>8</v>
      </c>
      <c r="W5" s="5">
        <v>52</v>
      </c>
      <c r="X5" s="33">
        <v>1575.3839653455846</v>
      </c>
      <c r="Y5" s="5">
        <v>50.262253933137629</v>
      </c>
      <c r="Z5" s="5">
        <v>7178.7284725234185</v>
      </c>
      <c r="AA5" s="35"/>
    </row>
    <row r="6" spans="2:27" x14ac:dyDescent="0.2">
      <c r="B6" s="4">
        <v>3</v>
      </c>
      <c r="C6" s="4">
        <v>568</v>
      </c>
      <c r="D6" s="23">
        <v>1807149.869864414</v>
      </c>
      <c r="E6" s="33">
        <v>214.5405829777786</v>
      </c>
      <c r="F6" s="5">
        <v>9</v>
      </c>
      <c r="G6" s="23">
        <v>74</v>
      </c>
      <c r="H6" s="33">
        <v>1577.9196112912803</v>
      </c>
      <c r="I6" s="23">
        <v>44.94131290740733</v>
      </c>
      <c r="J6" s="5">
        <v>7138.5583899630847</v>
      </c>
      <c r="K6" s="31"/>
      <c r="L6" s="23">
        <v>2013228.3291583681</v>
      </c>
      <c r="M6" s="33">
        <v>250.91546171111975</v>
      </c>
      <c r="N6" s="5">
        <v>14</v>
      </c>
      <c r="O6" s="5">
        <v>62.666666666666657</v>
      </c>
      <c r="P6" s="33">
        <v>1288.0062069503228</v>
      </c>
      <c r="Q6" s="5">
        <v>23.081578718373798</v>
      </c>
      <c r="R6" s="5">
        <v>6232.3783291183108</v>
      </c>
      <c r="S6" s="35"/>
      <c r="T6" s="23">
        <v>2161044.9373870669</v>
      </c>
      <c r="U6" s="33">
        <v>86.073973311111331</v>
      </c>
      <c r="V6" s="5">
        <v>9</v>
      </c>
      <c r="W6" s="5">
        <v>55.333333333333343</v>
      </c>
      <c r="X6" s="33">
        <v>1899.3193374025902</v>
      </c>
      <c r="Y6" s="5">
        <v>48.849634048723843</v>
      </c>
      <c r="Z6" s="5">
        <v>7461.456171030416</v>
      </c>
      <c r="AA6" s="35"/>
    </row>
    <row r="7" spans="2:27" x14ac:dyDescent="0.2">
      <c r="B7" s="4">
        <v>4</v>
      </c>
      <c r="C7" s="4">
        <v>589</v>
      </c>
      <c r="D7" s="23">
        <v>1811529.0499127971</v>
      </c>
      <c r="E7" s="33">
        <v>200.92297815554775</v>
      </c>
      <c r="F7" s="5">
        <v>10</v>
      </c>
      <c r="G7" s="23">
        <v>75.333333333333329</v>
      </c>
      <c r="H7" s="33">
        <v>1557.469797985068</v>
      </c>
      <c r="I7" s="23">
        <v>41.509094469915411</v>
      </c>
      <c r="J7" s="5">
        <v>7108.4715463738221</v>
      </c>
      <c r="K7" s="31"/>
      <c r="L7" s="23">
        <v>1998898.3522800929</v>
      </c>
      <c r="M7" s="33">
        <v>311.1498153333344</v>
      </c>
      <c r="N7" s="5">
        <v>15</v>
      </c>
      <c r="O7" s="5">
        <v>64.666666666666671</v>
      </c>
      <c r="P7" s="33">
        <v>1272.6840938582332</v>
      </c>
      <c r="Q7" s="5">
        <v>22.702037562547819</v>
      </c>
      <c r="R7" s="5">
        <v>6275.8508063578302</v>
      </c>
      <c r="S7" s="35"/>
      <c r="T7" s="23">
        <v>2177896.228911072</v>
      </c>
      <c r="U7" s="33">
        <v>96.993155555540909</v>
      </c>
      <c r="V7" s="5">
        <v>8</v>
      </c>
      <c r="W7" s="5">
        <v>52.666666666666657</v>
      </c>
      <c r="X7" s="33">
        <v>1722.702946038808</v>
      </c>
      <c r="Y7" s="5">
        <v>52.247827157518934</v>
      </c>
      <c r="Z7" s="5">
        <v>7328.8461551723049</v>
      </c>
      <c r="AA7" s="35"/>
    </row>
    <row r="8" spans="2:27" x14ac:dyDescent="0.2">
      <c r="B8" s="4">
        <v>5</v>
      </c>
      <c r="C8" s="4">
        <v>616</v>
      </c>
      <c r="D8" s="23">
        <v>1806174.1390408019</v>
      </c>
      <c r="E8" s="33">
        <v>179.82560284443511</v>
      </c>
      <c r="F8" s="5">
        <v>9</v>
      </c>
      <c r="G8" s="23">
        <v>75.333333333333329</v>
      </c>
      <c r="H8" s="33">
        <v>1698.1306413707109</v>
      </c>
      <c r="I8" s="23">
        <v>46.083859299236295</v>
      </c>
      <c r="J8" s="5">
        <v>7249.3083573415825</v>
      </c>
      <c r="K8" s="31"/>
      <c r="L8" s="23">
        <v>1999085.0646039699</v>
      </c>
      <c r="M8" s="33">
        <v>607.00509497776841</v>
      </c>
      <c r="N8" s="5">
        <v>14</v>
      </c>
      <c r="O8" s="5">
        <v>64.666666666666671</v>
      </c>
      <c r="P8" s="33">
        <v>1414.827090258638</v>
      </c>
      <c r="Q8" s="5">
        <v>24.061985452438371</v>
      </c>
      <c r="R8" s="5">
        <v>6426.2037213803824</v>
      </c>
      <c r="S8" s="35"/>
      <c r="T8" s="23">
        <v>2166587.6367630628</v>
      </c>
      <c r="U8" s="33">
        <v>131.31784555556564</v>
      </c>
      <c r="V8" s="5">
        <v>9</v>
      </c>
      <c r="W8" s="5">
        <v>53.333333333333343</v>
      </c>
      <c r="X8" s="33">
        <v>1656.0752828546588</v>
      </c>
      <c r="Y8" s="5">
        <v>46.971122420935529</v>
      </c>
      <c r="Z8" s="5">
        <v>7229.4512878971782</v>
      </c>
      <c r="AA8" s="35"/>
    </row>
    <row r="9" spans="2:27" x14ac:dyDescent="0.2">
      <c r="B9" s="4">
        <v>6</v>
      </c>
      <c r="C9" s="4">
        <v>623</v>
      </c>
      <c r="D9" s="23">
        <v>1802012.105835059</v>
      </c>
      <c r="E9" s="33">
        <v>285.67030813332843</v>
      </c>
      <c r="F9" s="5">
        <v>10</v>
      </c>
      <c r="G9" s="23">
        <v>77.333333333333329</v>
      </c>
      <c r="H9" s="33">
        <v>1770.8903290774933</v>
      </c>
      <c r="I9" s="23">
        <v>43.406545477683622</v>
      </c>
      <c r="J9" s="5">
        <v>7317.8147706771233</v>
      </c>
      <c r="K9" s="31"/>
      <c r="L9" s="23">
        <v>2029239.981802457</v>
      </c>
      <c r="M9" s="33">
        <v>163.24470668888858</v>
      </c>
      <c r="N9" s="5">
        <v>11</v>
      </c>
      <c r="O9" s="5">
        <v>57.333333333333343</v>
      </c>
      <c r="P9" s="33">
        <v>958.68056076133053</v>
      </c>
      <c r="Q9" s="5">
        <v>26.620225628468994</v>
      </c>
      <c r="R9" s="5">
        <v>5999.4728574088876</v>
      </c>
      <c r="S9" s="35"/>
      <c r="T9" s="23">
        <v>2176971.6085226121</v>
      </c>
      <c r="U9" s="33">
        <v>119.39902137778699</v>
      </c>
      <c r="V9" s="5">
        <v>8</v>
      </c>
      <c r="W9" s="5">
        <v>53.333333333333343</v>
      </c>
      <c r="X9" s="33">
        <v>1750.1981760365106</v>
      </c>
      <c r="Y9" s="5">
        <v>51.467981155098371</v>
      </c>
      <c r="Z9" s="5">
        <v>7358.0312751117772</v>
      </c>
      <c r="AA9" s="35"/>
    </row>
    <row r="10" spans="2:27" x14ac:dyDescent="0.2">
      <c r="B10" s="4">
        <v>7</v>
      </c>
      <c r="C10" s="4">
        <v>184</v>
      </c>
      <c r="D10" s="23">
        <v>1798716.563910089</v>
      </c>
      <c r="E10" s="33">
        <v>184.11515562220788</v>
      </c>
      <c r="F10" s="5">
        <v>10</v>
      </c>
      <c r="G10" s="23">
        <v>76</v>
      </c>
      <c r="H10" s="33">
        <v>1647.4644984904996</v>
      </c>
      <c r="I10" s="23">
        <v>41.32864524524193</v>
      </c>
      <c r="J10" s="5">
        <v>7138.7247683612068</v>
      </c>
      <c r="K10" s="31"/>
      <c r="L10" s="23">
        <v>2005621.600588223</v>
      </c>
      <c r="M10" s="33">
        <v>399.95004717777999</v>
      </c>
      <c r="N10" s="5">
        <v>16</v>
      </c>
      <c r="O10" s="5">
        <v>66.666666666666671</v>
      </c>
      <c r="P10" s="33">
        <v>1441.1207475452914</v>
      </c>
      <c r="Q10" s="5">
        <v>21.760568496313486</v>
      </c>
      <c r="R10" s="5">
        <v>6440.9846514379742</v>
      </c>
      <c r="S10" s="35"/>
      <c r="T10" s="23">
        <v>2160002.1476458171</v>
      </c>
      <c r="U10" s="33">
        <v>107.68319640000765</v>
      </c>
      <c r="V10" s="5">
        <v>9</v>
      </c>
      <c r="W10" s="5">
        <v>54</v>
      </c>
      <c r="X10" s="33">
        <v>1724.0448406183161</v>
      </c>
      <c r="Y10" s="5">
        <v>46.570107254148127</v>
      </c>
      <c r="Z10" s="5">
        <v>7244.6894178976872</v>
      </c>
      <c r="AA10" s="35"/>
    </row>
    <row r="11" spans="2:27" x14ac:dyDescent="0.2">
      <c r="B11" s="4">
        <v>8</v>
      </c>
      <c r="C11" s="4">
        <v>774</v>
      </c>
      <c r="D11" s="23">
        <v>1811862.094559059</v>
      </c>
      <c r="E11" s="33">
        <v>219.76408882221827</v>
      </c>
      <c r="F11" s="5">
        <v>10</v>
      </c>
      <c r="G11" s="23">
        <v>76</v>
      </c>
      <c r="H11" s="33">
        <v>1660.7746211742226</v>
      </c>
      <c r="I11" s="23">
        <v>41.71861051441644</v>
      </c>
      <c r="J11" s="5">
        <v>7206.231154424634</v>
      </c>
      <c r="K11" s="31"/>
      <c r="L11" s="23">
        <v>2030421.560354528</v>
      </c>
      <c r="M11" s="33">
        <v>211.80229771108782</v>
      </c>
      <c r="N11" s="5">
        <v>14</v>
      </c>
      <c r="O11" s="5">
        <v>62</v>
      </c>
      <c r="P11" s="33">
        <v>1323.3259590901621</v>
      </c>
      <c r="Q11" s="5">
        <v>22.423879478743942</v>
      </c>
      <c r="R11" s="5">
        <v>6272.2748938330587</v>
      </c>
      <c r="S11" s="35"/>
      <c r="T11" s="23">
        <v>2158720.7010869551</v>
      </c>
      <c r="U11" s="33">
        <v>226.99321657778802</v>
      </c>
      <c r="V11" s="5">
        <v>9</v>
      </c>
      <c r="W11" s="5">
        <v>55.333333333333343</v>
      </c>
      <c r="X11" s="33">
        <v>1867.7775065348103</v>
      </c>
      <c r="Y11" s="5">
        <v>48.516303576535911</v>
      </c>
      <c r="Z11" s="5">
        <v>7413.7765097656675</v>
      </c>
      <c r="AA11" s="35"/>
    </row>
    <row r="12" spans="2:27" x14ac:dyDescent="0.2">
      <c r="B12" s="4">
        <v>9</v>
      </c>
      <c r="C12" s="4">
        <v>188</v>
      </c>
      <c r="D12" s="23">
        <v>1824916.16527117</v>
      </c>
      <c r="E12" s="33">
        <v>101.89098533333487</v>
      </c>
      <c r="F12" s="5">
        <v>8</v>
      </c>
      <c r="G12" s="23">
        <v>72</v>
      </c>
      <c r="H12" s="33">
        <v>1513.6563224347865</v>
      </c>
      <c r="I12" s="23">
        <v>48.924613292568175</v>
      </c>
      <c r="J12" s="5">
        <v>7125.4319647851498</v>
      </c>
      <c r="K12" s="31"/>
      <c r="L12" s="23">
        <v>2005577.7713636099</v>
      </c>
      <c r="M12" s="33">
        <v>246.7133937555418</v>
      </c>
      <c r="N12" s="5">
        <v>14</v>
      </c>
      <c r="O12" s="5">
        <v>62</v>
      </c>
      <c r="P12" s="33">
        <v>1088.1523216565856</v>
      </c>
      <c r="Q12" s="5">
        <v>23.066392969795256</v>
      </c>
      <c r="R12" s="5">
        <v>6156.7118685774903</v>
      </c>
      <c r="S12" s="35"/>
      <c r="T12" s="23">
        <v>2166348.7505138689</v>
      </c>
      <c r="U12" s="33">
        <v>143.31608066666456</v>
      </c>
      <c r="V12" s="5">
        <v>9</v>
      </c>
      <c r="W12" s="5">
        <v>54</v>
      </c>
      <c r="X12" s="33">
        <v>1693.4971263689067</v>
      </c>
      <c r="Y12" s="5">
        <v>46.904062396462798</v>
      </c>
      <c r="Z12" s="5">
        <v>7303.1712581305519</v>
      </c>
      <c r="AA12" s="35"/>
    </row>
    <row r="13" spans="2:27" x14ac:dyDescent="0.2">
      <c r="B13" s="4">
        <v>10</v>
      </c>
      <c r="C13" s="4">
        <v>339</v>
      </c>
      <c r="D13" s="23">
        <v>1792544.052836474</v>
      </c>
      <c r="E13" s="33">
        <v>268.08670004444309</v>
      </c>
      <c r="F13" s="5">
        <v>10</v>
      </c>
      <c r="G13" s="23">
        <v>76</v>
      </c>
      <c r="H13" s="33">
        <v>1520.1024010458177</v>
      </c>
      <c r="I13" s="23">
        <v>41.368248611375705</v>
      </c>
      <c r="J13" s="5">
        <v>7080.6765883135477</v>
      </c>
      <c r="K13" s="31"/>
      <c r="L13" s="23">
        <v>2042775.3308287631</v>
      </c>
      <c r="M13" s="33">
        <v>251.43470626665911</v>
      </c>
      <c r="N13" s="5">
        <v>11</v>
      </c>
      <c r="O13" s="5">
        <v>56</v>
      </c>
      <c r="P13" s="33">
        <v>913.97940156466177</v>
      </c>
      <c r="Q13" s="5">
        <v>25.286128985286869</v>
      </c>
      <c r="R13" s="5">
        <v>5903.7932906096094</v>
      </c>
      <c r="S13" s="35"/>
      <c r="T13" s="23">
        <v>2167439.3104064828</v>
      </c>
      <c r="U13" s="33">
        <v>81.555785777771632</v>
      </c>
      <c r="V13" s="5">
        <v>9</v>
      </c>
      <c r="W13" s="5">
        <v>53.333333333333343</v>
      </c>
      <c r="X13" s="33">
        <v>1619.8376731575415</v>
      </c>
      <c r="Y13" s="5">
        <v>46.607619375614853</v>
      </c>
      <c r="Z13" s="5">
        <v>7219.5961717052614</v>
      </c>
      <c r="AA13" s="35"/>
    </row>
    <row r="14" spans="2:27" x14ac:dyDescent="0.2">
      <c r="B14" s="47" t="s">
        <v>3</v>
      </c>
      <c r="C14" s="48"/>
      <c r="D14" s="9">
        <f>MIN(D4:D13)</f>
        <v>1792544.052836474</v>
      </c>
      <c r="E14" s="22">
        <f>INDEX(E4:E13, MATCH($D$14, D4:D13, 0))</f>
        <v>268.08670004444309</v>
      </c>
      <c r="F14" s="9">
        <f>INDEX(F4:F13, MATCH($D$14, D4:D13, 0))</f>
        <v>10</v>
      </c>
      <c r="G14" s="9">
        <f>INDEX(G4:G13, MATCH($D$14, D4:D13, 0))</f>
        <v>76</v>
      </c>
      <c r="H14" s="22">
        <f>INDEX(H4:H13, MATCH($D$14, D4:D13, 0))</f>
        <v>1520.1024010458177</v>
      </c>
      <c r="I14" s="22">
        <f>INDEX(I4:I13, MATCH($D$14, D4:D13, 0))</f>
        <v>41.368248611375705</v>
      </c>
      <c r="J14" s="22">
        <f>INDEX(J4:J13, MATCH($D$14, D4:D13, 0))</f>
        <v>7080.6765883135477</v>
      </c>
      <c r="K14" s="32" t="e">
        <f>(D14-$D$15)/$D$15</f>
        <v>#DIV/0!</v>
      </c>
      <c r="L14" s="16">
        <f>MIN(L4:L13)</f>
        <v>1998898.3522800929</v>
      </c>
      <c r="M14" s="21">
        <f>INDEX(M4:M13, MATCH($L$14, L4:L13, 0))</f>
        <v>311.1498153333344</v>
      </c>
      <c r="N14" s="16">
        <f>INDEX(N4:N13, MATCH($L$14, L4:L13, 0))</f>
        <v>15</v>
      </c>
      <c r="O14" s="16">
        <f>INDEX(O4:O13, MATCH($L$14, L4:L13, 0))</f>
        <v>64.666666666666671</v>
      </c>
      <c r="P14" s="21">
        <f>INDEX(P4:P13, MATCH($L$14, L4:L13, 0))</f>
        <v>1272.6840938582332</v>
      </c>
      <c r="Q14" s="21">
        <f>INDEX(Q4:Q13, MATCH($L$14, L4:L13, 0))</f>
        <v>22.702037562547819</v>
      </c>
      <c r="R14" s="21">
        <f>INDEX(R4:R13, MATCH($L$14, L4:L13, 0))</f>
        <v>6275.8508063578302</v>
      </c>
      <c r="S14" s="36" t="e">
        <f>(L14-$D$15)/$D$15</f>
        <v>#DIV/0!</v>
      </c>
      <c r="T14" s="38">
        <f>MIN(T4:T13)</f>
        <v>2158720.7010869551</v>
      </c>
      <c r="U14" s="39">
        <f>INDEX(U4:U13, MATCH($T$14, T4:T13, 0))</f>
        <v>226.99321657778802</v>
      </c>
      <c r="V14" s="38">
        <f>INDEX(V4:V13, MATCH($T$14, T4:T13, 0))</f>
        <v>9</v>
      </c>
      <c r="W14" s="38">
        <f>INDEX(W4:W13, MATCH($T$14, T4:T13, 0))</f>
        <v>55.333333333333343</v>
      </c>
      <c r="X14" s="39">
        <f>INDEX(X4:X13, MATCH($T$14, T4:T13, 0))</f>
        <v>1867.7775065348103</v>
      </c>
      <c r="Y14" s="39">
        <f>INDEX(Y4:Y13, MATCH($T$14, T4:T13, 0))</f>
        <v>48.516303576535911</v>
      </c>
      <c r="Z14" s="39">
        <f>INDEX(Z4:Z13, MATCH($T$14, T4:T13, 0))</f>
        <v>7413.7765097656675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0.11511811891991681</v>
      </c>
      <c r="M15" s="41">
        <f t="shared" ref="M15:R15" si="0">(M14-E14)/E14</f>
        <v>0.16063130055221822</v>
      </c>
      <c r="N15" s="41">
        <f t="shared" si="0"/>
        <v>0.5</v>
      </c>
      <c r="O15" s="41">
        <f t="shared" si="0"/>
        <v>-0.1491228070175438</v>
      </c>
      <c r="P15" s="41">
        <f t="shared" si="0"/>
        <v>-0.16276423681546903</v>
      </c>
      <c r="Q15" s="41">
        <f t="shared" si="0"/>
        <v>-0.45122072302802135</v>
      </c>
      <c r="R15" s="41">
        <f t="shared" si="0"/>
        <v>-0.11366509568931014</v>
      </c>
      <c r="T15" s="41">
        <f>(T14-D14)/D14</f>
        <v>0.20427762858661852</v>
      </c>
      <c r="U15" s="41">
        <f t="shared" ref="U15:Y15" si="1">(U14-E14)/E14</f>
        <v>-0.15328430489033079</v>
      </c>
      <c r="V15" s="41">
        <f t="shared" si="1"/>
        <v>-0.1</v>
      </c>
      <c r="W15" s="41">
        <f t="shared" si="1"/>
        <v>-0.27192982456140341</v>
      </c>
      <c r="X15" s="41">
        <f t="shared" si="1"/>
        <v>0.22871821348995636</v>
      </c>
      <c r="Y15" s="41">
        <f t="shared" si="1"/>
        <v>0.17279085301171268</v>
      </c>
      <c r="Z15" s="41">
        <f>(Z14-J14)/J14</f>
        <v>4.7043515869922885E-2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0:C1048576 C24:C29">
    <cfRule type="duplicateValues" dxfId="95" priority="9"/>
    <cfRule type="duplicateValues" dxfId="94" priority="10"/>
  </conditionalFormatting>
  <conditionalFormatting sqref="C14">
    <cfRule type="duplicateValues" dxfId="93" priority="7"/>
    <cfRule type="duplicateValues" dxfId="92" priority="8"/>
  </conditionalFormatting>
  <conditionalFormatting sqref="C15">
    <cfRule type="duplicateValues" dxfId="91" priority="5"/>
    <cfRule type="duplicateValues" dxfId="90" priority="6"/>
  </conditionalFormatting>
  <conditionalFormatting sqref="C30:C39">
    <cfRule type="duplicateValues" dxfId="89" priority="3"/>
    <cfRule type="duplicateValues" dxfId="88" priority="4"/>
  </conditionalFormatting>
  <conditionalFormatting sqref="C17:C23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F708-42D0-4F39-ABB1-27A8B3DDAE04}">
  <dimension ref="B1:AA17"/>
  <sheetViews>
    <sheetView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-0.98286509176542158</v>
      </c>
      <c r="J2" s="28" t="e">
        <f>(S14-J14)/J14</f>
        <v>#DIV/0!</v>
      </c>
      <c r="K2" s="28"/>
      <c r="L2" s="1" t="s">
        <v>19</v>
      </c>
      <c r="P2" s="1">
        <f>(P14-H14)/H14</f>
        <v>-0.12291981627005497</v>
      </c>
      <c r="R2" s="1">
        <f>(R14-J14)/J14</f>
        <v>-0.13216749425734159</v>
      </c>
      <c r="T2" s="1" t="s">
        <v>20</v>
      </c>
      <c r="X2" s="1">
        <f>(X14-P14)/P14</f>
        <v>0.44857918337004321</v>
      </c>
      <c r="Z2" s="1">
        <f>(Z14-R14)/R14</f>
        <v>0.208405888524649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779</v>
      </c>
      <c r="D4" s="23">
        <v>1898645.0805792881</v>
      </c>
      <c r="E4" s="33">
        <v>72.833004533339079</v>
      </c>
      <c r="F4" s="5">
        <v>8</v>
      </c>
      <c r="G4" s="23">
        <v>62.666666666666657</v>
      </c>
      <c r="H4" s="33">
        <v>999.21068833313279</v>
      </c>
      <c r="I4" s="23">
        <v>40.635352357161217</v>
      </c>
      <c r="J4" s="5">
        <v>6475.8830701313491</v>
      </c>
      <c r="K4" s="31"/>
      <c r="L4" s="23">
        <v>2100952.156617295</v>
      </c>
      <c r="M4" s="33">
        <v>90.968859933342571</v>
      </c>
      <c r="N4" s="5">
        <v>15</v>
      </c>
      <c r="O4" s="5">
        <v>56</v>
      </c>
      <c r="P4" s="33">
        <v>1019.6882075313786</v>
      </c>
      <c r="Q4" s="5">
        <v>19.763413032706907</v>
      </c>
      <c r="R4" s="5">
        <v>5697.4005926363079</v>
      </c>
      <c r="S4" s="35"/>
      <c r="T4" s="23">
        <v>2185315.0641153739</v>
      </c>
      <c r="U4" s="33">
        <v>65.541325111097365</v>
      </c>
      <c r="V4" s="5">
        <v>7</v>
      </c>
      <c r="W4" s="5">
        <v>47.333333333333343</v>
      </c>
      <c r="X4" s="33">
        <v>1096.8491976041789</v>
      </c>
      <c r="Y4" s="5">
        <v>54.634316628035819</v>
      </c>
      <c r="Z4" s="5">
        <v>6695.5058518428104</v>
      </c>
      <c r="AA4" s="35"/>
    </row>
    <row r="5" spans="2:27" x14ac:dyDescent="0.2">
      <c r="B5" s="4">
        <v>2</v>
      </c>
      <c r="C5" s="4">
        <v>379</v>
      </c>
      <c r="D5" s="23">
        <v>1855689.8389611871</v>
      </c>
      <c r="E5" s="33">
        <v>355.16428597778491</v>
      </c>
      <c r="F5" s="5">
        <v>9</v>
      </c>
      <c r="G5" s="23">
        <v>69.333333333333329</v>
      </c>
      <c r="H5" s="33">
        <v>1397.3245632806577</v>
      </c>
      <c r="I5" s="23">
        <v>42.696452620167385</v>
      </c>
      <c r="J5" s="5">
        <v>6928.4759801127093</v>
      </c>
      <c r="K5" s="31"/>
      <c r="L5" s="23">
        <v>2113128.4201339958</v>
      </c>
      <c r="M5" s="33">
        <v>199.95748153334068</v>
      </c>
      <c r="N5" s="5">
        <v>12</v>
      </c>
      <c r="O5" s="5">
        <v>52</v>
      </c>
      <c r="P5" s="33">
        <v>983.80141729523086</v>
      </c>
      <c r="Q5" s="5">
        <v>22.473354759492906</v>
      </c>
      <c r="R5" s="5">
        <v>5580.6763028459472</v>
      </c>
      <c r="S5" s="35"/>
      <c r="T5" s="23">
        <v>2184473.3693394479</v>
      </c>
      <c r="U5" s="33">
        <v>69.808334888890371</v>
      </c>
      <c r="V5" s="5">
        <v>7</v>
      </c>
      <c r="W5" s="5">
        <v>48</v>
      </c>
      <c r="X5" s="33">
        <v>1237.6154906290653</v>
      </c>
      <c r="Y5" s="5">
        <v>55.628358842785751</v>
      </c>
      <c r="Z5" s="5">
        <v>6830.9180522779488</v>
      </c>
      <c r="AA5" s="35"/>
    </row>
    <row r="6" spans="2:27" x14ac:dyDescent="0.2">
      <c r="B6" s="4">
        <v>3</v>
      </c>
      <c r="C6" s="4">
        <v>904</v>
      </c>
      <c r="D6" s="23">
        <v>1851026.929152807</v>
      </c>
      <c r="E6" s="33">
        <v>113.24990133333228</v>
      </c>
      <c r="F6" s="5">
        <v>8</v>
      </c>
      <c r="G6" s="23">
        <v>64.666666666666671</v>
      </c>
      <c r="H6" s="33">
        <v>1016.3198868596642</v>
      </c>
      <c r="I6" s="23">
        <v>44.615997493857833</v>
      </c>
      <c r="J6" s="5">
        <v>6422.1846327084431</v>
      </c>
      <c r="K6" s="31"/>
      <c r="L6" s="23">
        <v>2077911.605284919</v>
      </c>
      <c r="M6" s="33">
        <v>188.97845882221333</v>
      </c>
      <c r="N6" s="5">
        <v>13</v>
      </c>
      <c r="O6" s="5">
        <v>55.333333333333343</v>
      </c>
      <c r="P6" s="33">
        <v>1033.3370196311412</v>
      </c>
      <c r="Q6" s="5">
        <v>22.083274435864492</v>
      </c>
      <c r="R6" s="5">
        <v>5763.7867766396848</v>
      </c>
      <c r="S6" s="35"/>
      <c r="T6" s="23">
        <v>2188614.3491512709</v>
      </c>
      <c r="U6" s="33">
        <v>141.41657746666007</v>
      </c>
      <c r="V6" s="5">
        <v>7</v>
      </c>
      <c r="W6" s="5">
        <v>48</v>
      </c>
      <c r="X6" s="33">
        <v>1255.8820445421627</v>
      </c>
      <c r="Y6" s="5">
        <v>55.712346397101911</v>
      </c>
      <c r="Z6" s="5">
        <v>6883.2201170352973</v>
      </c>
      <c r="AA6" s="35"/>
    </row>
    <row r="7" spans="2:27" x14ac:dyDescent="0.2">
      <c r="B7" s="4">
        <v>4</v>
      </c>
      <c r="C7" s="4">
        <v>85</v>
      </c>
      <c r="D7" s="23">
        <v>1846441.871604857</v>
      </c>
      <c r="E7" s="33">
        <v>182.99679282222255</v>
      </c>
      <c r="F7" s="5">
        <v>8</v>
      </c>
      <c r="G7" s="23">
        <v>66.666666666666671</v>
      </c>
      <c r="H7" s="33">
        <v>1132.8206432093336</v>
      </c>
      <c r="I7" s="23">
        <v>45.81712655518244</v>
      </c>
      <c r="J7" s="5">
        <v>6711.0313178751649</v>
      </c>
      <c r="K7" s="31"/>
      <c r="L7" s="23">
        <v>2066261.5012827171</v>
      </c>
      <c r="M7" s="33">
        <v>198.428310377782</v>
      </c>
      <c r="N7" s="5">
        <v>15</v>
      </c>
      <c r="O7" s="5">
        <v>57.333333333333343</v>
      </c>
      <c r="P7" s="33">
        <v>1022.7358612427626</v>
      </c>
      <c r="Q7" s="5">
        <v>19.98048235006415</v>
      </c>
      <c r="R7" s="5">
        <v>5707.449559335334</v>
      </c>
      <c r="S7" s="35"/>
      <c r="T7" s="23">
        <v>2179729.7446461478</v>
      </c>
      <c r="U7" s="33">
        <v>145.40935100001903</v>
      </c>
      <c r="V7" s="5">
        <v>8</v>
      </c>
      <c r="W7" s="5">
        <v>49.333333333333343</v>
      </c>
      <c r="X7" s="33">
        <v>1346.0444157203037</v>
      </c>
      <c r="Y7" s="5">
        <v>49.334274478915219</v>
      </c>
      <c r="Z7" s="5">
        <v>6801.9632465131499</v>
      </c>
      <c r="AA7" s="35"/>
    </row>
    <row r="8" spans="2:27" x14ac:dyDescent="0.2">
      <c r="B8" s="4">
        <v>5</v>
      </c>
      <c r="C8" s="4">
        <v>213</v>
      </c>
      <c r="D8" s="23">
        <v>1800564.0683627459</v>
      </c>
      <c r="E8" s="33">
        <v>71.592046866684953</v>
      </c>
      <c r="F8" s="5">
        <v>9</v>
      </c>
      <c r="G8" s="23">
        <v>69.333333333333329</v>
      </c>
      <c r="H8" s="33">
        <v>1166.0688272460904</v>
      </c>
      <c r="I8" s="23">
        <v>43.449117175650052</v>
      </c>
      <c r="J8" s="5">
        <v>6576.6717904293218</v>
      </c>
      <c r="K8" s="31"/>
      <c r="L8" s="23">
        <v>2074595.787365359</v>
      </c>
      <c r="M8" s="33">
        <v>210.84048011112543</v>
      </c>
      <c r="N8" s="5">
        <v>13</v>
      </c>
      <c r="O8" s="5">
        <v>54.666666666666657</v>
      </c>
      <c r="P8" s="33">
        <v>916.13196589708309</v>
      </c>
      <c r="Q8" s="5">
        <v>22.142308849186513</v>
      </c>
      <c r="R8" s="5">
        <v>5606.7562115913979</v>
      </c>
      <c r="S8" s="35"/>
      <c r="T8" s="23">
        <v>2186047.3861451531</v>
      </c>
      <c r="U8" s="33">
        <v>147.15635815555126</v>
      </c>
      <c r="V8" s="5">
        <v>7</v>
      </c>
      <c r="W8" s="5">
        <v>48</v>
      </c>
      <c r="X8" s="33">
        <v>1313.7483845049851</v>
      </c>
      <c r="Y8" s="5">
        <v>54.266824556027004</v>
      </c>
      <c r="Z8" s="5">
        <v>6881.274567650994</v>
      </c>
      <c r="AA8" s="35"/>
    </row>
    <row r="9" spans="2:27" x14ac:dyDescent="0.2">
      <c r="B9" s="4">
        <v>6</v>
      </c>
      <c r="C9" s="4">
        <v>340</v>
      </c>
      <c r="D9" s="23">
        <v>1835745.005872526</v>
      </c>
      <c r="E9" s="33">
        <v>159.67181308888314</v>
      </c>
      <c r="F9" s="5">
        <v>9</v>
      </c>
      <c r="G9" s="23">
        <v>66.666666666666671</v>
      </c>
      <c r="H9" s="33">
        <v>1131.2313746285308</v>
      </c>
      <c r="I9" s="23">
        <v>39.609548874528087</v>
      </c>
      <c r="J9" s="5">
        <v>6451.7170343426878</v>
      </c>
      <c r="K9" s="31"/>
      <c r="L9" s="23">
        <v>2105550.4120300431</v>
      </c>
      <c r="M9" s="33">
        <v>113.63789642221916</v>
      </c>
      <c r="N9" s="5">
        <v>13</v>
      </c>
      <c r="O9" s="5">
        <v>53.333333333333343</v>
      </c>
      <c r="P9" s="33">
        <v>1053.0215181284943</v>
      </c>
      <c r="Q9" s="5">
        <v>21.781536000912038</v>
      </c>
      <c r="R9" s="5">
        <v>5567.5145953205811</v>
      </c>
      <c r="S9" s="35"/>
      <c r="T9" s="23">
        <v>2183987.8507423918</v>
      </c>
      <c r="U9" s="33">
        <v>84.858080888891379</v>
      </c>
      <c r="V9" s="5">
        <v>8</v>
      </c>
      <c r="W9" s="5">
        <v>49.333333333333343</v>
      </c>
      <c r="X9" s="33">
        <v>1318.1786859889567</v>
      </c>
      <c r="Y9" s="5">
        <v>47.54641520970587</v>
      </c>
      <c r="Z9" s="5">
        <v>6913.5105987002817</v>
      </c>
      <c r="AA9" s="35"/>
    </row>
    <row r="10" spans="2:27" x14ac:dyDescent="0.2">
      <c r="B10" s="4">
        <v>7</v>
      </c>
      <c r="C10" s="4">
        <v>888</v>
      </c>
      <c r="D10" s="23">
        <v>1840343.6845722951</v>
      </c>
      <c r="E10" s="33">
        <v>369.75787057776733</v>
      </c>
      <c r="F10" s="5">
        <v>9</v>
      </c>
      <c r="G10" s="23">
        <v>66.666666666666671</v>
      </c>
      <c r="H10" s="33">
        <v>1112.9668444261179</v>
      </c>
      <c r="I10" s="23">
        <v>40.922951975532975</v>
      </c>
      <c r="J10" s="5">
        <v>6507.0823531828855</v>
      </c>
      <c r="K10" s="31"/>
      <c r="L10" s="23">
        <v>2089696.217141361</v>
      </c>
      <c r="M10" s="33">
        <v>417.89232553332113</v>
      </c>
      <c r="N10" s="5">
        <v>13</v>
      </c>
      <c r="O10" s="5">
        <v>54</v>
      </c>
      <c r="P10" s="33">
        <v>786.24312565200285</v>
      </c>
      <c r="Q10" s="5">
        <v>21.552510162368989</v>
      </c>
      <c r="R10" s="5">
        <v>5710.2753718586318</v>
      </c>
      <c r="S10" s="35"/>
      <c r="T10" s="23">
        <v>2185574.6781977769</v>
      </c>
      <c r="U10" s="33">
        <v>99.677250333337312</v>
      </c>
      <c r="V10" s="5">
        <v>7</v>
      </c>
      <c r="W10" s="5">
        <v>47.333333333333343</v>
      </c>
      <c r="X10" s="33">
        <v>1141.043308062923</v>
      </c>
      <c r="Y10" s="5">
        <v>54.652029560753029</v>
      </c>
      <c r="Z10" s="5">
        <v>6689.7248878177952</v>
      </c>
      <c r="AA10" s="35"/>
    </row>
    <row r="11" spans="2:27" x14ac:dyDescent="0.2">
      <c r="B11" s="4">
        <v>8</v>
      </c>
      <c r="C11" s="4">
        <v>938</v>
      </c>
      <c r="D11" s="23">
        <v>1842616.0501113429</v>
      </c>
      <c r="E11" s="33">
        <v>137.81817726666728</v>
      </c>
      <c r="F11" s="5">
        <v>9</v>
      </c>
      <c r="G11" s="23">
        <v>66.666666666666671</v>
      </c>
      <c r="H11" s="33">
        <v>1155.2117124501615</v>
      </c>
      <c r="I11" s="23">
        <v>40.691768391796664</v>
      </c>
      <c r="J11" s="5">
        <v>6489.1599148161513</v>
      </c>
      <c r="K11" s="31"/>
      <c r="L11" s="23">
        <v>2111191.402320704</v>
      </c>
      <c r="M11" s="33">
        <v>288.0843794222198</v>
      </c>
      <c r="N11" s="5">
        <v>15</v>
      </c>
      <c r="O11" s="5">
        <v>56.666666666666657</v>
      </c>
      <c r="P11" s="33">
        <v>1165.0580522257455</v>
      </c>
      <c r="Q11" s="5">
        <v>20.876578668554352</v>
      </c>
      <c r="R11" s="5">
        <v>5944.9446293966375</v>
      </c>
      <c r="S11" s="35"/>
      <c r="T11" s="23">
        <v>2192451.9075329192</v>
      </c>
      <c r="U11" s="33">
        <v>88.720502866664916</v>
      </c>
      <c r="V11" s="5">
        <v>6</v>
      </c>
      <c r="W11" s="5">
        <v>46</v>
      </c>
      <c r="X11" s="33">
        <v>1086.6183542927263</v>
      </c>
      <c r="Y11" s="5">
        <v>62.095259931062962</v>
      </c>
      <c r="Z11" s="5">
        <v>6717.0685727692598</v>
      </c>
      <c r="AA11" s="35"/>
    </row>
    <row r="12" spans="2:27" x14ac:dyDescent="0.2">
      <c r="B12" s="4">
        <v>9</v>
      </c>
      <c r="C12" s="4">
        <v>468</v>
      </c>
      <c r="D12" s="23">
        <v>1846180.6314753189</v>
      </c>
      <c r="E12" s="33">
        <v>147.51680395555579</v>
      </c>
      <c r="F12" s="5">
        <v>8</v>
      </c>
      <c r="G12" s="23">
        <v>66.666666666666671</v>
      </c>
      <c r="H12" s="33">
        <v>1132.0369679656587</v>
      </c>
      <c r="I12" s="23">
        <v>45.749065583483706</v>
      </c>
      <c r="J12" s="5">
        <v>6704.9954899193363</v>
      </c>
      <c r="K12" s="31"/>
      <c r="L12" s="23">
        <v>2079978.4043136551</v>
      </c>
      <c r="M12" s="33">
        <v>174.55659113332837</v>
      </c>
      <c r="N12" s="5">
        <v>15</v>
      </c>
      <c r="O12" s="5">
        <v>57.333333333333343</v>
      </c>
      <c r="P12" s="33">
        <v>1010.5878708213658</v>
      </c>
      <c r="Q12" s="5">
        <v>19.918072118505723</v>
      </c>
      <c r="R12" s="5">
        <v>5777.9672744915997</v>
      </c>
      <c r="S12" s="35"/>
      <c r="T12" s="23">
        <v>2132910.7130025071</v>
      </c>
      <c r="U12" s="33">
        <v>128.63988144444818</v>
      </c>
      <c r="V12" s="5">
        <v>9</v>
      </c>
      <c r="W12" s="5">
        <v>52</v>
      </c>
      <c r="X12" s="33">
        <v>1330.5080567523291</v>
      </c>
      <c r="Y12" s="5">
        <v>52.87989695950624</v>
      </c>
      <c r="Z12" s="5">
        <v>6736.3590992475765</v>
      </c>
      <c r="AA12" s="35"/>
    </row>
    <row r="13" spans="2:27" x14ac:dyDescent="0.2">
      <c r="B13" s="4">
        <v>10</v>
      </c>
      <c r="C13" s="4">
        <v>199</v>
      </c>
      <c r="D13" s="23">
        <v>1890529.3356451469</v>
      </c>
      <c r="E13" s="33">
        <v>109.00421246668945</v>
      </c>
      <c r="F13" s="5">
        <v>8</v>
      </c>
      <c r="G13" s="23">
        <v>63.333333333333343</v>
      </c>
      <c r="H13" s="33">
        <v>1048.4355346492275</v>
      </c>
      <c r="I13" s="23">
        <v>41.251932197980892</v>
      </c>
      <c r="J13" s="5">
        <v>6517.3211819595572</v>
      </c>
      <c r="K13" s="31"/>
      <c r="L13" s="23">
        <v>2168117.2489050748</v>
      </c>
      <c r="M13" s="33">
        <v>122.15767231110173</v>
      </c>
      <c r="N13" s="5">
        <v>13</v>
      </c>
      <c r="O13" s="5">
        <v>52.666666666666657</v>
      </c>
      <c r="P13" s="33">
        <v>1229.2010266832335</v>
      </c>
      <c r="Q13" s="5">
        <v>21.527333011871942</v>
      </c>
      <c r="R13" s="5">
        <v>6068.9523736661467</v>
      </c>
      <c r="S13" s="35"/>
      <c r="T13" s="23">
        <v>2112252.25960659</v>
      </c>
      <c r="U13" s="33">
        <v>218.05727384446396</v>
      </c>
      <c r="V13" s="5">
        <v>9</v>
      </c>
      <c r="W13" s="5">
        <v>54</v>
      </c>
      <c r="X13" s="33">
        <v>1481.5138786822988</v>
      </c>
      <c r="Y13" s="5">
        <v>53.120340921264166</v>
      </c>
      <c r="Z13" s="5">
        <v>6896.9156559582307</v>
      </c>
      <c r="AA13" s="35"/>
    </row>
    <row r="14" spans="2:27" x14ac:dyDescent="0.2">
      <c r="B14" s="47" t="s">
        <v>3</v>
      </c>
      <c r="C14" s="48"/>
      <c r="D14" s="9">
        <f>MIN(D4:D13)</f>
        <v>1800564.0683627459</v>
      </c>
      <c r="E14" s="22">
        <f>INDEX(E4:E13, MATCH($D$14, D4:D13, 0))</f>
        <v>71.592046866684953</v>
      </c>
      <c r="F14" s="9">
        <f>INDEX(F4:F13, MATCH($D$14, D4:D13, 0))</f>
        <v>9</v>
      </c>
      <c r="G14" s="9">
        <f>INDEX(G4:G13, MATCH($D$14, D4:D13, 0))</f>
        <v>69.333333333333329</v>
      </c>
      <c r="H14" s="22">
        <f>INDEX(H4:H13, MATCH($D$14, D4:D13, 0))</f>
        <v>1166.0688272460904</v>
      </c>
      <c r="I14" s="22">
        <f>INDEX(I4:I13, MATCH($D$14, D4:D13, 0))</f>
        <v>43.449117175650052</v>
      </c>
      <c r="J14" s="22">
        <f>INDEX(J4:J13, MATCH($D$14, D4:D13, 0))</f>
        <v>6576.6717904293218</v>
      </c>
      <c r="K14" s="32" t="e">
        <f>(D14-$D$15)/$D$15</f>
        <v>#DIV/0!</v>
      </c>
      <c r="L14" s="16">
        <f>MIN(L4:L13)</f>
        <v>2066261.5012827171</v>
      </c>
      <c r="M14" s="21">
        <f>INDEX(M4:M13, MATCH($L$14, L4:L13, 0))</f>
        <v>198.428310377782</v>
      </c>
      <c r="N14" s="16">
        <f>INDEX(N4:N13, MATCH($L$14, L4:L13, 0))</f>
        <v>15</v>
      </c>
      <c r="O14" s="16">
        <f>INDEX(O4:O13, MATCH($L$14, L4:L13, 0))</f>
        <v>57.333333333333343</v>
      </c>
      <c r="P14" s="21">
        <f>INDEX(P4:P13, MATCH($L$14, L4:L13, 0))</f>
        <v>1022.7358612427626</v>
      </c>
      <c r="Q14" s="21">
        <f>INDEX(Q4:Q13, MATCH($L$14, L4:L13, 0))</f>
        <v>19.98048235006415</v>
      </c>
      <c r="R14" s="21">
        <f>INDEX(R4:R13, MATCH($L$14, L4:L13, 0))</f>
        <v>5707.449559335334</v>
      </c>
      <c r="S14" s="36" t="e">
        <f>(L14-$D$15)/$D$15</f>
        <v>#DIV/0!</v>
      </c>
      <c r="T14" s="38">
        <f>MIN(T4:T13)</f>
        <v>2112252.25960659</v>
      </c>
      <c r="U14" s="39">
        <f>INDEX(U4:U13, MATCH($T$14, T4:T13, 0))</f>
        <v>218.05727384446396</v>
      </c>
      <c r="V14" s="38">
        <f>INDEX(V4:V13, MATCH($T$14, T4:T13, 0))</f>
        <v>9</v>
      </c>
      <c r="W14" s="38">
        <f>INDEX(W4:W13, MATCH($T$14, T4:T13, 0))</f>
        <v>54</v>
      </c>
      <c r="X14" s="39">
        <f>INDEX(X4:X13, MATCH($T$14, T4:T13, 0))</f>
        <v>1481.5138786822988</v>
      </c>
      <c r="Y14" s="39">
        <f>INDEX(Y4:Y13, MATCH($T$14, T4:T13, 0))</f>
        <v>53.120340921264166</v>
      </c>
      <c r="Z14" s="39">
        <f>INDEX(Z4:Z13, MATCH($T$14, T4:T13, 0))</f>
        <v>6896.9156559582307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0.14756344280577033</v>
      </c>
      <c r="M15" s="41">
        <f t="shared" ref="M15:R15" si="0">(M14-E14)/E14</f>
        <v>1.7716529846853666</v>
      </c>
      <c r="N15" s="41">
        <f t="shared" si="0"/>
        <v>0.66666666666666663</v>
      </c>
      <c r="O15" s="41">
        <f t="shared" si="0"/>
        <v>-0.17307692307692288</v>
      </c>
      <c r="P15" s="41">
        <f t="shared" si="0"/>
        <v>-0.12291981627005497</v>
      </c>
      <c r="Q15" s="41">
        <f t="shared" si="0"/>
        <v>-0.54014065995196558</v>
      </c>
      <c r="R15" s="41">
        <f t="shared" si="0"/>
        <v>-0.13216749425734159</v>
      </c>
      <c r="T15" s="41">
        <f>(T14-D14)/D14</f>
        <v>0.17310585983605814</v>
      </c>
      <c r="U15" s="41">
        <f t="shared" ref="U15:Y15" si="1">(U14-E14)/E14</f>
        <v>2.0458309740817868</v>
      </c>
      <c r="V15" s="41">
        <f t="shared" si="1"/>
        <v>0</v>
      </c>
      <c r="W15" s="41">
        <f t="shared" si="1"/>
        <v>-0.22115384615384609</v>
      </c>
      <c r="X15" s="41">
        <f t="shared" si="1"/>
        <v>0.27052009629757123</v>
      </c>
      <c r="Y15" s="41">
        <f t="shared" si="1"/>
        <v>0.222587347552233</v>
      </c>
      <c r="Z15" s="41">
        <f>(Z14-J14)/J14</f>
        <v>4.8693910192529687E-2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0:C1048576 C24:C29">
    <cfRule type="duplicateValues" dxfId="87" priority="9"/>
    <cfRule type="duplicateValues" dxfId="86" priority="10"/>
  </conditionalFormatting>
  <conditionalFormatting sqref="C14">
    <cfRule type="duplicateValues" dxfId="85" priority="7"/>
    <cfRule type="duplicateValues" dxfId="84" priority="8"/>
  </conditionalFormatting>
  <conditionalFormatting sqref="C15">
    <cfRule type="duplicateValues" dxfId="83" priority="5"/>
    <cfRule type="duplicateValues" dxfId="82" priority="6"/>
  </conditionalFormatting>
  <conditionalFormatting sqref="C30:C39">
    <cfRule type="duplicateValues" dxfId="81" priority="3"/>
    <cfRule type="duplicateValues" dxfId="80" priority="4"/>
  </conditionalFormatting>
  <conditionalFormatting sqref="C17:C23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FDA80-DB07-4DFA-BB6D-26CE12AFDC40}">
  <dimension ref="B1:AA17"/>
  <sheetViews>
    <sheetView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-0.98732370977713979</v>
      </c>
      <c r="J2" s="28" t="e">
        <f>(S14-J14)/J14</f>
        <v>#DIV/0!</v>
      </c>
      <c r="K2" s="28"/>
      <c r="L2" s="1" t="s">
        <v>19</v>
      </c>
      <c r="P2" s="1">
        <f>(P14-H14)/H14</f>
        <v>-0.16690803581971755</v>
      </c>
      <c r="R2" s="1">
        <f>(R14-J14)/J14</f>
        <v>-0.12562169181374006</v>
      </c>
      <c r="T2" s="1" t="s">
        <v>20</v>
      </c>
      <c r="X2" s="1">
        <f>(X14-P14)/P14</f>
        <v>0.26270054208953075</v>
      </c>
      <c r="Z2" s="1">
        <f>(Z14-R14)/R14</f>
        <v>0.17261768990845672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72</v>
      </c>
      <c r="D4" s="23">
        <v>1577862.203287727</v>
      </c>
      <c r="E4" s="33">
        <v>114.18696497776546</v>
      </c>
      <c r="F4" s="5">
        <v>9</v>
      </c>
      <c r="G4" s="23">
        <v>85.333333333333329</v>
      </c>
      <c r="H4" s="33">
        <v>1439.3756618987011</v>
      </c>
      <c r="I4" s="23">
        <v>39.233669789056329</v>
      </c>
      <c r="J4" s="5">
        <v>6941.2635700876162</v>
      </c>
      <c r="K4" s="31"/>
      <c r="L4" s="23">
        <v>1869018.3462233371</v>
      </c>
      <c r="M4" s="33">
        <v>238.10886497777469</v>
      </c>
      <c r="N4" s="5">
        <v>14</v>
      </c>
      <c r="O4" s="5">
        <v>67.333333333333329</v>
      </c>
      <c r="P4" s="33">
        <v>989.41416324500551</v>
      </c>
      <c r="Q4" s="5">
        <v>19.156186884275879</v>
      </c>
      <c r="R4" s="5">
        <v>5875.0883663452214</v>
      </c>
      <c r="S4" s="35"/>
      <c r="T4" s="23">
        <v>1995470.1110058271</v>
      </c>
      <c r="U4" s="33">
        <v>209.21092108888035</v>
      </c>
      <c r="V4" s="5">
        <v>10</v>
      </c>
      <c r="W4" s="5">
        <v>63.333333333333343</v>
      </c>
      <c r="X4" s="33">
        <v>1470.3656320321163</v>
      </c>
      <c r="Y4" s="5">
        <v>38.855841801733291</v>
      </c>
      <c r="Z4" s="5">
        <v>7044.8968728476448</v>
      </c>
      <c r="AA4" s="35"/>
    </row>
    <row r="5" spans="2:27" x14ac:dyDescent="0.2">
      <c r="B5" s="4">
        <v>2</v>
      </c>
      <c r="C5" s="4">
        <v>320</v>
      </c>
      <c r="D5" s="23">
        <v>1577007.094558948</v>
      </c>
      <c r="E5" s="33">
        <v>123.89763173334197</v>
      </c>
      <c r="F5" s="5">
        <v>9</v>
      </c>
      <c r="G5" s="23">
        <v>84</v>
      </c>
      <c r="H5" s="33">
        <v>1287.2240576507943</v>
      </c>
      <c r="I5" s="23">
        <v>38.134977007269391</v>
      </c>
      <c r="J5" s="5">
        <v>6778.0958287326484</v>
      </c>
      <c r="K5" s="31"/>
      <c r="L5" s="23">
        <v>1852377.5508803411</v>
      </c>
      <c r="M5" s="33">
        <v>253.02661657778333</v>
      </c>
      <c r="N5" s="5">
        <v>16</v>
      </c>
      <c r="O5" s="5">
        <v>72</v>
      </c>
      <c r="P5" s="33">
        <v>1222.1570050721255</v>
      </c>
      <c r="Q5" s="5">
        <v>17.644177273828362</v>
      </c>
      <c r="R5" s="5">
        <v>6162.9136731589251</v>
      </c>
      <c r="S5" s="35"/>
      <c r="T5" s="23">
        <v>2013437.3607302499</v>
      </c>
      <c r="U5" s="33">
        <v>259.48913371110223</v>
      </c>
      <c r="V5" s="5">
        <v>8</v>
      </c>
      <c r="W5" s="5">
        <v>59.333333333333343</v>
      </c>
      <c r="X5" s="33">
        <v>1275.2260773899422</v>
      </c>
      <c r="Y5" s="5">
        <v>43.204428960422966</v>
      </c>
      <c r="Z5" s="5">
        <v>6875.491462196369</v>
      </c>
      <c r="AA5" s="35"/>
    </row>
    <row r="6" spans="2:27" x14ac:dyDescent="0.2">
      <c r="B6" s="4">
        <v>3</v>
      </c>
      <c r="C6" s="4">
        <v>369</v>
      </c>
      <c r="D6" s="23">
        <v>1516308.2797495171</v>
      </c>
      <c r="E6" s="33">
        <v>235.88712066668091</v>
      </c>
      <c r="F6" s="5">
        <v>10</v>
      </c>
      <c r="G6" s="23">
        <v>89.333333333333329</v>
      </c>
      <c r="H6" s="33">
        <v>1414.0849890799461</v>
      </c>
      <c r="I6" s="23">
        <v>37.460259815351712</v>
      </c>
      <c r="J6" s="5">
        <v>6921.4702055847565</v>
      </c>
      <c r="K6" s="31"/>
      <c r="L6" s="23">
        <v>1825471.642482589</v>
      </c>
      <c r="M6" s="33">
        <v>243.57183888888287</v>
      </c>
      <c r="N6" s="5">
        <v>16</v>
      </c>
      <c r="O6" s="5">
        <v>72.666666666666671</v>
      </c>
      <c r="P6" s="33">
        <v>1164.4610760988026</v>
      </c>
      <c r="Q6" s="5">
        <v>17.718387871351688</v>
      </c>
      <c r="R6" s="5">
        <v>6007.8377918702745</v>
      </c>
      <c r="S6" s="35"/>
      <c r="T6" s="23">
        <v>2036271.582454317</v>
      </c>
      <c r="U6" s="33">
        <v>272.10989093332955</v>
      </c>
      <c r="V6" s="5">
        <v>8</v>
      </c>
      <c r="W6" s="5">
        <v>59.333333333333343</v>
      </c>
      <c r="X6" s="33">
        <v>1442.83563009571</v>
      </c>
      <c r="Y6" s="5">
        <v>43.828346468459884</v>
      </c>
      <c r="Z6" s="5">
        <v>7102.9577159466735</v>
      </c>
      <c r="AA6" s="35"/>
    </row>
    <row r="7" spans="2:27" x14ac:dyDescent="0.2">
      <c r="B7" s="4">
        <v>4</v>
      </c>
      <c r="C7" s="4">
        <v>559</v>
      </c>
      <c r="D7" s="23">
        <v>1571285.825155962</v>
      </c>
      <c r="E7" s="33">
        <v>268.33434284444797</v>
      </c>
      <c r="F7" s="5">
        <v>10</v>
      </c>
      <c r="G7" s="23">
        <v>86.666666666666671</v>
      </c>
      <c r="H7" s="33">
        <v>1445.0121999528797</v>
      </c>
      <c r="I7" s="23">
        <v>35.919366866044335</v>
      </c>
      <c r="J7" s="5">
        <v>6892.7359528063853</v>
      </c>
      <c r="K7" s="31"/>
      <c r="L7" s="23">
        <v>1843896.3108074609</v>
      </c>
      <c r="M7" s="33">
        <v>187.96330891109795</v>
      </c>
      <c r="N7" s="5">
        <v>15</v>
      </c>
      <c r="O7" s="5">
        <v>70</v>
      </c>
      <c r="P7" s="33">
        <v>1160.1605288001012</v>
      </c>
      <c r="Q7" s="5">
        <v>18.448484010466302</v>
      </c>
      <c r="R7" s="5">
        <v>5982.5901066708657</v>
      </c>
      <c r="S7" s="35"/>
      <c r="T7" s="23">
        <v>2026545.267560038</v>
      </c>
      <c r="U7" s="33">
        <v>199.47907957776138</v>
      </c>
      <c r="V7" s="5">
        <v>8</v>
      </c>
      <c r="W7" s="5">
        <v>60</v>
      </c>
      <c r="X7" s="33">
        <v>1600.4591891995701</v>
      </c>
      <c r="Y7" s="5">
        <v>48.445788798962411</v>
      </c>
      <c r="Z7" s="5">
        <v>7256.1617846068975</v>
      </c>
      <c r="AA7" s="35"/>
    </row>
    <row r="8" spans="2:27" x14ac:dyDescent="0.2">
      <c r="B8" s="4">
        <v>5</v>
      </c>
      <c r="C8" s="4">
        <v>568</v>
      </c>
      <c r="D8" s="23">
        <v>1577319.8018150339</v>
      </c>
      <c r="E8" s="33">
        <v>101.05381513332638</v>
      </c>
      <c r="F8" s="5">
        <v>9</v>
      </c>
      <c r="G8" s="23">
        <v>85.333333333333329</v>
      </c>
      <c r="H8" s="33">
        <v>1438.0269945006357</v>
      </c>
      <c r="I8" s="23">
        <v>38.992157424228246</v>
      </c>
      <c r="J8" s="5">
        <v>6918.9624394914699</v>
      </c>
      <c r="K8" s="31"/>
      <c r="L8" s="23">
        <v>1828661.5083566499</v>
      </c>
      <c r="M8" s="33">
        <v>265.35992871111046</v>
      </c>
      <c r="N8" s="5">
        <v>18</v>
      </c>
      <c r="O8" s="5">
        <v>78</v>
      </c>
      <c r="P8" s="33">
        <v>1517.4199043456765</v>
      </c>
      <c r="Q8" s="5">
        <v>17.467896823934176</v>
      </c>
      <c r="R8" s="5">
        <v>6429.0892530226629</v>
      </c>
      <c r="S8" s="35"/>
      <c r="T8" s="23">
        <v>2002939.6041861449</v>
      </c>
      <c r="U8" s="33">
        <v>120.39881133334711</v>
      </c>
      <c r="V8" s="5">
        <v>9</v>
      </c>
      <c r="W8" s="5">
        <v>62</v>
      </c>
      <c r="X8" s="33">
        <v>1470.1910971663424</v>
      </c>
      <c r="Y8" s="5">
        <v>43.210558806000513</v>
      </c>
      <c r="Z8" s="5">
        <v>7064.0666001054224</v>
      </c>
      <c r="AA8" s="35"/>
    </row>
    <row r="9" spans="2:27" x14ac:dyDescent="0.2">
      <c r="B9" s="4">
        <v>6</v>
      </c>
      <c r="C9" s="4">
        <v>576</v>
      </c>
      <c r="D9" s="23">
        <v>1513168.8975274831</v>
      </c>
      <c r="E9" s="33">
        <v>166.06721882222013</v>
      </c>
      <c r="F9" s="5">
        <v>10</v>
      </c>
      <c r="G9" s="23">
        <v>89.333333333333329</v>
      </c>
      <c r="H9" s="33">
        <v>1397.7581421572941</v>
      </c>
      <c r="I9" s="23">
        <v>37.330274209897617</v>
      </c>
      <c r="J9" s="5">
        <v>6870.9822002932005</v>
      </c>
      <c r="K9" s="31"/>
      <c r="L9" s="23">
        <v>1830957.5446630351</v>
      </c>
      <c r="M9" s="33">
        <v>558.2768767111055</v>
      </c>
      <c r="N9" s="5">
        <v>16</v>
      </c>
      <c r="O9" s="5">
        <v>72.666666666666671</v>
      </c>
      <c r="P9" s="33">
        <v>1276.7701504073057</v>
      </c>
      <c r="Q9" s="5">
        <v>17.877135311777643</v>
      </c>
      <c r="R9" s="5">
        <v>6047.3917155017771</v>
      </c>
      <c r="S9" s="35"/>
      <c r="T9" s="23">
        <v>2042144.759424608</v>
      </c>
      <c r="U9" s="33">
        <v>126.45127155554171</v>
      </c>
      <c r="V9" s="5">
        <v>6</v>
      </c>
      <c r="W9" s="5">
        <v>53.333333333333343</v>
      </c>
      <c r="X9" s="33">
        <v>886.30257148363739</v>
      </c>
      <c r="Y9" s="5">
        <v>49.325322739117695</v>
      </c>
      <c r="Z9" s="5">
        <v>6583.24405971739</v>
      </c>
      <c r="AA9" s="35"/>
    </row>
    <row r="10" spans="2:27" x14ac:dyDescent="0.2">
      <c r="B10" s="4">
        <v>7</v>
      </c>
      <c r="C10" s="4">
        <v>622</v>
      </c>
      <c r="D10" s="23">
        <v>1537503.1739588871</v>
      </c>
      <c r="E10" s="33">
        <v>265.61430206664619</v>
      </c>
      <c r="F10" s="5">
        <v>9</v>
      </c>
      <c r="G10" s="23">
        <v>86.666666666666671</v>
      </c>
      <c r="H10" s="33">
        <v>1281.4773942084851</v>
      </c>
      <c r="I10" s="23">
        <v>39.275831304902312</v>
      </c>
      <c r="J10" s="5">
        <v>6870.4363845709604</v>
      </c>
      <c r="K10" s="31"/>
      <c r="L10" s="23">
        <v>1856943.2272748051</v>
      </c>
      <c r="M10" s="33">
        <v>397.47870393332823</v>
      </c>
      <c r="N10" s="5">
        <v>17</v>
      </c>
      <c r="O10" s="5">
        <v>73.333333333333329</v>
      </c>
      <c r="P10" s="33">
        <v>1340.2468807007281</v>
      </c>
      <c r="Q10" s="5">
        <v>16.955088118682784</v>
      </c>
      <c r="R10" s="5">
        <v>6146.309893257212</v>
      </c>
      <c r="S10" s="35"/>
      <c r="T10" s="23">
        <v>2061182.9114268101</v>
      </c>
      <c r="U10" s="33">
        <v>149.85587873333134</v>
      </c>
      <c r="V10" s="5">
        <v>9</v>
      </c>
      <c r="W10" s="5">
        <v>59.333333333333343</v>
      </c>
      <c r="X10" s="33">
        <v>1627.5671440979668</v>
      </c>
      <c r="Y10" s="5">
        <v>40.818714139109417</v>
      </c>
      <c r="Z10" s="5">
        <v>7206.84834768372</v>
      </c>
      <c r="AA10" s="35"/>
    </row>
    <row r="11" spans="2:27" x14ac:dyDescent="0.2">
      <c r="B11" s="4">
        <v>8</v>
      </c>
      <c r="C11" s="4">
        <v>731</v>
      </c>
      <c r="D11" s="23">
        <v>1537992.1368137901</v>
      </c>
      <c r="E11" s="33">
        <v>143.57398482220663</v>
      </c>
      <c r="F11" s="5">
        <v>9</v>
      </c>
      <c r="G11" s="23">
        <v>88</v>
      </c>
      <c r="H11" s="33">
        <v>1429.4638165445019</v>
      </c>
      <c r="I11" s="23">
        <v>40.01175031175822</v>
      </c>
      <c r="J11" s="5">
        <v>6995.094462202338</v>
      </c>
      <c r="K11" s="31"/>
      <c r="L11" s="23">
        <v>1851828.858985099</v>
      </c>
      <c r="M11" s="33">
        <v>329.77256806668197</v>
      </c>
      <c r="N11" s="5">
        <v>17</v>
      </c>
      <c r="O11" s="5">
        <v>73.333333333333329</v>
      </c>
      <c r="P11" s="33">
        <v>1275.5921576290577</v>
      </c>
      <c r="Q11" s="5">
        <v>17.232351216342959</v>
      </c>
      <c r="R11" s="5">
        <v>6185.3723976944275</v>
      </c>
      <c r="S11" s="35"/>
      <c r="T11" s="23">
        <v>2041384.705451258</v>
      </c>
      <c r="U11" s="33">
        <v>78.07443233331044</v>
      </c>
      <c r="V11" s="5">
        <v>6</v>
      </c>
      <c r="W11" s="5">
        <v>54</v>
      </c>
      <c r="X11" s="33">
        <v>990.04464118842395</v>
      </c>
      <c r="Y11" s="5">
        <v>50.386207467975318</v>
      </c>
      <c r="Z11" s="5">
        <v>6692.5391024102091</v>
      </c>
      <c r="AA11" s="35"/>
    </row>
    <row r="12" spans="2:27" x14ac:dyDescent="0.2">
      <c r="B12" s="4">
        <v>9</v>
      </c>
      <c r="C12" s="4">
        <v>913</v>
      </c>
      <c r="D12" s="23">
        <v>1541158.7943958619</v>
      </c>
      <c r="E12" s="33">
        <v>139.22190764442914</v>
      </c>
      <c r="F12" s="5">
        <v>9</v>
      </c>
      <c r="G12" s="23">
        <v>85.333333333333329</v>
      </c>
      <c r="H12" s="33">
        <v>1212.3621465017154</v>
      </c>
      <c r="I12" s="23">
        <v>38.611212548704174</v>
      </c>
      <c r="J12" s="5">
        <v>6797.241757979541</v>
      </c>
      <c r="K12" s="31"/>
      <c r="L12" s="23">
        <v>1825965.1804839401</v>
      </c>
      <c r="M12" s="33">
        <v>74.566215733350774</v>
      </c>
      <c r="N12" s="5">
        <v>17</v>
      </c>
      <c r="O12" s="5">
        <v>74.666666666666671</v>
      </c>
      <c r="P12" s="33">
        <v>1396.936301276756</v>
      </c>
      <c r="Q12" s="5">
        <v>17.589449119625673</v>
      </c>
      <c r="R12" s="5">
        <v>6151.8406188638264</v>
      </c>
      <c r="S12" s="35"/>
      <c r="T12" s="23">
        <v>2053281.8463160901</v>
      </c>
      <c r="U12" s="33">
        <v>90.440380266660611</v>
      </c>
      <c r="V12" s="5">
        <v>8</v>
      </c>
      <c r="W12" s="5">
        <v>58.666666666666657</v>
      </c>
      <c r="X12" s="33">
        <v>1503.3224295919053</v>
      </c>
      <c r="Y12" s="5">
        <v>43.884498582829302</v>
      </c>
      <c r="Z12" s="5">
        <v>7124.8512738711379</v>
      </c>
      <c r="AA12" s="35"/>
    </row>
    <row r="13" spans="2:27" x14ac:dyDescent="0.2">
      <c r="B13" s="4">
        <v>10</v>
      </c>
      <c r="C13" s="4">
        <v>997</v>
      </c>
      <c r="D13" s="23">
        <v>1630713.617750033</v>
      </c>
      <c r="E13" s="33">
        <v>175.20695900001252</v>
      </c>
      <c r="F13" s="5">
        <v>10</v>
      </c>
      <c r="G13" s="23">
        <v>84</v>
      </c>
      <c r="H13" s="33">
        <v>1509.5899324957059</v>
      </c>
      <c r="I13" s="23">
        <v>35.052922656696396</v>
      </c>
      <c r="J13" s="5">
        <v>6987.7959843151557</v>
      </c>
      <c r="K13" s="31"/>
      <c r="L13" s="23">
        <v>1860504.8391777161</v>
      </c>
      <c r="M13" s="33">
        <v>213.24769242221697</v>
      </c>
      <c r="N13" s="5">
        <v>16</v>
      </c>
      <c r="O13" s="5">
        <v>71.333333333333329</v>
      </c>
      <c r="P13" s="33">
        <v>1200.1244158039153</v>
      </c>
      <c r="Q13" s="5">
        <v>17.668330736113671</v>
      </c>
      <c r="R13" s="5">
        <v>6064.8508266911003</v>
      </c>
      <c r="S13" s="35"/>
      <c r="T13" s="23">
        <v>2032333.557377558</v>
      </c>
      <c r="U13" s="33">
        <v>106.91673537778358</v>
      </c>
      <c r="V13" s="5">
        <v>7</v>
      </c>
      <c r="W13" s="5">
        <v>56.666666666666657</v>
      </c>
      <c r="X13" s="33">
        <v>1135.6053584855915</v>
      </c>
      <c r="Y13" s="5">
        <v>46.509065083458687</v>
      </c>
      <c r="Z13" s="5">
        <v>6847.1861738162688</v>
      </c>
      <c r="AA13" s="35"/>
    </row>
    <row r="14" spans="2:27" x14ac:dyDescent="0.2">
      <c r="B14" s="47" t="s">
        <v>3</v>
      </c>
      <c r="C14" s="48"/>
      <c r="D14" s="9">
        <f>MIN(D4:D13)</f>
        <v>1513168.8975274831</v>
      </c>
      <c r="E14" s="22">
        <f>INDEX(E4:E13, MATCH($D$14, D4:D13, 0))</f>
        <v>166.06721882222013</v>
      </c>
      <c r="F14" s="9">
        <f>INDEX(F4:F13, MATCH($D$14, D4:D13, 0))</f>
        <v>10</v>
      </c>
      <c r="G14" s="9">
        <f>INDEX(G4:G13, MATCH($D$14, D4:D13, 0))</f>
        <v>89.333333333333329</v>
      </c>
      <c r="H14" s="22">
        <f>INDEX(H4:H13, MATCH($D$14, D4:D13, 0))</f>
        <v>1397.7581421572941</v>
      </c>
      <c r="I14" s="22">
        <f>INDEX(I4:I13, MATCH($D$14, D4:D13, 0))</f>
        <v>37.330274209897617</v>
      </c>
      <c r="J14" s="22">
        <f>INDEX(J4:J13, MATCH($D$14, D4:D13, 0))</f>
        <v>6870.9822002932005</v>
      </c>
      <c r="K14" s="32" t="e">
        <f>(D14-$D$15)/$D$15</f>
        <v>#DIV/0!</v>
      </c>
      <c r="L14" s="16">
        <f>MIN(L4:L13)</f>
        <v>1825471.642482589</v>
      </c>
      <c r="M14" s="21">
        <f>INDEX(M4:M13, MATCH($L$14, L4:L13, 0))</f>
        <v>243.57183888888287</v>
      </c>
      <c r="N14" s="16">
        <f>INDEX(N4:N13, MATCH($L$14, L4:L13, 0))</f>
        <v>16</v>
      </c>
      <c r="O14" s="16">
        <f>INDEX(O4:O13, MATCH($L$14, L4:L13, 0))</f>
        <v>72.666666666666671</v>
      </c>
      <c r="P14" s="21">
        <f>INDEX(P4:P13, MATCH($L$14, L4:L13, 0))</f>
        <v>1164.4610760988026</v>
      </c>
      <c r="Q14" s="21">
        <f>INDEX(Q4:Q13, MATCH($L$14, L4:L13, 0))</f>
        <v>17.718387871351688</v>
      </c>
      <c r="R14" s="21">
        <f>INDEX(R4:R13, MATCH($L$14, L4:L13, 0))</f>
        <v>6007.8377918702745</v>
      </c>
      <c r="S14" s="36" t="e">
        <f>(L14-$D$15)/$D$15</f>
        <v>#DIV/0!</v>
      </c>
      <c r="T14" s="38">
        <f>MIN(T4:T13)</f>
        <v>1995470.1110058271</v>
      </c>
      <c r="U14" s="39">
        <f>INDEX(U4:U13, MATCH($T$14, T4:T13, 0))</f>
        <v>209.21092108888035</v>
      </c>
      <c r="V14" s="38">
        <f>INDEX(V4:V13, MATCH($T$14, T4:T13, 0))</f>
        <v>10</v>
      </c>
      <c r="W14" s="38">
        <f>INDEX(W4:W13, MATCH($T$14, T4:T13, 0))</f>
        <v>63.333333333333343</v>
      </c>
      <c r="X14" s="39">
        <f>INDEX(X4:X13, MATCH($T$14, T4:T13, 0))</f>
        <v>1470.3656320321163</v>
      </c>
      <c r="Y14" s="39">
        <f>INDEX(Y4:Y13, MATCH($T$14, T4:T13, 0))</f>
        <v>38.855841801733291</v>
      </c>
      <c r="Z14" s="39">
        <f>INDEX(Z4:Z13, MATCH($T$14, T4:T13, 0))</f>
        <v>7044.8968728476448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0.20638987852936205</v>
      </c>
      <c r="M15" s="41">
        <f t="shared" ref="M15:R15" si="0">(M14-E14)/E14</f>
        <v>0.46670631697417497</v>
      </c>
      <c r="N15" s="41">
        <f t="shared" si="0"/>
        <v>0.6</v>
      </c>
      <c r="O15" s="41">
        <f t="shared" si="0"/>
        <v>-0.18656716417910438</v>
      </c>
      <c r="P15" s="41">
        <f t="shared" si="0"/>
        <v>-0.16690803581971755</v>
      </c>
      <c r="Q15" s="41">
        <f t="shared" si="0"/>
        <v>-0.52536143260758861</v>
      </c>
      <c r="R15" s="41">
        <f t="shared" si="0"/>
        <v>-0.12562169181374006</v>
      </c>
      <c r="T15" s="41">
        <f>(T14-D14)/D14</f>
        <v>0.31873587559619015</v>
      </c>
      <c r="U15" s="41">
        <f t="shared" ref="U15:Y15" si="1">(U14-E14)/E14</f>
        <v>0.25979662074576465</v>
      </c>
      <c r="V15" s="41">
        <f t="shared" si="1"/>
        <v>0</v>
      </c>
      <c r="W15" s="41">
        <f t="shared" si="1"/>
        <v>-0.29104477611940283</v>
      </c>
      <c r="X15" s="41">
        <f t="shared" si="1"/>
        <v>5.1945674780874578E-2</v>
      </c>
      <c r="Y15" s="41">
        <f t="shared" si="1"/>
        <v>4.0866766294237154E-2</v>
      </c>
      <c r="Z15" s="41">
        <f>(Z14-J14)/J14</f>
        <v>2.5311471851436739E-2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0:C1048576 C24:C29">
    <cfRule type="duplicateValues" dxfId="79" priority="9"/>
    <cfRule type="duplicateValues" dxfId="78" priority="10"/>
  </conditionalFormatting>
  <conditionalFormatting sqref="C14">
    <cfRule type="duplicateValues" dxfId="77" priority="7"/>
    <cfRule type="duplicateValues" dxfId="76" priority="8"/>
  </conditionalFormatting>
  <conditionalFormatting sqref="C15">
    <cfRule type="duplicateValues" dxfId="75" priority="5"/>
    <cfRule type="duplicateValues" dxfId="74" priority="6"/>
  </conditionalFormatting>
  <conditionalFormatting sqref="C30:C39">
    <cfRule type="duplicateValues" dxfId="73" priority="3"/>
    <cfRule type="duplicateValues" dxfId="72" priority="4"/>
  </conditionalFormatting>
  <conditionalFormatting sqref="C17:C23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A7F0-364A-4627-97AE-A5F1B147505F}">
  <dimension ref="B1:AA17"/>
  <sheetViews>
    <sheetView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-0.9840569750029351</v>
      </c>
      <c r="J2" s="28" t="e">
        <f>(S14-J14)/J14</f>
        <v>#DIV/0!</v>
      </c>
      <c r="K2" s="28"/>
      <c r="L2" s="1" t="s">
        <v>19</v>
      </c>
      <c r="P2" s="1">
        <f>(P14-H14)/H14</f>
        <v>-0.24299252179322167</v>
      </c>
      <c r="R2" s="1">
        <f>(R14-J14)/J14</f>
        <v>-0.14963874505602998</v>
      </c>
      <c r="T2" s="1" t="s">
        <v>20</v>
      </c>
      <c r="X2" s="1">
        <f>(X14-P14)/P14</f>
        <v>0.53784739384384472</v>
      </c>
      <c r="Z2" s="1">
        <f>(Z14-R14)/R14</f>
        <v>0.20793944747148294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608</v>
      </c>
      <c r="D4" s="23">
        <v>1473606.5760724519</v>
      </c>
      <c r="E4" s="33">
        <v>117.98632735557233</v>
      </c>
      <c r="F4" s="5">
        <v>8</v>
      </c>
      <c r="G4" s="23">
        <v>87.333333333333329</v>
      </c>
      <c r="H4" s="33">
        <v>1324.4408661011444</v>
      </c>
      <c r="I4" s="23">
        <v>65.080718302410304</v>
      </c>
      <c r="J4" s="5">
        <v>6700.7891631830671</v>
      </c>
      <c r="K4" s="31"/>
      <c r="L4" s="23">
        <v>1919743.039422476</v>
      </c>
      <c r="M4" s="33">
        <v>226.83671068889089</v>
      </c>
      <c r="N4" s="5">
        <v>15</v>
      </c>
      <c r="O4" s="5">
        <v>64.666666666666671</v>
      </c>
      <c r="P4" s="33">
        <v>956.37841332184121</v>
      </c>
      <c r="Q4" s="5">
        <v>23.174234096777756</v>
      </c>
      <c r="R4" s="5">
        <v>5629.5652240999007</v>
      </c>
      <c r="S4" s="35"/>
      <c r="T4" s="23">
        <v>1932711.918610075</v>
      </c>
      <c r="U4" s="33">
        <v>52.464251022216757</v>
      </c>
      <c r="V4" s="5">
        <v>9</v>
      </c>
      <c r="W4" s="5">
        <v>64.666666666666671</v>
      </c>
      <c r="X4" s="33">
        <v>1661.1338775651359</v>
      </c>
      <c r="Y4" s="5">
        <v>68.708922002389528</v>
      </c>
      <c r="Z4" s="5">
        <v>7088.1751881078844</v>
      </c>
      <c r="AA4" s="35"/>
    </row>
    <row r="5" spans="2:27" x14ac:dyDescent="0.2">
      <c r="B5" s="4">
        <v>2</v>
      </c>
      <c r="C5" s="4">
        <v>114</v>
      </c>
      <c r="D5" s="23">
        <v>1512358.9121796309</v>
      </c>
      <c r="E5" s="33">
        <v>123.39723186668319</v>
      </c>
      <c r="F5" s="5">
        <v>8</v>
      </c>
      <c r="G5" s="23">
        <v>83.333333333333329</v>
      </c>
      <c r="H5" s="33">
        <v>1120.0619547897531</v>
      </c>
      <c r="I5" s="23">
        <v>59.896172616271478</v>
      </c>
      <c r="J5" s="5">
        <v>6567.3648410290907</v>
      </c>
      <c r="K5" s="31"/>
      <c r="L5" s="23">
        <v>1854026.183381761</v>
      </c>
      <c r="M5" s="33">
        <v>245.76513506666132</v>
      </c>
      <c r="N5" s="5">
        <v>16</v>
      </c>
      <c r="O5" s="5">
        <v>68</v>
      </c>
      <c r="P5" s="33">
        <v>895.20725328793833</v>
      </c>
      <c r="Q5" s="5">
        <v>23.944378600695476</v>
      </c>
      <c r="R5" s="5">
        <v>5627.2130775132773</v>
      </c>
      <c r="S5" s="35"/>
      <c r="T5" s="23">
        <v>1995771.421681386</v>
      </c>
      <c r="U5" s="33">
        <v>81.954109688884458</v>
      </c>
      <c r="V5" s="5">
        <v>7</v>
      </c>
      <c r="W5" s="5">
        <v>57.333333333333343</v>
      </c>
      <c r="X5" s="33">
        <v>1272.0061649992535</v>
      </c>
      <c r="Y5" s="5">
        <v>71.496088916625084</v>
      </c>
      <c r="Z5" s="5">
        <v>6821.3030924444656</v>
      </c>
      <c r="AA5" s="35"/>
    </row>
    <row r="6" spans="2:27" x14ac:dyDescent="0.2">
      <c r="B6" s="4">
        <v>3</v>
      </c>
      <c r="C6" s="4">
        <v>817</v>
      </c>
      <c r="D6" s="23">
        <v>1527392.721233218</v>
      </c>
      <c r="E6" s="33">
        <v>74.307259422209526</v>
      </c>
      <c r="F6" s="5">
        <v>7</v>
      </c>
      <c r="G6" s="23">
        <v>81.333333333333329</v>
      </c>
      <c r="H6" s="33">
        <v>1072.2474534038906</v>
      </c>
      <c r="I6" s="23">
        <v>65.981629926251898</v>
      </c>
      <c r="J6" s="5">
        <v>6495.0635916730316</v>
      </c>
      <c r="K6" s="31"/>
      <c r="L6" s="23">
        <v>1861216.184410085</v>
      </c>
      <c r="M6" s="33">
        <v>180.62867306666965</v>
      </c>
      <c r="N6" s="5">
        <v>17</v>
      </c>
      <c r="O6" s="5">
        <v>68.666666666666671</v>
      </c>
      <c r="P6" s="33">
        <v>910.90982538131595</v>
      </c>
      <c r="Q6" s="5">
        <v>22.636284759398855</v>
      </c>
      <c r="R6" s="5">
        <v>5615.6475666631004</v>
      </c>
      <c r="S6" s="35"/>
      <c r="T6" s="23">
        <v>1964839.4474755591</v>
      </c>
      <c r="U6" s="33">
        <v>97.257413044442544</v>
      </c>
      <c r="V6" s="5">
        <v>8</v>
      </c>
      <c r="W6" s="5">
        <v>60</v>
      </c>
      <c r="X6" s="33">
        <v>1362.4246770060224</v>
      </c>
      <c r="Y6" s="5">
        <v>66.297142990856912</v>
      </c>
      <c r="Z6" s="5">
        <v>6770.1378139973385</v>
      </c>
      <c r="AA6" s="35"/>
    </row>
    <row r="7" spans="2:27" x14ac:dyDescent="0.2">
      <c r="B7" s="4">
        <v>4</v>
      </c>
      <c r="C7" s="4">
        <v>146</v>
      </c>
      <c r="D7" s="23">
        <v>1443392.20703525</v>
      </c>
      <c r="E7" s="33">
        <v>114.43175884444888</v>
      </c>
      <c r="F7" s="5">
        <v>10</v>
      </c>
      <c r="G7" s="23">
        <v>92.666666666666671</v>
      </c>
      <c r="H7" s="33">
        <v>1426.892399595506</v>
      </c>
      <c r="I7" s="23">
        <v>58.320870857051545</v>
      </c>
      <c r="J7" s="5">
        <v>6900.5834854200784</v>
      </c>
      <c r="K7" s="31"/>
      <c r="L7" s="23">
        <v>1862744.7240811649</v>
      </c>
      <c r="M7" s="33">
        <v>158.80244944446409</v>
      </c>
      <c r="N7" s="5">
        <v>15</v>
      </c>
      <c r="O7" s="5">
        <v>66.666666666666671</v>
      </c>
      <c r="P7" s="33">
        <v>883.69531456010964</v>
      </c>
      <c r="Q7" s="5">
        <v>24.509860067495122</v>
      </c>
      <c r="R7" s="5">
        <v>5608.6580395285037</v>
      </c>
      <c r="S7" s="35"/>
      <c r="T7" s="23">
        <v>1994207.9298995449</v>
      </c>
      <c r="U7" s="33">
        <v>104.4002459777726</v>
      </c>
      <c r="V7" s="5">
        <v>8</v>
      </c>
      <c r="W7" s="5">
        <v>57.333333333333343</v>
      </c>
      <c r="X7" s="33">
        <v>1223.1703013619447</v>
      </c>
      <c r="Y7" s="5">
        <v>62.65389390654186</v>
      </c>
      <c r="Z7" s="5">
        <v>6621.9591550395853</v>
      </c>
      <c r="AA7" s="35"/>
    </row>
    <row r="8" spans="2:27" x14ac:dyDescent="0.2">
      <c r="B8" s="4">
        <v>5</v>
      </c>
      <c r="C8" s="4">
        <v>48</v>
      </c>
      <c r="D8" s="23">
        <v>1473339.1803296851</v>
      </c>
      <c r="E8" s="33">
        <v>92.294057822217127</v>
      </c>
      <c r="F8" s="5">
        <v>8</v>
      </c>
      <c r="G8" s="23">
        <v>85.333333333333329</v>
      </c>
      <c r="H8" s="33">
        <v>1145.6424798692988</v>
      </c>
      <c r="I8" s="23">
        <v>62.067987844453633</v>
      </c>
      <c r="J8" s="5">
        <v>6555.7272143755908</v>
      </c>
      <c r="K8" s="31"/>
      <c r="L8" s="23">
        <v>1954044.286703354</v>
      </c>
      <c r="M8" s="33">
        <v>99.324227644441024</v>
      </c>
      <c r="N8" s="5">
        <v>12</v>
      </c>
      <c r="O8" s="5">
        <v>56.666666666666657</v>
      </c>
      <c r="P8" s="33">
        <v>528.02225772388897</v>
      </c>
      <c r="Q8" s="5">
        <v>25.063126178210478</v>
      </c>
      <c r="R8" s="5">
        <v>5179.482010670692</v>
      </c>
      <c r="S8" s="35"/>
      <c r="T8" s="23">
        <v>1970555.71288099</v>
      </c>
      <c r="U8" s="33">
        <v>58.175216511124759</v>
      </c>
      <c r="V8" s="5">
        <v>7</v>
      </c>
      <c r="W8" s="5">
        <v>59.333333333333343</v>
      </c>
      <c r="X8" s="33">
        <v>1443.7047055989387</v>
      </c>
      <c r="Y8" s="5">
        <v>77.227806271929609</v>
      </c>
      <c r="Z8" s="5">
        <v>6955.6400605185781</v>
      </c>
      <c r="AA8" s="35"/>
    </row>
    <row r="9" spans="2:27" x14ac:dyDescent="0.2">
      <c r="B9" s="4">
        <v>6</v>
      </c>
      <c r="C9" s="4">
        <v>494</v>
      </c>
      <c r="D9" s="23">
        <v>1517646.0992353261</v>
      </c>
      <c r="E9" s="33">
        <v>297.92447097778</v>
      </c>
      <c r="F9" s="5">
        <v>8</v>
      </c>
      <c r="G9" s="23">
        <v>82</v>
      </c>
      <c r="H9" s="33">
        <v>1051.2106144724769</v>
      </c>
      <c r="I9" s="23">
        <v>58.63398880009818</v>
      </c>
      <c r="J9" s="5">
        <v>6409.1844975837257</v>
      </c>
      <c r="K9" s="31"/>
      <c r="L9" s="23">
        <v>1921407.368008954</v>
      </c>
      <c r="M9" s="33">
        <v>207.2101253333191</v>
      </c>
      <c r="N9" s="5">
        <v>12</v>
      </c>
      <c r="O9" s="5">
        <v>58.666666666666657</v>
      </c>
      <c r="P9" s="33">
        <v>609.40407649224187</v>
      </c>
      <c r="Q9" s="5">
        <v>27.54391982909296</v>
      </c>
      <c r="R9" s="5">
        <v>5240.0022764100286</v>
      </c>
      <c r="S9" s="35"/>
      <c r="T9" s="23">
        <v>1995138.0293139259</v>
      </c>
      <c r="U9" s="33">
        <v>136.71912319999603</v>
      </c>
      <c r="V9" s="5">
        <v>7</v>
      </c>
      <c r="W9" s="5">
        <v>57.333333333333343</v>
      </c>
      <c r="X9" s="33">
        <v>1307.985816778405</v>
      </c>
      <c r="Y9" s="5">
        <v>71.953268810316416</v>
      </c>
      <c r="Z9" s="5">
        <v>6813.053142533573</v>
      </c>
      <c r="AA9" s="35"/>
    </row>
    <row r="10" spans="2:27" x14ac:dyDescent="0.2">
      <c r="B10" s="4">
        <v>7</v>
      </c>
      <c r="C10" s="4">
        <v>718</v>
      </c>
      <c r="D10" s="23">
        <v>1490254.277293524</v>
      </c>
      <c r="E10" s="33">
        <v>177.19462104444392</v>
      </c>
      <c r="F10" s="5">
        <v>9</v>
      </c>
      <c r="G10" s="23">
        <v>86</v>
      </c>
      <c r="H10" s="33">
        <v>1160.9747055268481</v>
      </c>
      <c r="I10" s="23">
        <v>56.460033744415512</v>
      </c>
      <c r="J10" s="5">
        <v>6614.9940989549341</v>
      </c>
      <c r="K10" s="31"/>
      <c r="L10" s="23">
        <v>1905022.137151713</v>
      </c>
      <c r="M10" s="33">
        <v>281.02610779998622</v>
      </c>
      <c r="N10" s="5">
        <v>14</v>
      </c>
      <c r="O10" s="5">
        <v>62</v>
      </c>
      <c r="P10" s="33">
        <v>743.04510664756572</v>
      </c>
      <c r="Q10" s="5">
        <v>24.760656208034881</v>
      </c>
      <c r="R10" s="5">
        <v>5325.4446390997546</v>
      </c>
      <c r="S10" s="35"/>
      <c r="T10" s="23">
        <v>1996210.2734929251</v>
      </c>
      <c r="U10" s="33">
        <v>158.14680397776991</v>
      </c>
      <c r="V10" s="5">
        <v>7</v>
      </c>
      <c r="W10" s="5">
        <v>56.666666666666657</v>
      </c>
      <c r="X10" s="33">
        <v>1202.3171021894134</v>
      </c>
      <c r="Y10" s="5">
        <v>70.452803609602782</v>
      </c>
      <c r="Z10" s="5">
        <v>6718.9460948960113</v>
      </c>
      <c r="AA10" s="35"/>
    </row>
    <row r="11" spans="2:27" x14ac:dyDescent="0.2">
      <c r="B11" s="4">
        <v>8</v>
      </c>
      <c r="C11" s="4">
        <v>589</v>
      </c>
      <c r="D11" s="23">
        <v>1472448.527525662</v>
      </c>
      <c r="E11" s="33">
        <v>294.96106860000219</v>
      </c>
      <c r="F11" s="5">
        <v>8</v>
      </c>
      <c r="G11" s="23">
        <v>86</v>
      </c>
      <c r="H11" s="33">
        <v>1187.4299510910157</v>
      </c>
      <c r="I11" s="23">
        <v>63.245335985298958</v>
      </c>
      <c r="J11" s="5">
        <v>6607.187589381746</v>
      </c>
      <c r="K11" s="31"/>
      <c r="L11" s="23">
        <v>1849437.38406351</v>
      </c>
      <c r="M11" s="33">
        <v>280.8611905111207</v>
      </c>
      <c r="N11" s="5">
        <v>18</v>
      </c>
      <c r="O11" s="5">
        <v>72</v>
      </c>
      <c r="P11" s="33">
        <v>1080.1682170902127</v>
      </c>
      <c r="Q11" s="5">
        <v>22.748981194872975</v>
      </c>
      <c r="R11" s="5">
        <v>5867.9888325074526</v>
      </c>
      <c r="S11" s="35"/>
      <c r="T11" s="23">
        <v>1968541.0789832261</v>
      </c>
      <c r="U11" s="33">
        <v>218.97988417778268</v>
      </c>
      <c r="V11" s="5">
        <v>7</v>
      </c>
      <c r="W11" s="5">
        <v>59.333333333333343</v>
      </c>
      <c r="X11" s="33">
        <v>1442.0095368370585</v>
      </c>
      <c r="Y11" s="5">
        <v>77.337806239951405</v>
      </c>
      <c r="Z11" s="5">
        <v>6930.700043840131</v>
      </c>
      <c r="AA11" s="35"/>
    </row>
    <row r="12" spans="2:27" x14ac:dyDescent="0.2">
      <c r="B12" s="4">
        <v>9</v>
      </c>
      <c r="C12" s="4">
        <v>371</v>
      </c>
      <c r="D12" s="23">
        <v>1512149.7407904619</v>
      </c>
      <c r="E12" s="33">
        <v>182.39716253333933</v>
      </c>
      <c r="F12" s="5">
        <v>8</v>
      </c>
      <c r="G12" s="23">
        <v>84</v>
      </c>
      <c r="H12" s="33">
        <v>1146.0018714646701</v>
      </c>
      <c r="I12" s="23">
        <v>61.033367640090603</v>
      </c>
      <c r="J12" s="5">
        <v>6607.4937997262896</v>
      </c>
      <c r="K12" s="31"/>
      <c r="L12" s="23">
        <v>1858003.2251817889</v>
      </c>
      <c r="M12" s="33">
        <v>395.52212615556914</v>
      </c>
      <c r="N12" s="5">
        <v>17</v>
      </c>
      <c r="O12" s="5">
        <v>69.333333333333329</v>
      </c>
      <c r="P12" s="33">
        <v>1018.7145596301363</v>
      </c>
      <c r="Q12" s="5">
        <v>22.66289961065851</v>
      </c>
      <c r="R12" s="5">
        <v>5698.4158273480525</v>
      </c>
      <c r="S12" s="35"/>
      <c r="T12" s="23">
        <v>1938787.635015311</v>
      </c>
      <c r="U12" s="33">
        <v>262.61179277776841</v>
      </c>
      <c r="V12" s="5">
        <v>9</v>
      </c>
      <c r="W12" s="5">
        <v>63.333333333333343</v>
      </c>
      <c r="X12" s="33">
        <v>1518.585931514807</v>
      </c>
      <c r="Y12" s="5">
        <v>65.021577390577761</v>
      </c>
      <c r="Z12" s="5">
        <v>6943.5340547051046</v>
      </c>
      <c r="AA12" s="35"/>
    </row>
    <row r="13" spans="2:27" x14ac:dyDescent="0.2">
      <c r="B13" s="4">
        <v>10</v>
      </c>
      <c r="C13" s="4">
        <v>679</v>
      </c>
      <c r="D13" s="23">
        <v>1472694.973078337</v>
      </c>
      <c r="E13" s="33">
        <v>104.58051239999219</v>
      </c>
      <c r="F13" s="5">
        <v>8</v>
      </c>
      <c r="G13" s="23">
        <v>85.333333333333329</v>
      </c>
      <c r="H13" s="33">
        <v>1152.5084514631842</v>
      </c>
      <c r="I13" s="23">
        <v>62.067987844453626</v>
      </c>
      <c r="J13" s="5">
        <v>6555.2776906212475</v>
      </c>
      <c r="K13" s="31"/>
      <c r="L13" s="23">
        <v>1859376.645732169</v>
      </c>
      <c r="M13" s="33">
        <v>204.05868395555041</v>
      </c>
      <c r="N13" s="5">
        <v>18</v>
      </c>
      <c r="O13" s="5">
        <v>72</v>
      </c>
      <c r="P13" s="33">
        <v>1186.5275360254029</v>
      </c>
      <c r="Q13" s="5">
        <v>23.023039370591931</v>
      </c>
      <c r="R13" s="5">
        <v>5862.7900445897913</v>
      </c>
      <c r="S13" s="35"/>
      <c r="T13" s="23">
        <v>1968359.571868866</v>
      </c>
      <c r="U13" s="33">
        <v>249.47529915554665</v>
      </c>
      <c r="V13" s="5">
        <v>7</v>
      </c>
      <c r="W13" s="5">
        <v>59.333333333333343</v>
      </c>
      <c r="X13" s="33">
        <v>1426.0938139644629</v>
      </c>
      <c r="Y13" s="5">
        <v>77.249613464558024</v>
      </c>
      <c r="Z13" s="5">
        <v>6942.9452549031785</v>
      </c>
      <c r="AA13" s="35"/>
    </row>
    <row r="14" spans="2:27" x14ac:dyDescent="0.2">
      <c r="B14" s="47" t="s">
        <v>3</v>
      </c>
      <c r="C14" s="48"/>
      <c r="D14" s="9">
        <f>MIN(D4:D13)</f>
        <v>1443392.20703525</v>
      </c>
      <c r="E14" s="22">
        <f>INDEX(E4:E13, MATCH($D$14, D4:D13, 0))</f>
        <v>114.43175884444888</v>
      </c>
      <c r="F14" s="9">
        <f>INDEX(F4:F13, MATCH($D$14, D4:D13, 0))</f>
        <v>10</v>
      </c>
      <c r="G14" s="9">
        <f>INDEX(G4:G13, MATCH($D$14, D4:D13, 0))</f>
        <v>92.666666666666671</v>
      </c>
      <c r="H14" s="22">
        <f>INDEX(H4:H13, MATCH($D$14, D4:D13, 0))</f>
        <v>1426.892399595506</v>
      </c>
      <c r="I14" s="22">
        <f>INDEX(I4:I13, MATCH($D$14, D4:D13, 0))</f>
        <v>58.320870857051545</v>
      </c>
      <c r="J14" s="22">
        <f>INDEX(J4:J13, MATCH($D$14, D4:D13, 0))</f>
        <v>6900.5834854200784</v>
      </c>
      <c r="K14" s="32" t="e">
        <f>(D14-$D$15)/$D$15</f>
        <v>#DIV/0!</v>
      </c>
      <c r="L14" s="16">
        <f>MIN(L4:L13)</f>
        <v>1849437.38406351</v>
      </c>
      <c r="M14" s="21">
        <f>INDEX(M4:M13, MATCH($L$14, L4:L13, 0))</f>
        <v>280.8611905111207</v>
      </c>
      <c r="N14" s="16">
        <f>INDEX(N4:N13, MATCH($L$14, L4:L13, 0))</f>
        <v>18</v>
      </c>
      <c r="O14" s="16">
        <f>INDEX(O4:O13, MATCH($L$14, L4:L13, 0))</f>
        <v>72</v>
      </c>
      <c r="P14" s="21">
        <f>INDEX(P4:P13, MATCH($L$14, L4:L13, 0))</f>
        <v>1080.1682170902127</v>
      </c>
      <c r="Q14" s="21">
        <f>INDEX(Q4:Q13, MATCH($L$14, L4:L13, 0))</f>
        <v>22.748981194872975</v>
      </c>
      <c r="R14" s="21">
        <f>INDEX(R4:R13, MATCH($L$14, L4:L13, 0))</f>
        <v>5867.9888325074526</v>
      </c>
      <c r="S14" s="36" t="e">
        <f>(L14-$D$15)/$D$15</f>
        <v>#DIV/0!</v>
      </c>
      <c r="T14" s="38">
        <f>MIN(T4:T13)</f>
        <v>1932711.918610075</v>
      </c>
      <c r="U14" s="39">
        <f>INDEX(U4:U13, MATCH($T$14, T4:T13, 0))</f>
        <v>52.464251022216757</v>
      </c>
      <c r="V14" s="38">
        <f>INDEX(V4:V13, MATCH($T$14, T4:T13, 0))</f>
        <v>9</v>
      </c>
      <c r="W14" s="38">
        <f>INDEX(W4:W13, MATCH($T$14, T4:T13, 0))</f>
        <v>64.666666666666671</v>
      </c>
      <c r="X14" s="39">
        <f>INDEX(X4:X13, MATCH($T$14, T4:T13, 0))</f>
        <v>1661.1338775651359</v>
      </c>
      <c r="Y14" s="39">
        <f>INDEX(Y4:Y13, MATCH($T$14, T4:T13, 0))</f>
        <v>68.708922002389528</v>
      </c>
      <c r="Z14" s="39">
        <f>INDEX(Z4:Z13, MATCH($T$14, T4:T13, 0))</f>
        <v>7088.1751881078844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0.28131312823302757</v>
      </c>
      <c r="M15" s="41">
        <f t="shared" ref="M15:R15" si="0">(M14-E14)/E14</f>
        <v>1.4543989653510891</v>
      </c>
      <c r="N15" s="41">
        <f t="shared" si="0"/>
        <v>0.8</v>
      </c>
      <c r="O15" s="41">
        <f t="shared" si="0"/>
        <v>-0.22302158273381298</v>
      </c>
      <c r="P15" s="41">
        <f t="shared" si="0"/>
        <v>-0.24299252179322167</v>
      </c>
      <c r="Q15" s="41">
        <f t="shared" si="0"/>
        <v>-0.60993413060253698</v>
      </c>
      <c r="R15" s="41">
        <f t="shared" si="0"/>
        <v>-0.14963874505602998</v>
      </c>
      <c r="T15" s="41">
        <f>(T14-D14)/D14</f>
        <v>0.33900675726931856</v>
      </c>
      <c r="U15" s="41">
        <f t="shared" ref="U15:Y15" si="1">(U14-E14)/E14</f>
        <v>-0.54152368580183008</v>
      </c>
      <c r="V15" s="41">
        <f t="shared" si="1"/>
        <v>-0.1</v>
      </c>
      <c r="W15" s="41">
        <f t="shared" si="1"/>
        <v>-0.30215827338129497</v>
      </c>
      <c r="X15" s="41">
        <f t="shared" si="1"/>
        <v>0.16416197748059516</v>
      </c>
      <c r="Y15" s="41">
        <f t="shared" si="1"/>
        <v>0.17811893054203201</v>
      </c>
      <c r="Z15" s="41">
        <f>(Z14-J14)/J14</f>
        <v>2.7184904448175978E-2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0:C1048576 C24:C29">
    <cfRule type="duplicateValues" dxfId="71" priority="9"/>
    <cfRule type="duplicateValues" dxfId="70" priority="10"/>
  </conditionalFormatting>
  <conditionalFormatting sqref="C14">
    <cfRule type="duplicateValues" dxfId="69" priority="7"/>
    <cfRule type="duplicateValues" dxfId="68" priority="8"/>
  </conditionalFormatting>
  <conditionalFormatting sqref="C15">
    <cfRule type="duplicateValues" dxfId="67" priority="5"/>
    <cfRule type="duplicateValues" dxfId="66" priority="6"/>
  </conditionalFormatting>
  <conditionalFormatting sqref="C30:C39">
    <cfRule type="duplicateValues" dxfId="65" priority="3"/>
    <cfRule type="duplicateValues" dxfId="64" priority="4"/>
  </conditionalFormatting>
  <conditionalFormatting sqref="C17:C23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6B83-6550-41FA-A369-A82CA9B757C4}">
  <dimension ref="B1:AA17"/>
  <sheetViews>
    <sheetView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-0.98284970977695874</v>
      </c>
      <c r="J2" s="28" t="e">
        <f>(S14-J14)/J14</f>
        <v>#DIV/0!</v>
      </c>
      <c r="K2" s="28"/>
      <c r="L2" s="1" t="s">
        <v>19</v>
      </c>
      <c r="P2" s="1">
        <f>(P14-H14)/H14</f>
        <v>-0.26112581105657223</v>
      </c>
      <c r="R2" s="1">
        <f>(R14-J14)/J14</f>
        <v>-0.13666844355623847</v>
      </c>
      <c r="T2" s="1" t="s">
        <v>20</v>
      </c>
      <c r="X2" s="1">
        <f>(X14-P14)/P14</f>
        <v>0.79541278139740168</v>
      </c>
      <c r="Z2" s="1">
        <f>(Z14-R14)/R14</f>
        <v>0.21686736530723502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758</v>
      </c>
      <c r="D4" s="23">
        <v>1905858.9824636341</v>
      </c>
      <c r="E4" s="33">
        <v>335.95905084444934</v>
      </c>
      <c r="F4" s="5">
        <v>11</v>
      </c>
      <c r="G4" s="23">
        <v>70.666666666666671</v>
      </c>
      <c r="H4" s="33">
        <v>1616.5562667831675</v>
      </c>
      <c r="I4" s="23">
        <v>33.428203564250104</v>
      </c>
      <c r="J4" s="5">
        <v>6998.5922208161664</v>
      </c>
      <c r="K4" s="31"/>
      <c r="L4" s="23">
        <v>2085494.8874997899</v>
      </c>
      <c r="M4" s="33">
        <v>83.119125177773341</v>
      </c>
      <c r="N4" s="5">
        <v>14</v>
      </c>
      <c r="O4" s="5">
        <v>58</v>
      </c>
      <c r="P4" s="33">
        <v>1157.0514713310495</v>
      </c>
      <c r="Q4" s="5">
        <v>20.755057448170174</v>
      </c>
      <c r="R4" s="5">
        <v>5979.2522446049443</v>
      </c>
      <c r="S4" s="35"/>
      <c r="T4" s="23">
        <v>2136770.0330665899</v>
      </c>
      <c r="U4" s="33">
        <v>40.746524488889712</v>
      </c>
      <c r="V4" s="5">
        <v>7</v>
      </c>
      <c r="W4" s="5">
        <v>52</v>
      </c>
      <c r="X4" s="33">
        <v>1421.6838119383219</v>
      </c>
      <c r="Y4" s="5">
        <v>54.957147664303612</v>
      </c>
      <c r="Z4" s="5">
        <v>6878.6446704661666</v>
      </c>
      <c r="AA4" s="35"/>
    </row>
    <row r="5" spans="2:27" x14ac:dyDescent="0.2">
      <c r="B5" s="4">
        <v>2</v>
      </c>
      <c r="C5" s="4">
        <v>771</v>
      </c>
      <c r="D5" s="23">
        <v>1770427.760395241</v>
      </c>
      <c r="E5" s="33">
        <v>103.66297515556734</v>
      </c>
      <c r="F5" s="5">
        <v>7</v>
      </c>
      <c r="G5" s="23">
        <v>72.666666666666671</v>
      </c>
      <c r="H5" s="33">
        <v>1406.6438802625726</v>
      </c>
      <c r="I5" s="23">
        <v>54.495566095379381</v>
      </c>
      <c r="J5" s="5">
        <v>6901.5018496122648</v>
      </c>
      <c r="K5" s="31"/>
      <c r="L5" s="23">
        <v>2071932.4027320661</v>
      </c>
      <c r="M5" s="33">
        <v>290.98901119998959</v>
      </c>
      <c r="N5" s="5">
        <v>17</v>
      </c>
      <c r="O5" s="5">
        <v>62.666666666666657</v>
      </c>
      <c r="P5" s="33">
        <v>1430.731519614855</v>
      </c>
      <c r="Q5" s="5">
        <v>18.956538918139152</v>
      </c>
      <c r="R5" s="5">
        <v>6198.143370042696</v>
      </c>
      <c r="S5" s="35"/>
      <c r="T5" s="23">
        <v>2166224.6454512021</v>
      </c>
      <c r="U5" s="33">
        <v>55.071731222224315</v>
      </c>
      <c r="V5" s="5">
        <v>8</v>
      </c>
      <c r="W5" s="5">
        <v>50.666666666666657</v>
      </c>
      <c r="X5" s="33">
        <v>1384.8235436129403</v>
      </c>
      <c r="Y5" s="5">
        <v>49.296451419307928</v>
      </c>
      <c r="Z5" s="5">
        <v>6729.2360079429172</v>
      </c>
      <c r="AA5" s="35"/>
    </row>
    <row r="6" spans="2:27" x14ac:dyDescent="0.2">
      <c r="B6" s="4">
        <v>3</v>
      </c>
      <c r="C6" s="4">
        <v>858</v>
      </c>
      <c r="D6" s="23">
        <v>1769115.538754889</v>
      </c>
      <c r="E6" s="33">
        <v>116.88704739999957</v>
      </c>
      <c r="F6" s="5">
        <v>7</v>
      </c>
      <c r="G6" s="23">
        <v>70.666666666666671</v>
      </c>
      <c r="H6" s="33">
        <v>1241.0640743572033</v>
      </c>
      <c r="I6" s="23">
        <v>52.49287336968338</v>
      </c>
      <c r="J6" s="5">
        <v>6684.1154774264842</v>
      </c>
      <c r="K6" s="31"/>
      <c r="L6" s="23">
        <v>2058010.4423395479</v>
      </c>
      <c r="M6" s="33">
        <v>293.16131211111019</v>
      </c>
      <c r="N6" s="5">
        <v>15</v>
      </c>
      <c r="O6" s="5">
        <v>60</v>
      </c>
      <c r="P6" s="33">
        <v>1023.1170293248246</v>
      </c>
      <c r="Q6" s="5">
        <v>20.490459806284864</v>
      </c>
      <c r="R6" s="5">
        <v>5932.3509182204916</v>
      </c>
      <c r="S6" s="35"/>
      <c r="T6" s="23">
        <v>2130149.1580346581</v>
      </c>
      <c r="U6" s="33">
        <v>70.119696044440687</v>
      </c>
      <c r="V6" s="5">
        <v>8</v>
      </c>
      <c r="W6" s="5">
        <v>52.666666666666657</v>
      </c>
      <c r="X6" s="33">
        <v>1361.4556084226408</v>
      </c>
      <c r="Y6" s="5">
        <v>48.582464208975551</v>
      </c>
      <c r="Z6" s="5">
        <v>6742.3823152805644</v>
      </c>
      <c r="AA6" s="35"/>
    </row>
    <row r="7" spans="2:27" x14ac:dyDescent="0.2">
      <c r="B7" s="4">
        <v>4</v>
      </c>
      <c r="C7" s="4">
        <v>33</v>
      </c>
      <c r="D7" s="23">
        <v>1929726.4980051371</v>
      </c>
      <c r="E7" s="33">
        <v>265.32759299998486</v>
      </c>
      <c r="F7" s="5">
        <v>10</v>
      </c>
      <c r="G7" s="23">
        <v>67.333333333333329</v>
      </c>
      <c r="H7" s="33">
        <v>1410.310348537161</v>
      </c>
      <c r="I7" s="23">
        <v>33.381353751768103</v>
      </c>
      <c r="J7" s="5">
        <v>6837.2727475087122</v>
      </c>
      <c r="K7" s="31"/>
      <c r="L7" s="23">
        <v>2128575.151150106</v>
      </c>
      <c r="M7" s="33">
        <v>204.09664319998896</v>
      </c>
      <c r="N7" s="5">
        <v>12</v>
      </c>
      <c r="O7" s="5">
        <v>52</v>
      </c>
      <c r="P7" s="33">
        <v>938.04324331113014</v>
      </c>
      <c r="Q7" s="5">
        <v>22.555771371761995</v>
      </c>
      <c r="R7" s="5">
        <v>5586.1396555613264</v>
      </c>
      <c r="S7" s="35"/>
      <c r="T7" s="23">
        <v>2195754.3891150989</v>
      </c>
      <c r="U7" s="33">
        <v>63.110158088901599</v>
      </c>
      <c r="V7" s="5">
        <v>7</v>
      </c>
      <c r="W7" s="5">
        <v>48</v>
      </c>
      <c r="X7" s="33">
        <v>1191.9270485389063</v>
      </c>
      <c r="Y7" s="5">
        <v>47.514948769274142</v>
      </c>
      <c r="Z7" s="5">
        <v>6668.4854687672987</v>
      </c>
      <c r="AA7" s="35"/>
    </row>
    <row r="8" spans="2:27" x14ac:dyDescent="0.2">
      <c r="B8" s="4">
        <v>5</v>
      </c>
      <c r="C8" s="4">
        <v>58</v>
      </c>
      <c r="D8" s="23">
        <v>1844349.302968103</v>
      </c>
      <c r="E8" s="33">
        <v>159.83084219999404</v>
      </c>
      <c r="F8" s="5">
        <v>9</v>
      </c>
      <c r="G8" s="23">
        <v>70.666666666666671</v>
      </c>
      <c r="H8" s="33">
        <v>1333.5492424357469</v>
      </c>
      <c r="I8" s="23">
        <v>40.298945455422768</v>
      </c>
      <c r="J8" s="5">
        <v>6922.013959875233</v>
      </c>
      <c r="K8" s="31"/>
      <c r="L8" s="23">
        <v>2060082.9656459561</v>
      </c>
      <c r="M8" s="33">
        <v>232.51752835556135</v>
      </c>
      <c r="N8" s="5">
        <v>16</v>
      </c>
      <c r="O8" s="5">
        <v>62</v>
      </c>
      <c r="P8" s="33">
        <v>1196.7694503728853</v>
      </c>
      <c r="Q8" s="5">
        <v>20.127851629122109</v>
      </c>
      <c r="R8" s="5">
        <v>6153.3144895193691</v>
      </c>
      <c r="S8" s="35"/>
      <c r="T8" s="23">
        <v>2117126.9122263831</v>
      </c>
      <c r="U8" s="33">
        <v>108.64693555556651</v>
      </c>
      <c r="V8" s="5">
        <v>10</v>
      </c>
      <c r="W8" s="5">
        <v>56</v>
      </c>
      <c r="X8" s="33">
        <v>1646.3759459055225</v>
      </c>
      <c r="Y8" s="5">
        <v>49.158645330063592</v>
      </c>
      <c r="Z8" s="5">
        <v>7022.0643324124467</v>
      </c>
      <c r="AA8" s="35"/>
    </row>
    <row r="9" spans="2:27" x14ac:dyDescent="0.2">
      <c r="B9" s="4">
        <v>6</v>
      </c>
      <c r="C9" s="4">
        <v>276</v>
      </c>
      <c r="D9" s="23">
        <v>1851629.589349739</v>
      </c>
      <c r="E9" s="33">
        <v>123.52097584444306</v>
      </c>
      <c r="F9" s="5">
        <v>7</v>
      </c>
      <c r="G9" s="23">
        <v>66</v>
      </c>
      <c r="H9" s="33">
        <v>1182.0044745787986</v>
      </c>
      <c r="I9" s="23">
        <v>47.334099570919534</v>
      </c>
      <c r="J9" s="5">
        <v>6645.0920811918722</v>
      </c>
      <c r="K9" s="31"/>
      <c r="L9" s="23">
        <v>2054559.171485984</v>
      </c>
      <c r="M9" s="33">
        <v>275.15255040000199</v>
      </c>
      <c r="N9" s="5">
        <v>16</v>
      </c>
      <c r="O9" s="5">
        <v>61.333333333333343</v>
      </c>
      <c r="P9" s="33">
        <v>1187.1729127635101</v>
      </c>
      <c r="Q9" s="5">
        <v>19.009297312130681</v>
      </c>
      <c r="R9" s="5">
        <v>5948.5790810679327</v>
      </c>
      <c r="S9" s="35"/>
      <c r="T9" s="23">
        <v>2134606.737528963</v>
      </c>
      <c r="U9" s="33">
        <v>114.84942602221336</v>
      </c>
      <c r="V9" s="5">
        <v>7</v>
      </c>
      <c r="W9" s="5">
        <v>52.666666666666657</v>
      </c>
      <c r="X9" s="33">
        <v>1455.4032356318548</v>
      </c>
      <c r="Y9" s="5">
        <v>55.926834136344851</v>
      </c>
      <c r="Z9" s="5">
        <v>6949.7731744819012</v>
      </c>
      <c r="AA9" s="35"/>
    </row>
    <row r="10" spans="2:27" x14ac:dyDescent="0.2">
      <c r="B10" s="4">
        <v>7</v>
      </c>
      <c r="C10" s="4">
        <v>333</v>
      </c>
      <c r="D10" s="23">
        <v>1823968.4343774079</v>
      </c>
      <c r="E10" s="33">
        <v>393.13215211111424</v>
      </c>
      <c r="F10" s="5">
        <v>9</v>
      </c>
      <c r="G10" s="23">
        <v>71.333333333333329</v>
      </c>
      <c r="H10" s="33">
        <v>1397.4692950481922</v>
      </c>
      <c r="I10" s="23">
        <v>41.165140255071357</v>
      </c>
      <c r="J10" s="5">
        <v>6880.940186057629</v>
      </c>
      <c r="K10" s="31"/>
      <c r="L10" s="23">
        <v>2075181.7509249321</v>
      </c>
      <c r="M10" s="33">
        <v>302.65025228890602</v>
      </c>
      <c r="N10" s="5">
        <v>16</v>
      </c>
      <c r="O10" s="5">
        <v>61.333333333333343</v>
      </c>
      <c r="P10" s="33">
        <v>1246.9370426868968</v>
      </c>
      <c r="Q10" s="5">
        <v>19.758598944988751</v>
      </c>
      <c r="R10" s="5">
        <v>6114.7577026443641</v>
      </c>
      <c r="S10" s="35"/>
      <c r="T10" s="23">
        <v>2182081.8383249771</v>
      </c>
      <c r="U10" s="33">
        <v>69.238373555553466</v>
      </c>
      <c r="V10" s="5">
        <v>8</v>
      </c>
      <c r="W10" s="5">
        <v>50</v>
      </c>
      <c r="X10" s="33">
        <v>1324.3016874781731</v>
      </c>
      <c r="Y10" s="5">
        <v>45.436396348127687</v>
      </c>
      <c r="Z10" s="5">
        <v>6774.3699235185377</v>
      </c>
      <c r="AA10" s="35"/>
    </row>
    <row r="11" spans="2:27" x14ac:dyDescent="0.2">
      <c r="B11" s="4">
        <v>8</v>
      </c>
      <c r="C11" s="4">
        <v>470</v>
      </c>
      <c r="D11" s="23">
        <v>1816653.709147088</v>
      </c>
      <c r="E11" s="33">
        <v>82.874511644451161</v>
      </c>
      <c r="F11" s="5">
        <v>7</v>
      </c>
      <c r="G11" s="23">
        <v>68</v>
      </c>
      <c r="H11" s="33">
        <v>1074.6201049040458</v>
      </c>
      <c r="I11" s="23">
        <v>49.415537562373927</v>
      </c>
      <c r="J11" s="5">
        <v>6625.6755971166676</v>
      </c>
      <c r="K11" s="31"/>
      <c r="L11" s="23">
        <v>2049820.750561693</v>
      </c>
      <c r="M11" s="33">
        <v>148.34350948889428</v>
      </c>
      <c r="N11" s="5">
        <v>13</v>
      </c>
      <c r="O11" s="5">
        <v>55.333333333333343</v>
      </c>
      <c r="P11" s="33">
        <v>792.71482950918437</v>
      </c>
      <c r="Q11" s="5">
        <v>20.390551628335359</v>
      </c>
      <c r="R11" s="5">
        <v>5388.9876209691984</v>
      </c>
      <c r="S11" s="35"/>
      <c r="T11" s="23">
        <v>2153794.170940395</v>
      </c>
      <c r="U11" s="33">
        <v>52.344053533342155</v>
      </c>
      <c r="V11" s="5">
        <v>8</v>
      </c>
      <c r="W11" s="5">
        <v>51.333333333333343</v>
      </c>
      <c r="X11" s="33">
        <v>1236.0025186317671</v>
      </c>
      <c r="Y11" s="5">
        <v>45.771002818264868</v>
      </c>
      <c r="Z11" s="5">
        <v>6736.9978694746796</v>
      </c>
      <c r="AA11" s="35"/>
    </row>
    <row r="12" spans="2:27" x14ac:dyDescent="0.2">
      <c r="B12" s="4">
        <v>9</v>
      </c>
      <c r="C12" s="4">
        <v>95</v>
      </c>
      <c r="D12" s="23">
        <v>1816108.7567805401</v>
      </c>
      <c r="E12" s="33">
        <v>77.532315933352535</v>
      </c>
      <c r="F12" s="5">
        <v>7</v>
      </c>
      <c r="G12" s="23">
        <v>68</v>
      </c>
      <c r="H12" s="33">
        <v>1083.8075973193236</v>
      </c>
      <c r="I12" s="23">
        <v>49.113120419533701</v>
      </c>
      <c r="J12" s="5">
        <v>6577.3133426589538</v>
      </c>
      <c r="K12" s="31"/>
      <c r="L12" s="23">
        <v>2043203.9734539739</v>
      </c>
      <c r="M12" s="33">
        <v>167.41612013333685</v>
      </c>
      <c r="N12" s="5">
        <v>14</v>
      </c>
      <c r="O12" s="5">
        <v>58.666666666666657</v>
      </c>
      <c r="P12" s="33">
        <v>916.99021136750446</v>
      </c>
      <c r="Q12" s="5">
        <v>21.284609060616116</v>
      </c>
      <c r="R12" s="5">
        <v>5770.6078185764427</v>
      </c>
      <c r="S12" s="35"/>
      <c r="T12" s="23">
        <v>2132089.9622558709</v>
      </c>
      <c r="U12" s="33">
        <v>79.640594155553515</v>
      </c>
      <c r="V12" s="5">
        <v>7</v>
      </c>
      <c r="W12" s="5">
        <v>50.666666666666657</v>
      </c>
      <c r="X12" s="33">
        <v>1224.72637319521</v>
      </c>
      <c r="Y12" s="5">
        <v>51.531826170841505</v>
      </c>
      <c r="Z12" s="5">
        <v>6587.7423924886943</v>
      </c>
      <c r="AA12" s="35"/>
    </row>
    <row r="13" spans="2:27" x14ac:dyDescent="0.2">
      <c r="B13" s="4">
        <v>10</v>
      </c>
      <c r="C13" s="4">
        <v>728</v>
      </c>
      <c r="D13" s="23">
        <v>1786315.484091826</v>
      </c>
      <c r="E13" s="33">
        <v>113.32381500001064</v>
      </c>
      <c r="F13" s="5">
        <v>8</v>
      </c>
      <c r="G13" s="23">
        <v>71.333333333333329</v>
      </c>
      <c r="H13" s="33">
        <v>1224.3424035569765</v>
      </c>
      <c r="I13" s="23">
        <v>45.208018738409351</v>
      </c>
      <c r="J13" s="5">
        <v>6746.4671944303736</v>
      </c>
      <c r="K13" s="31"/>
      <c r="L13" s="23">
        <v>2081170.003286557</v>
      </c>
      <c r="M13" s="33">
        <v>62.455561422225514</v>
      </c>
      <c r="N13" s="5">
        <v>15</v>
      </c>
      <c r="O13" s="5">
        <v>60</v>
      </c>
      <c r="P13" s="33">
        <v>1313.1801429435186</v>
      </c>
      <c r="Q13" s="5">
        <v>20.359712552611807</v>
      </c>
      <c r="R13" s="5">
        <v>6052.5105313279146</v>
      </c>
      <c r="S13" s="35"/>
      <c r="T13" s="23">
        <v>2180796.330033347</v>
      </c>
      <c r="U13" s="33">
        <v>146.28071373331153</v>
      </c>
      <c r="V13" s="5">
        <v>8</v>
      </c>
      <c r="W13" s="5">
        <v>50</v>
      </c>
      <c r="X13" s="33">
        <v>1305.0438457570342</v>
      </c>
      <c r="Y13" s="5">
        <v>45.496167251194592</v>
      </c>
      <c r="Z13" s="5">
        <v>6749.816642992223</v>
      </c>
      <c r="AA13" s="35"/>
    </row>
    <row r="14" spans="2:27" x14ac:dyDescent="0.2">
      <c r="B14" s="47" t="s">
        <v>3</v>
      </c>
      <c r="C14" s="48"/>
      <c r="D14" s="9">
        <f>MIN(D4:D13)</f>
        <v>1769115.538754889</v>
      </c>
      <c r="E14" s="22">
        <f>INDEX(E4:E13, MATCH($D$14, D4:D13, 0))</f>
        <v>116.88704739999957</v>
      </c>
      <c r="F14" s="9">
        <f>INDEX(F4:F13, MATCH($D$14, D4:D13, 0))</f>
        <v>7</v>
      </c>
      <c r="G14" s="9">
        <f>INDEX(G4:G13, MATCH($D$14, D4:D13, 0))</f>
        <v>70.666666666666671</v>
      </c>
      <c r="H14" s="22">
        <f>INDEX(H4:H13, MATCH($D$14, D4:D13, 0))</f>
        <v>1241.0640743572033</v>
      </c>
      <c r="I14" s="22">
        <f>INDEX(I4:I13, MATCH($D$14, D4:D13, 0))</f>
        <v>52.49287336968338</v>
      </c>
      <c r="J14" s="22">
        <f>INDEX(J4:J13, MATCH($D$14, D4:D13, 0))</f>
        <v>6684.1154774264842</v>
      </c>
      <c r="K14" s="32" t="e">
        <f>(D14-$D$15)/$D$15</f>
        <v>#DIV/0!</v>
      </c>
      <c r="L14" s="16">
        <f>MIN(L4:L13)</f>
        <v>2043203.9734539739</v>
      </c>
      <c r="M14" s="21">
        <f>INDEX(M4:M13, MATCH($L$14, L4:L13, 0))</f>
        <v>167.41612013333685</v>
      </c>
      <c r="N14" s="16">
        <f>INDEX(N4:N13, MATCH($L$14, L4:L13, 0))</f>
        <v>14</v>
      </c>
      <c r="O14" s="16">
        <f>INDEX(O4:O13, MATCH($L$14, L4:L13, 0))</f>
        <v>58.666666666666657</v>
      </c>
      <c r="P14" s="21">
        <f>INDEX(P4:P13, MATCH($L$14, L4:L13, 0))</f>
        <v>916.99021136750446</v>
      </c>
      <c r="Q14" s="21">
        <f>INDEX(Q4:Q13, MATCH($L$14, L4:L13, 0))</f>
        <v>21.284609060616116</v>
      </c>
      <c r="R14" s="21">
        <f>INDEX(R4:R13, MATCH($L$14, L4:L13, 0))</f>
        <v>5770.6078185764427</v>
      </c>
      <c r="S14" s="36" t="e">
        <f>(L14-$D$15)/$D$15</f>
        <v>#DIV/0!</v>
      </c>
      <c r="T14" s="38">
        <f>MIN(T4:T13)</f>
        <v>2117126.9122263831</v>
      </c>
      <c r="U14" s="39">
        <f>INDEX(U4:U13, MATCH($T$14, T4:T13, 0))</f>
        <v>108.64693555556651</v>
      </c>
      <c r="V14" s="38">
        <f>INDEX(V4:V13, MATCH($T$14, T4:T13, 0))</f>
        <v>10</v>
      </c>
      <c r="W14" s="38">
        <f>INDEX(W4:W13, MATCH($T$14, T4:T13, 0))</f>
        <v>56</v>
      </c>
      <c r="X14" s="39">
        <f>INDEX(X4:X13, MATCH($T$14, T4:T13, 0))</f>
        <v>1646.3759459055225</v>
      </c>
      <c r="Y14" s="39">
        <f>INDEX(Y4:Y13, MATCH($T$14, T4:T13, 0))</f>
        <v>49.158645330063592</v>
      </c>
      <c r="Z14" s="39">
        <f>INDEX(Z4:Z13, MATCH($T$14, T4:T13, 0))</f>
        <v>7022.0643324124467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0.1549296406564771</v>
      </c>
      <c r="M15" s="41">
        <f t="shared" ref="M15:R15" si="0">(M14-E14)/E14</f>
        <v>0.43228975200666636</v>
      </c>
      <c r="N15" s="41">
        <f t="shared" si="0"/>
        <v>1</v>
      </c>
      <c r="O15" s="41">
        <f t="shared" si="0"/>
        <v>-0.16981132075471717</v>
      </c>
      <c r="P15" s="41">
        <f t="shared" si="0"/>
        <v>-0.26112581105657223</v>
      </c>
      <c r="Q15" s="41">
        <f t="shared" si="0"/>
        <v>-0.59452383353606275</v>
      </c>
      <c r="R15" s="41">
        <f t="shared" si="0"/>
        <v>-0.13666844355623847</v>
      </c>
      <c r="T15" s="41">
        <f>(T14-D14)/D14</f>
        <v>0.19671489275167744</v>
      </c>
      <c r="U15" s="41">
        <f t="shared" ref="U15:Y15" si="1">(U14-E14)/E14</f>
        <v>-7.0496364034541348E-2</v>
      </c>
      <c r="V15" s="41">
        <f t="shared" si="1"/>
        <v>0.42857142857142855</v>
      </c>
      <c r="W15" s="41">
        <f t="shared" si="1"/>
        <v>-0.20754716981132082</v>
      </c>
      <c r="X15" s="41">
        <f t="shared" si="1"/>
        <v>0.32658416267366897</v>
      </c>
      <c r="Y15" s="41">
        <f t="shared" si="1"/>
        <v>-6.351772775207673E-2</v>
      </c>
      <c r="Z15" s="41">
        <f>(Z14-J14)/J14</f>
        <v>5.0559996476314539E-2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0:C1048576 C24:C29">
    <cfRule type="duplicateValues" dxfId="63" priority="9"/>
    <cfRule type="duplicateValues" dxfId="62" priority="10"/>
  </conditionalFormatting>
  <conditionalFormatting sqref="C14">
    <cfRule type="duplicateValues" dxfId="61" priority="7"/>
    <cfRule type="duplicateValues" dxfId="60" priority="8"/>
  </conditionalFormatting>
  <conditionalFormatting sqref="C15">
    <cfRule type="duplicateValues" dxfId="59" priority="5"/>
    <cfRule type="duplicateValues" dxfId="58" priority="6"/>
  </conditionalFormatting>
  <conditionalFormatting sqref="C30:C39">
    <cfRule type="duplicateValues" dxfId="57" priority="3"/>
    <cfRule type="duplicateValues" dxfId="56" priority="4"/>
  </conditionalFormatting>
  <conditionalFormatting sqref="C17:C23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7C4B-8881-4104-B330-B3A00A641862}">
  <dimension ref="B1:AA17"/>
  <sheetViews>
    <sheetView tabSelected="1" zoomScale="80" zoomScaleNormal="80" workbookViewId="0">
      <selection activeCell="A17" sqref="A17:XFD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3" width="11.33203125" style="1" bestFit="1" customWidth="1"/>
    <col min="14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-0.98543268091754666</v>
      </c>
      <c r="J2" s="28" t="e">
        <f>(S14-J14)/J14</f>
        <v>#DIV/0!</v>
      </c>
      <c r="K2" s="28"/>
      <c r="L2" s="1" t="s">
        <v>19</v>
      </c>
      <c r="P2" s="1">
        <f>(P14-H14)/H14</f>
        <v>-0.26135204527890538</v>
      </c>
      <c r="R2" s="1">
        <f>(R14-J14)/J14</f>
        <v>-0.14752410146262657</v>
      </c>
      <c r="T2" s="1" t="s">
        <v>20</v>
      </c>
      <c r="X2" s="1">
        <f>(X14-P14)/P14</f>
        <v>0.4596544355813092</v>
      </c>
      <c r="Z2" s="1">
        <f>(Z14-R14)/R14</f>
        <v>0.21664342926500854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735</v>
      </c>
      <c r="D4" s="23">
        <v>1527136.088193367</v>
      </c>
      <c r="E4" s="33">
        <v>204.47501275556473</v>
      </c>
      <c r="F4" s="5">
        <v>9</v>
      </c>
      <c r="G4" s="23">
        <v>87.333333333333329</v>
      </c>
      <c r="H4" s="33">
        <v>1449.2249992406305</v>
      </c>
      <c r="I4" s="23">
        <v>52.314175951441307</v>
      </c>
      <c r="J4" s="5">
        <v>7025.0781486582055</v>
      </c>
      <c r="K4" s="31"/>
      <c r="L4" s="23">
        <v>1920118.6676653109</v>
      </c>
      <c r="M4" s="33">
        <v>78.019700355569114</v>
      </c>
      <c r="N4" s="5">
        <v>17</v>
      </c>
      <c r="O4" s="5">
        <v>69.333333333333329</v>
      </c>
      <c r="P4" s="33">
        <v>1180.2793314631124</v>
      </c>
      <c r="Q4" s="5">
        <v>20.88454063518726</v>
      </c>
      <c r="R4" s="5">
        <v>6157.6781148325545</v>
      </c>
      <c r="S4" s="35"/>
      <c r="T4" s="23">
        <v>1988613.4174935471</v>
      </c>
      <c r="U4" s="33">
        <v>47.540915533331116</v>
      </c>
      <c r="V4" s="5">
        <v>7</v>
      </c>
      <c r="W4" s="5">
        <v>57.333333333333343</v>
      </c>
      <c r="X4" s="33">
        <v>1076.2420926800316</v>
      </c>
      <c r="Y4" s="5">
        <v>58.943632982842743</v>
      </c>
      <c r="Z4" s="5">
        <v>6725.9610544662901</v>
      </c>
      <c r="AA4" s="35"/>
    </row>
    <row r="5" spans="2:27" x14ac:dyDescent="0.2">
      <c r="B5" s="4">
        <v>2</v>
      </c>
      <c r="C5" s="4">
        <v>503</v>
      </c>
      <c r="D5" s="23">
        <v>1533598.3902737219</v>
      </c>
      <c r="E5" s="33">
        <v>92.235854355566616</v>
      </c>
      <c r="F5" s="5">
        <v>9</v>
      </c>
      <c r="G5" s="23">
        <v>88.666666666666671</v>
      </c>
      <c r="H5" s="33">
        <v>1551.0716153495719</v>
      </c>
      <c r="I5" s="23">
        <v>53.701943859754543</v>
      </c>
      <c r="J5" s="5">
        <v>7116.0011446447925</v>
      </c>
      <c r="K5" s="31"/>
      <c r="L5" s="23">
        <v>1911259.7525570381</v>
      </c>
      <c r="M5" s="33">
        <v>163.66848475555889</v>
      </c>
      <c r="N5" s="5">
        <v>14</v>
      </c>
      <c r="O5" s="5">
        <v>64</v>
      </c>
      <c r="P5" s="33">
        <v>972.7244479359498</v>
      </c>
      <c r="Q5" s="5">
        <v>22.66299060964641</v>
      </c>
      <c r="R5" s="5">
        <v>5647.6919641597788</v>
      </c>
      <c r="S5" s="35"/>
      <c r="T5" s="23">
        <v>1977592.1130451129</v>
      </c>
      <c r="U5" s="33">
        <v>51.467170733337603</v>
      </c>
      <c r="V5" s="5">
        <v>7</v>
      </c>
      <c r="W5" s="5">
        <v>60</v>
      </c>
      <c r="X5" s="33">
        <v>1357.2577131025646</v>
      </c>
      <c r="Y5" s="5">
        <v>63.146033002974299</v>
      </c>
      <c r="Z5" s="5">
        <v>7033.7904847827904</v>
      </c>
      <c r="AA5" s="35"/>
    </row>
    <row r="6" spans="2:27" x14ac:dyDescent="0.2">
      <c r="B6" s="4">
        <v>3</v>
      </c>
      <c r="C6" s="4">
        <v>837</v>
      </c>
      <c r="D6" s="23">
        <v>1518818.3633781529</v>
      </c>
      <c r="E6" s="33">
        <v>133.47271922220372</v>
      </c>
      <c r="F6" s="5">
        <v>10</v>
      </c>
      <c r="G6" s="23">
        <v>90</v>
      </c>
      <c r="H6" s="33">
        <v>1595.872956947584</v>
      </c>
      <c r="I6" s="23">
        <v>48.734135941142348</v>
      </c>
      <c r="J6" s="5">
        <v>7055.0269486776479</v>
      </c>
      <c r="K6" s="31"/>
      <c r="L6" s="23">
        <v>1914954.7363098881</v>
      </c>
      <c r="M6" s="33">
        <v>129.13958653334217</v>
      </c>
      <c r="N6" s="5">
        <v>14</v>
      </c>
      <c r="O6" s="5">
        <v>65.333333333333329</v>
      </c>
      <c r="P6" s="33">
        <v>1060.7787576592582</v>
      </c>
      <c r="Q6" s="5">
        <v>23.271145253976243</v>
      </c>
      <c r="R6" s="5">
        <v>5881.4594705711424</v>
      </c>
      <c r="S6" s="35"/>
      <c r="T6" s="23">
        <v>1953623.602954712</v>
      </c>
      <c r="U6" s="33">
        <v>97.484680288885201</v>
      </c>
      <c r="V6" s="5">
        <v>9</v>
      </c>
      <c r="W6" s="5">
        <v>64</v>
      </c>
      <c r="X6" s="33">
        <v>1535.156999583158</v>
      </c>
      <c r="Y6" s="5">
        <v>55.663429547861512</v>
      </c>
      <c r="Z6" s="5">
        <v>7143.2491974697796</v>
      </c>
      <c r="AA6" s="35"/>
    </row>
    <row r="7" spans="2:27" x14ac:dyDescent="0.2">
      <c r="B7" s="4">
        <v>4</v>
      </c>
      <c r="C7" s="4">
        <v>420</v>
      </c>
      <c r="D7" s="23">
        <v>1513831.7969116219</v>
      </c>
      <c r="E7" s="33">
        <v>112.96036813333113</v>
      </c>
      <c r="F7" s="5">
        <v>10</v>
      </c>
      <c r="G7" s="23">
        <v>88.666666666666671</v>
      </c>
      <c r="H7" s="33">
        <v>1505.8120360747603</v>
      </c>
      <c r="I7" s="23">
        <v>47.364242627458566</v>
      </c>
      <c r="J7" s="5">
        <v>6914.8316140124316</v>
      </c>
      <c r="K7" s="31"/>
      <c r="L7" s="23">
        <v>1946765.868148024</v>
      </c>
      <c r="M7" s="33">
        <v>155.48886591113276</v>
      </c>
      <c r="N7" s="5">
        <v>13</v>
      </c>
      <c r="O7" s="5">
        <v>62</v>
      </c>
      <c r="P7" s="33">
        <v>959.89450057148849</v>
      </c>
      <c r="Q7" s="5">
        <v>22.602704333956492</v>
      </c>
      <c r="R7" s="5">
        <v>5816.1767741978829</v>
      </c>
      <c r="S7" s="35"/>
      <c r="T7" s="23">
        <v>2008458.262699526</v>
      </c>
      <c r="U7" s="33">
        <v>120.81543833332964</v>
      </c>
      <c r="V7" s="5">
        <v>8</v>
      </c>
      <c r="W7" s="5">
        <v>58.666666666666657</v>
      </c>
      <c r="X7" s="33">
        <v>1274.0836760010475</v>
      </c>
      <c r="Y7" s="5">
        <v>51.35142958853713</v>
      </c>
      <c r="Z7" s="5">
        <v>6885.8287275260309</v>
      </c>
      <c r="AA7" s="35"/>
    </row>
    <row r="8" spans="2:27" x14ac:dyDescent="0.2">
      <c r="B8" s="4">
        <v>5</v>
      </c>
      <c r="C8" s="4">
        <v>464</v>
      </c>
      <c r="D8" s="23">
        <v>1566585.3280842269</v>
      </c>
      <c r="E8" s="33">
        <v>103.80615259999307</v>
      </c>
      <c r="F8" s="5">
        <v>8</v>
      </c>
      <c r="G8" s="23">
        <v>81.333333333333329</v>
      </c>
      <c r="H8" s="33">
        <v>1244.3544150513526</v>
      </c>
      <c r="I8" s="23">
        <v>55.048032408584298</v>
      </c>
      <c r="J8" s="5">
        <v>6676.4509820403937</v>
      </c>
      <c r="K8" s="31"/>
      <c r="L8" s="23">
        <v>1921818.508870797</v>
      </c>
      <c r="M8" s="33">
        <v>111.45963680001699</v>
      </c>
      <c r="N8" s="5">
        <v>16</v>
      </c>
      <c r="O8" s="5">
        <v>68</v>
      </c>
      <c r="P8" s="33">
        <v>1153.692388765083</v>
      </c>
      <c r="Q8" s="5">
        <v>21.11289634466624</v>
      </c>
      <c r="R8" s="5">
        <v>6030.1629596595976</v>
      </c>
      <c r="S8" s="35"/>
      <c r="T8" s="23">
        <v>1958692.340072497</v>
      </c>
      <c r="U8" s="33">
        <v>146.50556357779229</v>
      </c>
      <c r="V8" s="5">
        <v>9</v>
      </c>
      <c r="W8" s="5">
        <v>61.333333333333343</v>
      </c>
      <c r="X8" s="33">
        <v>1359.4786566034761</v>
      </c>
      <c r="Y8" s="5">
        <v>52.706849186973876</v>
      </c>
      <c r="Z8" s="5">
        <v>6807.6555020367468</v>
      </c>
      <c r="AA8" s="35"/>
    </row>
    <row r="9" spans="2:27" x14ac:dyDescent="0.2">
      <c r="B9" s="4">
        <v>6</v>
      </c>
      <c r="C9" s="4">
        <v>787</v>
      </c>
      <c r="D9" s="23">
        <v>1562936.431929691</v>
      </c>
      <c r="E9" s="33">
        <v>220.83320224442934</v>
      </c>
      <c r="F9" s="5">
        <v>8</v>
      </c>
      <c r="G9" s="23">
        <v>82</v>
      </c>
      <c r="H9" s="33">
        <v>1246.5661555169993</v>
      </c>
      <c r="I9" s="23">
        <v>54.200512249084696</v>
      </c>
      <c r="J9" s="5">
        <v>6705.6307775582491</v>
      </c>
      <c r="K9" s="31"/>
      <c r="L9" s="23">
        <v>1965568.5783637541</v>
      </c>
      <c r="M9" s="33">
        <v>132.79837680000088</v>
      </c>
      <c r="N9" s="5">
        <v>15</v>
      </c>
      <c r="O9" s="5">
        <v>64.666666666666671</v>
      </c>
      <c r="P9" s="33">
        <v>1103.9969806109675</v>
      </c>
      <c r="Q9" s="5">
        <v>20.789345212830298</v>
      </c>
      <c r="R9" s="5">
        <v>5974.5653066065333</v>
      </c>
      <c r="S9" s="35"/>
      <c r="T9" s="23">
        <v>1952161.3062384769</v>
      </c>
      <c r="U9" s="33">
        <v>95.212712955557649</v>
      </c>
      <c r="V9" s="5">
        <v>8</v>
      </c>
      <c r="W9" s="5">
        <v>62</v>
      </c>
      <c r="X9" s="33">
        <v>1464.0683319916102</v>
      </c>
      <c r="Y9" s="5">
        <v>60.990943580619913</v>
      </c>
      <c r="Z9" s="5">
        <v>7036.3763449499029</v>
      </c>
      <c r="AA9" s="35"/>
    </row>
    <row r="10" spans="2:27" x14ac:dyDescent="0.2">
      <c r="B10" s="4">
        <v>7</v>
      </c>
      <c r="C10" s="4">
        <v>259</v>
      </c>
      <c r="D10" s="23">
        <v>1567061.2737576631</v>
      </c>
      <c r="E10" s="33">
        <v>117.58057500000319</v>
      </c>
      <c r="F10" s="5">
        <v>8</v>
      </c>
      <c r="G10" s="23">
        <v>82</v>
      </c>
      <c r="H10" s="33">
        <v>1305.3577527306995</v>
      </c>
      <c r="I10" s="23">
        <v>56.103467066184734</v>
      </c>
      <c r="J10" s="5">
        <v>6760.2321103489803</v>
      </c>
      <c r="K10" s="31"/>
      <c r="L10" s="23">
        <v>2045982.0033200399</v>
      </c>
      <c r="M10" s="33">
        <v>478.13405866667421</v>
      </c>
      <c r="N10" s="5">
        <v>11</v>
      </c>
      <c r="O10" s="5">
        <v>52</v>
      </c>
      <c r="P10" s="33">
        <v>506.66043172249397</v>
      </c>
      <c r="Q10" s="5">
        <v>22.149957534635263</v>
      </c>
      <c r="R10" s="5">
        <v>5116.3616670573874</v>
      </c>
      <c r="S10" s="35"/>
      <c r="T10" s="23">
        <v>2005759.929456179</v>
      </c>
      <c r="U10" s="33">
        <v>142.54742044443265</v>
      </c>
      <c r="V10" s="5">
        <v>9</v>
      </c>
      <c r="W10" s="5">
        <v>60</v>
      </c>
      <c r="X10" s="33">
        <v>1367.6825270559048</v>
      </c>
      <c r="Y10" s="5">
        <v>47.540125984971496</v>
      </c>
      <c r="Z10" s="5">
        <v>6929.1377523247311</v>
      </c>
      <c r="AA10" s="35"/>
    </row>
    <row r="11" spans="2:27" x14ac:dyDescent="0.2">
      <c r="B11" s="4">
        <v>8</v>
      </c>
      <c r="C11" s="4">
        <v>698</v>
      </c>
      <c r="D11" s="23">
        <v>1502165.2099343289</v>
      </c>
      <c r="E11" s="33">
        <v>144.38603482222081</v>
      </c>
      <c r="F11" s="5">
        <v>10</v>
      </c>
      <c r="G11" s="23">
        <v>89.333333333333329</v>
      </c>
      <c r="H11" s="33">
        <v>1507.9998222500553</v>
      </c>
      <c r="I11" s="23">
        <v>48.847811404285594</v>
      </c>
      <c r="J11" s="5">
        <v>6877.8858668577641</v>
      </c>
      <c r="K11" s="31"/>
      <c r="L11" s="23">
        <v>1939708.790902606</v>
      </c>
      <c r="M11" s="33">
        <v>154.23426097778915</v>
      </c>
      <c r="N11" s="5">
        <v>17</v>
      </c>
      <c r="O11" s="5">
        <v>67.333333333333329</v>
      </c>
      <c r="P11" s="33">
        <v>1130.4369542318423</v>
      </c>
      <c r="Q11" s="5">
        <v>19.330722626926601</v>
      </c>
      <c r="R11" s="5">
        <v>6002.9527545118326</v>
      </c>
      <c r="S11" s="35"/>
      <c r="T11" s="23">
        <v>1927662.947601292</v>
      </c>
      <c r="U11" s="33">
        <v>140.94213433333465</v>
      </c>
      <c r="V11" s="5">
        <v>10</v>
      </c>
      <c r="W11" s="5">
        <v>66.666666666666671</v>
      </c>
      <c r="X11" s="33">
        <v>1562.3669581827689</v>
      </c>
      <c r="Y11" s="5">
        <v>50.765526170903641</v>
      </c>
      <c r="Z11" s="5">
        <v>7170.5185896816056</v>
      </c>
      <c r="AA11" s="35"/>
    </row>
    <row r="12" spans="2:27" x14ac:dyDescent="0.2">
      <c r="B12" s="4">
        <v>9</v>
      </c>
      <c r="C12" s="4">
        <v>895</v>
      </c>
      <c r="D12" s="23">
        <v>1506796.0620990179</v>
      </c>
      <c r="E12" s="33">
        <v>196.92448422222191</v>
      </c>
      <c r="F12" s="5">
        <v>10</v>
      </c>
      <c r="G12" s="23">
        <v>90.666666666666671</v>
      </c>
      <c r="H12" s="33">
        <v>1585.5132885856553</v>
      </c>
      <c r="I12" s="23">
        <v>49.160110217219071</v>
      </c>
      <c r="J12" s="5">
        <v>7044.5446512225872</v>
      </c>
      <c r="K12" s="31"/>
      <c r="L12" s="23">
        <v>1910567.5656079189</v>
      </c>
      <c r="M12" s="33">
        <v>533.14029582222508</v>
      </c>
      <c r="N12" s="5">
        <v>15</v>
      </c>
      <c r="O12" s="5">
        <v>66.666666666666671</v>
      </c>
      <c r="P12" s="33">
        <v>1113.8809844247776</v>
      </c>
      <c r="Q12" s="5">
        <v>21.967514586999492</v>
      </c>
      <c r="R12" s="5">
        <v>5863.231934387074</v>
      </c>
      <c r="S12" s="35"/>
      <c r="T12" s="23">
        <v>1923125.789903691</v>
      </c>
      <c r="U12" s="33">
        <v>131.09704988889604</v>
      </c>
      <c r="V12" s="5">
        <v>10</v>
      </c>
      <c r="W12" s="5">
        <v>66.666666666666671</v>
      </c>
      <c r="X12" s="33">
        <v>1625.8813196253018</v>
      </c>
      <c r="Y12" s="5">
        <v>50.54443358702504</v>
      </c>
      <c r="Z12" s="5">
        <v>7133.4626072287992</v>
      </c>
      <c r="AA12" s="35"/>
    </row>
    <row r="13" spans="2:27" x14ac:dyDescent="0.2">
      <c r="B13" s="4">
        <v>10</v>
      </c>
      <c r="C13" s="4">
        <v>880</v>
      </c>
      <c r="D13" s="23">
        <v>1603929.431193097</v>
      </c>
      <c r="E13" s="33">
        <v>127.75392726666502</v>
      </c>
      <c r="F13" s="5">
        <v>9</v>
      </c>
      <c r="G13" s="23">
        <v>84</v>
      </c>
      <c r="H13" s="33">
        <v>1432.91041624237</v>
      </c>
      <c r="I13" s="23">
        <v>48.341577634995701</v>
      </c>
      <c r="J13" s="5">
        <v>7030.7415587656087</v>
      </c>
      <c r="K13" s="31"/>
      <c r="L13" s="23">
        <v>1946721.5501433089</v>
      </c>
      <c r="M13" s="33">
        <v>121.32225282221205</v>
      </c>
      <c r="N13" s="5">
        <v>14</v>
      </c>
      <c r="O13" s="5">
        <v>63.333333333333343</v>
      </c>
      <c r="P13" s="33">
        <v>1072.7964584962585</v>
      </c>
      <c r="Q13" s="5">
        <v>21.582712328884202</v>
      </c>
      <c r="R13" s="5">
        <v>5813.1759531546168</v>
      </c>
      <c r="S13" s="35"/>
      <c r="T13" s="23">
        <v>2008489.948083421</v>
      </c>
      <c r="U13" s="33">
        <v>150.66617444444759</v>
      </c>
      <c r="V13" s="5">
        <v>8</v>
      </c>
      <c r="W13" s="5">
        <v>58.666666666666657</v>
      </c>
      <c r="X13" s="33">
        <v>1254.7474792758708</v>
      </c>
      <c r="Y13" s="5">
        <v>51.594918725956227</v>
      </c>
      <c r="Z13" s="5">
        <v>6891.6939112851078</v>
      </c>
      <c r="AA13" s="35"/>
    </row>
    <row r="14" spans="2:27" x14ac:dyDescent="0.2">
      <c r="B14" s="47" t="s">
        <v>3</v>
      </c>
      <c r="C14" s="48"/>
      <c r="D14" s="9">
        <f>MIN(D4:D13)</f>
        <v>1502165.2099343289</v>
      </c>
      <c r="E14" s="22">
        <f>INDEX(E4:E13, MATCH($D$14, D4:D13, 0))</f>
        <v>144.38603482222081</v>
      </c>
      <c r="F14" s="9">
        <f>INDEX(F4:F13, MATCH($D$14, D4:D13, 0))</f>
        <v>10</v>
      </c>
      <c r="G14" s="9">
        <f>INDEX(G4:G13, MATCH($D$14, D4:D13, 0))</f>
        <v>89.333333333333329</v>
      </c>
      <c r="H14" s="22">
        <f>INDEX(H4:H13, MATCH($D$14, D4:D13, 0))</f>
        <v>1507.9998222500553</v>
      </c>
      <c r="I14" s="22">
        <f>INDEX(I4:I13, MATCH($D$14, D4:D13, 0))</f>
        <v>48.847811404285594</v>
      </c>
      <c r="J14" s="22">
        <f>INDEX(J4:J13, MATCH($D$14, D4:D13, 0))</f>
        <v>6877.8858668577641</v>
      </c>
      <c r="K14" s="32" t="e">
        <f>(D14-$D$15)/$D$15</f>
        <v>#DIV/0!</v>
      </c>
      <c r="L14" s="16">
        <f>MIN(L4:L13)</f>
        <v>1910567.5656079189</v>
      </c>
      <c r="M14" s="21">
        <f>INDEX(M4:M13, MATCH($L$14, L4:L13, 0))</f>
        <v>533.14029582222508</v>
      </c>
      <c r="N14" s="16">
        <f>INDEX(N4:N13, MATCH($L$14, L4:L13, 0))</f>
        <v>15</v>
      </c>
      <c r="O14" s="16">
        <f>INDEX(O4:O13, MATCH($L$14, L4:L13, 0))</f>
        <v>66.666666666666671</v>
      </c>
      <c r="P14" s="21">
        <f>INDEX(P4:P13, MATCH($L$14, L4:L13, 0))</f>
        <v>1113.8809844247776</v>
      </c>
      <c r="Q14" s="21">
        <f>INDEX(Q4:Q13, MATCH($L$14, L4:L13, 0))</f>
        <v>21.967514586999492</v>
      </c>
      <c r="R14" s="21">
        <f>INDEX(R4:R13, MATCH($L$14, L4:L13, 0))</f>
        <v>5863.231934387074</v>
      </c>
      <c r="S14" s="36" t="e">
        <f>(L14-$D$15)/$D$15</f>
        <v>#DIV/0!</v>
      </c>
      <c r="T14" s="38">
        <f>MIN(T4:T13)</f>
        <v>1923125.789903691</v>
      </c>
      <c r="U14" s="39">
        <f>INDEX(U4:U13, MATCH($T$14, T4:T13, 0))</f>
        <v>131.09704988889604</v>
      </c>
      <c r="V14" s="38">
        <f>INDEX(V4:V13, MATCH($T$14, T4:T13, 0))</f>
        <v>10</v>
      </c>
      <c r="W14" s="38">
        <f>INDEX(W4:W13, MATCH($T$14, T4:T13, 0))</f>
        <v>66.666666666666671</v>
      </c>
      <c r="X14" s="39">
        <f>INDEX(X4:X13, MATCH($T$14, T4:T13, 0))</f>
        <v>1625.8813196253018</v>
      </c>
      <c r="Y14" s="39">
        <f>INDEX(Y4:Y13, MATCH($T$14, T4:T13, 0))</f>
        <v>50.54443358702504</v>
      </c>
      <c r="Z14" s="39">
        <f>INDEX(Z4:Z13, MATCH($T$14, T4:T13, 0))</f>
        <v>7133.4626072287992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0.27187579167237164</v>
      </c>
      <c r="M15" s="41">
        <f t="shared" ref="M15:R15" si="0">(M14-E14)/E14</f>
        <v>2.6924644165113918</v>
      </c>
      <c r="N15" s="41">
        <f t="shared" si="0"/>
        <v>0.5</v>
      </c>
      <c r="O15" s="41">
        <f t="shared" si="0"/>
        <v>-0.25373134328358199</v>
      </c>
      <c r="P15" s="41">
        <f t="shared" si="0"/>
        <v>-0.26135204527890538</v>
      </c>
      <c r="Q15" s="41">
        <f t="shared" si="0"/>
        <v>-0.55028661560316694</v>
      </c>
      <c r="R15" s="41">
        <f t="shared" si="0"/>
        <v>-0.14752410146262657</v>
      </c>
      <c r="T15" s="41">
        <f>(T14-D14)/D14</f>
        <v>0.28023587364785629</v>
      </c>
      <c r="U15" s="41">
        <f t="shared" ref="U15:Y15" si="1">(U14-E14)/E14</f>
        <v>-9.203788267810796E-2</v>
      </c>
      <c r="V15" s="41">
        <f t="shared" si="1"/>
        <v>0</v>
      </c>
      <c r="W15" s="41">
        <f t="shared" si="1"/>
        <v>-0.25373134328358199</v>
      </c>
      <c r="X15" s="41">
        <f t="shared" si="1"/>
        <v>7.8170763441707786E-2</v>
      </c>
      <c r="Y15" s="41">
        <f t="shared" si="1"/>
        <v>3.4732818809372401E-2</v>
      </c>
      <c r="Z15" s="41">
        <f>(Z14-J14)/J14</f>
        <v>3.7159200562279483E-2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0:C1048576 C24:C29">
    <cfRule type="duplicateValues" dxfId="55" priority="9"/>
    <cfRule type="duplicateValues" dxfId="54" priority="10"/>
  </conditionalFormatting>
  <conditionalFormatting sqref="C14">
    <cfRule type="duplicateValues" dxfId="53" priority="7"/>
    <cfRule type="duplicateValues" dxfId="52" priority="8"/>
  </conditionalFormatting>
  <conditionalFormatting sqref="C15">
    <cfRule type="duplicateValues" dxfId="51" priority="5"/>
    <cfRule type="duplicateValues" dxfId="50" priority="6"/>
  </conditionalFormatting>
  <conditionalFormatting sqref="C30:C39">
    <cfRule type="duplicateValues" dxfId="49" priority="3"/>
    <cfRule type="duplicateValues" dxfId="48" priority="4"/>
  </conditionalFormatting>
  <conditionalFormatting sqref="C17:C2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</conditionalFormatting>
  <conditionalFormatting sqref="L14">
    <cfRule type="duplicateValues" dxfId="3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6" priority="1"/>
    <cfRule type="duplicateValues" dxfId="35" priority="2"/>
  </conditionalFormatting>
  <conditionalFormatting sqref="L14">
    <cfRule type="duplicateValues" dxfId="3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results107</vt:lpstr>
      <vt:lpstr>results130</vt:lpstr>
      <vt:lpstr>results191</vt:lpstr>
      <vt:lpstr>results199</vt:lpstr>
      <vt:lpstr>results211</vt:lpstr>
      <vt:lpstr>results299</vt:lpstr>
      <vt:lpstr>results603</vt:lpstr>
      <vt:lpstr>results732</vt:lpstr>
      <vt:lpstr>results986</vt:lpstr>
      <vt:lpstr>results990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2026-10-16T20:13:56Z</dcterms:modified>
</cp:coreProperties>
</file>