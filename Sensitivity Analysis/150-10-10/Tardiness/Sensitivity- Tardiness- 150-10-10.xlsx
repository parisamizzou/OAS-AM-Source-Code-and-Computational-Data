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Sensitivity Analysis/Large/150-10-10/Tardiness/"/>
    </mc:Choice>
  </mc:AlternateContent>
  <xr:revisionPtr revIDLastSave="0" documentId="13_ncr:1_{F23931C8-3D25-3142-BBD4-5897FF71CF59}" xr6:coauthVersionLast="47" xr6:coauthVersionMax="47" xr10:uidLastSave="{00000000-0000-0000-0000-000000000000}"/>
  <bookViews>
    <workbookView xWindow="0" yWindow="740" windowWidth="34560" windowHeight="21600" tabRatio="842" xr2:uid="{41E620E7-D6DF-9342-B452-EA60AB3B07C5}"/>
  </bookViews>
  <sheets>
    <sheet name="Summary" sheetId="68" r:id="rId1"/>
    <sheet name="results45" sheetId="63" r:id="rId2"/>
    <sheet name="results229" sheetId="69" r:id="rId3"/>
    <sheet name="results268" sheetId="70" r:id="rId4"/>
    <sheet name="results346" sheetId="71" r:id="rId5"/>
    <sheet name="results418" sheetId="72" r:id="rId6"/>
    <sheet name="results464" sheetId="76" r:id="rId7"/>
    <sheet name="results658" sheetId="77" r:id="rId8"/>
    <sheet name="results720" sheetId="73" r:id="rId9"/>
    <sheet name="results846" sheetId="74" r:id="rId10"/>
    <sheet name="results910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75" l="1"/>
  <c r="G14" i="75" s="1"/>
  <c r="D14" i="74"/>
  <c r="K14" i="74" s="1"/>
  <c r="D14" i="73"/>
  <c r="I14" i="73" s="1"/>
  <c r="D14" i="77"/>
  <c r="D14" i="76"/>
  <c r="E14" i="76" s="1"/>
  <c r="D14" i="72"/>
  <c r="K14" i="72" s="1"/>
  <c r="D14" i="71"/>
  <c r="D14" i="70"/>
  <c r="E14" i="70" s="1"/>
  <c r="D14" i="69"/>
  <c r="G14" i="69" s="1"/>
  <c r="H14" i="75" l="1"/>
  <c r="E14" i="75"/>
  <c r="I14" i="75"/>
  <c r="J14" i="75"/>
  <c r="F14" i="75"/>
  <c r="K14" i="75"/>
  <c r="I14" i="74"/>
  <c r="J14" i="74"/>
  <c r="E14" i="74"/>
  <c r="F14" i="74"/>
  <c r="G14" i="74"/>
  <c r="H14" i="74"/>
  <c r="K14" i="73"/>
  <c r="E14" i="73"/>
  <c r="F14" i="73"/>
  <c r="J14" i="73"/>
  <c r="G14" i="73"/>
  <c r="H14" i="73"/>
  <c r="J14" i="77"/>
  <c r="E14" i="77"/>
  <c r="F14" i="77"/>
  <c r="G14" i="77"/>
  <c r="I14" i="77"/>
  <c r="K14" i="77"/>
  <c r="H14" i="77"/>
  <c r="G14" i="76"/>
  <c r="I14" i="76"/>
  <c r="J14" i="76"/>
  <c r="K14" i="76"/>
  <c r="F14" i="76"/>
  <c r="H14" i="76"/>
  <c r="I14" i="72"/>
  <c r="J14" i="72"/>
  <c r="H14" i="72"/>
  <c r="E14" i="72"/>
  <c r="G14" i="72"/>
  <c r="F14" i="72"/>
  <c r="G14" i="71"/>
  <c r="H14" i="71"/>
  <c r="F14" i="71"/>
  <c r="E14" i="71"/>
  <c r="I14" i="71"/>
  <c r="J14" i="71"/>
  <c r="K14" i="71"/>
  <c r="K14" i="70"/>
  <c r="G14" i="70"/>
  <c r="F14" i="70"/>
  <c r="H14" i="70"/>
  <c r="J14" i="70"/>
  <c r="I14" i="70"/>
  <c r="F14" i="69"/>
  <c r="I14" i="69"/>
  <c r="J14" i="69"/>
  <c r="K14" i="69"/>
  <c r="E14" i="69"/>
  <c r="H14" i="69"/>
  <c r="G4" i="68" a="1"/>
  <c r="E3" i="68" a="1"/>
  <c r="H9" i="68" a="1"/>
  <c r="D12" i="68" a="1"/>
  <c r="F7" i="68" a="1"/>
  <c r="C11" i="68" a="1"/>
  <c r="C9" i="68" a="1"/>
  <c r="G7" i="68" a="1"/>
  <c r="C3" i="68" a="1"/>
  <c r="H8" i="68" a="1"/>
  <c r="H10" i="68" a="1"/>
  <c r="I8" i="68" a="1"/>
  <c r="G9" i="68" a="1"/>
  <c r="G5" i="68" a="1"/>
  <c r="I9" i="68" a="1"/>
  <c r="E8" i="68" a="1"/>
  <c r="G3" i="68" a="1"/>
  <c r="F5" i="68" a="1"/>
  <c r="D4" i="68" a="1"/>
  <c r="H5" i="68" a="1"/>
  <c r="C12" i="68" a="1"/>
  <c r="G8" i="68" a="1"/>
  <c r="H11" i="68" a="1"/>
  <c r="E6" i="68" a="1"/>
  <c r="H7" i="68" a="1"/>
  <c r="G11" i="68" a="1"/>
  <c r="I12" i="68" a="1"/>
  <c r="G12" i="68" a="1"/>
  <c r="D9" i="68" a="1"/>
  <c r="I4" i="68" a="1"/>
  <c r="G6" i="68" a="1"/>
  <c r="C10" i="68" a="1"/>
  <c r="I5" i="68" a="1"/>
  <c r="F3" i="68" a="1"/>
  <c r="F4" i="68" a="1"/>
  <c r="C5" i="68" a="1"/>
  <c r="D11" i="68" a="1"/>
  <c r="E7" i="68" a="1"/>
  <c r="E4" i="68" a="1"/>
  <c r="D5" i="68" a="1"/>
  <c r="D6" i="68" a="1"/>
  <c r="F11" i="68" a="1"/>
  <c r="I7" i="68" a="1"/>
  <c r="D10" i="68" a="1"/>
  <c r="C6" i="68" a="1"/>
  <c r="F12" i="68" a="1"/>
  <c r="I11" i="68" a="1"/>
  <c r="I6" i="68" a="1"/>
  <c r="H4" i="68" a="1"/>
  <c r="E11" i="68" a="1"/>
  <c r="H6" i="68" a="1"/>
  <c r="D7" i="68" a="1"/>
  <c r="H3" i="68" a="1"/>
  <c r="C7" i="68" a="1"/>
  <c r="C4" i="68" a="1"/>
  <c r="E12" i="68" a="1"/>
  <c r="G10" i="68" a="1"/>
  <c r="C8" i="68" a="1"/>
  <c r="E10" i="68" a="1"/>
  <c r="D8" i="68" a="1"/>
  <c r="F10" i="68" a="1"/>
  <c r="F9" i="68" a="1"/>
  <c r="F8" i="68" a="1"/>
  <c r="I3" i="68" a="1"/>
  <c r="E5" i="68" a="1"/>
  <c r="E9" i="68" a="1"/>
  <c r="H12" i="68" a="1"/>
  <c r="F6" i="68" a="1"/>
  <c r="I10" i="68" a="1"/>
  <c r="C10" i="68" l="1"/>
  <c r="D10" i="68"/>
  <c r="E3" i="68"/>
  <c r="G9" i="68"/>
  <c r="I3" i="68"/>
  <c r="H3" i="68"/>
  <c r="C4" i="68"/>
  <c r="D7" i="68"/>
  <c r="I10" i="68"/>
  <c r="H5" i="68"/>
  <c r="D6" i="68"/>
  <c r="H11" i="68"/>
  <c r="E8" i="68"/>
  <c r="E11" i="68"/>
  <c r="C3" i="68"/>
  <c r="I7" i="68"/>
  <c r="E7" i="68"/>
  <c r="E5" i="68"/>
  <c r="C7" i="68"/>
  <c r="H4" i="68"/>
  <c r="I6" i="68"/>
  <c r="F8" i="68"/>
  <c r="D8" i="68"/>
  <c r="C9" i="68"/>
  <c r="G7" i="68"/>
  <c r="G3" i="68"/>
  <c r="H6" i="68"/>
  <c r="E6" i="68"/>
  <c r="I12" i="68"/>
  <c r="G6" i="68"/>
  <c r="F9" i="68"/>
  <c r="D4" i="68"/>
  <c r="F12" i="68"/>
  <c r="I8" i="68"/>
  <c r="F10" i="68"/>
  <c r="D9" i="68"/>
  <c r="F4" i="68"/>
  <c r="H7" i="68"/>
  <c r="E9" i="68"/>
  <c r="G12" i="68"/>
  <c r="H10" i="68"/>
  <c r="F3" i="68"/>
  <c r="I4" i="68"/>
  <c r="I11" i="68"/>
  <c r="C12" i="68"/>
  <c r="I9" i="68"/>
  <c r="F5" i="68"/>
  <c r="E4" i="68"/>
  <c r="F6" i="68"/>
  <c r="C5" i="68"/>
  <c r="G11" i="68"/>
  <c r="F11" i="68"/>
  <c r="H12" i="68"/>
  <c r="C6" i="68"/>
  <c r="F7" i="68"/>
  <c r="G5" i="68"/>
  <c r="D11" i="68"/>
  <c r="G4" i="68"/>
  <c r="C8" i="68"/>
  <c r="E12" i="68"/>
  <c r="H9" i="68"/>
  <c r="G8" i="68"/>
  <c r="H8" i="68"/>
  <c r="D5" i="68"/>
  <c r="D12" i="68"/>
  <c r="I5" i="68"/>
  <c r="E10" i="68"/>
  <c r="G10" i="68"/>
  <c r="C11" i="68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T14" i="75" l="1"/>
  <c r="Y14" i="75" s="1"/>
  <c r="L14" i="75"/>
  <c r="T14" i="74"/>
  <c r="AA14" i="74" s="1"/>
  <c r="L14" i="74"/>
  <c r="L14" i="73"/>
  <c r="T14" i="73"/>
  <c r="Z14" i="73" s="1"/>
  <c r="L14" i="77"/>
  <c r="T14" i="77"/>
  <c r="W14" i="77" s="1"/>
  <c r="T14" i="76"/>
  <c r="U14" i="76" s="1"/>
  <c r="L14" i="76"/>
  <c r="R14" i="76" s="1"/>
  <c r="T14" i="72"/>
  <c r="X14" i="72" s="1"/>
  <c r="L14" i="72"/>
  <c r="L14" i="71"/>
  <c r="Q14" i="71" s="1"/>
  <c r="Q15" i="71" s="1"/>
  <c r="T14" i="71"/>
  <c r="AA14" i="71" s="1"/>
  <c r="T14" i="70"/>
  <c r="AA14" i="70" s="1"/>
  <c r="L14" i="70"/>
  <c r="N14" i="70" s="1"/>
  <c r="T14" i="69"/>
  <c r="Z14" i="69" s="1"/>
  <c r="L14" i="69"/>
  <c r="O14" i="69" s="1"/>
  <c r="Q14" i="75"/>
  <c r="Q14" i="74"/>
  <c r="R14" i="73"/>
  <c r="R15" i="73" s="1"/>
  <c r="R14" i="77"/>
  <c r="N14" i="69"/>
  <c r="N14" i="76"/>
  <c r="M14" i="69"/>
  <c r="M15" i="69" s="1"/>
  <c r="L15" i="77"/>
  <c r="L15" i="72"/>
  <c r="O14" i="71"/>
  <c r="R14" i="71"/>
  <c r="R2" i="71" s="1"/>
  <c r="M14" i="71"/>
  <c r="P14" i="77"/>
  <c r="P14" i="72"/>
  <c r="Q14" i="73"/>
  <c r="S14" i="72"/>
  <c r="Q14" i="69"/>
  <c r="R14" i="69"/>
  <c r="R15" i="69" s="1"/>
  <c r="L15" i="69"/>
  <c r="O14" i="77"/>
  <c r="Q14" i="72"/>
  <c r="R14" i="74"/>
  <c r="O14" i="72"/>
  <c r="R14" i="72"/>
  <c r="O14" i="73"/>
  <c r="S14" i="73"/>
  <c r="S14" i="77"/>
  <c r="S14" i="74"/>
  <c r="M14" i="73"/>
  <c r="P14" i="69"/>
  <c r="P15" i="69" s="1"/>
  <c r="M14" i="74"/>
  <c r="S14" i="76"/>
  <c r="P14" i="76"/>
  <c r="O14" i="74"/>
  <c r="Q14" i="76"/>
  <c r="M14" i="76"/>
  <c r="N14" i="74"/>
  <c r="L15" i="76"/>
  <c r="L15" i="74"/>
  <c r="N14" i="77"/>
  <c r="Q14" i="77"/>
  <c r="P14" i="73"/>
  <c r="N14" i="72"/>
  <c r="P14" i="74"/>
  <c r="E13" i="68"/>
  <c r="C13" i="68"/>
  <c r="J13" i="68" s="1"/>
  <c r="G13" i="68"/>
  <c r="F13" i="68"/>
  <c r="H13" i="68"/>
  <c r="I13" i="68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S12" i="68" a="1"/>
  <c r="M11" i="68" a="1"/>
  <c r="S4" i="68" a="1"/>
  <c r="K11" i="68" a="1"/>
  <c r="P4" i="68" a="1"/>
  <c r="M9" i="68" a="1"/>
  <c r="M7" i="68" a="1"/>
  <c r="K7" i="68" a="1"/>
  <c r="P6" i="68" a="1"/>
  <c r="N4" i="68" a="1"/>
  <c r="Y10" i="68" a="1"/>
  <c r="K12" i="68" a="1"/>
  <c r="N7" i="68" a="1"/>
  <c r="S6" i="68" a="1"/>
  <c r="S7" i="68" a="1"/>
  <c r="T8" i="68" a="1"/>
  <c r="K6" i="68" a="1"/>
  <c r="L10" i="68" a="1"/>
  <c r="K4" i="68" a="1"/>
  <c r="N11" i="68" a="1"/>
  <c r="K8" i="68" a="1"/>
  <c r="O10" i="68" a="1"/>
  <c r="L8" i="68" a="1"/>
  <c r="M5" i="68" a="1"/>
  <c r="V9" i="68" a="1"/>
  <c r="O4" i="68" a="1"/>
  <c r="S5" i="68" a="1"/>
  <c r="M8" i="68" a="1"/>
  <c r="L4" i="68" a="1"/>
  <c r="Q7" i="68" a="1"/>
  <c r="K10" i="68" a="1"/>
  <c r="K9" i="68" a="1"/>
  <c r="M4" i="68" a="1"/>
  <c r="Q4" i="68" a="1"/>
  <c r="N10" i="68" a="1"/>
  <c r="Y4" i="68" a="1"/>
  <c r="Q11" i="68" a="1"/>
  <c r="N9" i="68" a="1"/>
  <c r="P8" i="68" a="1"/>
  <c r="S9" i="68" a="1"/>
  <c r="L6" i="68" a="1"/>
  <c r="S8" i="68" a="1"/>
  <c r="Q8" i="68" a="1"/>
  <c r="P12" i="68" a="1"/>
  <c r="O7" i="68" a="1"/>
  <c r="K5" i="68" a="1"/>
  <c r="Q6" i="68" a="1"/>
  <c r="P11" i="68" a="1"/>
  <c r="W7" i="68" a="1"/>
  <c r="P7" i="68" a="1"/>
  <c r="N6" i="68" a="1"/>
  <c r="S10" i="68" a="1"/>
  <c r="X12" i="68" a="1"/>
  <c r="O8" i="68" a="1"/>
  <c r="O11" i="68" a="1"/>
  <c r="Q10" i="68" a="1"/>
  <c r="P9" i="68" a="1"/>
  <c r="L11" i="68" a="1"/>
  <c r="Q9" i="68" a="1"/>
  <c r="S11" i="68" a="1"/>
  <c r="O9" i="68" a="1"/>
  <c r="P10" i="68" a="1"/>
  <c r="Z14" i="75" l="1"/>
  <c r="X14" i="75"/>
  <c r="W14" i="75"/>
  <c r="U14" i="75"/>
  <c r="U15" i="75" s="1"/>
  <c r="Z14" i="77"/>
  <c r="Z15" i="77" s="1"/>
  <c r="K12" i="68"/>
  <c r="S12" i="68"/>
  <c r="L15" i="75"/>
  <c r="O14" i="75"/>
  <c r="X14" i="74"/>
  <c r="M14" i="75"/>
  <c r="M15" i="75" s="1"/>
  <c r="U14" i="74"/>
  <c r="U15" i="74" s="1"/>
  <c r="W14" i="74"/>
  <c r="W15" i="74" s="1"/>
  <c r="AA14" i="75"/>
  <c r="Z14" i="74"/>
  <c r="Z15" i="74" s="1"/>
  <c r="R14" i="75"/>
  <c r="R2" i="75" s="1"/>
  <c r="Z14" i="76"/>
  <c r="N14" i="75"/>
  <c r="X14" i="76"/>
  <c r="V14" i="75"/>
  <c r="S14" i="75"/>
  <c r="T15" i="75"/>
  <c r="P14" i="75"/>
  <c r="V14" i="72"/>
  <c r="V14" i="76"/>
  <c r="V15" i="76" s="1"/>
  <c r="U14" i="77"/>
  <c r="U15" i="77" s="1"/>
  <c r="AA14" i="77"/>
  <c r="W14" i="76"/>
  <c r="W15" i="76" s="1"/>
  <c r="Y14" i="72"/>
  <c r="Y15" i="72" s="1"/>
  <c r="T15" i="76"/>
  <c r="AA14" i="76"/>
  <c r="U14" i="72"/>
  <c r="U15" i="72" s="1"/>
  <c r="V14" i="77"/>
  <c r="V15" i="77" s="1"/>
  <c r="K11" i="68"/>
  <c r="S11" i="68"/>
  <c r="Y14" i="74"/>
  <c r="V14" i="74"/>
  <c r="V15" i="74" s="1"/>
  <c r="T15" i="74"/>
  <c r="Y14" i="77"/>
  <c r="Y15" i="77" s="1"/>
  <c r="T15" i="72"/>
  <c r="S10" i="68"/>
  <c r="K10" i="68"/>
  <c r="X14" i="77"/>
  <c r="X15" i="77" s="1"/>
  <c r="T15" i="77"/>
  <c r="U14" i="73"/>
  <c r="U15" i="73" s="1"/>
  <c r="T15" i="73"/>
  <c r="X14" i="73"/>
  <c r="X15" i="73" s="1"/>
  <c r="AA14" i="73"/>
  <c r="V14" i="73"/>
  <c r="N14" i="73"/>
  <c r="N15" i="73" s="1"/>
  <c r="L15" i="73"/>
  <c r="Y14" i="73"/>
  <c r="W14" i="73"/>
  <c r="Z14" i="72"/>
  <c r="S9" i="68"/>
  <c r="K9" i="68"/>
  <c r="M14" i="77"/>
  <c r="AA14" i="72"/>
  <c r="K8" i="68"/>
  <c r="S8" i="68"/>
  <c r="O14" i="76"/>
  <c r="Y14" i="76"/>
  <c r="K7" i="68"/>
  <c r="S7" i="68"/>
  <c r="M14" i="72"/>
  <c r="M15" i="72" s="1"/>
  <c r="W14" i="72"/>
  <c r="L15" i="71"/>
  <c r="N14" i="71"/>
  <c r="W14" i="71"/>
  <c r="V14" i="71"/>
  <c r="Z14" i="71"/>
  <c r="X14" i="71"/>
  <c r="P14" i="71"/>
  <c r="T15" i="71"/>
  <c r="Y14" i="71"/>
  <c r="S6" i="68"/>
  <c r="K6" i="68"/>
  <c r="U14" i="71"/>
  <c r="S14" i="71"/>
  <c r="Y14" i="69"/>
  <c r="Y15" i="69" s="1"/>
  <c r="W14" i="69"/>
  <c r="W15" i="69" s="1"/>
  <c r="S5" i="68"/>
  <c r="K5" i="68"/>
  <c r="Z14" i="70"/>
  <c r="P14" i="70"/>
  <c r="T15" i="70"/>
  <c r="S14" i="70"/>
  <c r="O14" i="70"/>
  <c r="Q14" i="70"/>
  <c r="Y14" i="70"/>
  <c r="V14" i="70"/>
  <c r="V15" i="70" s="1"/>
  <c r="M14" i="70"/>
  <c r="W14" i="70"/>
  <c r="U14" i="70"/>
  <c r="R14" i="70"/>
  <c r="X14" i="70"/>
  <c r="L15" i="70"/>
  <c r="K4" i="68"/>
  <c r="S4" i="68"/>
  <c r="T15" i="69"/>
  <c r="AA14" i="69"/>
  <c r="U14" i="69"/>
  <c r="U15" i="69" s="1"/>
  <c r="X14" i="69"/>
  <c r="X15" i="69" s="1"/>
  <c r="V14" i="69"/>
  <c r="V15" i="69" s="1"/>
  <c r="S14" i="69"/>
  <c r="P6" i="68"/>
  <c r="X12" i="68"/>
  <c r="P12" i="68"/>
  <c r="X15" i="75"/>
  <c r="W15" i="75"/>
  <c r="Y15" i="75"/>
  <c r="O15" i="75"/>
  <c r="Q15" i="75"/>
  <c r="Z15" i="75"/>
  <c r="N11" i="68"/>
  <c r="O11" i="68"/>
  <c r="M11" i="68"/>
  <c r="P11" i="68"/>
  <c r="L11" i="68"/>
  <c r="Q11" i="68"/>
  <c r="O15" i="74"/>
  <c r="N15" i="74"/>
  <c r="Q15" i="74"/>
  <c r="M15" i="74"/>
  <c r="R2" i="74"/>
  <c r="P10" i="68"/>
  <c r="Y10" i="68"/>
  <c r="Q10" i="68"/>
  <c r="L10" i="68"/>
  <c r="O10" i="68"/>
  <c r="N10" i="68"/>
  <c r="Q15" i="73"/>
  <c r="Z15" i="73"/>
  <c r="R2" i="73"/>
  <c r="M15" i="73"/>
  <c r="P2" i="73"/>
  <c r="O15" i="73"/>
  <c r="M9" i="68"/>
  <c r="M4" i="68"/>
  <c r="Q9" i="68"/>
  <c r="V9" i="68"/>
  <c r="P9" i="68"/>
  <c r="N9" i="68"/>
  <c r="O9" i="68"/>
  <c r="N15" i="77"/>
  <c r="R15" i="77"/>
  <c r="R2" i="77"/>
  <c r="N15" i="69"/>
  <c r="W15" i="77"/>
  <c r="Q15" i="77"/>
  <c r="O15" i="77"/>
  <c r="P2" i="77"/>
  <c r="O8" i="68"/>
  <c r="T8" i="68"/>
  <c r="L8" i="68"/>
  <c r="Q8" i="68"/>
  <c r="M8" i="68"/>
  <c r="P8" i="68"/>
  <c r="L4" i="68"/>
  <c r="P2" i="76"/>
  <c r="U15" i="76"/>
  <c r="M15" i="76"/>
  <c r="R2" i="76"/>
  <c r="O15" i="76"/>
  <c r="N15" i="76"/>
  <c r="Q15" i="76"/>
  <c r="N7" i="68"/>
  <c r="O7" i="68"/>
  <c r="M7" i="68"/>
  <c r="P7" i="68"/>
  <c r="Q7" i="68"/>
  <c r="W7" i="68"/>
  <c r="O15" i="72"/>
  <c r="P2" i="72"/>
  <c r="N15" i="72"/>
  <c r="Q15" i="72"/>
  <c r="R2" i="72"/>
  <c r="X15" i="72"/>
  <c r="L6" i="68"/>
  <c r="Q6" i="68"/>
  <c r="N6" i="68"/>
  <c r="P15" i="76"/>
  <c r="M15" i="71"/>
  <c r="O15" i="71"/>
  <c r="R15" i="71"/>
  <c r="N15" i="71"/>
  <c r="P15" i="77"/>
  <c r="M5" i="68"/>
  <c r="P2" i="70"/>
  <c r="O15" i="70"/>
  <c r="R15" i="74"/>
  <c r="P15" i="72"/>
  <c r="N15" i="70"/>
  <c r="P4" i="68"/>
  <c r="Y4" i="68"/>
  <c r="O4" i="68"/>
  <c r="N4" i="68"/>
  <c r="Q4" i="68"/>
  <c r="Q15" i="69"/>
  <c r="Z15" i="69"/>
  <c r="P15" i="73"/>
  <c r="P2" i="69"/>
  <c r="O15" i="69"/>
  <c r="R2" i="69"/>
  <c r="R15" i="72"/>
  <c r="P15" i="70"/>
  <c r="R15" i="76"/>
  <c r="P2" i="74"/>
  <c r="P15" i="74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L7" i="68" a="1"/>
  <c r="X5" i="68" a="1"/>
  <c r="O5" i="68" a="1"/>
  <c r="U4" i="68" a="1"/>
  <c r="X7" i="68" a="1"/>
  <c r="N12" i="68" a="1"/>
  <c r="O12" i="68" a="1"/>
  <c r="X10" i="68" a="1"/>
  <c r="X6" i="68" a="1"/>
  <c r="W10" i="68" a="1"/>
  <c r="W11" i="68" a="1"/>
  <c r="Q5" i="68" a="1"/>
  <c r="W12" i="68" a="1"/>
  <c r="U7" i="68" a="1"/>
  <c r="O6" i="68" a="1"/>
  <c r="T11" i="68" a="1"/>
  <c r="V6" i="68" a="1"/>
  <c r="U8" i="68" a="1"/>
  <c r="Q12" i="68" a="1"/>
  <c r="U12" i="68" a="1"/>
  <c r="Y9" i="68" a="1"/>
  <c r="P5" i="68" a="1"/>
  <c r="U10" i="68" a="1"/>
  <c r="V10" i="68" a="1"/>
  <c r="V8" i="68" a="1"/>
  <c r="V5" i="68" a="1"/>
  <c r="U11" i="68" a="1"/>
  <c r="T6" i="68" a="1"/>
  <c r="W8" i="68" a="1"/>
  <c r="N8" i="68" a="1"/>
  <c r="Y7" i="68" a="1"/>
  <c r="M12" i="68" a="1"/>
  <c r="U6" i="68" a="1"/>
  <c r="L12" i="68" a="1"/>
  <c r="L5" i="68" a="1"/>
  <c r="X8" i="68" a="1"/>
  <c r="V12" i="68" a="1"/>
  <c r="T5" i="68" a="1"/>
  <c r="T10" i="68" a="1"/>
  <c r="W6" i="68" a="1"/>
  <c r="W5" i="68" a="1"/>
  <c r="T9" i="68" a="1"/>
  <c r="V11" i="68" a="1"/>
  <c r="V4" i="68" a="1"/>
  <c r="X9" i="68" a="1"/>
  <c r="X4" i="68" a="1"/>
  <c r="U9" i="68" a="1"/>
  <c r="T12" i="68" a="1"/>
  <c r="Y8" i="68" a="1"/>
  <c r="M6" i="68" a="1"/>
  <c r="M10" i="68" a="1"/>
  <c r="L9" i="68" a="1"/>
  <c r="T4" i="68" a="1"/>
  <c r="V7" i="68" a="1"/>
  <c r="Y5" i="68" a="1"/>
  <c r="Y12" i="68" a="1"/>
  <c r="T7" i="68" a="1"/>
  <c r="W4" i="68" a="1"/>
  <c r="U5" i="68" a="1"/>
  <c r="X11" i="68" a="1"/>
  <c r="W9" i="68" a="1"/>
  <c r="N5" i="68" a="1"/>
  <c r="Y6" i="68" a="1"/>
  <c r="Y11" i="68" a="1"/>
  <c r="T12" i="68" l="1"/>
  <c r="V12" i="68"/>
  <c r="W12" i="68"/>
  <c r="Y12" i="68"/>
  <c r="Y9" i="68"/>
  <c r="O12" i="68"/>
  <c r="M12" i="68"/>
  <c r="Y8" i="68"/>
  <c r="U7" i="68"/>
  <c r="U12" i="68"/>
  <c r="W8" i="68"/>
  <c r="Q12" i="68"/>
  <c r="Y11" i="68"/>
  <c r="V11" i="68"/>
  <c r="T11" i="68"/>
  <c r="L12" i="68"/>
  <c r="W11" i="68"/>
  <c r="N12" i="68"/>
  <c r="X15" i="76"/>
  <c r="V15" i="72"/>
  <c r="P2" i="75"/>
  <c r="V15" i="75"/>
  <c r="R15" i="75"/>
  <c r="X15" i="74"/>
  <c r="P15" i="75"/>
  <c r="N15" i="75"/>
  <c r="Z15" i="76"/>
  <c r="T9" i="68"/>
  <c r="U8" i="68"/>
  <c r="U9" i="68"/>
  <c r="T7" i="68"/>
  <c r="X7" i="68"/>
  <c r="V8" i="68"/>
  <c r="U11" i="68"/>
  <c r="X11" i="68"/>
  <c r="Y15" i="74"/>
  <c r="X9" i="68"/>
  <c r="Y7" i="68"/>
  <c r="V10" i="68"/>
  <c r="X10" i="68"/>
  <c r="M10" i="68"/>
  <c r="U10" i="68"/>
  <c r="W10" i="68"/>
  <c r="T10" i="68"/>
  <c r="W9" i="68"/>
  <c r="W15" i="73"/>
  <c r="V15" i="73"/>
  <c r="Z15" i="72"/>
  <c r="Y15" i="73"/>
  <c r="L9" i="68"/>
  <c r="M15" i="77"/>
  <c r="X8" i="68"/>
  <c r="N8" i="68"/>
  <c r="Y15" i="76"/>
  <c r="L7" i="68"/>
  <c r="V7" i="68"/>
  <c r="W15" i="72"/>
  <c r="X6" i="68"/>
  <c r="O6" i="68"/>
  <c r="W6" i="68"/>
  <c r="Y6" i="68"/>
  <c r="U6" i="68"/>
  <c r="V6" i="68"/>
  <c r="M6" i="68"/>
  <c r="X15" i="71"/>
  <c r="Z15" i="71"/>
  <c r="P15" i="71"/>
  <c r="V15" i="71"/>
  <c r="P2" i="71"/>
  <c r="W15" i="71"/>
  <c r="Y15" i="71"/>
  <c r="T6" i="68"/>
  <c r="U15" i="71"/>
  <c r="V4" i="68"/>
  <c r="X4" i="68"/>
  <c r="T5" i="68"/>
  <c r="V5" i="68"/>
  <c r="L5" i="68"/>
  <c r="U5" i="68"/>
  <c r="Q5" i="68"/>
  <c r="X5" i="68"/>
  <c r="W5" i="68"/>
  <c r="P5" i="68"/>
  <c r="N5" i="68"/>
  <c r="O5" i="68"/>
  <c r="Y5" i="68"/>
  <c r="U15" i="70"/>
  <c r="R15" i="70"/>
  <c r="Y15" i="70"/>
  <c r="Q15" i="70"/>
  <c r="W15" i="70"/>
  <c r="Z15" i="70"/>
  <c r="R2" i="70"/>
  <c r="M15" i="70"/>
  <c r="X15" i="70"/>
  <c r="U4" i="68"/>
  <c r="W4" i="68"/>
  <c r="T4" i="68"/>
  <c r="T14" i="63"/>
  <c r="G14" i="26"/>
  <c r="E14" i="26"/>
  <c r="D14" i="26"/>
  <c r="K14" i="26"/>
  <c r="P14" i="25"/>
  <c r="N14" i="25"/>
  <c r="M14" i="25"/>
  <c r="T14" i="25"/>
  <c r="D14" i="25"/>
  <c r="I4" i="23" a="1"/>
  <c r="H4" i="23" a="1"/>
  <c r="S3" i="68" a="1"/>
  <c r="S3" i="68" l="1"/>
  <c r="S13" i="68" s="1"/>
  <c r="E18" i="68" s="1"/>
  <c r="V14" i="63"/>
  <c r="D14" i="63"/>
  <c r="K14" i="63" s="1"/>
  <c r="L14" i="63"/>
  <c r="U14" i="63"/>
  <c r="W14" i="63"/>
  <c r="Z14" i="63"/>
  <c r="X14" i="63"/>
  <c r="AA14" i="63"/>
  <c r="Y14" i="63"/>
  <c r="H4" i="23"/>
  <c r="I4" i="23"/>
  <c r="F7" i="23" a="1"/>
  <c r="D12" i="23" a="1"/>
  <c r="G11" i="23" a="1"/>
  <c r="G9" i="23" a="1"/>
  <c r="D9" i="23" a="1"/>
  <c r="D10" i="23" a="1"/>
  <c r="G8" i="23" a="1"/>
  <c r="F9" i="23" a="1"/>
  <c r="X3" i="68" a="1"/>
  <c r="E13" i="23" a="1"/>
  <c r="K3" i="68" a="1"/>
  <c r="E5" i="23" a="1"/>
  <c r="F12" i="23" a="1"/>
  <c r="V3" i="68" a="1"/>
  <c r="E10" i="23" a="1"/>
  <c r="D11" i="23" a="1"/>
  <c r="D13" i="23" a="1"/>
  <c r="D8" i="23" a="1"/>
  <c r="E4" i="23" a="1"/>
  <c r="E6" i="23" a="1"/>
  <c r="F13" i="23" a="1"/>
  <c r="D4" i="23" a="1"/>
  <c r="G10" i="23" a="1"/>
  <c r="F8" i="23" a="1"/>
  <c r="E9" i="23" a="1"/>
  <c r="D5" i="23" a="1"/>
  <c r="F5" i="23" a="1"/>
  <c r="G12" i="23" a="1"/>
  <c r="T3" i="68" a="1"/>
  <c r="G7" i="23" a="1"/>
  <c r="E8" i="23" a="1"/>
  <c r="G5" i="23" a="1"/>
  <c r="G6" i="23" a="1"/>
  <c r="D7" i="23" a="1"/>
  <c r="G4" i="23" a="1"/>
  <c r="E7" i="23" a="1"/>
  <c r="E11" i="23" a="1"/>
  <c r="W3" i="68" a="1"/>
  <c r="D6" i="23" a="1"/>
  <c r="U3" i="68" a="1"/>
  <c r="F11" i="23" a="1"/>
  <c r="E12" i="23" a="1"/>
  <c r="F10" i="23" a="1"/>
  <c r="F4" i="23" a="1"/>
  <c r="F6" i="23" a="1"/>
  <c r="G13" i="23" a="1"/>
  <c r="Y3" i="68" a="1"/>
  <c r="T3" i="68" l="1"/>
  <c r="T13" i="68" s="1"/>
  <c r="X3" i="68"/>
  <c r="X13" i="68" s="1"/>
  <c r="V3" i="68"/>
  <c r="V13" i="68" s="1"/>
  <c r="K3" i="68"/>
  <c r="K13" i="68" s="1"/>
  <c r="D18" i="68" s="1"/>
  <c r="W3" i="68"/>
  <c r="W13" i="68" s="1"/>
  <c r="U3" i="68"/>
  <c r="U13" i="68" s="1"/>
  <c r="Y3" i="68"/>
  <c r="Y13" i="68" s="1"/>
  <c r="N14" i="63"/>
  <c r="Z13" i="68"/>
  <c r="S14" i="68"/>
  <c r="M14" i="63"/>
  <c r="Q14" i="63"/>
  <c r="R14" i="63"/>
  <c r="P14" i="63"/>
  <c r="S14" i="63"/>
  <c r="O14" i="63"/>
  <c r="F14" i="63"/>
  <c r="J14" i="63"/>
  <c r="G14" i="63"/>
  <c r="H14" i="63"/>
  <c r="E14" i="63"/>
  <c r="I14" i="63"/>
  <c r="T15" i="63"/>
  <c r="L15" i="63"/>
  <c r="V15" i="63"/>
  <c r="X15" i="63"/>
  <c r="W15" i="63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  <c r="D3" i="68" a="1"/>
  <c r="N3" i="68" a="1"/>
  <c r="M3" i="68" a="1"/>
  <c r="P3" i="68" a="1"/>
  <c r="L3" i="68" a="1"/>
  <c r="O3" i="68" a="1"/>
  <c r="Q3" i="68" a="1"/>
  <c r="D3" i="68" l="1"/>
  <c r="D13" i="68" s="1"/>
  <c r="T14" i="68" s="1"/>
  <c r="Y14" i="68"/>
  <c r="E23" i="68"/>
  <c r="U14" i="68"/>
  <c r="E19" i="68"/>
  <c r="W14" i="68"/>
  <c r="E22" i="68"/>
  <c r="V14" i="68"/>
  <c r="E20" i="68"/>
  <c r="X14" i="68"/>
  <c r="E21" i="68"/>
  <c r="N3" i="68"/>
  <c r="N13" i="68" s="1"/>
  <c r="Q3" i="68"/>
  <c r="Q13" i="68" s="1"/>
  <c r="P3" i="68"/>
  <c r="P13" i="68" s="1"/>
  <c r="O3" i="68"/>
  <c r="O13" i="68" s="1"/>
  <c r="L3" i="68"/>
  <c r="L13" i="68" s="1"/>
  <c r="M3" i="68"/>
  <c r="M13" i="68" s="1"/>
  <c r="O15" i="63"/>
  <c r="R2" i="63"/>
  <c r="R13" i="68"/>
  <c r="K14" i="68"/>
  <c r="P2" i="63"/>
  <c r="N15" i="63"/>
  <c r="Q15" i="63"/>
  <c r="M15" i="63"/>
  <c r="P15" i="63"/>
  <c r="U15" i="63"/>
  <c r="R15" i="63"/>
  <c r="Z15" i="63"/>
  <c r="Y15" i="63"/>
  <c r="L14" i="68" l="1"/>
  <c r="Q14" i="68"/>
  <c r="D23" i="68"/>
  <c r="N14" i="68"/>
  <c r="D20" i="68"/>
  <c r="O14" i="68"/>
  <c r="D22" i="68"/>
  <c r="M14" i="68"/>
  <c r="D19" i="68"/>
  <c r="P14" i="68"/>
  <c r="D21" i="6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<sst xmlns="http://schemas.openxmlformats.org/spreadsheetml/2006/main" count="662" uniqueCount="27">
  <si>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</si>
  <si>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</si>
  <si>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</si>
  <si>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</si>
  <si>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</si>
  <si>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</si>
  <si>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</si>
  <si>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</si>
  <si>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</si>
  <si>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</si>
  <si>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</si>
  <si>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</si>
  <si>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</si>
  <si>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</si>
  <si>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</si>
  <si>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</si>
  <si>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</si>
  <si>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</si>
  <si>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</si>
  <si>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-50%</t>
  </si>
  <si>
    <t>+50%</t>
  </si>
  <si>
    <t>Changes in total cost</t>
  </si>
  <si>
    <t>Changes in # of batches</t>
  </si>
  <si>
    <t>Acceptance rate</t>
  </si>
  <si>
    <t>Average batch utilization</t>
  </si>
  <si>
    <t>Average tardiness</t>
  </si>
  <si>
    <t>average completion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</si>
</sst>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/>
    <xf numFmtId="49" fontId="5" fillId="0" borderId="0" xfId="0" applyNumberFormat="1" applyFont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CB7B-A94E-4263-BFCA-D4E84F62D125}">
  <dimension ref="B1:Z23"/>
  <sheetViews>
    <sheetView tabSelected="1" topLeftCell="A2" zoomScale="85" zoomScaleNormal="70" workbookViewId="0">
      <selection activeCell="E18" sqref="E18:E23"/>
    </sheetView>
  </sheetViews>
  <sheetFormatPr baseColWidth="10" defaultColWidth="11.5" defaultRowHeight="16" x14ac:dyDescent="0.2"/>
  <cols>
    <col min="1" max="1" width="3.5" customWidth="1"/>
    <col min="2" max="2" width="11.6640625" style="1" bestFit="1" customWidth="1"/>
    <col min="3" max="3" width="21.1640625" bestFit="1" customWidth="1"/>
    <col min="4" max="4" width="9.6640625" bestFit="1" customWidth="1"/>
    <col min="5" max="5" width="9.33203125" bestFit="1" customWidth="1"/>
    <col min="6" max="6" width="18.5" bestFit="1" customWidth="1"/>
    <col min="7" max="7" width="19.5" bestFit="1" customWidth="1"/>
    <col min="8" max="8" width="24.83203125" bestFit="1" customWidth="1"/>
    <col min="9" max="9" width="18.1640625" bestFit="1" customWidth="1"/>
    <col min="10" max="10" width="11.6640625" bestFit="1" customWidth="1"/>
    <col min="11" max="11" width="8.1640625" bestFit="1" customWidth="1"/>
    <col min="12" max="12" width="9.33203125" bestFit="1" customWidth="1"/>
    <col min="13" max="13" width="8.83203125" bestFit="1" customWidth="1"/>
    <col min="14" max="14" width="17.83203125" bestFit="1" customWidth="1"/>
    <col min="15" max="15" width="12.33203125" bestFit="1" customWidth="1"/>
    <col min="16" max="16" width="23.83203125" bestFit="1" customWidth="1"/>
    <col min="17" max="17" width="17.5" bestFit="1" customWidth="1"/>
    <col min="18" max="18" width="7.33203125" bestFit="1" customWidth="1"/>
    <col min="19" max="19" width="8.1640625" bestFit="1" customWidth="1"/>
    <col min="20" max="20" width="9.1640625" bestFit="1" customWidth="1"/>
    <col min="21" max="21" width="8.6640625" bestFit="1" customWidth="1"/>
    <col min="22" max="22" width="17.6640625" bestFit="1" customWidth="1"/>
    <col min="23" max="23" width="12.1640625" bestFit="1" customWidth="1"/>
    <col min="24" max="24" width="23.6640625" bestFit="1" customWidth="1"/>
    <col min="25" max="25" width="17.33203125" bestFit="1" customWidth="1"/>
    <col min="26" max="26" width="5.83203125" bestFit="1" customWidth="1"/>
  </cols>
  <sheetData>
    <row r="1" spans="2:26" x14ac:dyDescent="0.2">
      <c r="B1" s="47">
        <v>0</v>
      </c>
      <c r="K1" s="48">
        <v>-0.5</v>
      </c>
      <c r="S1" s="48">
        <v>0.5</v>
      </c>
    </row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45</v>
      </c>
      <c r="C3" s="5" cm="1">
        <f t="array" aca="1" ref="C3" ca="1">INDIRECT("'results" &amp; $B3 &amp; "'!D$14")</f>
        <v>1109491.730596958</v>
      </c>
      <c r="D3" s="33" cm="1">
        <f t="array" aca="1" ref="D3" ca="1">INDIRECT("'results" &amp; $B3 &amp; "'!E$14")</f>
        <v>175.83051161536085</v>
      </c>
      <c r="E3" s="5" cm="1">
        <f t="array" aca="1" ref="E3" ca="1">INDIRECT("'results" &amp; $B3 &amp; "'!F$14")</f>
        <v>11</v>
      </c>
      <c r="F3" s="5" cm="1">
        <f t="array" aca="1" ref="F3" ca="1">INDIRECT("'results" &amp; $B3 &amp; "'!G$14")</f>
        <v>96</v>
      </c>
      <c r="G3" s="5" cm="1">
        <f t="array" aca="1" ref="G3" ca="1">INDIRECT("'results" &amp; $B3 &amp; "'!H$14")</f>
        <v>419.06882453373214</v>
      </c>
      <c r="H3" s="33" cm="1">
        <f t="array" aca="1" ref="H3" ca="1">INDIRECT("'results" &amp; $B3 &amp; "'!I$14")</f>
        <v>49.007721434937274</v>
      </c>
      <c r="I3" s="5" cm="1">
        <f t="array" aca="1" ref="I3" ca="1">INDIRECT("'results" &amp; $B3 &amp; "'!J$14")</f>
        <v>5556.5358758104085</v>
      </c>
      <c r="J3" s="5"/>
      <c r="K3" s="5" cm="1">
        <f t="array" aca="1" ref="K3" ca="1">INDIRECT("'results" &amp; $B3 &amp; "'!L$14")</f>
        <v>1083179.3759379401</v>
      </c>
      <c r="L3" s="5" cm="1">
        <f t="array" aca="1" ref="L3" ca="1">INDIRECT("'results" &amp; $B3 &amp; "'!M$14")</f>
        <v>346.31640569226312</v>
      </c>
      <c r="M3" s="5" cm="1">
        <f t="array" aca="1" ref="M3" ca="1">INDIRECT("'results" &amp; $B3 &amp; "'!N$14")</f>
        <v>13</v>
      </c>
      <c r="N3" s="5" cm="1">
        <f t="array" aca="1" ref="N3" ca="1">INDIRECT("'results" &amp; $B3 &amp; "'!O$14")</f>
        <v>96</v>
      </c>
      <c r="O3" s="5" cm="1">
        <f t="array" aca="1" ref="O3" ca="1">INDIRECT("'results" &amp; $B3 &amp; "'!P$14")</f>
        <v>355.44228379481621</v>
      </c>
      <c r="P3" s="5" cm="1">
        <f t="array" aca="1" ref="P3" ca="1">INDIRECT("'results" &amp; $B3 &amp; "'!Q$14")</f>
        <v>41.026626643521858</v>
      </c>
      <c r="Q3" s="5" cm="1">
        <f t="array" aca="1" ref="Q3" ca="1">INDIRECT("'results" &amp; $B3 &amp; "'!R$14")</f>
        <v>5264.7776982348551</v>
      </c>
      <c r="R3" s="5"/>
      <c r="S3" s="5" cm="1">
        <f t="array" aca="1" ref="S3" ca="1">INDIRECT("'results" &amp; $B3 &amp; "'!T$14")</f>
        <v>1123472.240537459</v>
      </c>
      <c r="T3" s="5" cm="1">
        <f t="array" aca="1" ref="T3" ca="1">INDIRECT("'results" &amp; $B3 &amp; "'!U$14")</f>
        <v>127.71339138459346</v>
      </c>
      <c r="U3" s="5" cm="1">
        <f t="array" aca="1" ref="U3" ca="1">INDIRECT("'results" &amp; $B3 &amp; "'!V$14")</f>
        <v>14</v>
      </c>
      <c r="V3" s="5" cm="1">
        <f t="array" aca="1" ref="V3" ca="1">INDIRECT("'results" &amp; $B3 &amp; "'!W$14")</f>
        <v>96</v>
      </c>
      <c r="W3" s="5" cm="1">
        <f t="array" aca="1" ref="W3" ca="1">INDIRECT("'results" &amp; $B3 &amp; "'!X$14")</f>
        <v>319.38908292623427</v>
      </c>
      <c r="X3" s="5" cm="1">
        <f t="array" aca="1" ref="X3" ca="1">INDIRECT("'results" &amp; $B3 &amp; "'!Y$14")</f>
        <v>37.935225836503491</v>
      </c>
      <c r="Y3" s="5" cm="1">
        <f t="array" aca="1" ref="Y3" ca="1">INDIRECT("'results" &amp; $B3 &amp; "'!Z$14")</f>
        <v>5177.2410926618049</v>
      </c>
      <c r="Z3" s="5"/>
    </row>
    <row r="4" spans="2:26" x14ac:dyDescent="0.2">
      <c r="B4" s="4">
        <v>229</v>
      </c>
      <c r="C4" s="5" cm="1">
        <f t="array" aca="1" ref="C4" ca="1">INDIRECT("'results" &amp; $B4 &amp; "'!D$14")</f>
        <v>968127.96556841256</v>
      </c>
      <c r="D4" s="33" cm="1">
        <f t="array" aca="1" ref="D4" ca="1">INDIRECT("'results" &amp; $B4 &amp; "'!E$14")</f>
        <v>110.66876407685831</v>
      </c>
      <c r="E4" s="5" cm="1">
        <f t="array" aca="1" ref="E4" ca="1">INDIRECT("'results" &amp; $B4 &amp; "'!F$14")</f>
        <v>11</v>
      </c>
      <c r="F4" s="5" cm="1">
        <f t="array" aca="1" ref="F4" ca="1">INDIRECT("'results" &amp; $B4 &amp; "'!G$14")</f>
        <v>96</v>
      </c>
      <c r="G4" s="5" cm="1">
        <f t="array" aca="1" ref="G4" ca="1">INDIRECT("'results" &amp; $B4 &amp; "'!H$14")</f>
        <v>148.27568864938823</v>
      </c>
      <c r="H4" s="33" cm="1">
        <f t="array" aca="1" ref="H4" ca="1">INDIRECT("'results" &amp; $B4 &amp; "'!I$14")</f>
        <v>41.044499047729481</v>
      </c>
      <c r="I4" s="5" cm="1">
        <f t="array" aca="1" ref="I4" ca="1">INDIRECT("'results" &amp; $B4 &amp; "'!J$14")</f>
        <v>4730.6926525659665</v>
      </c>
      <c r="J4" s="5"/>
      <c r="K4" s="5" cm="1">
        <f t="array" aca="1" ref="K4" ca="1">INDIRECT("'results" &amp; $B4 &amp; "'!L$14")</f>
        <v>955798.18772655679</v>
      </c>
      <c r="L4" s="5" cm="1">
        <f t="array" aca="1" ref="L4" ca="1">INDIRECT("'results" &amp; $B4 &amp; "'!M$14")</f>
        <v>270.37925184614818</v>
      </c>
      <c r="M4" s="5" cm="1">
        <f t="array" aca="1" ref="M4" ca="1">INDIRECT("'results" &amp; $B4 &amp; "'!N$14")</f>
        <v>12</v>
      </c>
      <c r="N4" s="5" cm="1">
        <f t="array" aca="1" ref="N4" ca="1">INDIRECT("'results" &amp; $B4 &amp; "'!O$14")</f>
        <v>96</v>
      </c>
      <c r="O4" s="5" cm="1">
        <f t="array" aca="1" ref="O4" ca="1">INDIRECT("'results" &amp; $B4 &amp; "'!P$14")</f>
        <v>107.20985967235805</v>
      </c>
      <c r="P4" s="5" cm="1">
        <f t="array" aca="1" ref="P4" ca="1">INDIRECT("'results" &amp; $B4 &amp; "'!Q$14")</f>
        <v>37.78329131050139</v>
      </c>
      <c r="Q4" s="5" cm="1">
        <f t="array" aca="1" ref="Q4" ca="1">INDIRECT("'results" &amp; $B4 &amp; "'!R$14")</f>
        <v>4585.4596356402853</v>
      </c>
      <c r="R4" s="5"/>
      <c r="S4" s="5" cm="1">
        <f t="array" aca="1" ref="S4" ca="1">INDIRECT("'results" &amp; $B4 &amp; "'!T$14")</f>
        <v>967927.92477042344</v>
      </c>
      <c r="T4" s="5" cm="1">
        <f t="array" aca="1" ref="T4" ca="1">INDIRECT("'results" &amp; $B4 &amp; "'!U$14")</f>
        <v>259.92645746159656</v>
      </c>
      <c r="U4" s="5" cm="1">
        <f t="array" aca="1" ref="U4" ca="1">INDIRECT("'results" &amp; $B4 &amp; "'!V$14")</f>
        <v>12</v>
      </c>
      <c r="V4" s="5" cm="1">
        <f t="array" aca="1" ref="V4" ca="1">INDIRECT("'results" &amp; $B4 &amp; "'!W$14")</f>
        <v>96</v>
      </c>
      <c r="W4" s="5" cm="1">
        <f t="array" aca="1" ref="W4" ca="1">INDIRECT("'results" &amp; $B4 &amp; "'!X$14")</f>
        <v>107.20985967235805</v>
      </c>
      <c r="X4" s="5" cm="1">
        <f t="array" aca="1" ref="X4" ca="1">INDIRECT("'results" &amp; $B4 &amp; "'!Y$14")</f>
        <v>37.78329131050139</v>
      </c>
      <c r="Y4" s="5" cm="1">
        <f t="array" aca="1" ref="Y4" ca="1">INDIRECT("'results" &amp; $B4 &amp; "'!Z$14")</f>
        <v>4585.4596356402853</v>
      </c>
      <c r="Z4" s="5"/>
    </row>
    <row r="5" spans="2:26" x14ac:dyDescent="0.2">
      <c r="B5" s="4">
        <v>268</v>
      </c>
      <c r="C5" s="5" cm="1">
        <f t="array" aca="1" ref="C5" ca="1">INDIRECT("'results" &amp; $B5 &amp; "'!D$14")</f>
        <v>1171722.7209426111</v>
      </c>
      <c r="D5" s="33" cm="1">
        <f t="array" aca="1" ref="D5" ca="1">INDIRECT("'results" &amp; $B5 &amp; "'!E$14")</f>
        <v>274.61161923075383</v>
      </c>
      <c r="E5" s="5" cm="1">
        <f t="array" aca="1" ref="E5" ca="1">INDIRECT("'results" &amp; $B5 &amp; "'!F$14")</f>
        <v>16</v>
      </c>
      <c r="F5" s="5" cm="1">
        <f t="array" aca="1" ref="F5" ca="1">INDIRECT("'results" &amp; $B5 &amp; "'!G$14")</f>
        <v>97.333333333333329</v>
      </c>
      <c r="G5" s="5" cm="1">
        <f t="array" aca="1" ref="G5" ca="1">INDIRECT("'results" &amp; $B5 &amp; "'!H$14")</f>
        <v>552.87315230917284</v>
      </c>
      <c r="H5" s="33" cm="1">
        <f t="array" aca="1" ref="H5" ca="1">INDIRECT("'results" &amp; $B5 &amp; "'!I$14")</f>
        <v>39.68895058554655</v>
      </c>
      <c r="I5" s="5" cm="1">
        <f t="array" aca="1" ref="I5" ca="1">INDIRECT("'results" &amp; $B5 &amp; "'!J$14")</f>
        <v>5498.4921850503042</v>
      </c>
      <c r="J5" s="5"/>
      <c r="K5" s="5" cm="1">
        <f t="array" aca="1" ref="K5" ca="1">INDIRECT("'results" &amp; $B5 &amp; "'!L$14")</f>
        <v>1141172.372882359</v>
      </c>
      <c r="L5" s="5" cm="1">
        <f t="array" aca="1" ref="L5" ca="1">INDIRECT("'results" &amp; $B5 &amp; "'!M$14")</f>
        <v>292.8581440769351</v>
      </c>
      <c r="M5" s="5" cm="1">
        <f t="array" aca="1" ref="M5" ca="1">INDIRECT("'results" &amp; $B5 &amp; "'!N$14")</f>
        <v>16</v>
      </c>
      <c r="N5" s="5" cm="1">
        <f t="array" aca="1" ref="N5" ca="1">INDIRECT("'results" &amp; $B5 &amp; "'!O$14")</f>
        <v>97.333333333333329</v>
      </c>
      <c r="O5" s="5" cm="1">
        <f t="array" aca="1" ref="O5" ca="1">INDIRECT("'results" &amp; $B5 &amp; "'!P$14")</f>
        <v>597.48567088433151</v>
      </c>
      <c r="P5" s="5" cm="1">
        <f t="array" aca="1" ref="P5" ca="1">INDIRECT("'results" &amp; $B5 &amp; "'!Q$14")</f>
        <v>39.628917527032698</v>
      </c>
      <c r="Q5" s="5" cm="1">
        <f t="array" aca="1" ref="Q5" ca="1">INDIRECT("'results" &amp; $B5 &amp; "'!R$14")</f>
        <v>5453.6379623634402</v>
      </c>
      <c r="R5" s="5"/>
      <c r="S5" s="5" cm="1">
        <f t="array" aca="1" ref="S5" ca="1">INDIRECT("'results" &amp; $B5 &amp; "'!T$14")</f>
        <v>1199532.0401837609</v>
      </c>
      <c r="T5" s="5" cm="1">
        <f t="array" aca="1" ref="T5" ca="1">INDIRECT("'results" &amp; $B5 &amp; "'!U$14")</f>
        <v>592.93686338458565</v>
      </c>
      <c r="U5" s="5" cm="1">
        <f t="array" aca="1" ref="U5" ca="1">INDIRECT("'results" &amp; $B5 &amp; "'!V$14")</f>
        <v>16</v>
      </c>
      <c r="V5" s="5" cm="1">
        <f t="array" aca="1" ref="V5" ca="1">INDIRECT("'results" &amp; $B5 &amp; "'!W$14")</f>
        <v>97.333333333333329</v>
      </c>
      <c r="W5" s="5" cm="1">
        <f t="array" aca="1" ref="W5" ca="1">INDIRECT("'results" &amp; $B5 &amp; "'!X$14")</f>
        <v>554.98385982843774</v>
      </c>
      <c r="X5" s="5" cm="1">
        <f t="array" aca="1" ref="X5" ca="1">INDIRECT("'results" &amp; $B5 &amp; "'!Y$14")</f>
        <v>39.778472858762676</v>
      </c>
      <c r="Y5" s="5" cm="1">
        <f t="array" aca="1" ref="Y5" ca="1">INDIRECT("'results" &amp; $B5 &amp; "'!Z$14")</f>
        <v>5494.9566389996162</v>
      </c>
      <c r="Z5" s="5"/>
    </row>
    <row r="6" spans="2:26" x14ac:dyDescent="0.2">
      <c r="B6" s="4">
        <v>346</v>
      </c>
      <c r="C6" s="5" cm="1">
        <f t="array" aca="1" ref="C6" ca="1">INDIRECT("'results" &amp; $B6 &amp; "'!D$14")</f>
        <v>1141726.937281823</v>
      </c>
      <c r="D6" s="33" cm="1">
        <f t="array" aca="1" ref="D6" ca="1">INDIRECT("'results" &amp; $B6 &amp; "'!E$14")</f>
        <v>371.94766284620312</v>
      </c>
      <c r="E6" s="5" cm="1">
        <f t="array" aca="1" ref="E6" ca="1">INDIRECT("'results" &amp; $B6 &amp; "'!F$14")</f>
        <v>14</v>
      </c>
      <c r="F6" s="5" cm="1">
        <f t="array" aca="1" ref="F6" ca="1">INDIRECT("'results" &amp; $B6 &amp; "'!G$14")</f>
        <v>94</v>
      </c>
      <c r="G6" s="5" cm="1">
        <f t="array" aca="1" ref="G6" ca="1">INDIRECT("'results" &amp; $B6 &amp; "'!H$14")</f>
        <v>284.12843424466513</v>
      </c>
      <c r="H6" s="33" cm="1">
        <f t="array" aca="1" ref="H6" ca="1">INDIRECT("'results" &amp; $B6 &amp; "'!I$14")</f>
        <v>38.423322876589999</v>
      </c>
      <c r="I6" s="5" cm="1">
        <f t="array" aca="1" ref="I6" ca="1">INDIRECT("'results" &amp; $B6 &amp; "'!J$14")</f>
        <v>5202.2457846926009</v>
      </c>
      <c r="J6" s="5"/>
      <c r="K6" s="5" cm="1">
        <f t="array" aca="1" ref="K6" ca="1">INDIRECT("'results" &amp; $B6 &amp; "'!L$14")</f>
        <v>1122901.2933666781</v>
      </c>
      <c r="L6" s="5" cm="1">
        <f t="array" aca="1" ref="L6" ca="1">INDIRECT("'results" &amp; $B6 &amp; "'!M$14")</f>
        <v>434.55296015384823</v>
      </c>
      <c r="M6" s="5" cm="1">
        <f t="array" aca="1" ref="M6" ca="1">INDIRECT("'results" &amp; $B6 &amp; "'!N$14")</f>
        <v>14</v>
      </c>
      <c r="N6" s="5" cm="1">
        <f t="array" aca="1" ref="N6" ca="1">INDIRECT("'results" &amp; $B6 &amp; "'!O$14")</f>
        <v>94</v>
      </c>
      <c r="O6" s="5" cm="1">
        <f t="array" aca="1" ref="O6" ca="1">INDIRECT("'results" &amp; $B6 &amp; "'!P$14")</f>
        <v>319.31080953619761</v>
      </c>
      <c r="P6" s="5" cm="1">
        <f t="array" aca="1" ref="P6" ca="1">INDIRECT("'results" &amp; $B6 &amp; "'!Q$14")</f>
        <v>38.32349772688012</v>
      </c>
      <c r="Q6" s="5" cm="1">
        <f t="array" aca="1" ref="Q6" ca="1">INDIRECT("'results" &amp; $B6 &amp; "'!R$14")</f>
        <v>5166.2457623952414</v>
      </c>
      <c r="R6" s="5"/>
      <c r="S6" s="5" cm="1">
        <f t="array" aca="1" ref="S6" ca="1">INDIRECT("'results" &amp; $B6 &amp; "'!T$14")</f>
        <v>1142681.118073452</v>
      </c>
      <c r="T6" s="5" cm="1">
        <f t="array" aca="1" ref="T6" ca="1">INDIRECT("'results" &amp; $B6 &amp; "'!U$14")</f>
        <v>411.26108699997599</v>
      </c>
      <c r="U6" s="5" cm="1">
        <f t="array" aca="1" ref="U6" ca="1">INDIRECT("'results" &amp; $B6 &amp; "'!V$14")</f>
        <v>14</v>
      </c>
      <c r="V6" s="5" cm="1">
        <f t="array" aca="1" ref="V6" ca="1">INDIRECT("'results" &amp; $B6 &amp; "'!W$14")</f>
        <v>94</v>
      </c>
      <c r="W6" s="5" cm="1">
        <f t="array" aca="1" ref="W6" ca="1">INDIRECT("'results" &amp; $B6 &amp; "'!X$14")</f>
        <v>236.85679124908486</v>
      </c>
      <c r="X6" s="5" cm="1">
        <f t="array" aca="1" ref="X6" ca="1">INDIRECT("'results" &amp; $B6 &amp; "'!Y$14")</f>
        <v>38.10457053800593</v>
      </c>
      <c r="Y6" s="5" cm="1">
        <f t="array" aca="1" ref="Y6" ca="1">INDIRECT("'results" &amp; $B6 &amp; "'!Z$14")</f>
        <v>5143.3431961025944</v>
      </c>
      <c r="Z6" s="5"/>
    </row>
    <row r="7" spans="2:26" x14ac:dyDescent="0.2">
      <c r="B7" s="4">
        <v>418</v>
      </c>
      <c r="C7" s="5" cm="1">
        <f t="array" aca="1" ref="C7" ca="1">INDIRECT("'results" &amp; $B7 &amp; "'!D$14")</f>
        <v>1155075.914594016</v>
      </c>
      <c r="D7" s="33" cm="1">
        <f t="array" aca="1" ref="D7" ca="1">INDIRECT("'results" &amp; $B7 &amp; "'!E$14")</f>
        <v>124.98730038462853</v>
      </c>
      <c r="E7" s="5" cm="1">
        <f t="array" aca="1" ref="E7" ca="1">INDIRECT("'results" &amp; $B7 &amp; "'!F$14")</f>
        <v>13</v>
      </c>
      <c r="F7" s="5" cm="1">
        <f t="array" aca="1" ref="F7" ca="1">INDIRECT("'results" &amp; $B7 &amp; "'!G$14")</f>
        <v>94</v>
      </c>
      <c r="G7" s="5" cm="1">
        <f t="array" aca="1" ref="G7" ca="1">INDIRECT("'results" &amp; $B7 &amp; "'!H$14")</f>
        <v>315.4818009440686</v>
      </c>
      <c r="H7" s="33" cm="1">
        <f t="array" aca="1" ref="H7" ca="1">INDIRECT("'results" &amp; $B7 &amp; "'!I$14")</f>
        <v>43.565165325317544</v>
      </c>
      <c r="I7" s="5" cm="1">
        <f t="array" aca="1" ref="I7" ca="1">INDIRECT("'results" &amp; $B7 &amp; "'!J$14")</f>
        <v>5346.775780707324</v>
      </c>
      <c r="J7" s="5"/>
      <c r="K7" s="5" cm="1">
        <f t="array" aca="1" ref="K7" ca="1">INDIRECT("'results" &amp; $B7 &amp; "'!L$14")</f>
        <v>1122555.2088620791</v>
      </c>
      <c r="L7" s="5" cm="1">
        <f t="array" aca="1" ref="L7" ca="1">INDIRECT("'results" &amp; $B7 &amp; "'!M$14")</f>
        <v>164.27802023083831</v>
      </c>
      <c r="M7" s="5" cm="1">
        <f t="array" aca="1" ref="M7" ca="1">INDIRECT("'results" &amp; $B7 &amp; "'!N$14")</f>
        <v>12</v>
      </c>
      <c r="N7" s="5" cm="1">
        <f t="array" aca="1" ref="N7" ca="1">INDIRECT("'results" &amp; $B7 &amp; "'!O$14")</f>
        <v>94</v>
      </c>
      <c r="O7" s="5" cm="1">
        <f t="array" aca="1" ref="O7" ca="1">INDIRECT("'results" &amp; $B7 &amp; "'!P$14")</f>
        <v>278.92451537366765</v>
      </c>
      <c r="P7" s="5" cm="1">
        <f t="array" aca="1" ref="P7" ca="1">INDIRECT("'results" &amp; $B7 &amp; "'!Q$14")</f>
        <v>45.784417849722537</v>
      </c>
      <c r="Q7" s="5" cm="1">
        <f t="array" aca="1" ref="Q7" ca="1">INDIRECT("'results" &amp; $B7 &amp; "'!R$14")</f>
        <v>5356.3981601734595</v>
      </c>
      <c r="R7" s="5"/>
      <c r="S7" s="5" cm="1">
        <f t="array" aca="1" ref="S7" ca="1">INDIRECT("'results" &amp; $B7 &amp; "'!T$14")</f>
        <v>1171128.6600115581</v>
      </c>
      <c r="T7" s="5" cm="1">
        <f t="array" aca="1" ref="T7" ca="1">INDIRECT("'results" &amp; $B7 &amp; "'!U$14")</f>
        <v>239.10754153845261</v>
      </c>
      <c r="U7" s="5" cm="1">
        <f t="array" aca="1" ref="U7" ca="1">INDIRECT("'results" &amp; $B7 &amp; "'!V$14")</f>
        <v>13</v>
      </c>
      <c r="V7" s="5" cm="1">
        <f t="array" aca="1" ref="V7" ca="1">INDIRECT("'results" &amp; $B7 &amp; "'!W$14")</f>
        <v>94</v>
      </c>
      <c r="W7" s="5" cm="1">
        <f t="array" aca="1" ref="W7" ca="1">INDIRECT("'results" &amp; $B7 &amp; "'!X$14")</f>
        <v>305.17398155735839</v>
      </c>
      <c r="X7" s="5" cm="1">
        <f t="array" aca="1" ref="X7" ca="1">INDIRECT("'results" &amp; $B7 &amp; "'!Y$14")</f>
        <v>43.561551887336037</v>
      </c>
      <c r="Y7" s="5" cm="1">
        <f t="array" aca="1" ref="Y7" ca="1">INDIRECT("'results" &amp; $B7 &amp; "'!Z$14")</f>
        <v>5348.7296705024692</v>
      </c>
      <c r="Z7" s="5"/>
    </row>
    <row r="8" spans="2:26" x14ac:dyDescent="0.2">
      <c r="B8" s="4">
        <v>464</v>
      </c>
      <c r="C8" s="5" cm="1">
        <f t="array" aca="1" ref="C8" ca="1">INDIRECT("'results" &amp; $B8 &amp; "'!D$14")</f>
        <v>1109461.4547045201</v>
      </c>
      <c r="D8" s="33" cm="1">
        <f t="array" aca="1" ref="D8" ca="1">INDIRECT("'results" &amp; $B8 &amp; "'!E$14")</f>
        <v>267.75269992309256</v>
      </c>
      <c r="E8" s="5" cm="1">
        <f t="array" aca="1" ref="E8" ca="1">INDIRECT("'results" &amp; $B8 &amp; "'!F$14")</f>
        <v>13</v>
      </c>
      <c r="F8" s="5" cm="1">
        <f t="array" aca="1" ref="F8" ca="1">INDIRECT("'results" &amp; $B8 &amp; "'!G$14")</f>
        <v>98.666666666666671</v>
      </c>
      <c r="G8" s="5" cm="1">
        <f t="array" aca="1" ref="G8" ca="1">INDIRECT("'results" &amp; $B8 &amp; "'!H$14")</f>
        <v>556.1484043778413</v>
      </c>
      <c r="H8" s="33" cm="1">
        <f t="array" aca="1" ref="H8" ca="1">INDIRECT("'results" &amp; $B8 &amp; "'!I$14")</f>
        <v>46.079268944698597</v>
      </c>
      <c r="I8" s="5" cm="1">
        <f t="array" aca="1" ref="I8" ca="1">INDIRECT("'results" &amp; $B8 &amp; "'!J$14")</f>
        <v>5662.791341137412</v>
      </c>
      <c r="J8" s="5"/>
      <c r="K8" s="5" cm="1">
        <f t="array" aca="1" ref="K8" ca="1">INDIRECT("'results" &amp; $B8 &amp; "'!L$14")</f>
        <v>1073782.7883949401</v>
      </c>
      <c r="L8" s="5" cm="1">
        <f t="array" aca="1" ref="L8" ca="1">INDIRECT("'results" &amp; $B8 &amp; "'!M$14")</f>
        <v>124.38644407693153</v>
      </c>
      <c r="M8" s="5" cm="1">
        <f t="array" aca="1" ref="M8" ca="1">INDIRECT("'results" &amp; $B8 &amp; "'!N$14")</f>
        <v>13</v>
      </c>
      <c r="N8" s="5" cm="1">
        <f t="array" aca="1" ref="N8" ca="1">INDIRECT("'results" &amp; $B8 &amp; "'!O$14")</f>
        <v>98.666666666666671</v>
      </c>
      <c r="O8" s="5" cm="1">
        <f t="array" aca="1" ref="O8" ca="1">INDIRECT("'results" &amp; $B8 &amp; "'!P$14")</f>
        <v>548.48706616596303</v>
      </c>
      <c r="P8" s="5" cm="1">
        <f t="array" aca="1" ref="P8" ca="1">INDIRECT("'results" &amp; $B8 &amp; "'!Q$14")</f>
        <v>45.733038391322061</v>
      </c>
      <c r="Q8" s="5" cm="1">
        <f t="array" aca="1" ref="Q8" ca="1">INDIRECT("'results" &amp; $B8 &amp; "'!R$14")</f>
        <v>5637.9432620523303</v>
      </c>
      <c r="R8" s="5"/>
      <c r="S8" s="5" cm="1">
        <f t="array" aca="1" ref="S8" ca="1">INDIRECT("'results" &amp; $B8 &amp; "'!T$14")</f>
        <v>1139593.1301876321</v>
      </c>
      <c r="T8" s="5" cm="1">
        <f t="array" aca="1" ref="T8" ca="1">INDIRECT("'results" &amp; $B8 &amp; "'!U$14")</f>
        <v>151.87074384616261</v>
      </c>
      <c r="U8" s="5" cm="1">
        <f t="array" aca="1" ref="U8" ca="1">INDIRECT("'results" &amp; $B8 &amp; "'!V$14")</f>
        <v>13</v>
      </c>
      <c r="V8" s="5" cm="1">
        <f t="array" aca="1" ref="V8" ca="1">INDIRECT("'results" &amp; $B8 &amp; "'!W$14")</f>
        <v>97.333333333333329</v>
      </c>
      <c r="W8" s="5" cm="1">
        <f t="array" aca="1" ref="W8" ca="1">INDIRECT("'results" &amp; $B8 &amp; "'!X$14")</f>
        <v>446.97955327510522</v>
      </c>
      <c r="X8" s="5" cm="1">
        <f t="array" aca="1" ref="X8" ca="1">INDIRECT("'results" &amp; $B8 &amp; "'!Y$14")</f>
        <v>45.165307398308855</v>
      </c>
      <c r="Y8" s="5" cm="1">
        <f t="array" aca="1" ref="Y8" ca="1">INDIRECT("'results" &amp; $B8 &amp; "'!Z$14")</f>
        <v>5602.595750656551</v>
      </c>
      <c r="Z8" s="5"/>
    </row>
    <row r="9" spans="2:26" x14ac:dyDescent="0.2">
      <c r="B9" s="4">
        <v>658</v>
      </c>
      <c r="C9" s="5" cm="1">
        <f t="array" aca="1" ref="C9" ca="1">INDIRECT("'results" &amp; $B9 &amp; "'!D$14")</f>
        <v>1046045.483747479</v>
      </c>
      <c r="D9" s="33" cm="1">
        <f t="array" aca="1" ref="D9" ca="1">INDIRECT("'results" &amp; $B9 &amp; "'!E$14")</f>
        <v>205.49383246160752</v>
      </c>
      <c r="E9" s="5" cm="1">
        <f t="array" aca="1" ref="E9" ca="1">INDIRECT("'results" &amp; $B9 &amp; "'!F$14")</f>
        <v>14</v>
      </c>
      <c r="F9" s="5" cm="1">
        <f t="array" aca="1" ref="F9" ca="1">INDIRECT("'results" &amp; $B9 &amp; "'!G$14")</f>
        <v>96.666666666666671</v>
      </c>
      <c r="G9" s="5" cm="1">
        <f t="array" aca="1" ref="G9" ca="1">INDIRECT("'results" &amp; $B9 &amp; "'!H$14")</f>
        <v>351.38906290061749</v>
      </c>
      <c r="H9" s="33" cm="1">
        <f t="array" aca="1" ref="H9" ca="1">INDIRECT("'results" &amp; $B9 &amp; "'!I$14")</f>
        <v>37.424531203822959</v>
      </c>
      <c r="I9" s="5" cm="1">
        <f t="array" aca="1" ref="I9" ca="1">INDIRECT("'results" &amp; $B9 &amp; "'!J$14")</f>
        <v>4871.4040777261835</v>
      </c>
      <c r="J9" s="5"/>
      <c r="K9" s="5" cm="1">
        <f t="array" aca="1" ref="K9" ca="1">INDIRECT("'results" &amp; $B9 &amp; "'!L$14")</f>
        <v>1030093.9863647959</v>
      </c>
      <c r="L9" s="5" cm="1">
        <f t="array" aca="1" ref="L9" ca="1">INDIRECT("'results" &amp; $B9 &amp; "'!M$14")</f>
        <v>582.74054461543881</v>
      </c>
      <c r="M9" s="5" cm="1">
        <f t="array" aca="1" ref="M9" ca="1">INDIRECT("'results" &amp; $B9 &amp; "'!N$14")</f>
        <v>14</v>
      </c>
      <c r="N9" s="5" cm="1">
        <f t="array" aca="1" ref="N9" ca="1">INDIRECT("'results" &amp; $B9 &amp; "'!O$14")</f>
        <v>96.666666666666671</v>
      </c>
      <c r="O9" s="5" cm="1">
        <f t="array" aca="1" ref="O9" ca="1">INDIRECT("'results" &amp; $B9 &amp; "'!P$14")</f>
        <v>400.25603254965131</v>
      </c>
      <c r="P9" s="5" cm="1">
        <f t="array" aca="1" ref="P9" ca="1">INDIRECT("'results" &amp; $B9 &amp; "'!Q$14")</f>
        <v>37.637342593170345</v>
      </c>
      <c r="Q9" s="5" cm="1">
        <f t="array" aca="1" ref="Q9" ca="1">INDIRECT("'results" &amp; $B9 &amp; "'!R$14")</f>
        <v>4888.3287426904653</v>
      </c>
      <c r="R9" s="5"/>
      <c r="S9" s="5" cm="1">
        <f t="array" aca="1" ref="S9" ca="1">INDIRECT("'results" &amp; $B9 &amp; "'!T$14")</f>
        <v>1069378.624070779</v>
      </c>
      <c r="T9" s="5" cm="1">
        <f t="array" aca="1" ref="T9" ca="1">INDIRECT("'results" &amp; $B9 &amp; "'!U$14")</f>
        <v>160.79021215385114</v>
      </c>
      <c r="U9" s="5" cm="1">
        <f t="array" aca="1" ref="U9" ca="1">INDIRECT("'results" &amp; $B9 &amp; "'!V$14")</f>
        <v>15</v>
      </c>
      <c r="V9" s="5" cm="1">
        <f t="array" aca="1" ref="V9" ca="1">INDIRECT("'results" &amp; $B9 &amp; "'!W$14")</f>
        <v>96.666666666666671</v>
      </c>
      <c r="W9" s="5" cm="1">
        <f t="array" aca="1" ref="W9" ca="1">INDIRECT("'results" &amp; $B9 &amp; "'!X$14")</f>
        <v>292.55865342603028</v>
      </c>
      <c r="X9" s="5" cm="1">
        <f t="array" aca="1" ref="X9" ca="1">INDIRECT("'results" &amp; $B9 &amp; "'!Y$14")</f>
        <v>35.115618277900161</v>
      </c>
      <c r="Y9" s="5" cm="1">
        <f t="array" aca="1" ref="Y9" ca="1">INDIRECT("'results" &amp; $B9 &amp; "'!Z$14")</f>
        <v>4843.4141592490168</v>
      </c>
      <c r="Z9" s="5"/>
    </row>
    <row r="10" spans="2:26" x14ac:dyDescent="0.2">
      <c r="B10" s="4">
        <v>720</v>
      </c>
      <c r="C10" s="5" cm="1">
        <f t="array" aca="1" ref="C10" ca="1">INDIRECT("'results" &amp; $B10 &amp; "'!D$14")</f>
        <v>1298314.612475632</v>
      </c>
      <c r="D10" s="33" cm="1">
        <f t="array" aca="1" ref="D10" ca="1">INDIRECT("'results" &amp; $B10 &amp; "'!E$14")</f>
        <v>222.78767107690396</v>
      </c>
      <c r="E10" s="5" cm="1">
        <f t="array" aca="1" ref="E10" ca="1">INDIRECT("'results" &amp; $B10 &amp; "'!F$14")</f>
        <v>15</v>
      </c>
      <c r="F10" s="5" cm="1">
        <f t="array" aca="1" ref="F10" ca="1">INDIRECT("'results" &amp; $B10 &amp; "'!G$14")</f>
        <v>93.333333333333329</v>
      </c>
      <c r="G10" s="5" cm="1">
        <f t="array" aca="1" ref="G10" ca="1">INDIRECT("'results" &amp; $B10 &amp; "'!H$14")</f>
        <v>557.2158028380004</v>
      </c>
      <c r="H10" s="33" cm="1">
        <f t="array" aca="1" ref="H10" ca="1">INDIRECT("'results" &amp; $B10 &amp; "'!I$14")</f>
        <v>34.54691388475625</v>
      </c>
      <c r="I10" s="5" cm="1">
        <f t="array" aca="1" ref="I10" ca="1">INDIRECT("'results" &amp; $B10 &amp; "'!J$14")</f>
        <v>5750.2115391621046</v>
      </c>
      <c r="J10" s="5"/>
      <c r="K10" s="5" cm="1">
        <f t="array" aca="1" ref="K10" ca="1">INDIRECT("'results" &amp; $B10 &amp; "'!L$14")</f>
        <v>1266023.411634685</v>
      </c>
      <c r="L10" s="5" cm="1">
        <f t="array" aca="1" ref="L10" ca="1">INDIRECT("'results" &amp; $B10 &amp; "'!M$14")</f>
        <v>383.12834638457463</v>
      </c>
      <c r="M10" s="5" cm="1">
        <f t="array" aca="1" ref="M10" ca="1">INDIRECT("'results" &amp; $B10 &amp; "'!N$14")</f>
        <v>14</v>
      </c>
      <c r="N10" s="5" cm="1">
        <f t="array" aca="1" ref="N10" ca="1">INDIRECT("'results" &amp; $B10 &amp; "'!O$14")</f>
        <v>93.333333333333329</v>
      </c>
      <c r="O10" s="5" cm="1">
        <f t="array" aca="1" ref="O10" ca="1">INDIRECT("'results" &amp; $B10 &amp; "'!P$14")</f>
        <v>711.40000144648411</v>
      </c>
      <c r="P10" s="5" cm="1">
        <f t="array" aca="1" ref="P10" ca="1">INDIRECT("'results" &amp; $B10 &amp; "'!Q$14")</f>
        <v>37.291093717460406</v>
      </c>
      <c r="Q10" s="5" cm="1">
        <f t="array" aca="1" ref="Q10" ca="1">INDIRECT("'results" &amp; $B10 &amp; "'!R$14")</f>
        <v>5838.7931685047261</v>
      </c>
      <c r="R10" s="5"/>
      <c r="S10" s="5" cm="1">
        <f t="array" aca="1" ref="S10" ca="1">INDIRECT("'results" &amp; $B10 &amp; "'!T$14")</f>
        <v>1351335.1729987541</v>
      </c>
      <c r="T10" s="5" cm="1">
        <f t="array" aca="1" ref="T10" ca="1">INDIRECT("'results" &amp; $B10 &amp; "'!U$14")</f>
        <v>293.73274284611955</v>
      </c>
      <c r="U10" s="5" cm="1">
        <f t="array" aca="1" ref="U10" ca="1">INDIRECT("'results" &amp; $B10 &amp; "'!V$14")</f>
        <v>15</v>
      </c>
      <c r="V10" s="5" cm="1">
        <f t="array" aca="1" ref="V10" ca="1">INDIRECT("'results" &amp; $B10 &amp; "'!W$14")</f>
        <v>93.333333333333329</v>
      </c>
      <c r="W10" s="5" cm="1">
        <f t="array" aca="1" ref="W10" ca="1">INDIRECT("'results" &amp; $B10 &amp; "'!X$14")</f>
        <v>599.99998828137473</v>
      </c>
      <c r="X10" s="5" cm="1">
        <f t="array" aca="1" ref="X10" ca="1">INDIRECT("'results" &amp; $B10 &amp; "'!Y$14")</f>
        <v>34.136273947148361</v>
      </c>
      <c r="Y10" s="5" cm="1">
        <f t="array" aca="1" ref="Y10" ca="1">INDIRECT("'results" &amp; $B10 &amp; "'!Z$14")</f>
        <v>5826.7899179019596</v>
      </c>
      <c r="Z10" s="5"/>
    </row>
    <row r="11" spans="2:26" x14ac:dyDescent="0.2">
      <c r="B11" s="4">
        <v>846</v>
      </c>
      <c r="C11" s="5" cm="1">
        <f t="array" aca="1" ref="C11" ca="1">INDIRECT("'results" &amp; $B11 &amp; "'!D$14")</f>
        <v>1168643.226288683</v>
      </c>
      <c r="D11" s="33" cm="1">
        <f t="array" aca="1" ref="D11" ca="1">INDIRECT("'results" &amp; $B11 &amp; "'!E$14")</f>
        <v>309.76703292314107</v>
      </c>
      <c r="E11" s="5" cm="1">
        <f t="array" aca="1" ref="E11" ca="1">INDIRECT("'results" &amp; $B11 &amp; "'!F$14")</f>
        <v>13</v>
      </c>
      <c r="F11" s="5" cm="1">
        <f t="array" aca="1" ref="F11" ca="1">INDIRECT("'results" &amp; $B11 &amp; "'!G$14")</f>
        <v>94</v>
      </c>
      <c r="G11" s="5" cm="1">
        <f t="array" aca="1" ref="G11" ca="1">INDIRECT("'results" &amp; $B11 &amp; "'!H$14")</f>
        <v>362.73205147026351</v>
      </c>
      <c r="H11" s="33" cm="1">
        <f t="array" aca="1" ref="H11" ca="1">INDIRECT("'results" &amp; $B11 &amp; "'!I$14")</f>
        <v>40.263651627371402</v>
      </c>
      <c r="I11" s="5" cm="1">
        <f t="array" aca="1" ref="I11" ca="1">INDIRECT("'results" &amp; $B11 &amp; "'!J$14")</f>
        <v>5415.5349556114834</v>
      </c>
      <c r="J11" s="5"/>
      <c r="K11" s="5" cm="1">
        <f t="array" aca="1" ref="K11" ca="1">INDIRECT("'results" &amp; $B11 &amp; "'!L$14")</f>
        <v>1156233.3460433451</v>
      </c>
      <c r="L11" s="5" cm="1">
        <f t="array" aca="1" ref="L11" ca="1">INDIRECT("'results" &amp; $B11 &amp; "'!M$14")</f>
        <v>164.23280346153592</v>
      </c>
      <c r="M11" s="5" cm="1">
        <f t="array" aca="1" ref="M11" ca="1">INDIRECT("'results" &amp; $B11 &amp; "'!N$14")</f>
        <v>12</v>
      </c>
      <c r="N11" s="5" cm="1">
        <f t="array" aca="1" ref="N11" ca="1">INDIRECT("'results" &amp; $B11 &amp; "'!O$14")</f>
        <v>94.666666666666671</v>
      </c>
      <c r="O11" s="5" cm="1">
        <f t="array" aca="1" ref="O11" ca="1">INDIRECT("'results" &amp; $B11 &amp; "'!P$14")</f>
        <v>438.2960408125968</v>
      </c>
      <c r="P11" s="5" cm="1">
        <f t="array" aca="1" ref="P11" ca="1">INDIRECT("'results" &amp; $B11 &amp; "'!Q$14")</f>
        <v>43.915001104564055</v>
      </c>
      <c r="Q11" s="5" cm="1">
        <f t="array" aca="1" ref="Q11" ca="1">INDIRECT("'results" &amp; $B11 &amp; "'!R$14")</f>
        <v>5646.406472561328</v>
      </c>
      <c r="R11" s="5"/>
      <c r="S11" s="5" cm="1">
        <f t="array" aca="1" ref="S11" ca="1">INDIRECT("'results" &amp; $B11 &amp; "'!T$14")</f>
        <v>1186687.145766705</v>
      </c>
      <c r="T11" s="5" cm="1">
        <f t="array" aca="1" ref="T11" ca="1">INDIRECT("'results" &amp; $B11 &amp; "'!U$14")</f>
        <v>137.39680976920332</v>
      </c>
      <c r="U11" s="5" cm="1">
        <f t="array" aca="1" ref="U11" ca="1">INDIRECT("'results" &amp; $B11 &amp; "'!V$14")</f>
        <v>14</v>
      </c>
      <c r="V11" s="5" cm="1">
        <f t="array" aca="1" ref="V11" ca="1">INDIRECT("'results" &amp; $B11 &amp; "'!W$14")</f>
        <v>94.666666666666671</v>
      </c>
      <c r="W11" s="5" cm="1">
        <f t="array" aca="1" ref="W11" ca="1">INDIRECT("'results" &amp; $B11 &amp; "'!X$14")</f>
        <v>326.11957582205713</v>
      </c>
      <c r="X11" s="5" cm="1">
        <f t="array" aca="1" ref="X11" ca="1">INDIRECT("'results" &amp; $B11 &amp; "'!Y$14")</f>
        <v>37.776824411909693</v>
      </c>
      <c r="Y11" s="5" cm="1">
        <f t="array" aca="1" ref="Y11" ca="1">INDIRECT("'results" &amp; $B11 &amp; "'!Z$14")</f>
        <v>5407.8241867867782</v>
      </c>
      <c r="Z11" s="5"/>
    </row>
    <row r="12" spans="2:26" x14ac:dyDescent="0.2">
      <c r="B12" s="4">
        <v>910</v>
      </c>
      <c r="C12" s="5" cm="1">
        <f t="array" aca="1" ref="C12" ca="1">INDIRECT("'results" &amp; $B12 &amp; "'!D$14")</f>
        <v>1204846.1049447469</v>
      </c>
      <c r="D12" s="33" cm="1">
        <f t="array" aca="1" ref="D12" ca="1">INDIRECT("'results" &amp; $B12 &amp; "'!E$14")</f>
        <v>167.72226484617792</v>
      </c>
      <c r="E12" s="5" cm="1">
        <f t="array" aca="1" ref="E12" ca="1">INDIRECT("'results" &amp; $B12 &amp; "'!F$14")</f>
        <v>12</v>
      </c>
      <c r="F12" s="5" cm="1">
        <f t="array" aca="1" ref="F12" ca="1">INDIRECT("'results" &amp; $B12 &amp; "'!G$14")</f>
        <v>92.666666666666671</v>
      </c>
      <c r="G12" s="5" cm="1">
        <f t="array" aca="1" ref="G12" ca="1">INDIRECT("'results" &amp; $B12 &amp; "'!H$14")</f>
        <v>381.05739905978987</v>
      </c>
      <c r="H12" s="33" cm="1">
        <f t="array" aca="1" ref="H12" ca="1">INDIRECT("'results" &amp; $B12 &amp; "'!I$14")</f>
        <v>38.403845039915126</v>
      </c>
      <c r="I12" s="5" cm="1">
        <f t="array" aca="1" ref="I12" ca="1">INDIRECT("'results" &amp; $B12 &amp; "'!J$14")</f>
        <v>5454.0471054728532</v>
      </c>
      <c r="J12" s="5"/>
      <c r="K12" s="5" cm="1">
        <f t="array" aca="1" ref="K12" ca="1">INDIRECT("'results" &amp; $B12 &amp; "'!L$14")</f>
        <v>1187025.566419495</v>
      </c>
      <c r="L12" s="5" cm="1">
        <f t="array" aca="1" ref="L12" ca="1">INDIRECT("'results" &amp; $B12 &amp; "'!M$14")</f>
        <v>247.53930361538477</v>
      </c>
      <c r="M12" s="5" cm="1">
        <f t="array" aca="1" ref="M12" ca="1">INDIRECT("'results" &amp; $B12 &amp; "'!N$14")</f>
        <v>12</v>
      </c>
      <c r="N12" s="5" cm="1">
        <f t="array" aca="1" ref="N12" ca="1">INDIRECT("'results" &amp; $B12 &amp; "'!O$14")</f>
        <v>92.666666666666671</v>
      </c>
      <c r="O12" s="5" cm="1">
        <f t="array" aca="1" ref="O12" ca="1">INDIRECT("'results" &amp; $B12 &amp; "'!P$14")</f>
        <v>391.09497785453391</v>
      </c>
      <c r="P12" s="5" cm="1">
        <f t="array" aca="1" ref="P12" ca="1">INDIRECT("'results" &amp; $B12 &amp; "'!Q$14")</f>
        <v>38.350001584856081</v>
      </c>
      <c r="Q12" s="5" cm="1">
        <f t="array" aca="1" ref="Q12" ca="1">INDIRECT("'results" &amp; $B12 &amp; "'!R$14")</f>
        <v>5455.6432353668706</v>
      </c>
      <c r="R12" s="5"/>
      <c r="S12" s="5" cm="1">
        <f t="array" aca="1" ref="S12" ca="1">INDIRECT("'results" &amp; $B12 &amp; "'!T$14")</f>
        <v>1210980.5252533839</v>
      </c>
      <c r="T12" s="5" cm="1">
        <f t="array" aca="1" ref="T12" ca="1">INDIRECT("'results" &amp; $B12 &amp; "'!U$14")</f>
        <v>251.26760953849254</v>
      </c>
      <c r="U12" s="5" cm="1">
        <f t="array" aca="1" ref="U12" ca="1">INDIRECT("'results" &amp; $B12 &amp; "'!V$14")</f>
        <v>14</v>
      </c>
      <c r="V12" s="5" cm="1">
        <f t="array" aca="1" ref="V12" ca="1">INDIRECT("'results" &amp; $B12 &amp; "'!W$14")</f>
        <v>92.666666666666671</v>
      </c>
      <c r="W12" s="5" cm="1">
        <f t="array" aca="1" ref="W12" ca="1">INDIRECT("'results" &amp; $B12 &amp; "'!X$14")</f>
        <v>295.40228857547351</v>
      </c>
      <c r="X12" s="5" cm="1">
        <f t="array" aca="1" ref="X12" ca="1">INDIRECT("'results" &amp; $B12 &amp; "'!Y$14")</f>
        <v>32.949739429757763</v>
      </c>
      <c r="Y12" s="5" cm="1">
        <f t="array" aca="1" ref="Y12" ca="1">INDIRECT("'results" &amp; $B12 &amp; "'!Z$14")</f>
        <v>5202.9354842318189</v>
      </c>
      <c r="Z12" s="5"/>
    </row>
    <row r="13" spans="2:26" x14ac:dyDescent="0.2">
      <c r="B13" s="8" t="s">
        <v>3</v>
      </c>
      <c r="C13" s="9">
        <f ca="1">AVERAGE(C3:C12)</f>
        <v>1137345.6151144882</v>
      </c>
      <c r="D13" s="10">
        <f t="shared" ref="D13:I13" ca="1" si="0">AVERAGE(D3:D12)</f>
        <v>223.15693593847277</v>
      </c>
      <c r="E13" s="9">
        <f t="shared" ca="1" si="0"/>
        <v>13.2</v>
      </c>
      <c r="F13" s="9">
        <f t="shared" ca="1" si="0"/>
        <v>95.266666666666666</v>
      </c>
      <c r="G13" s="9">
        <f t="shared" ca="1" si="0"/>
        <v>392.83706213275394</v>
      </c>
      <c r="H13" s="10">
        <f t="shared" ca="1" si="0"/>
        <v>40.84478699706851</v>
      </c>
      <c r="I13" s="9">
        <f t="shared" ca="1" si="0"/>
        <v>5348.8731297936638</v>
      </c>
      <c r="J13" s="32" t="e">
        <f ca="1">(C13-$D$15)/$D$15</f>
        <v>#DIV/0!</v>
      </c>
      <c r="K13" s="16">
        <f ca="1">AVERAGE(K3:K12)</f>
        <v>1113876.5537632874</v>
      </c>
      <c r="L13" s="42">
        <f t="shared" ref="L13:Q13" ca="1" si="1">AVERAGE(L3:L12)</f>
        <v>301.04122241538988</v>
      </c>
      <c r="M13" s="16">
        <f t="shared" ca="1" si="1"/>
        <v>13.2</v>
      </c>
      <c r="N13" s="16">
        <f ca="1">AVERAGE(N3:N12)</f>
        <v>95.333333333333329</v>
      </c>
      <c r="O13" s="16">
        <f t="shared" ca="1" si="1"/>
        <v>414.79072580906006</v>
      </c>
      <c r="P13" s="42">
        <f t="shared" ca="1" si="1"/>
        <v>40.547322844903157</v>
      </c>
      <c r="Q13" s="16">
        <f t="shared" ca="1" si="1"/>
        <v>5329.363409998301</v>
      </c>
      <c r="R13" s="43" t="e">
        <f ca="1">(K13-$D$15)/$D$15</f>
        <v>#DIV/0!</v>
      </c>
      <c r="S13" s="38">
        <f ca="1">AVERAGE(S3:S12)</f>
        <v>1156271.6581853908</v>
      </c>
      <c r="T13" s="44">
        <f t="shared" ref="T13:Y13" ca="1" si="2">AVERAGE(T3:T12)</f>
        <v>262.60034589230338</v>
      </c>
      <c r="U13" s="38">
        <f t="shared" ca="1" si="2"/>
        <v>14</v>
      </c>
      <c r="V13" s="38">
        <f t="shared" ca="1" si="2"/>
        <v>95.199999999999989</v>
      </c>
      <c r="W13" s="38">
        <f t="shared" ca="1" si="2"/>
        <v>348.4673634613514</v>
      </c>
      <c r="X13" s="44">
        <f t="shared" ca="1" si="2"/>
        <v>38.230687589613439</v>
      </c>
      <c r="Y13" s="38">
        <f t="shared" ca="1" si="2"/>
        <v>5263.3289732732892</v>
      </c>
      <c r="Z13" s="45" t="e">
        <f ca="1">(S13-$D$15)/$D$15</f>
        <v>#DIV/0!</v>
      </c>
    </row>
    <row r="14" spans="2:26" x14ac:dyDescent="0.2">
      <c r="K14" s="46">
        <f ca="1">(K13-C13)/C13</f>
        <v>-2.0634942483018535E-2</v>
      </c>
      <c r="L14" s="46">
        <f t="shared" ref="L14:Q14" ca="1" si="3">(L13-D13)/D13</f>
        <v>0.34901127383462016</v>
      </c>
      <c r="M14" s="46">
        <f t="shared" ca="1" si="3"/>
        <v>0</v>
      </c>
      <c r="N14" s="46">
        <f t="shared" ca="1" si="3"/>
        <v>6.9979006298106594E-4</v>
      </c>
      <c r="O14" s="46">
        <f t="shared" ca="1" si="3"/>
        <v>5.588490952741923E-2</v>
      </c>
      <c r="P14" s="46">
        <f t="shared" ca="1" si="3"/>
        <v>-7.2827935713486091E-3</v>
      </c>
      <c r="Q14" s="46">
        <f t="shared" ca="1" si="3"/>
        <v>-3.6474448583743838E-3</v>
      </c>
      <c r="S14" s="46">
        <f ca="1">(S13-C13)/C13</f>
        <v>1.6640538126132781E-2</v>
      </c>
      <c r="T14" s="46">
        <f t="shared" ref="T14:Y14" ca="1" si="4">(T13-D13)/D13</f>
        <v>0.17675188892495666</v>
      </c>
      <c r="U14" s="46">
        <f t="shared" ca="1" si="4"/>
        <v>6.0606060606060663E-2</v>
      </c>
      <c r="V14" s="46">
        <f ca="1">(V13-F13)/F13</f>
        <v>-6.9979006298121502E-4</v>
      </c>
      <c r="W14" s="46">
        <f t="shared" ca="1" si="4"/>
        <v>-0.11294682439206413</v>
      </c>
      <c r="X14" s="46">
        <f t="shared" ca="1" si="4"/>
        <v>-6.4000808907209855E-2</v>
      </c>
      <c r="Y14" s="46">
        <f t="shared" ca="1" si="4"/>
        <v>-1.5992930556510417E-2</v>
      </c>
    </row>
    <row r="17" spans="3:5" ht="22" x14ac:dyDescent="0.2">
      <c r="C17" s="1"/>
      <c r="D17" s="49" t="s">
        <v>19</v>
      </c>
      <c r="E17" s="49" t="s">
        <v>20</v>
      </c>
    </row>
    <row r="18" spans="3:5" x14ac:dyDescent="0.2">
      <c r="C18" t="s">
        <v>21</v>
      </c>
      <c r="D18" s="41">
        <f ca="1">(K13-C13)/C13</f>
        <v>-2.0634942483018535E-2</v>
      </c>
      <c r="E18" s="41">
        <f ca="1">(S13-C13)/C13</f>
        <v>1.6640538126132781E-2</v>
      </c>
    </row>
    <row r="19" spans="3:5" x14ac:dyDescent="0.2">
      <c r="C19" t="s">
        <v>22</v>
      </c>
      <c r="D19" s="41">
        <f ca="1">(M13-E13)/E13</f>
        <v>0</v>
      </c>
      <c r="E19" s="41">
        <f ca="1">(U13-E13)/E13</f>
        <v>6.0606060606060663E-2</v>
      </c>
    </row>
    <row r="20" spans="3:5" x14ac:dyDescent="0.2">
      <c r="C20" t="s">
        <v>23</v>
      </c>
      <c r="D20" s="41">
        <f ca="1">(N13-F13)/F13</f>
        <v>6.9979006298106594E-4</v>
      </c>
      <c r="E20" s="41">
        <f ca="1">(V13-F13)/F13</f>
        <v>-6.9979006298121502E-4</v>
      </c>
    </row>
    <row r="21" spans="3:5" x14ac:dyDescent="0.2">
      <c r="C21" t="s">
        <v>24</v>
      </c>
      <c r="D21" s="41">
        <f ca="1">(P13-H13)/H13</f>
        <v>-7.2827935713486091E-3</v>
      </c>
      <c r="E21" s="41">
        <f ca="1">(X13-H13)/H13</f>
        <v>-6.4000808907209855E-2</v>
      </c>
    </row>
    <row r="22" spans="3:5" x14ac:dyDescent="0.2">
      <c r="C22" t="s">
        <v>25</v>
      </c>
      <c r="D22" s="41">
        <f ca="1">(O13-G13)/G13</f>
        <v>5.588490952741923E-2</v>
      </c>
      <c r="E22" s="41">
        <f ca="1">(W13-G13)/G13</f>
        <v>-0.11294682439206413</v>
      </c>
    </row>
    <row r="23" spans="3:5" x14ac:dyDescent="0.2">
      <c r="C23" t="s">
        <v>26</v>
      </c>
      <c r="D23" s="41">
        <f ca="1">(Q13-I13)/I13</f>
        <v>-3.6474448583743838E-3</v>
      </c>
      <c r="E23" s="41">
        <f ca="1">(Y13-I13)/I13</f>
        <v>-1.5992930556510417E-2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729E-4C33-4A98-9174-69ED4C08C4CA}">
  <dimension ref="B1:AA36"/>
  <sheetViews>
    <sheetView zoomScale="90" zoomScaleNormal="90" workbookViewId="0">
      <selection activeCell="U20" sqref="U20:U3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-0.15182838000347229</v>
      </c>
      <c r="R2" s="1">
        <f>(R14-J14)/J14</f>
        <v>-5.2507206665520022E-2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97</v>
      </c>
      <c r="D4" s="23">
        <v>1122021.9334757749</v>
      </c>
      <c r="E4" s="33">
        <v>183.73735515382853</v>
      </c>
      <c r="F4" s="5">
        <v>12</v>
      </c>
      <c r="G4" s="23">
        <v>96</v>
      </c>
      <c r="H4" s="33">
        <v>425.75936971036424</v>
      </c>
      <c r="I4" s="23">
        <v>44.97897523428793</v>
      </c>
      <c r="J4" s="5">
        <v>5517.0558625535232</v>
      </c>
      <c r="K4" s="31"/>
      <c r="L4" s="23">
        <v>1083365.9950874641</v>
      </c>
      <c r="M4" s="33">
        <v>230.32814561541622</v>
      </c>
      <c r="N4" s="5">
        <v>13</v>
      </c>
      <c r="O4" s="23">
        <v>96</v>
      </c>
      <c r="P4" s="33">
        <v>355.82740043946336</v>
      </c>
      <c r="Q4" s="23">
        <v>40.986614305396678</v>
      </c>
      <c r="R4" s="5">
        <v>5264.1723450795998</v>
      </c>
      <c r="S4" s="35"/>
      <c r="T4" s="23">
        <v>1145343.226000546</v>
      </c>
      <c r="U4" s="33">
        <v>359.08024415382749</v>
      </c>
      <c r="V4" s="5">
        <v>11</v>
      </c>
      <c r="W4" s="23">
        <v>94.666666666666671</v>
      </c>
      <c r="X4" s="33">
        <v>336.77922459537626</v>
      </c>
      <c r="Y4" s="23">
        <v>48.507401519347461</v>
      </c>
      <c r="Z4" s="5">
        <v>5529.4543143216943</v>
      </c>
      <c r="AA4" s="35"/>
    </row>
    <row r="5" spans="2:27" x14ac:dyDescent="0.2">
      <c r="B5" s="4">
        <v>2</v>
      </c>
      <c r="C5" s="4">
        <v>106</v>
      </c>
      <c r="D5" s="23">
        <v>1126682.9916717601</v>
      </c>
      <c r="E5" s="33">
        <v>271.11431015386745</v>
      </c>
      <c r="F5" s="5">
        <v>11</v>
      </c>
      <c r="G5" s="23">
        <v>94.666666666666671</v>
      </c>
      <c r="H5" s="33">
        <v>336.77922459537626</v>
      </c>
      <c r="I5" s="23">
        <v>48.507401519347461</v>
      </c>
      <c r="J5" s="5">
        <v>5529.4543143216943</v>
      </c>
      <c r="K5" s="31"/>
      <c r="L5" s="23">
        <v>1166002.8343016501</v>
      </c>
      <c r="M5" s="33">
        <v>158.05075630769491</v>
      </c>
      <c r="N5" s="5">
        <v>14</v>
      </c>
      <c r="O5" s="23">
        <v>96</v>
      </c>
      <c r="P5" s="33">
        <v>591.3943895161392</v>
      </c>
      <c r="Q5" s="23">
        <v>37.502731429477457</v>
      </c>
      <c r="R5" s="5">
        <v>5612.2856164847144</v>
      </c>
      <c r="S5" s="35"/>
      <c r="T5" s="23">
        <v>1155861.8501917119</v>
      </c>
      <c r="U5" s="33">
        <v>320.10668430772898</v>
      </c>
      <c r="V5" s="5">
        <v>13</v>
      </c>
      <c r="W5" s="23">
        <v>96</v>
      </c>
      <c r="X5" s="33">
        <v>404.5827502815286</v>
      </c>
      <c r="Y5" s="23">
        <v>40.752491885009356</v>
      </c>
      <c r="Z5" s="5">
        <v>5405.9759715418504</v>
      </c>
      <c r="AA5" s="35"/>
    </row>
    <row r="6" spans="2:27" x14ac:dyDescent="0.2">
      <c r="B6" s="4">
        <v>3</v>
      </c>
      <c r="C6" s="4">
        <v>235</v>
      </c>
      <c r="D6" s="23">
        <v>1132146.432679648</v>
      </c>
      <c r="E6" s="33">
        <v>194.98045776916953</v>
      </c>
      <c r="F6" s="5">
        <v>13</v>
      </c>
      <c r="G6" s="23">
        <v>96</v>
      </c>
      <c r="H6" s="33">
        <v>428.84100424297549</v>
      </c>
      <c r="I6" s="23">
        <v>41.453548363962604</v>
      </c>
      <c r="J6" s="5">
        <v>5450.5331439472538</v>
      </c>
      <c r="K6" s="31"/>
      <c r="L6" s="23">
        <v>1088871.1329502319</v>
      </c>
      <c r="M6" s="33">
        <v>259.69909823078729</v>
      </c>
      <c r="N6" s="5">
        <v>12</v>
      </c>
      <c r="O6" s="23">
        <v>96</v>
      </c>
      <c r="P6" s="33">
        <v>385.84915666954095</v>
      </c>
      <c r="Q6" s="23">
        <v>44.756373401026146</v>
      </c>
      <c r="R6" s="5">
        <v>5435.9663871894745</v>
      </c>
      <c r="S6" s="35"/>
      <c r="T6" s="23">
        <v>1136675.2691200529</v>
      </c>
      <c r="U6" s="33">
        <v>144.28236138460653</v>
      </c>
      <c r="V6" s="5">
        <v>10</v>
      </c>
      <c r="W6" s="23">
        <v>95.333333333333329</v>
      </c>
      <c r="X6" s="33">
        <v>366.34859921276427</v>
      </c>
      <c r="Y6" s="23">
        <v>52.853815148630886</v>
      </c>
      <c r="Z6" s="5">
        <v>5644.4706481062485</v>
      </c>
      <c r="AA6" s="35"/>
    </row>
    <row r="7" spans="2:27" x14ac:dyDescent="0.2">
      <c r="B7" s="4">
        <v>4</v>
      </c>
      <c r="C7" s="4">
        <v>242</v>
      </c>
      <c r="D7" s="23">
        <v>1116068.431941214</v>
      </c>
      <c r="E7" s="33">
        <v>189.84986530769115</v>
      </c>
      <c r="F7" s="5">
        <v>12</v>
      </c>
      <c r="G7" s="23">
        <v>95.333333333333329</v>
      </c>
      <c r="H7" s="33">
        <v>371.89828653282825</v>
      </c>
      <c r="I7" s="23">
        <v>44.595960762261143</v>
      </c>
      <c r="J7" s="5">
        <v>5398.2298200767509</v>
      </c>
      <c r="K7" s="31"/>
      <c r="L7" s="23">
        <v>1103398.0547228879</v>
      </c>
      <c r="M7" s="33">
        <v>153.95920353852068</v>
      </c>
      <c r="N7" s="5">
        <v>11</v>
      </c>
      <c r="O7" s="23">
        <v>96</v>
      </c>
      <c r="P7" s="33">
        <v>458.83484272967416</v>
      </c>
      <c r="Q7" s="23">
        <v>49.026518803280624</v>
      </c>
      <c r="R7" s="5">
        <v>5641.2741950109412</v>
      </c>
      <c r="S7" s="35"/>
      <c r="T7" s="23">
        <v>1151140.4621622891</v>
      </c>
      <c r="U7" s="33">
        <v>176.43858938460022</v>
      </c>
      <c r="V7" s="5">
        <v>11</v>
      </c>
      <c r="W7" s="23">
        <v>94.666666666666671</v>
      </c>
      <c r="X7" s="33">
        <v>351.88335231373975</v>
      </c>
      <c r="Y7" s="23">
        <v>48.066654372619261</v>
      </c>
      <c r="Z7" s="5">
        <v>5545.3398709233215</v>
      </c>
      <c r="AA7" s="35"/>
    </row>
    <row r="8" spans="2:27" x14ac:dyDescent="0.2">
      <c r="B8" s="4">
        <v>5</v>
      </c>
      <c r="C8" s="4">
        <v>406</v>
      </c>
      <c r="D8" s="23">
        <v>1127029.214867082</v>
      </c>
      <c r="E8" s="33">
        <v>225.84214153842851</v>
      </c>
      <c r="F8" s="5">
        <v>11</v>
      </c>
      <c r="G8" s="23">
        <v>95.333333333333329</v>
      </c>
      <c r="H8" s="33">
        <v>395.7552910647305</v>
      </c>
      <c r="I8" s="23">
        <v>48.773796022884063</v>
      </c>
      <c r="J8" s="5">
        <v>5589.4329330435912</v>
      </c>
      <c r="K8" s="31"/>
      <c r="L8" s="23">
        <v>1083179.3759379401</v>
      </c>
      <c r="M8" s="33">
        <v>346.31640569226312</v>
      </c>
      <c r="N8" s="5">
        <v>13</v>
      </c>
      <c r="O8" s="23">
        <v>96</v>
      </c>
      <c r="P8" s="33">
        <v>355.44228379481621</v>
      </c>
      <c r="Q8" s="23">
        <v>41.026626643521858</v>
      </c>
      <c r="R8" s="5">
        <v>5264.7776982348551</v>
      </c>
      <c r="S8" s="35"/>
      <c r="T8" s="23">
        <v>1123472.240537459</v>
      </c>
      <c r="U8" s="33">
        <v>127.71339138459346</v>
      </c>
      <c r="V8" s="5">
        <v>14</v>
      </c>
      <c r="W8" s="23">
        <v>96</v>
      </c>
      <c r="X8" s="33">
        <v>319.38908292623427</v>
      </c>
      <c r="Y8" s="23">
        <v>37.935225836503491</v>
      </c>
      <c r="Z8" s="5">
        <v>5177.2410926618049</v>
      </c>
      <c r="AA8" s="35"/>
    </row>
    <row r="9" spans="2:27" x14ac:dyDescent="0.2">
      <c r="B9" s="4">
        <v>6</v>
      </c>
      <c r="C9" s="4">
        <v>652</v>
      </c>
      <c r="D9" s="23">
        <v>1133790.4513554031</v>
      </c>
      <c r="E9" s="33">
        <v>189.7263022308023</v>
      </c>
      <c r="F9" s="5">
        <v>12</v>
      </c>
      <c r="G9" s="23">
        <v>95.333333333333329</v>
      </c>
      <c r="H9" s="33">
        <v>383.45350194676695</v>
      </c>
      <c r="I9" s="23">
        <v>44.447138327421811</v>
      </c>
      <c r="J9" s="5">
        <v>5490.5588842943616</v>
      </c>
      <c r="K9" s="31"/>
      <c r="L9" s="23">
        <v>1095150.191423476</v>
      </c>
      <c r="M9" s="33">
        <v>246.45362500002821</v>
      </c>
      <c r="N9" s="5">
        <v>13</v>
      </c>
      <c r="O9" s="23">
        <v>96</v>
      </c>
      <c r="P9" s="33">
        <v>436.73698481880132</v>
      </c>
      <c r="Q9" s="23">
        <v>41.232652016556486</v>
      </c>
      <c r="R9" s="5">
        <v>5327.4444245718196</v>
      </c>
      <c r="S9" s="35"/>
      <c r="T9" s="23">
        <v>1132680.386381031</v>
      </c>
      <c r="U9" s="33">
        <v>146.71279607689939</v>
      </c>
      <c r="V9" s="5">
        <v>11</v>
      </c>
      <c r="W9" s="23">
        <v>96</v>
      </c>
      <c r="X9" s="33">
        <v>354.69009323321865</v>
      </c>
      <c r="Y9" s="23">
        <v>48.285988903105881</v>
      </c>
      <c r="Z9" s="5">
        <v>5592.7808321980237</v>
      </c>
      <c r="AA9" s="35"/>
    </row>
    <row r="10" spans="2:27" x14ac:dyDescent="0.2">
      <c r="B10" s="4">
        <v>7</v>
      </c>
      <c r="C10" s="4">
        <v>716</v>
      </c>
      <c r="D10" s="23">
        <v>1140031.934616267</v>
      </c>
      <c r="E10" s="33">
        <v>217.64429946152421</v>
      </c>
      <c r="F10" s="5">
        <v>13</v>
      </c>
      <c r="G10" s="23">
        <v>96</v>
      </c>
      <c r="H10" s="33">
        <v>428.80407814808723</v>
      </c>
      <c r="I10" s="23">
        <v>40.948950980188506</v>
      </c>
      <c r="J10" s="5">
        <v>5479.1543091261265</v>
      </c>
      <c r="K10" s="31"/>
      <c r="L10" s="23">
        <v>1123043.635104408</v>
      </c>
      <c r="M10" s="33">
        <v>258.54532592303048</v>
      </c>
      <c r="N10" s="5">
        <v>13</v>
      </c>
      <c r="O10" s="23">
        <v>96</v>
      </c>
      <c r="P10" s="33">
        <v>585.74951251984464</v>
      </c>
      <c r="Q10" s="23">
        <v>40.489415368699113</v>
      </c>
      <c r="R10" s="5">
        <v>5437.4754218171583</v>
      </c>
      <c r="S10" s="35"/>
      <c r="T10" s="23">
        <v>1143691.9430516281</v>
      </c>
      <c r="U10" s="33">
        <v>144.7134110769436</v>
      </c>
      <c r="V10" s="5">
        <v>13</v>
      </c>
      <c r="W10" s="23">
        <v>96</v>
      </c>
      <c r="X10" s="33">
        <v>397.09887682574458</v>
      </c>
      <c r="Y10" s="23">
        <v>41.260326940961995</v>
      </c>
      <c r="Z10" s="5">
        <v>5367.6038528331665</v>
      </c>
      <c r="AA10" s="35"/>
    </row>
    <row r="11" spans="2:27" x14ac:dyDescent="0.2">
      <c r="B11" s="4">
        <v>8</v>
      </c>
      <c r="C11" s="4">
        <v>719</v>
      </c>
      <c r="D11" s="23">
        <v>1113987.924892782</v>
      </c>
      <c r="E11" s="33">
        <v>406.53136184609207</v>
      </c>
      <c r="F11" s="5">
        <v>13</v>
      </c>
      <c r="G11" s="23">
        <v>96</v>
      </c>
      <c r="H11" s="33">
        <v>383.75046607843046</v>
      </c>
      <c r="I11" s="23">
        <v>40.972053977201611</v>
      </c>
      <c r="J11" s="5">
        <v>5328.7818705660438</v>
      </c>
      <c r="K11" s="31"/>
      <c r="L11" s="23">
        <v>1104591.1632293039</v>
      </c>
      <c r="M11" s="33">
        <v>178.85341638466346</v>
      </c>
      <c r="N11" s="5">
        <v>12</v>
      </c>
      <c r="O11" s="23">
        <v>96</v>
      </c>
      <c r="P11" s="33">
        <v>418.99482704651518</v>
      </c>
      <c r="Q11" s="23">
        <v>44.719156980714871</v>
      </c>
      <c r="R11" s="5">
        <v>5523.4868994421677</v>
      </c>
      <c r="S11" s="35"/>
      <c r="T11" s="23">
        <v>1148246.6988267759</v>
      </c>
      <c r="U11" s="33">
        <v>182.02889769230606</v>
      </c>
      <c r="V11" s="5">
        <v>12</v>
      </c>
      <c r="W11" s="23">
        <v>95.333333333333329</v>
      </c>
      <c r="X11" s="33">
        <v>410.00566508175268</v>
      </c>
      <c r="Y11" s="23">
        <v>44.535518306027036</v>
      </c>
      <c r="Z11" s="5">
        <v>5458.6912665222007</v>
      </c>
      <c r="AA11" s="35"/>
    </row>
    <row r="12" spans="2:27" x14ac:dyDescent="0.2">
      <c r="B12" s="4">
        <v>9</v>
      </c>
      <c r="C12" s="4">
        <v>851</v>
      </c>
      <c r="D12" s="23">
        <v>1109491.730596958</v>
      </c>
      <c r="E12" s="33">
        <v>175.83051161536085</v>
      </c>
      <c r="F12" s="5">
        <v>11</v>
      </c>
      <c r="G12" s="23">
        <v>96</v>
      </c>
      <c r="H12" s="33">
        <v>419.06882453373214</v>
      </c>
      <c r="I12" s="23">
        <v>49.007721434937274</v>
      </c>
      <c r="J12" s="5">
        <v>5556.5358758104085</v>
      </c>
      <c r="K12" s="31"/>
      <c r="L12" s="23">
        <v>1099263.652288995</v>
      </c>
      <c r="M12" s="33">
        <v>225.08961746155714</v>
      </c>
      <c r="N12" s="5">
        <v>12</v>
      </c>
      <c r="O12" s="23">
        <v>96</v>
      </c>
      <c r="P12" s="33">
        <v>467.984399380453</v>
      </c>
      <c r="Q12" s="23">
        <v>44.322979542448032</v>
      </c>
      <c r="R12" s="5">
        <v>5477.9617498097623</v>
      </c>
      <c r="S12" s="35"/>
      <c r="T12" s="23">
        <v>1156181.5561744471</v>
      </c>
      <c r="U12" s="33">
        <v>181.58508523080783</v>
      </c>
      <c r="V12" s="5">
        <v>11</v>
      </c>
      <c r="W12" s="23">
        <v>94.666666666666671</v>
      </c>
      <c r="X12" s="33">
        <v>366.7479896232997</v>
      </c>
      <c r="Y12" s="23">
        <v>47.567615350040199</v>
      </c>
      <c r="Z12" s="5">
        <v>5549.1960444047045</v>
      </c>
      <c r="AA12" s="35"/>
    </row>
    <row r="13" spans="2:27" x14ac:dyDescent="0.2">
      <c r="B13" s="4">
        <v>10</v>
      </c>
      <c r="C13" s="4">
        <v>949</v>
      </c>
      <c r="D13" s="23">
        <v>1126167.2428744051</v>
      </c>
      <c r="E13" s="33">
        <v>141.45905299998745</v>
      </c>
      <c r="F13" s="5">
        <v>12</v>
      </c>
      <c r="G13" s="23">
        <v>96</v>
      </c>
      <c r="H13" s="33">
        <v>400.44745439680673</v>
      </c>
      <c r="I13" s="23">
        <v>44.619990142235828</v>
      </c>
      <c r="J13" s="5">
        <v>5525.3048096473231</v>
      </c>
      <c r="K13" s="31"/>
      <c r="L13" s="23">
        <v>1104043.301831672</v>
      </c>
      <c r="M13" s="33">
        <v>161.04822423076254</v>
      </c>
      <c r="N13" s="5">
        <v>12</v>
      </c>
      <c r="O13" s="23">
        <v>96</v>
      </c>
      <c r="P13" s="33">
        <v>437.53921036854427</v>
      </c>
      <c r="Q13" s="23">
        <v>44.764517930014158</v>
      </c>
      <c r="R13" s="5">
        <v>5511.4923389134037</v>
      </c>
      <c r="S13" s="35"/>
      <c r="T13" s="23">
        <v>1129464.7118504969</v>
      </c>
      <c r="U13" s="33">
        <v>126.65884184615254</v>
      </c>
      <c r="V13" s="5">
        <v>12</v>
      </c>
      <c r="W13" s="23">
        <v>96</v>
      </c>
      <c r="X13" s="33">
        <v>414.56286847802335</v>
      </c>
      <c r="Y13" s="23">
        <v>44.127303243142386</v>
      </c>
      <c r="Z13" s="5">
        <v>5378.6012852304048</v>
      </c>
      <c r="AA13" s="35"/>
    </row>
    <row r="14" spans="2:27" x14ac:dyDescent="0.2">
      <c r="B14" s="50" t="s">
        <v>3</v>
      </c>
      <c r="C14" s="51"/>
      <c r="D14" s="9">
        <f>MIN(D4:D13)</f>
        <v>1109491.730596958</v>
      </c>
      <c r="E14" s="22">
        <f>INDEX(E4:E13, MATCH($D$14, D4:D13, 0))</f>
        <v>175.83051161536085</v>
      </c>
      <c r="F14" s="9">
        <f>INDEX(F4:F13, MATCH($D$14, D4:D13, 0))</f>
        <v>11</v>
      </c>
      <c r="G14" s="9">
        <f>INDEX(G4:G13, MATCH($D$14, D4:D13, 0))</f>
        <v>96</v>
      </c>
      <c r="H14" s="22">
        <f>INDEX(H4:H13, MATCH($D$14, D4:D13, 0))</f>
        <v>419.06882453373214</v>
      </c>
      <c r="I14" s="22">
        <f>INDEX(I4:I13, MATCH($D$14, D4:D13, 0))</f>
        <v>49.007721434937274</v>
      </c>
      <c r="J14" s="22">
        <f>INDEX(J4:J13, MATCH($D$14, D4:D13, 0))</f>
        <v>5556.5358758104085</v>
      </c>
      <c r="K14" s="32" t="e">
        <f>(D14-$D$15)/$D$15</f>
        <v>#DIV/0!</v>
      </c>
      <c r="L14" s="16">
        <f>MIN(L4:L13)</f>
        <v>1083179.3759379401</v>
      </c>
      <c r="M14" s="21">
        <f>INDEX(M4:M13, MATCH($L$14, L4:L13, 0))</f>
        <v>346.31640569226312</v>
      </c>
      <c r="N14" s="16">
        <f>INDEX(N4:N13, MATCH($L$14, L4:L13, 0))</f>
        <v>13</v>
      </c>
      <c r="O14" s="16">
        <f>INDEX(O4:O13, MATCH($L$14, L4:L13, 0))</f>
        <v>96</v>
      </c>
      <c r="P14" s="21">
        <f>INDEX(P4:P13, MATCH($L$14, L4:L13, 0))</f>
        <v>355.44228379481621</v>
      </c>
      <c r="Q14" s="21">
        <f>INDEX(Q4:Q13, MATCH($L$14, L4:L13, 0))</f>
        <v>41.026626643521858</v>
      </c>
      <c r="R14" s="21">
        <f>INDEX(R4:R13, MATCH($L$14, L4:L13, 0))</f>
        <v>5264.7776982348551</v>
      </c>
      <c r="S14" s="36" t="e">
        <f>(L14-$D$15)/$D$15</f>
        <v>#DIV/0!</v>
      </c>
      <c r="T14" s="38">
        <f>MIN(T4:T13)</f>
        <v>1123472.240537459</v>
      </c>
      <c r="U14" s="39">
        <f>INDEX(U4:U13, MATCH($T$14, T4:T13, 0))</f>
        <v>127.71339138459346</v>
      </c>
      <c r="V14" s="38">
        <f>INDEX(V4:V13, MATCH($T$14, T4:T13, 0))</f>
        <v>14</v>
      </c>
      <c r="W14" s="38">
        <f>INDEX(W4:W13, MATCH($T$14, T4:T13, 0))</f>
        <v>96</v>
      </c>
      <c r="X14" s="39">
        <f>INDEX(X4:X13, MATCH($T$14, T4:T13, 0))</f>
        <v>319.38908292623427</v>
      </c>
      <c r="Y14" s="39">
        <f>INDEX(Y4:Y13, MATCH($T$14, T4:T13, 0))</f>
        <v>37.935225836503491</v>
      </c>
      <c r="Z14" s="39">
        <f>INDEX(Z4:Z13, MATCH($T$14, T4:T13, 0))</f>
        <v>5177.2410926618049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-2.3715683437190296E-2</v>
      </c>
      <c r="M15" s="41">
        <f t="shared" ref="M15:R15" si="0">(M14-E14)/E14</f>
        <v>0.96960358307919714</v>
      </c>
      <c r="N15" s="41">
        <f t="shared" si="0"/>
        <v>0.18181818181818182</v>
      </c>
      <c r="O15" s="41">
        <f t="shared" si="0"/>
        <v>0</v>
      </c>
      <c r="P15" s="41">
        <f t="shared" si="0"/>
        <v>-0.15182838000347229</v>
      </c>
      <c r="Q15" s="41">
        <f t="shared" si="0"/>
        <v>-0.16285382298401954</v>
      </c>
      <c r="R15" s="41">
        <f t="shared" si="0"/>
        <v>-5.2507206665520022E-2</v>
      </c>
      <c r="T15" s="41">
        <f>(T14-D14)/D14</f>
        <v>1.2600823922300806E-2</v>
      </c>
      <c r="U15" s="41">
        <f t="shared" ref="U15:Z15" si="1">(U14-E14)/E14</f>
        <v>-0.27365626016050215</v>
      </c>
      <c r="V15" s="41">
        <f t="shared" si="1"/>
        <v>0.27272727272727271</v>
      </c>
      <c r="W15" s="41">
        <f t="shared" si="1"/>
        <v>0</v>
      </c>
      <c r="X15" s="41">
        <f t="shared" si="1"/>
        <v>-0.23786007398284609</v>
      </c>
      <c r="Y15" s="41">
        <f t="shared" si="1"/>
        <v>-0.22593369522665208</v>
      </c>
      <c r="Z15" s="41">
        <f t="shared" si="1"/>
        <v>-6.826101578859764E-2</v>
      </c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</sheetData>
  <mergeCells count="1">
    <mergeCell ref="B14:C14"/>
  </mergeCells>
  <conditionalFormatting sqref="C1 C16:C1048576 C3">
    <cfRule type="duplicateValues" dxfId="149" priority="11"/>
    <cfRule type="duplicateValues" dxfId="148" priority="12"/>
  </conditionalFormatting>
  <conditionalFormatting sqref="C2">
    <cfRule type="duplicateValues" dxfId="147" priority="1"/>
    <cfRule type="duplicateValues" dxfId="146" priority="2"/>
  </conditionalFormatting>
  <conditionalFormatting sqref="C4:C13">
    <cfRule type="duplicateValues" dxfId="145" priority="3"/>
    <cfRule type="duplicateValues" dxfId="144" priority="4"/>
  </conditionalFormatting>
  <conditionalFormatting sqref="C14">
    <cfRule type="duplicateValues" dxfId="143" priority="9"/>
    <cfRule type="duplicateValues" dxfId="142" priority="10"/>
  </conditionalFormatting>
  <conditionalFormatting sqref="C15">
    <cfRule type="duplicateValues" dxfId="141" priority="7"/>
    <cfRule type="duplicateValues" dxfId="140" priority="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C949-B9EE-4AA8-8502-293CCF2F0118}">
  <dimension ref="B1:AA36"/>
  <sheetViews>
    <sheetView topLeftCell="A2" zoomScale="90" zoomScaleNormal="90" workbookViewId="0">
      <selection activeCell="U20" sqref="U20:U3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-0.27695591469572722</v>
      </c>
      <c r="R2" s="1">
        <f>(R14-J14)/J14</f>
        <v>-3.0700159065904554E-2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34</v>
      </c>
      <c r="D4" s="23">
        <v>968127.96556841256</v>
      </c>
      <c r="E4" s="33">
        <v>110.66876407685831</v>
      </c>
      <c r="F4" s="5">
        <v>11</v>
      </c>
      <c r="G4" s="23">
        <v>96</v>
      </c>
      <c r="H4" s="33">
        <v>148.27568864938823</v>
      </c>
      <c r="I4" s="23">
        <v>41.044499047729481</v>
      </c>
      <c r="J4" s="5">
        <v>4730.6926525659665</v>
      </c>
      <c r="K4" s="31"/>
      <c r="L4" s="23">
        <v>959651.97903965542</v>
      </c>
      <c r="M4" s="33">
        <v>98.974435999989524</v>
      </c>
      <c r="N4" s="5">
        <v>11</v>
      </c>
      <c r="O4" s="23">
        <v>96</v>
      </c>
      <c r="P4" s="33">
        <v>148.27568864938823</v>
      </c>
      <c r="Q4" s="23">
        <v>41.044499047729481</v>
      </c>
      <c r="R4" s="5">
        <v>4730.6926525659665</v>
      </c>
      <c r="S4" s="35"/>
      <c r="T4" s="23">
        <v>1028936.182795743</v>
      </c>
      <c r="U4" s="33">
        <v>99.448592692273309</v>
      </c>
      <c r="V4" s="5">
        <v>12</v>
      </c>
      <c r="W4" s="23">
        <v>96</v>
      </c>
      <c r="X4" s="33">
        <v>233.56848583678251</v>
      </c>
      <c r="Y4" s="23">
        <v>37.335206476621529</v>
      </c>
      <c r="Z4" s="5">
        <v>4839.4641425064874</v>
      </c>
      <c r="AA4" s="35"/>
    </row>
    <row r="5" spans="2:27" x14ac:dyDescent="0.2">
      <c r="B5" s="4">
        <v>2</v>
      </c>
      <c r="C5" s="4">
        <v>148</v>
      </c>
      <c r="D5" s="23">
        <v>986432.44844475493</v>
      </c>
      <c r="E5" s="33">
        <v>99.406090000053311</v>
      </c>
      <c r="F5" s="5">
        <v>10</v>
      </c>
      <c r="G5" s="23">
        <v>96</v>
      </c>
      <c r="H5" s="33">
        <v>200.44797504472541</v>
      </c>
      <c r="I5" s="23">
        <v>44.573430423460422</v>
      </c>
      <c r="J5" s="5">
        <v>4927.9575088772144</v>
      </c>
      <c r="K5" s="31"/>
      <c r="L5" s="23">
        <v>964749.60184409423</v>
      </c>
      <c r="M5" s="33">
        <v>132.64626530769206</v>
      </c>
      <c r="N5" s="5">
        <v>11</v>
      </c>
      <c r="O5" s="23">
        <v>96</v>
      </c>
      <c r="P5" s="33">
        <v>181.62937635581511</v>
      </c>
      <c r="Q5" s="23">
        <v>41.090355711073329</v>
      </c>
      <c r="R5" s="5">
        <v>4740.3882847012428</v>
      </c>
      <c r="S5" s="35"/>
      <c r="T5" s="23">
        <v>967927.92477042344</v>
      </c>
      <c r="U5" s="33">
        <v>259.92645746159656</v>
      </c>
      <c r="V5" s="5">
        <v>12</v>
      </c>
      <c r="W5" s="23">
        <v>96</v>
      </c>
      <c r="X5" s="33">
        <v>107.20985967235805</v>
      </c>
      <c r="Y5" s="23">
        <v>37.78329131050139</v>
      </c>
      <c r="Z5" s="5">
        <v>4585.4596356402853</v>
      </c>
      <c r="AA5" s="35"/>
    </row>
    <row r="6" spans="2:27" x14ac:dyDescent="0.2">
      <c r="B6" s="4">
        <v>3</v>
      </c>
      <c r="C6" s="4">
        <v>199</v>
      </c>
      <c r="D6" s="23">
        <v>968127.96556841256</v>
      </c>
      <c r="E6" s="33">
        <v>94.729488923017385</v>
      </c>
      <c r="F6" s="5">
        <v>11</v>
      </c>
      <c r="G6" s="23">
        <v>96</v>
      </c>
      <c r="H6" s="33">
        <v>148.27568864938823</v>
      </c>
      <c r="I6" s="23">
        <v>41.044499047729481</v>
      </c>
      <c r="J6" s="5">
        <v>4730.6926525659665</v>
      </c>
      <c r="K6" s="31"/>
      <c r="L6" s="23">
        <v>955798.18772655679</v>
      </c>
      <c r="M6" s="33">
        <v>270.37925184614818</v>
      </c>
      <c r="N6" s="5">
        <v>12</v>
      </c>
      <c r="O6" s="23">
        <v>96</v>
      </c>
      <c r="P6" s="33">
        <v>107.20985967235805</v>
      </c>
      <c r="Q6" s="23">
        <v>37.78329131050139</v>
      </c>
      <c r="R6" s="5">
        <v>4585.4596356402853</v>
      </c>
      <c r="S6" s="35"/>
      <c r="T6" s="23">
        <v>976603.95209716959</v>
      </c>
      <c r="U6" s="33">
        <v>130.13974546150376</v>
      </c>
      <c r="V6" s="5">
        <v>11</v>
      </c>
      <c r="W6" s="23">
        <v>96</v>
      </c>
      <c r="X6" s="33">
        <v>148.27568864938823</v>
      </c>
      <c r="Y6" s="23">
        <v>41.044499047729481</v>
      </c>
      <c r="Z6" s="5">
        <v>4730.6926525659665</v>
      </c>
      <c r="AA6" s="35"/>
    </row>
    <row r="7" spans="2:27" x14ac:dyDescent="0.2">
      <c r="B7" s="4">
        <v>4</v>
      </c>
      <c r="C7" s="4">
        <v>229</v>
      </c>
      <c r="D7" s="23">
        <v>968127.96556841256</v>
      </c>
      <c r="E7" s="33">
        <v>165.76878069237307</v>
      </c>
      <c r="F7" s="5">
        <v>11</v>
      </c>
      <c r="G7" s="23">
        <v>96</v>
      </c>
      <c r="H7" s="33">
        <v>148.27568864938823</v>
      </c>
      <c r="I7" s="23">
        <v>41.044499047729481</v>
      </c>
      <c r="J7" s="5">
        <v>4730.6926525659665</v>
      </c>
      <c r="K7" s="31"/>
      <c r="L7" s="23">
        <v>975091.62589467166</v>
      </c>
      <c r="M7" s="33">
        <v>122.30908315386984</v>
      </c>
      <c r="N7" s="5">
        <v>10</v>
      </c>
      <c r="O7" s="23">
        <v>96</v>
      </c>
      <c r="P7" s="33">
        <v>200.44797504472541</v>
      </c>
      <c r="Q7" s="23">
        <v>44.573430423460422</v>
      </c>
      <c r="R7" s="5">
        <v>4927.9575088772144</v>
      </c>
      <c r="S7" s="35"/>
      <c r="T7" s="23">
        <v>976603.95209716959</v>
      </c>
      <c r="U7" s="33">
        <v>143.41915276931383</v>
      </c>
      <c r="V7" s="5">
        <v>11</v>
      </c>
      <c r="W7" s="23">
        <v>96</v>
      </c>
      <c r="X7" s="33">
        <v>148.27568864938823</v>
      </c>
      <c r="Y7" s="23">
        <v>41.044499047729481</v>
      </c>
      <c r="Z7" s="5">
        <v>4730.6926525659665</v>
      </c>
      <c r="AA7" s="35"/>
    </row>
    <row r="8" spans="2:27" x14ac:dyDescent="0.2">
      <c r="B8" s="4">
        <v>5</v>
      </c>
      <c r="C8" s="4">
        <v>472</v>
      </c>
      <c r="D8" s="23">
        <v>1029035.6278008739</v>
      </c>
      <c r="E8" s="33">
        <v>197.36991199996106</v>
      </c>
      <c r="F8" s="5">
        <v>12</v>
      </c>
      <c r="G8" s="23">
        <v>96</v>
      </c>
      <c r="H8" s="33">
        <v>231.88850890096572</v>
      </c>
      <c r="I8" s="23">
        <v>37.458197806659051</v>
      </c>
      <c r="J8" s="5">
        <v>4944.0919529934436</v>
      </c>
      <c r="K8" s="31"/>
      <c r="L8" s="23">
        <v>959651.97903965542</v>
      </c>
      <c r="M8" s="33">
        <v>98.86156776919961</v>
      </c>
      <c r="N8" s="5">
        <v>11</v>
      </c>
      <c r="O8" s="23">
        <v>96</v>
      </c>
      <c r="P8" s="33">
        <v>148.27568864938823</v>
      </c>
      <c r="Q8" s="23">
        <v>41.044499047729481</v>
      </c>
      <c r="R8" s="5">
        <v>4730.6926525659665</v>
      </c>
      <c r="S8" s="35"/>
      <c r="T8" s="23">
        <v>967927.92477042344</v>
      </c>
      <c r="U8" s="33">
        <v>232.06556846145898</v>
      </c>
      <c r="V8" s="5">
        <v>12</v>
      </c>
      <c r="W8" s="23">
        <v>96</v>
      </c>
      <c r="X8" s="33">
        <v>107.20985967235805</v>
      </c>
      <c r="Y8" s="23">
        <v>37.78329131050139</v>
      </c>
      <c r="Z8" s="5">
        <v>4585.4596356402853</v>
      </c>
      <c r="AA8" s="35"/>
    </row>
    <row r="9" spans="2:27" x14ac:dyDescent="0.2">
      <c r="B9" s="4">
        <v>6</v>
      </c>
      <c r="C9" s="4">
        <v>634</v>
      </c>
      <c r="D9" s="23">
        <v>968127.96556841256</v>
      </c>
      <c r="E9" s="33">
        <v>269.12330561541376</v>
      </c>
      <c r="F9" s="5">
        <v>11</v>
      </c>
      <c r="G9" s="23">
        <v>96</v>
      </c>
      <c r="H9" s="33">
        <v>148.27568864938823</v>
      </c>
      <c r="I9" s="23">
        <v>41.044499047729481</v>
      </c>
      <c r="J9" s="5">
        <v>4730.6926525659665</v>
      </c>
      <c r="K9" s="31"/>
      <c r="L9" s="23">
        <v>1009015.398360625</v>
      </c>
      <c r="M9" s="33">
        <v>116.55221276925516</v>
      </c>
      <c r="N9" s="5">
        <v>11</v>
      </c>
      <c r="O9" s="23">
        <v>96</v>
      </c>
      <c r="P9" s="33">
        <v>247.83674865788615</v>
      </c>
      <c r="Q9" s="23">
        <v>40.964531612683601</v>
      </c>
      <c r="R9" s="5">
        <v>5007.4557308616986</v>
      </c>
      <c r="S9" s="35"/>
      <c r="T9" s="23">
        <v>976603.95209716959</v>
      </c>
      <c r="U9" s="33">
        <v>188.33618438462369</v>
      </c>
      <c r="V9" s="5">
        <v>11</v>
      </c>
      <c r="W9" s="23">
        <v>96</v>
      </c>
      <c r="X9" s="33">
        <v>148.27568864938823</v>
      </c>
      <c r="Y9" s="23">
        <v>41.044499047729481</v>
      </c>
      <c r="Z9" s="5">
        <v>4730.6926525659665</v>
      </c>
      <c r="AA9" s="35"/>
    </row>
    <row r="10" spans="2:27" x14ac:dyDescent="0.2">
      <c r="B10" s="4">
        <v>7</v>
      </c>
      <c r="C10" s="4">
        <v>748</v>
      </c>
      <c r="D10" s="23">
        <v>986432.44844475493</v>
      </c>
      <c r="E10" s="33">
        <v>122.43891207689344</v>
      </c>
      <c r="F10" s="5">
        <v>10</v>
      </c>
      <c r="G10" s="23">
        <v>96</v>
      </c>
      <c r="H10" s="33">
        <v>200.44797504472541</v>
      </c>
      <c r="I10" s="23">
        <v>44.573430423460422</v>
      </c>
      <c r="J10" s="5">
        <v>4927.9575088772144</v>
      </c>
      <c r="K10" s="31"/>
      <c r="L10" s="23">
        <v>959651.97903965542</v>
      </c>
      <c r="M10" s="33">
        <v>106.83722069227278</v>
      </c>
      <c r="N10" s="5">
        <v>11</v>
      </c>
      <c r="O10" s="23">
        <v>96</v>
      </c>
      <c r="P10" s="33">
        <v>148.27568864938823</v>
      </c>
      <c r="Q10" s="23">
        <v>41.044499047729481</v>
      </c>
      <c r="R10" s="5">
        <v>4730.6926525659665</v>
      </c>
      <c r="S10" s="35"/>
      <c r="T10" s="23">
        <v>976603.95209716959</v>
      </c>
      <c r="U10" s="33">
        <v>126.29109461541069</v>
      </c>
      <c r="V10" s="5">
        <v>11</v>
      </c>
      <c r="W10" s="23">
        <v>96</v>
      </c>
      <c r="X10" s="33">
        <v>148.27568864938823</v>
      </c>
      <c r="Y10" s="23">
        <v>41.044499047729481</v>
      </c>
      <c r="Z10" s="5">
        <v>4730.6926525659665</v>
      </c>
      <c r="AA10" s="35"/>
    </row>
    <row r="11" spans="2:27" x14ac:dyDescent="0.2">
      <c r="B11" s="4">
        <v>8</v>
      </c>
      <c r="C11" s="4">
        <v>767</v>
      </c>
      <c r="D11" s="23">
        <v>1031992.629923077</v>
      </c>
      <c r="E11" s="33">
        <v>117.32684092309614</v>
      </c>
      <c r="F11" s="5">
        <v>12</v>
      </c>
      <c r="G11" s="23">
        <v>96</v>
      </c>
      <c r="H11" s="33">
        <v>226.19872059087209</v>
      </c>
      <c r="I11" s="23">
        <v>37.458197806659051</v>
      </c>
      <c r="J11" s="5">
        <v>4975.6345834017447</v>
      </c>
      <c r="K11" s="31"/>
      <c r="L11" s="23">
        <v>1023349.376203781</v>
      </c>
      <c r="M11" s="33">
        <v>107.05092507692123</v>
      </c>
      <c r="N11" s="5">
        <v>11</v>
      </c>
      <c r="O11" s="23">
        <v>96</v>
      </c>
      <c r="P11" s="33">
        <v>283.30082229216055</v>
      </c>
      <c r="Q11" s="23">
        <v>40.863488516355332</v>
      </c>
      <c r="R11" s="5">
        <v>5104.5820834798924</v>
      </c>
      <c r="S11" s="35"/>
      <c r="T11" s="23">
        <v>976603.95209716959</v>
      </c>
      <c r="U11" s="33">
        <v>98.534915615320912</v>
      </c>
      <c r="V11" s="5">
        <v>11</v>
      </c>
      <c r="W11" s="23">
        <v>96</v>
      </c>
      <c r="X11" s="33">
        <v>148.27568864938823</v>
      </c>
      <c r="Y11" s="23">
        <v>41.044499047729481</v>
      </c>
      <c r="Z11" s="5">
        <v>4730.6926525659665</v>
      </c>
      <c r="AA11" s="35"/>
    </row>
    <row r="12" spans="2:27" x14ac:dyDescent="0.2">
      <c r="B12" s="4">
        <v>9</v>
      </c>
      <c r="C12" s="4">
        <v>930</v>
      </c>
      <c r="D12" s="23">
        <v>1040196.868565167</v>
      </c>
      <c r="E12" s="33">
        <v>144.2765249230433</v>
      </c>
      <c r="F12" s="5">
        <v>12</v>
      </c>
      <c r="G12" s="23">
        <v>96</v>
      </c>
      <c r="H12" s="33">
        <v>220.20657769523217</v>
      </c>
      <c r="I12" s="23">
        <v>37.686447129986611</v>
      </c>
      <c r="J12" s="5">
        <v>5016.5383587650103</v>
      </c>
      <c r="K12" s="31"/>
      <c r="L12" s="23">
        <v>959651.97903965542</v>
      </c>
      <c r="M12" s="33">
        <v>185.93521369236092</v>
      </c>
      <c r="N12" s="5">
        <v>11</v>
      </c>
      <c r="O12" s="23">
        <v>96</v>
      </c>
      <c r="P12" s="33">
        <v>148.27568864938823</v>
      </c>
      <c r="Q12" s="23">
        <v>41.044499047729481</v>
      </c>
      <c r="R12" s="5">
        <v>4730.6926525659665</v>
      </c>
      <c r="S12" s="35"/>
      <c r="T12" s="23">
        <v>1052400.5642701411</v>
      </c>
      <c r="U12" s="33">
        <v>102.617552153802</v>
      </c>
      <c r="V12" s="5">
        <v>12</v>
      </c>
      <c r="W12" s="23">
        <v>96</v>
      </c>
      <c r="X12" s="33">
        <v>212.81229953036095</v>
      </c>
      <c r="Y12" s="23">
        <v>37.600377321039439</v>
      </c>
      <c r="Z12" s="5">
        <v>5018.2852298167636</v>
      </c>
      <c r="AA12" s="35"/>
    </row>
    <row r="13" spans="2:27" x14ac:dyDescent="0.2">
      <c r="B13" s="4">
        <v>10</v>
      </c>
      <c r="C13" s="4">
        <v>996</v>
      </c>
      <c r="D13" s="23">
        <v>1065543.2000822199</v>
      </c>
      <c r="E13" s="33">
        <v>112.03921823081777</v>
      </c>
      <c r="F13" s="5">
        <v>11</v>
      </c>
      <c r="G13" s="23">
        <v>96</v>
      </c>
      <c r="H13" s="33">
        <v>290.95749174819258</v>
      </c>
      <c r="I13" s="23">
        <v>41.369414160292223</v>
      </c>
      <c r="J13" s="5">
        <v>5268.3047633131764</v>
      </c>
      <c r="K13" s="31"/>
      <c r="L13" s="23">
        <v>975091.62589467166</v>
      </c>
      <c r="M13" s="33">
        <v>133.63287684615131</v>
      </c>
      <c r="N13" s="5">
        <v>10</v>
      </c>
      <c r="O13" s="23">
        <v>96</v>
      </c>
      <c r="P13" s="33">
        <v>200.44797504472541</v>
      </c>
      <c r="Q13" s="23">
        <v>44.573430423460422</v>
      </c>
      <c r="R13" s="5">
        <v>4927.9575088772144</v>
      </c>
      <c r="S13" s="35"/>
      <c r="T13" s="23">
        <v>976603.95209716959</v>
      </c>
      <c r="U13" s="33">
        <v>156.7343018460983</v>
      </c>
      <c r="V13" s="5">
        <v>11</v>
      </c>
      <c r="W13" s="23">
        <v>96</v>
      </c>
      <c r="X13" s="33">
        <v>148.27568864938823</v>
      </c>
      <c r="Y13" s="23">
        <v>41.044499047729481</v>
      </c>
      <c r="Z13" s="5">
        <v>4730.6926525659665</v>
      </c>
      <c r="AA13" s="35"/>
    </row>
    <row r="14" spans="2:27" x14ac:dyDescent="0.2">
      <c r="B14" s="50" t="s">
        <v>3</v>
      </c>
      <c r="C14" s="51"/>
      <c r="D14" s="9">
        <f>MIN(D4:D13)</f>
        <v>968127.96556841256</v>
      </c>
      <c r="E14" s="22">
        <f>INDEX(E4:E13, MATCH($D$14, D4:D13, 0))</f>
        <v>110.66876407685831</v>
      </c>
      <c r="F14" s="9">
        <f>INDEX(F4:F13, MATCH($D$14, D4:D13, 0))</f>
        <v>11</v>
      </c>
      <c r="G14" s="9">
        <f>INDEX(G4:G13, MATCH($D$14, D4:D13, 0))</f>
        <v>96</v>
      </c>
      <c r="H14" s="22">
        <f>INDEX(H4:H13, MATCH($D$14, D4:D13, 0))</f>
        <v>148.27568864938823</v>
      </c>
      <c r="I14" s="22">
        <f>INDEX(I4:I13, MATCH($D$14, D4:D13, 0))</f>
        <v>41.044499047729481</v>
      </c>
      <c r="J14" s="22">
        <f>INDEX(J4:J13, MATCH($D$14, D4:D13, 0))</f>
        <v>4730.6926525659665</v>
      </c>
      <c r="K14" s="32" t="e">
        <f>(D14-$D$15)/$D$15</f>
        <v>#DIV/0!</v>
      </c>
      <c r="L14" s="16">
        <f>MIN(L4:L13)</f>
        <v>955798.18772655679</v>
      </c>
      <c r="M14" s="21">
        <f>INDEX(M4:M13, MATCH($L$14, L4:L13, 0))</f>
        <v>270.37925184614818</v>
      </c>
      <c r="N14" s="16">
        <f>INDEX(N4:N13, MATCH($L$14, L4:L13, 0))</f>
        <v>12</v>
      </c>
      <c r="O14" s="16">
        <f>INDEX(O4:O13, MATCH($L$14, L4:L13, 0))</f>
        <v>96</v>
      </c>
      <c r="P14" s="21">
        <f>INDEX(P4:P13, MATCH($L$14, L4:L13, 0))</f>
        <v>107.20985967235805</v>
      </c>
      <c r="Q14" s="21">
        <f>INDEX(Q4:Q13, MATCH($L$14, L4:L13, 0))</f>
        <v>37.78329131050139</v>
      </c>
      <c r="R14" s="21">
        <f>INDEX(R4:R13, MATCH($L$14, L4:L13, 0))</f>
        <v>4585.4596356402853</v>
      </c>
      <c r="S14" s="36" t="e">
        <f>(L14-$D$15)/$D$15</f>
        <v>#DIV/0!</v>
      </c>
      <c r="T14" s="38">
        <f>MIN(T4:T13)</f>
        <v>967927.92477042344</v>
      </c>
      <c r="U14" s="39">
        <f>INDEX(U4:U13, MATCH($T$14, T4:T13, 0))</f>
        <v>259.92645746159656</v>
      </c>
      <c r="V14" s="38">
        <f>INDEX(V4:V13, MATCH($T$14, T4:T13, 0))</f>
        <v>12</v>
      </c>
      <c r="W14" s="38">
        <f>INDEX(W4:W13, MATCH($T$14, T4:T13, 0))</f>
        <v>96</v>
      </c>
      <c r="X14" s="39">
        <f>INDEX(X4:X13, MATCH($T$14, T4:T13, 0))</f>
        <v>107.20985967235805</v>
      </c>
      <c r="Y14" s="39">
        <f>INDEX(Y4:Y13, MATCH($T$14, T4:T13, 0))</f>
        <v>37.78329131050139</v>
      </c>
      <c r="Z14" s="39">
        <f>INDEX(Z4:Z13, MATCH($T$14, T4:T13, 0))</f>
        <v>4585.4596356402853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-1.2735690198368194E-2</v>
      </c>
      <c r="M15" s="41">
        <f t="shared" ref="M15:R15" si="0">(M14-E14)/E14</f>
        <v>1.4431397070484369</v>
      </c>
      <c r="N15" s="41">
        <f t="shared" si="0"/>
        <v>9.0909090909090912E-2</v>
      </c>
      <c r="O15" s="41">
        <f t="shared" si="0"/>
        <v>0</v>
      </c>
      <c r="P15" s="41">
        <f t="shared" si="0"/>
        <v>-0.27695591469572722</v>
      </c>
      <c r="Q15" s="41">
        <f t="shared" si="0"/>
        <v>-7.9455415777781202E-2</v>
      </c>
      <c r="R15" s="41">
        <f t="shared" si="0"/>
        <v>-3.0700159065904554E-2</v>
      </c>
      <c r="T15" s="41">
        <f>(T14-D14)/D14</f>
        <v>-2.0662640178116117E-4</v>
      </c>
      <c r="U15" s="41">
        <f t="shared" ref="U15:Z15" si="1">(U14-E14)/E14</f>
        <v>1.3486885358282337</v>
      </c>
      <c r="V15" s="41">
        <f t="shared" si="1"/>
        <v>9.0909090909090912E-2</v>
      </c>
      <c r="W15" s="41">
        <f t="shared" si="1"/>
        <v>0</v>
      </c>
      <c r="X15" s="41">
        <f t="shared" si="1"/>
        <v>-0.27695591469572722</v>
      </c>
      <c r="Y15" s="41">
        <f t="shared" si="1"/>
        <v>-7.9455415777781202E-2</v>
      </c>
      <c r="Z15" s="41">
        <f t="shared" si="1"/>
        <v>-3.0700159065904554E-2</v>
      </c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</sheetData>
  <mergeCells count="1">
    <mergeCell ref="B14:C14"/>
  </mergeCells>
  <conditionalFormatting sqref="C1 C16 C3 C37:C1048576">
    <cfRule type="duplicateValues" dxfId="139" priority="11"/>
    <cfRule type="duplicateValues" dxfId="138" priority="12"/>
  </conditionalFormatting>
  <conditionalFormatting sqref="C2">
    <cfRule type="duplicateValues" dxfId="137" priority="3"/>
    <cfRule type="duplicateValues" dxfId="136" priority="4"/>
  </conditionalFormatting>
  <conditionalFormatting sqref="C4:C13">
    <cfRule type="duplicateValues" dxfId="135" priority="5"/>
    <cfRule type="duplicateValues" dxfId="134" priority="6"/>
  </conditionalFormatting>
  <conditionalFormatting sqref="C14">
    <cfRule type="duplicateValues" dxfId="133" priority="9"/>
    <cfRule type="duplicateValues" dxfId="132" priority="10"/>
  </conditionalFormatting>
  <conditionalFormatting sqref="C15">
    <cfRule type="duplicateValues" dxfId="131" priority="7"/>
    <cfRule type="duplicateValues" dxfId="130" priority="8"/>
  </conditionalFormatting>
  <conditionalFormatting sqref="C17:C36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96A0-5A68-4696-AC9B-FD4AB17AC7C4}">
  <dimension ref="B1:AA17"/>
  <sheetViews>
    <sheetView topLeftCell="A2" zoomScale="90" zoomScaleNormal="90" workbookViewId="0">
      <selection activeCell="U19" sqref="U19:U3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8.0692141386910499E-2</v>
      </c>
      <c r="R2" s="1">
        <f>(R14-J14)/J14</f>
        <v>-8.1575495931078823E-3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57</v>
      </c>
      <c r="D4" s="23">
        <v>1280681.1210966869</v>
      </c>
      <c r="E4" s="33">
        <v>114.18495884612915</v>
      </c>
      <c r="F4" s="5">
        <v>16</v>
      </c>
      <c r="G4" s="23">
        <v>95.333333333333329</v>
      </c>
      <c r="H4" s="33">
        <v>733.30132009796887</v>
      </c>
      <c r="I4" s="23">
        <v>38.904873232268478</v>
      </c>
      <c r="J4" s="5">
        <v>5761.4627707720665</v>
      </c>
      <c r="K4" s="31"/>
      <c r="L4" s="23">
        <v>1141172.372882359</v>
      </c>
      <c r="M4" s="33">
        <v>292.8581440769351</v>
      </c>
      <c r="N4" s="5">
        <v>16</v>
      </c>
      <c r="O4" s="23">
        <v>97.333333333333329</v>
      </c>
      <c r="P4" s="33">
        <v>597.48567088433151</v>
      </c>
      <c r="Q4" s="23">
        <v>39.628917527032698</v>
      </c>
      <c r="R4" s="5">
        <v>5453.6379623634402</v>
      </c>
      <c r="S4" s="35"/>
      <c r="T4" s="23">
        <v>1363368.868108785</v>
      </c>
      <c r="U4" s="33">
        <v>184.43190369226684</v>
      </c>
      <c r="V4" s="5">
        <v>16</v>
      </c>
      <c r="W4" s="23">
        <v>93.333333333333329</v>
      </c>
      <c r="X4" s="33">
        <v>706.07450530131746</v>
      </c>
      <c r="Y4" s="23">
        <v>38.019103923427892</v>
      </c>
      <c r="Z4" s="5">
        <v>5883.879819625703</v>
      </c>
      <c r="AA4" s="35"/>
    </row>
    <row r="5" spans="2:27" x14ac:dyDescent="0.2">
      <c r="B5" s="4">
        <v>2</v>
      </c>
      <c r="C5" s="4">
        <v>107</v>
      </c>
      <c r="D5" s="23">
        <v>1252153.704625743</v>
      </c>
      <c r="E5" s="33">
        <v>318.13966623077596</v>
      </c>
      <c r="F5" s="5">
        <v>17</v>
      </c>
      <c r="G5" s="23">
        <v>96</v>
      </c>
      <c r="H5" s="33">
        <v>724.07302818045559</v>
      </c>
      <c r="I5" s="23">
        <v>37.032955137792513</v>
      </c>
      <c r="J5" s="5">
        <v>5564.572901666852</v>
      </c>
      <c r="K5" s="31"/>
      <c r="L5" s="23">
        <v>1170117.2053352681</v>
      </c>
      <c r="M5" s="33">
        <v>166.32792969234285</v>
      </c>
      <c r="N5" s="5">
        <v>15</v>
      </c>
      <c r="O5" s="23">
        <v>97.333333333333329</v>
      </c>
      <c r="P5" s="33">
        <v>707.41471389498304</v>
      </c>
      <c r="Q5" s="23">
        <v>41.907799401708722</v>
      </c>
      <c r="R5" s="5">
        <v>5742.8161357759418</v>
      </c>
      <c r="S5" s="35"/>
      <c r="T5" s="23">
        <v>1289642.021156712</v>
      </c>
      <c r="U5" s="33">
        <v>515.67927261545822</v>
      </c>
      <c r="V5" s="5">
        <v>17</v>
      </c>
      <c r="W5" s="23">
        <v>95.333333333333329</v>
      </c>
      <c r="X5" s="33">
        <v>655.48152107019587</v>
      </c>
      <c r="Y5" s="23">
        <v>36.31847569544388</v>
      </c>
      <c r="Z5" s="5">
        <v>5540.818358840881</v>
      </c>
      <c r="AA5" s="35"/>
    </row>
    <row r="6" spans="2:27" x14ac:dyDescent="0.2">
      <c r="B6" s="4">
        <v>3</v>
      </c>
      <c r="C6" s="4">
        <v>186</v>
      </c>
      <c r="D6" s="23">
        <v>1200025.2317240629</v>
      </c>
      <c r="E6" s="33">
        <v>173.91398946154644</v>
      </c>
      <c r="F6" s="5">
        <v>16</v>
      </c>
      <c r="G6" s="23">
        <v>96.666666666666671</v>
      </c>
      <c r="H6" s="33">
        <v>611.0755950545755</v>
      </c>
      <c r="I6" s="23">
        <v>40.088398618390023</v>
      </c>
      <c r="J6" s="5">
        <v>5525.7668774636077</v>
      </c>
      <c r="K6" s="31"/>
      <c r="L6" s="23">
        <v>1145501.475658813</v>
      </c>
      <c r="M6" s="33">
        <v>396.59780792309903</v>
      </c>
      <c r="N6" s="5">
        <v>15</v>
      </c>
      <c r="O6" s="23">
        <v>97.333333333333329</v>
      </c>
      <c r="P6" s="33">
        <v>659.09201648577698</v>
      </c>
      <c r="Q6" s="23">
        <v>42.112076126224231</v>
      </c>
      <c r="R6" s="5">
        <v>5610.0781516377692</v>
      </c>
      <c r="S6" s="35"/>
      <c r="T6" s="23">
        <v>1231680.900733144</v>
      </c>
      <c r="U6" s="33">
        <v>363.00475553842261</v>
      </c>
      <c r="V6" s="5">
        <v>15</v>
      </c>
      <c r="W6" s="23">
        <v>95.333333333333329</v>
      </c>
      <c r="X6" s="33">
        <v>523.45190184621799</v>
      </c>
      <c r="Y6" s="23">
        <v>42.146767320839018</v>
      </c>
      <c r="Z6" s="5">
        <v>5561.6950640442838</v>
      </c>
      <c r="AA6" s="35"/>
    </row>
    <row r="7" spans="2:27" x14ac:dyDescent="0.2">
      <c r="B7" s="4">
        <v>4</v>
      </c>
      <c r="C7" s="4">
        <v>202</v>
      </c>
      <c r="D7" s="23">
        <v>1195874.55149322</v>
      </c>
      <c r="E7" s="33">
        <v>269.5518566154015</v>
      </c>
      <c r="F7" s="5">
        <v>15</v>
      </c>
      <c r="G7" s="23">
        <v>97.333333333333329</v>
      </c>
      <c r="H7" s="33">
        <v>687.63202542082661</v>
      </c>
      <c r="I7" s="23">
        <v>43.238451192275349</v>
      </c>
      <c r="J7" s="5">
        <v>5716.7130826593011</v>
      </c>
      <c r="K7" s="31"/>
      <c r="L7" s="23">
        <v>1168050.4898013901</v>
      </c>
      <c r="M7" s="33">
        <v>211.62436269232646</v>
      </c>
      <c r="N7" s="5">
        <v>15</v>
      </c>
      <c r="O7" s="23">
        <v>97.333333333333329</v>
      </c>
      <c r="P7" s="33">
        <v>762.16424848849942</v>
      </c>
      <c r="Q7" s="23">
        <v>41.839384938375915</v>
      </c>
      <c r="R7" s="5">
        <v>5703.2773414809626</v>
      </c>
      <c r="S7" s="35"/>
      <c r="T7" s="23">
        <v>1222062.0842598849</v>
      </c>
      <c r="U7" s="33">
        <v>266.92684907698998</v>
      </c>
      <c r="V7" s="5">
        <v>16</v>
      </c>
      <c r="W7" s="23">
        <v>97.333333333333329</v>
      </c>
      <c r="X7" s="33">
        <v>600.17898445740173</v>
      </c>
      <c r="Y7" s="23">
        <v>39.963518564473283</v>
      </c>
      <c r="Z7" s="5">
        <v>5572.9194524939612</v>
      </c>
      <c r="AA7" s="35"/>
    </row>
    <row r="8" spans="2:27" x14ac:dyDescent="0.2">
      <c r="B8" s="4">
        <v>5</v>
      </c>
      <c r="C8" s="4">
        <v>232</v>
      </c>
      <c r="D8" s="23">
        <v>1269617.101655937</v>
      </c>
      <c r="E8" s="33">
        <v>176.94212353842045</v>
      </c>
      <c r="F8" s="5">
        <v>15</v>
      </c>
      <c r="G8" s="23">
        <v>97.333333333333329</v>
      </c>
      <c r="H8" s="33">
        <v>886.87303099481744</v>
      </c>
      <c r="I8" s="23">
        <v>42.143685035860436</v>
      </c>
      <c r="J8" s="5">
        <v>6045.4754456061328</v>
      </c>
      <c r="K8" s="31"/>
      <c r="L8" s="23">
        <v>1146622.030378948</v>
      </c>
      <c r="M8" s="33">
        <v>527.62526315386185</v>
      </c>
      <c r="N8" s="5">
        <v>16</v>
      </c>
      <c r="O8" s="23">
        <v>97.333333333333329</v>
      </c>
      <c r="P8" s="33">
        <v>579.05869358519999</v>
      </c>
      <c r="Q8" s="23">
        <v>39.410621231468411</v>
      </c>
      <c r="R8" s="5">
        <v>5511.3456913050331</v>
      </c>
      <c r="S8" s="35"/>
      <c r="T8" s="23">
        <v>1222286.4289528569</v>
      </c>
      <c r="U8" s="33">
        <v>293.44633638455815</v>
      </c>
      <c r="V8" s="5">
        <v>16</v>
      </c>
      <c r="W8" s="23">
        <v>97.333333333333329</v>
      </c>
      <c r="X8" s="33">
        <v>560.63906440054461</v>
      </c>
      <c r="Y8" s="23">
        <v>40.002342330308856</v>
      </c>
      <c r="Z8" s="5">
        <v>5632.1607893346263</v>
      </c>
      <c r="AA8" s="35"/>
    </row>
    <row r="9" spans="2:27" x14ac:dyDescent="0.2">
      <c r="B9" s="4">
        <v>6</v>
      </c>
      <c r="C9" s="4">
        <v>234</v>
      </c>
      <c r="D9" s="23">
        <v>1171722.7209426111</v>
      </c>
      <c r="E9" s="33">
        <v>274.61161923075383</v>
      </c>
      <c r="F9" s="5">
        <v>16</v>
      </c>
      <c r="G9" s="23">
        <v>97.333333333333329</v>
      </c>
      <c r="H9" s="33">
        <v>552.87315230917284</v>
      </c>
      <c r="I9" s="23">
        <v>39.68895058554655</v>
      </c>
      <c r="J9" s="5">
        <v>5498.4921850503042</v>
      </c>
      <c r="K9" s="31"/>
      <c r="L9" s="23">
        <v>1163671.786770511</v>
      </c>
      <c r="M9" s="33">
        <v>358.54561176921169</v>
      </c>
      <c r="N9" s="5">
        <v>15</v>
      </c>
      <c r="O9" s="23">
        <v>97.333333333333329</v>
      </c>
      <c r="P9" s="33">
        <v>736.11702676718448</v>
      </c>
      <c r="Q9" s="23">
        <v>42.254519290063186</v>
      </c>
      <c r="R9" s="5">
        <v>5686.5210444631975</v>
      </c>
      <c r="S9" s="35"/>
      <c r="T9" s="23">
        <v>1199532.0401837609</v>
      </c>
      <c r="U9" s="33">
        <v>592.93686338458565</v>
      </c>
      <c r="V9" s="5">
        <v>16</v>
      </c>
      <c r="W9" s="23">
        <v>97.333333333333329</v>
      </c>
      <c r="X9" s="33">
        <v>554.98385982843774</v>
      </c>
      <c r="Y9" s="23">
        <v>39.778472858762676</v>
      </c>
      <c r="Z9" s="5">
        <v>5494.9566389996162</v>
      </c>
      <c r="AA9" s="35"/>
    </row>
    <row r="10" spans="2:27" x14ac:dyDescent="0.2">
      <c r="B10" s="4">
        <v>7</v>
      </c>
      <c r="C10" s="4">
        <v>385</v>
      </c>
      <c r="D10" s="23">
        <v>1199176.476264515</v>
      </c>
      <c r="E10" s="33">
        <v>210.84975484615339</v>
      </c>
      <c r="F10" s="5">
        <v>15</v>
      </c>
      <c r="G10" s="23">
        <v>97.333333333333329</v>
      </c>
      <c r="H10" s="33">
        <v>684.88362185811638</v>
      </c>
      <c r="I10" s="23">
        <v>42.229938727119269</v>
      </c>
      <c r="J10" s="5">
        <v>5700.5202672705091</v>
      </c>
      <c r="K10" s="31"/>
      <c r="L10" s="23">
        <v>1160527.5239438689</v>
      </c>
      <c r="M10" s="33">
        <v>290.97883815384614</v>
      </c>
      <c r="N10" s="5">
        <v>15</v>
      </c>
      <c r="O10" s="23">
        <v>97.333333333333329</v>
      </c>
      <c r="P10" s="33">
        <v>713.28800128610362</v>
      </c>
      <c r="Q10" s="23">
        <v>42.817596410586205</v>
      </c>
      <c r="R10" s="5">
        <v>5695.5762722445261</v>
      </c>
      <c r="S10" s="35"/>
      <c r="T10" s="23">
        <v>1203468.18555556</v>
      </c>
      <c r="U10" s="33">
        <v>244.04486000000571</v>
      </c>
      <c r="V10" s="5">
        <v>16</v>
      </c>
      <c r="W10" s="23">
        <v>97.333333333333329</v>
      </c>
      <c r="X10" s="33">
        <v>561.24918842463399</v>
      </c>
      <c r="Y10" s="23">
        <v>39.670744804447146</v>
      </c>
      <c r="Z10" s="5">
        <v>5507.8225568655826</v>
      </c>
      <c r="AA10" s="35"/>
    </row>
    <row r="11" spans="2:27" x14ac:dyDescent="0.2">
      <c r="B11" s="4">
        <v>8</v>
      </c>
      <c r="C11" s="4">
        <v>576</v>
      </c>
      <c r="D11" s="23">
        <v>1228006.3899969719</v>
      </c>
      <c r="E11" s="33">
        <v>263.00417484617077</v>
      </c>
      <c r="F11" s="5">
        <v>14</v>
      </c>
      <c r="G11" s="23">
        <v>96</v>
      </c>
      <c r="H11" s="33">
        <v>728.9454375853295</v>
      </c>
      <c r="I11" s="23">
        <v>43.905044641544769</v>
      </c>
      <c r="J11" s="5">
        <v>5806.2910518564559</v>
      </c>
      <c r="K11" s="31"/>
      <c r="L11" s="23">
        <v>1227727.373350563</v>
      </c>
      <c r="M11" s="33">
        <v>174.04057730768378</v>
      </c>
      <c r="N11" s="5">
        <v>15</v>
      </c>
      <c r="O11" s="23">
        <v>96.666666666666671</v>
      </c>
      <c r="P11" s="33">
        <v>941.82986123908177</v>
      </c>
      <c r="Q11" s="23">
        <v>43.354843119248926</v>
      </c>
      <c r="R11" s="5">
        <v>5984.0283704655922</v>
      </c>
      <c r="S11" s="35"/>
      <c r="T11" s="23">
        <v>1240894.5004111819</v>
      </c>
      <c r="U11" s="33">
        <v>238.12714230770675</v>
      </c>
      <c r="V11" s="5">
        <v>15</v>
      </c>
      <c r="W11" s="23">
        <v>97.333333333333329</v>
      </c>
      <c r="X11" s="33">
        <v>687.08445387316317</v>
      </c>
      <c r="Y11" s="23">
        <v>41.514592024682507</v>
      </c>
      <c r="Z11" s="5">
        <v>5726.3412770036921</v>
      </c>
      <c r="AA11" s="35"/>
    </row>
    <row r="12" spans="2:27" x14ac:dyDescent="0.2">
      <c r="B12" s="4">
        <v>9</v>
      </c>
      <c r="C12" s="4">
        <v>594</v>
      </c>
      <c r="D12" s="23">
        <v>1185839.3651102521</v>
      </c>
      <c r="E12" s="33">
        <v>262.34278969224897</v>
      </c>
      <c r="F12" s="5">
        <v>15</v>
      </c>
      <c r="G12" s="23">
        <v>96.666666666666671</v>
      </c>
      <c r="H12" s="33">
        <v>633.10958565160763</v>
      </c>
      <c r="I12" s="23">
        <v>42.066728622129048</v>
      </c>
      <c r="J12" s="5">
        <v>5564.7176633644267</v>
      </c>
      <c r="K12" s="31"/>
      <c r="L12" s="23">
        <v>1152650.752621325</v>
      </c>
      <c r="M12" s="33">
        <v>120.21182938460977</v>
      </c>
      <c r="N12" s="5">
        <v>14</v>
      </c>
      <c r="O12" s="23">
        <v>97.333333333333329</v>
      </c>
      <c r="P12" s="33">
        <v>770.32949415708049</v>
      </c>
      <c r="Q12" s="23">
        <v>46.064105257327185</v>
      </c>
      <c r="R12" s="5">
        <v>5743.6166471716469</v>
      </c>
      <c r="S12" s="35"/>
      <c r="T12" s="23">
        <v>1316438.459590286</v>
      </c>
      <c r="U12" s="33">
        <v>259.46066453846959</v>
      </c>
      <c r="V12" s="5">
        <v>16</v>
      </c>
      <c r="W12" s="23">
        <v>94</v>
      </c>
      <c r="X12" s="33">
        <v>644.23939280949912</v>
      </c>
      <c r="Y12" s="23">
        <v>38.790463269793428</v>
      </c>
      <c r="Z12" s="5">
        <v>5689.4153367114677</v>
      </c>
      <c r="AA12" s="35"/>
    </row>
    <row r="13" spans="2:27" x14ac:dyDescent="0.2">
      <c r="B13" s="4">
        <v>10</v>
      </c>
      <c r="C13" s="4">
        <v>912</v>
      </c>
      <c r="D13" s="23">
        <v>1261692.9026187391</v>
      </c>
      <c r="E13" s="33">
        <v>118.11249299995747</v>
      </c>
      <c r="F13" s="5">
        <v>16</v>
      </c>
      <c r="G13" s="23">
        <v>96.666666666666671</v>
      </c>
      <c r="H13" s="33">
        <v>807.19655192424</v>
      </c>
      <c r="I13" s="23">
        <v>40.074748015964047</v>
      </c>
      <c r="J13" s="5">
        <v>5813.0611014275755</v>
      </c>
      <c r="K13" s="31"/>
      <c r="L13" s="23">
        <v>1141736.986308065</v>
      </c>
      <c r="M13" s="33">
        <v>214.17415861541838</v>
      </c>
      <c r="N13" s="5">
        <v>16</v>
      </c>
      <c r="O13" s="23">
        <v>97.333333333333329</v>
      </c>
      <c r="P13" s="33">
        <v>586.6413967777238</v>
      </c>
      <c r="Q13" s="23">
        <v>39.551680249259988</v>
      </c>
      <c r="R13" s="5">
        <v>5450.4251682365166</v>
      </c>
      <c r="S13" s="35"/>
      <c r="T13" s="23">
        <v>1251435.6774398361</v>
      </c>
      <c r="U13" s="33">
        <v>528.02519446158283</v>
      </c>
      <c r="V13" s="5">
        <v>17</v>
      </c>
      <c r="W13" s="23">
        <v>95.333333333333329</v>
      </c>
      <c r="X13" s="33">
        <v>569.80850895197898</v>
      </c>
      <c r="Y13" s="23">
        <v>36.608265364319323</v>
      </c>
      <c r="Z13" s="5">
        <v>5421.6566514845517</v>
      </c>
      <c r="AA13" s="35"/>
    </row>
    <row r="14" spans="2:27" x14ac:dyDescent="0.2">
      <c r="B14" s="50" t="s">
        <v>3</v>
      </c>
      <c r="C14" s="51"/>
      <c r="D14" s="9">
        <f>MIN(D4:D13)</f>
        <v>1171722.7209426111</v>
      </c>
      <c r="E14" s="22">
        <f>INDEX(E4:E13, MATCH($D$14, D4:D13, 0))</f>
        <v>274.61161923075383</v>
      </c>
      <c r="F14" s="9">
        <f>INDEX(F4:F13, MATCH($D$14, D4:D13, 0))</f>
        <v>16</v>
      </c>
      <c r="G14" s="9">
        <f>INDEX(G4:G13, MATCH($D$14, D4:D13, 0))</f>
        <v>97.333333333333329</v>
      </c>
      <c r="H14" s="22">
        <f>INDEX(H4:H13, MATCH($D$14, D4:D13, 0))</f>
        <v>552.87315230917284</v>
      </c>
      <c r="I14" s="22">
        <f>INDEX(I4:I13, MATCH($D$14, D4:D13, 0))</f>
        <v>39.68895058554655</v>
      </c>
      <c r="J14" s="22">
        <f>INDEX(J4:J13, MATCH($D$14, D4:D13, 0))</f>
        <v>5498.4921850503042</v>
      </c>
      <c r="K14" s="32" t="e">
        <f>(D14-$D$15)/$D$15</f>
        <v>#DIV/0!</v>
      </c>
      <c r="L14" s="16">
        <f>MIN(L4:L13)</f>
        <v>1141172.372882359</v>
      </c>
      <c r="M14" s="21">
        <f>INDEX(M4:M13, MATCH($L$14, L4:L13, 0))</f>
        <v>292.8581440769351</v>
      </c>
      <c r="N14" s="16">
        <f>INDEX(N4:N13, MATCH($L$14, L4:L13, 0))</f>
        <v>16</v>
      </c>
      <c r="O14" s="16">
        <f>INDEX(O4:O13, MATCH($L$14, L4:L13, 0))</f>
        <v>97.333333333333329</v>
      </c>
      <c r="P14" s="21">
        <f>INDEX(P4:P13, MATCH($L$14, L4:L13, 0))</f>
        <v>597.48567088433151</v>
      </c>
      <c r="Q14" s="21">
        <f>INDEX(Q4:Q13, MATCH($L$14, L4:L13, 0))</f>
        <v>39.628917527032698</v>
      </c>
      <c r="R14" s="21">
        <f>INDEX(R4:R13, MATCH($L$14, L4:L13, 0))</f>
        <v>5453.6379623634402</v>
      </c>
      <c r="S14" s="36" t="e">
        <f>(L14-$D$15)/$D$15</f>
        <v>#DIV/0!</v>
      </c>
      <c r="T14" s="38">
        <f>MIN(T4:T13)</f>
        <v>1199532.0401837609</v>
      </c>
      <c r="U14" s="39">
        <f>INDEX(U4:U13, MATCH($T$14, T4:T13, 0))</f>
        <v>592.93686338458565</v>
      </c>
      <c r="V14" s="38">
        <f>INDEX(V4:V13, MATCH($T$14, T4:T13, 0))</f>
        <v>16</v>
      </c>
      <c r="W14" s="38">
        <f>INDEX(W4:W13, MATCH($T$14, T4:T13, 0))</f>
        <v>97.333333333333329</v>
      </c>
      <c r="X14" s="39">
        <f>INDEX(X4:X13, MATCH($T$14, T4:T13, 0))</f>
        <v>554.98385982843774</v>
      </c>
      <c r="Y14" s="39">
        <f>INDEX(Y4:Y13, MATCH($T$14, T4:T13, 0))</f>
        <v>39.778472858762676</v>
      </c>
      <c r="Z14" s="39">
        <f>INDEX(Z4:Z13, MATCH($T$14, T4:T13, 0))</f>
        <v>5494.9566389996162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-2.6073018397795879E-2</v>
      </c>
      <c r="M15" s="41">
        <f t="shared" ref="M15:R15" si="0">(M14-E14)/E14</f>
        <v>6.6444839068695319E-2</v>
      </c>
      <c r="N15" s="41">
        <f t="shared" si="0"/>
        <v>0</v>
      </c>
      <c r="O15" s="41">
        <f t="shared" si="0"/>
        <v>0</v>
      </c>
      <c r="P15" s="41">
        <f t="shared" si="0"/>
        <v>8.0692141386910499E-2</v>
      </c>
      <c r="Q15" s="41">
        <f t="shared" si="0"/>
        <v>-1.5125887086496648E-3</v>
      </c>
      <c r="R15" s="41">
        <f t="shared" si="0"/>
        <v>-8.1575495931078823E-3</v>
      </c>
      <c r="T15" s="41">
        <f>(T14-D14)/D14</f>
        <v>2.3733703156987657E-2</v>
      </c>
      <c r="U15" s="41">
        <f t="shared" ref="U15:Z15" si="1">(U14-E14)/E14</f>
        <v>1.159183449868324</v>
      </c>
      <c r="V15" s="41">
        <f t="shared" si="1"/>
        <v>0</v>
      </c>
      <c r="W15" s="41">
        <f t="shared" si="1"/>
        <v>0</v>
      </c>
      <c r="X15" s="41">
        <f t="shared" si="1"/>
        <v>3.8177066664372501E-3</v>
      </c>
      <c r="Y15" s="41">
        <f t="shared" si="1"/>
        <v>2.2555968826428728E-3</v>
      </c>
      <c r="Z15" s="41">
        <f t="shared" si="1"/>
        <v>-6.4300283272216395E-4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37:C1048576">
    <cfRule type="duplicateValues" dxfId="129" priority="11"/>
    <cfRule type="duplicateValues" dxfId="128" priority="12"/>
  </conditionalFormatting>
  <conditionalFormatting sqref="C2">
    <cfRule type="duplicateValues" dxfId="127" priority="3"/>
    <cfRule type="duplicateValues" dxfId="126" priority="4"/>
  </conditionalFormatting>
  <conditionalFormatting sqref="C4:C13">
    <cfRule type="duplicateValues" dxfId="125" priority="5"/>
    <cfRule type="duplicateValues" dxfId="124" priority="6"/>
  </conditionalFormatting>
  <conditionalFormatting sqref="C14">
    <cfRule type="duplicateValues" dxfId="123" priority="9"/>
    <cfRule type="duplicateValues" dxfId="122" priority="10"/>
  </conditionalFormatting>
  <conditionalFormatting sqref="C15">
    <cfRule type="duplicateValues" dxfId="121" priority="7"/>
    <cfRule type="duplicateValues" dxfId="120" priority="8"/>
  </conditionalFormatting>
  <conditionalFormatting sqref="C17:C36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0BAC-9010-4EB7-A509-C645931A7C55}">
  <dimension ref="B1:AA17"/>
  <sheetViews>
    <sheetView topLeftCell="A2" zoomScale="90" zoomScaleNormal="90" workbookViewId="0">
      <selection activeCell="U20" sqref="U20:U29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0.12382560508265313</v>
      </c>
      <c r="R2" s="1">
        <f>(R14-J14)/J14</f>
        <v>-6.9200925498922186E-3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41</v>
      </c>
      <c r="D4" s="23">
        <v>1170325.1112011869</v>
      </c>
      <c r="E4" s="33">
        <v>164.01283223083462</v>
      </c>
      <c r="F4" s="5">
        <v>14</v>
      </c>
      <c r="G4" s="23">
        <v>94</v>
      </c>
      <c r="H4" s="33">
        <v>305.01396819264107</v>
      </c>
      <c r="I4" s="23">
        <v>37.38867361217094</v>
      </c>
      <c r="J4" s="5">
        <v>5359.7381602944406</v>
      </c>
      <c r="K4" s="31"/>
      <c r="L4" s="23">
        <v>1152821.048884643</v>
      </c>
      <c r="M4" s="33">
        <v>260.32080884610946</v>
      </c>
      <c r="N4" s="5">
        <v>15</v>
      </c>
      <c r="O4" s="23">
        <v>94</v>
      </c>
      <c r="P4" s="33">
        <v>370.12940819680273</v>
      </c>
      <c r="Q4" s="23">
        <v>36.359014963259831</v>
      </c>
      <c r="R4" s="5">
        <v>5224.7791799796596</v>
      </c>
      <c r="S4" s="35"/>
      <c r="T4" s="23">
        <v>1181616.6557274619</v>
      </c>
      <c r="U4" s="33">
        <v>266.78664076921098</v>
      </c>
      <c r="V4" s="5">
        <v>15</v>
      </c>
      <c r="W4" s="23">
        <v>94</v>
      </c>
      <c r="X4" s="33">
        <v>242.14751000531984</v>
      </c>
      <c r="Y4" s="23">
        <v>35.145621203794271</v>
      </c>
      <c r="Z4" s="5">
        <v>5254.2521240219357</v>
      </c>
      <c r="AA4" s="35"/>
    </row>
    <row r="5" spans="2:27" x14ac:dyDescent="0.2">
      <c r="B5" s="4">
        <v>2</v>
      </c>
      <c r="C5" s="4">
        <v>171</v>
      </c>
      <c r="D5" s="23">
        <v>1148316.5899994089</v>
      </c>
      <c r="E5" s="33">
        <v>126.27732507696446</v>
      </c>
      <c r="F5" s="5">
        <v>13</v>
      </c>
      <c r="G5" s="23">
        <v>94</v>
      </c>
      <c r="H5" s="33">
        <v>328.83944130422299</v>
      </c>
      <c r="I5" s="23">
        <v>41.467997513292097</v>
      </c>
      <c r="J5" s="5">
        <v>5347.5358915945953</v>
      </c>
      <c r="K5" s="31"/>
      <c r="L5" s="23">
        <v>1127950.168874037</v>
      </c>
      <c r="M5" s="33">
        <v>309.54247830775921</v>
      </c>
      <c r="N5" s="5">
        <v>13</v>
      </c>
      <c r="O5" s="23">
        <v>94</v>
      </c>
      <c r="P5" s="33">
        <v>379.90645542649906</v>
      </c>
      <c r="Q5" s="23">
        <v>41.476119110158614</v>
      </c>
      <c r="R5" s="5">
        <v>5309.7463277202305</v>
      </c>
      <c r="S5" s="35"/>
      <c r="T5" s="23">
        <v>1159979.0445965291</v>
      </c>
      <c r="U5" s="33">
        <v>170.62715600002915</v>
      </c>
      <c r="V5" s="5">
        <v>13</v>
      </c>
      <c r="W5" s="23">
        <v>94</v>
      </c>
      <c r="X5" s="33">
        <v>272.50822793111678</v>
      </c>
      <c r="Y5" s="23">
        <v>41.305728815116666</v>
      </c>
      <c r="Z5" s="5">
        <v>5351.6555393696126</v>
      </c>
      <c r="AA5" s="35"/>
    </row>
    <row r="6" spans="2:27" x14ac:dyDescent="0.2">
      <c r="B6" s="4">
        <v>3</v>
      </c>
      <c r="C6" s="4">
        <v>263</v>
      </c>
      <c r="D6" s="23">
        <v>1141726.937281823</v>
      </c>
      <c r="E6" s="33">
        <v>371.94766284620312</v>
      </c>
      <c r="F6" s="5">
        <v>14</v>
      </c>
      <c r="G6" s="23">
        <v>94</v>
      </c>
      <c r="H6" s="33">
        <v>284.12843424466513</v>
      </c>
      <c r="I6" s="23">
        <v>38.423322876589999</v>
      </c>
      <c r="J6" s="5">
        <v>5202.2457846926009</v>
      </c>
      <c r="K6" s="31"/>
      <c r="L6" s="23">
        <v>1122901.2933666781</v>
      </c>
      <c r="M6" s="33">
        <v>434.55296015384823</v>
      </c>
      <c r="N6" s="5">
        <v>14</v>
      </c>
      <c r="O6" s="23">
        <v>94</v>
      </c>
      <c r="P6" s="33">
        <v>319.31080953619761</v>
      </c>
      <c r="Q6" s="23">
        <v>38.32349772688012</v>
      </c>
      <c r="R6" s="5">
        <v>5166.2457623952414</v>
      </c>
      <c r="S6" s="35"/>
      <c r="T6" s="23">
        <v>1142681.118073452</v>
      </c>
      <c r="U6" s="33">
        <v>411.26108699997599</v>
      </c>
      <c r="V6" s="5">
        <v>14</v>
      </c>
      <c r="W6" s="23">
        <v>94</v>
      </c>
      <c r="X6" s="33">
        <v>236.85679124908486</v>
      </c>
      <c r="Y6" s="23">
        <v>38.10457053800593</v>
      </c>
      <c r="Z6" s="5">
        <v>5143.3431961025944</v>
      </c>
      <c r="AA6" s="35"/>
    </row>
    <row r="7" spans="2:27" x14ac:dyDescent="0.2">
      <c r="B7" s="4">
        <v>4</v>
      </c>
      <c r="C7" s="4">
        <v>299</v>
      </c>
      <c r="D7" s="23">
        <v>1145072.824623574</v>
      </c>
      <c r="E7" s="33">
        <v>307.01109215384344</v>
      </c>
      <c r="F7" s="5">
        <v>13</v>
      </c>
      <c r="G7" s="23">
        <v>94</v>
      </c>
      <c r="H7" s="33">
        <v>308.6668186090148</v>
      </c>
      <c r="I7" s="23">
        <v>41.432112602581164</v>
      </c>
      <c r="J7" s="5">
        <v>5340.9985116472035</v>
      </c>
      <c r="K7" s="31"/>
      <c r="L7" s="23">
        <v>1127373.844120153</v>
      </c>
      <c r="M7" s="33">
        <v>463.0211498461162</v>
      </c>
      <c r="N7" s="5">
        <v>13</v>
      </c>
      <c r="O7" s="23">
        <v>94</v>
      </c>
      <c r="P7" s="33">
        <v>356.3272265295663</v>
      </c>
      <c r="Q7" s="23">
        <v>41.428340971443554</v>
      </c>
      <c r="R7" s="5">
        <v>5313.2063878482359</v>
      </c>
      <c r="S7" s="35"/>
      <c r="T7" s="23">
        <v>1143969.3157626479</v>
      </c>
      <c r="U7" s="33">
        <v>229.00998630766898</v>
      </c>
      <c r="V7" s="5">
        <v>14</v>
      </c>
      <c r="W7" s="23">
        <v>94</v>
      </c>
      <c r="X7" s="33">
        <v>223.5057888995064</v>
      </c>
      <c r="Y7" s="23">
        <v>37.837587082844792</v>
      </c>
      <c r="Z7" s="5">
        <v>5154.6601169392516</v>
      </c>
      <c r="AA7" s="35"/>
    </row>
    <row r="8" spans="2:27" x14ac:dyDescent="0.2">
      <c r="B8" s="4">
        <v>5</v>
      </c>
      <c r="C8" s="4">
        <v>407</v>
      </c>
      <c r="D8" s="23">
        <v>1158613.468585192</v>
      </c>
      <c r="E8" s="33">
        <v>113.97056346150261</v>
      </c>
      <c r="F8" s="5">
        <v>13</v>
      </c>
      <c r="G8" s="23">
        <v>94</v>
      </c>
      <c r="H8" s="33">
        <v>276.99255887922419</v>
      </c>
      <c r="I8" s="23">
        <v>40.910058745666142</v>
      </c>
      <c r="J8" s="5">
        <v>5439.6005044727408</v>
      </c>
      <c r="K8" s="31"/>
      <c r="L8" s="23">
        <v>1189025.1940709711</v>
      </c>
      <c r="M8" s="33">
        <v>220.80822323072843</v>
      </c>
      <c r="N8" s="5">
        <v>13</v>
      </c>
      <c r="O8" s="23">
        <v>94</v>
      </c>
      <c r="P8" s="33">
        <v>432.90325951519202</v>
      </c>
      <c r="Q8" s="23">
        <v>40.868993950732879</v>
      </c>
      <c r="R8" s="5">
        <v>5689.7954542286088</v>
      </c>
      <c r="S8" s="35"/>
      <c r="T8" s="23">
        <v>1219484.7184282399</v>
      </c>
      <c r="U8" s="33">
        <v>202.65400638463544</v>
      </c>
      <c r="V8" s="5">
        <v>14</v>
      </c>
      <c r="W8" s="23">
        <v>94</v>
      </c>
      <c r="X8" s="33">
        <v>351.67554566612176</v>
      </c>
      <c r="Y8" s="23">
        <v>37.740660336761849</v>
      </c>
      <c r="Z8" s="5">
        <v>5534.4532817036688</v>
      </c>
      <c r="AA8" s="35"/>
    </row>
    <row r="9" spans="2:27" x14ac:dyDescent="0.2">
      <c r="B9" s="4">
        <v>6</v>
      </c>
      <c r="C9" s="4">
        <v>501</v>
      </c>
      <c r="D9" s="23">
        <v>1179523.9750385331</v>
      </c>
      <c r="E9" s="33">
        <v>190.68499353839653</v>
      </c>
      <c r="F9" s="5">
        <v>15</v>
      </c>
      <c r="G9" s="23">
        <v>94</v>
      </c>
      <c r="H9" s="33">
        <v>358.06900163112118</v>
      </c>
      <c r="I9" s="23">
        <v>36.081197209071505</v>
      </c>
      <c r="J9" s="5">
        <v>5274.6486469221954</v>
      </c>
      <c r="K9" s="31"/>
      <c r="L9" s="23">
        <v>1208261.2476118179</v>
      </c>
      <c r="M9" s="33">
        <v>391.84818630769411</v>
      </c>
      <c r="N9" s="5">
        <v>14</v>
      </c>
      <c r="O9" s="23">
        <v>94</v>
      </c>
      <c r="P9" s="33">
        <v>578.796996602626</v>
      </c>
      <c r="Q9" s="23">
        <v>38.138809848949116</v>
      </c>
      <c r="R9" s="5">
        <v>5646.772841289574</v>
      </c>
      <c r="S9" s="35"/>
      <c r="T9" s="23">
        <v>1182797.149768756</v>
      </c>
      <c r="U9" s="33">
        <v>239.52401299996731</v>
      </c>
      <c r="V9" s="5">
        <v>14</v>
      </c>
      <c r="W9" s="23">
        <v>94</v>
      </c>
      <c r="X9" s="33">
        <v>346.40267007717006</v>
      </c>
      <c r="Y9" s="23">
        <v>38.18833017998049</v>
      </c>
      <c r="Z9" s="5">
        <v>5287.7312035468913</v>
      </c>
      <c r="AA9" s="35"/>
    </row>
    <row r="10" spans="2:27" x14ac:dyDescent="0.2">
      <c r="B10" s="4">
        <v>7</v>
      </c>
      <c r="C10" s="4">
        <v>503</v>
      </c>
      <c r="D10" s="23">
        <v>1154877.678065887</v>
      </c>
      <c r="E10" s="33">
        <v>101.398167923057</v>
      </c>
      <c r="F10" s="5">
        <v>13</v>
      </c>
      <c r="G10" s="23">
        <v>94</v>
      </c>
      <c r="H10" s="33">
        <v>338.97353268411445</v>
      </c>
      <c r="I10" s="23">
        <v>41.849561469790942</v>
      </c>
      <c r="J10" s="5">
        <v>5392.7221290743882</v>
      </c>
      <c r="K10" s="31"/>
      <c r="L10" s="23">
        <v>1140435.5874263661</v>
      </c>
      <c r="M10" s="33">
        <v>107.41083323077946</v>
      </c>
      <c r="N10" s="5">
        <v>13</v>
      </c>
      <c r="O10" s="23">
        <v>94</v>
      </c>
      <c r="P10" s="33">
        <v>313.52876942095213</v>
      </c>
      <c r="Q10" s="23">
        <v>41.149045780628995</v>
      </c>
      <c r="R10" s="5">
        <v>5410.1465389702416</v>
      </c>
      <c r="S10" s="35"/>
      <c r="T10" s="23">
        <v>1176932.6245634679</v>
      </c>
      <c r="U10" s="33">
        <v>292.94187407689884</v>
      </c>
      <c r="V10" s="5">
        <v>15</v>
      </c>
      <c r="W10" s="23">
        <v>93.333333333333329</v>
      </c>
      <c r="X10" s="33">
        <v>216.19506050740435</v>
      </c>
      <c r="Y10" s="23">
        <v>34.607347131349066</v>
      </c>
      <c r="Z10" s="5">
        <v>5150.8982548929162</v>
      </c>
      <c r="AA10" s="35"/>
    </row>
    <row r="11" spans="2:27" x14ac:dyDescent="0.2">
      <c r="B11" s="4">
        <v>8</v>
      </c>
      <c r="C11" s="4">
        <v>599</v>
      </c>
      <c r="D11" s="23">
        <v>1174685.3457871131</v>
      </c>
      <c r="E11" s="33">
        <v>296.92075176916728</v>
      </c>
      <c r="F11" s="5">
        <v>14</v>
      </c>
      <c r="G11" s="23">
        <v>94</v>
      </c>
      <c r="H11" s="33">
        <v>429.42313508461041</v>
      </c>
      <c r="I11" s="23">
        <v>37.882386142464846</v>
      </c>
      <c r="J11" s="5">
        <v>5298.07573068689</v>
      </c>
      <c r="K11" s="31"/>
      <c r="L11" s="23">
        <v>1132192.239840854</v>
      </c>
      <c r="M11" s="33">
        <v>122.87015792313746</v>
      </c>
      <c r="N11" s="5">
        <v>13</v>
      </c>
      <c r="O11" s="23">
        <v>94</v>
      </c>
      <c r="P11" s="33">
        <v>331.04551290987632</v>
      </c>
      <c r="Q11" s="23">
        <v>41.663841346857382</v>
      </c>
      <c r="R11" s="5">
        <v>5356.5503768646595</v>
      </c>
      <c r="S11" s="35"/>
      <c r="T11" s="23">
        <v>1160749.2662549091</v>
      </c>
      <c r="U11" s="33">
        <v>248.646768384631</v>
      </c>
      <c r="V11" s="5">
        <v>13</v>
      </c>
      <c r="W11" s="23">
        <v>94</v>
      </c>
      <c r="X11" s="33">
        <v>291.54287196173681</v>
      </c>
      <c r="Y11" s="23">
        <v>41.415006909364948</v>
      </c>
      <c r="Z11" s="5">
        <v>5350.0252571041638</v>
      </c>
      <c r="AA11" s="35"/>
    </row>
    <row r="12" spans="2:27" x14ac:dyDescent="0.2">
      <c r="B12" s="4">
        <v>9</v>
      </c>
      <c r="C12" s="4">
        <v>663</v>
      </c>
      <c r="D12" s="23">
        <v>1201901.4673412519</v>
      </c>
      <c r="E12" s="33">
        <v>337.01970092307494</v>
      </c>
      <c r="F12" s="5">
        <v>14</v>
      </c>
      <c r="G12" s="23">
        <v>94</v>
      </c>
      <c r="H12" s="33">
        <v>479.43363229327366</v>
      </c>
      <c r="I12" s="23">
        <v>37.805822536630714</v>
      </c>
      <c r="J12" s="5">
        <v>5435.3960991830681</v>
      </c>
      <c r="K12" s="31"/>
      <c r="L12" s="23">
        <v>1166439.2564246219</v>
      </c>
      <c r="M12" s="33">
        <v>150.50652092304799</v>
      </c>
      <c r="N12" s="5">
        <v>14</v>
      </c>
      <c r="O12" s="23">
        <v>94</v>
      </c>
      <c r="P12" s="33">
        <v>450.79225262078899</v>
      </c>
      <c r="Q12" s="23">
        <v>37.719662510844607</v>
      </c>
      <c r="R12" s="5">
        <v>5401.8444755261335</v>
      </c>
      <c r="S12" s="35"/>
      <c r="T12" s="23">
        <v>1156494.5972293681</v>
      </c>
      <c r="U12" s="33">
        <v>105.50622576928269</v>
      </c>
      <c r="V12" s="5">
        <v>14</v>
      </c>
      <c r="W12" s="23">
        <v>94</v>
      </c>
      <c r="X12" s="33">
        <v>242.7600524411622</v>
      </c>
      <c r="Y12" s="23">
        <v>37.683017652680505</v>
      </c>
      <c r="Z12" s="5">
        <v>5240.8848179517754</v>
      </c>
      <c r="AA12" s="35"/>
    </row>
    <row r="13" spans="2:27" x14ac:dyDescent="0.2">
      <c r="B13" s="4">
        <v>10</v>
      </c>
      <c r="C13" s="4">
        <v>731</v>
      </c>
      <c r="D13" s="23">
        <v>1183377.9090020419</v>
      </c>
      <c r="E13" s="33">
        <v>94.942989307634832</v>
      </c>
      <c r="F13" s="5">
        <v>14</v>
      </c>
      <c r="G13" s="23">
        <v>94</v>
      </c>
      <c r="H13" s="33">
        <v>422.50210120117367</v>
      </c>
      <c r="I13" s="23">
        <v>37.633366425991447</v>
      </c>
      <c r="J13" s="5">
        <v>5369.8627720996546</v>
      </c>
      <c r="K13" s="31"/>
      <c r="L13" s="23">
        <v>1139935.514312004</v>
      </c>
      <c r="M13" s="33">
        <v>186.75904830774437</v>
      </c>
      <c r="N13" s="5">
        <v>13</v>
      </c>
      <c r="O13" s="23">
        <v>94</v>
      </c>
      <c r="P13" s="33">
        <v>305.82263973347148</v>
      </c>
      <c r="Q13" s="23">
        <v>41.086199722893291</v>
      </c>
      <c r="R13" s="5">
        <v>5405.59382097655</v>
      </c>
      <c r="S13" s="35"/>
      <c r="T13" s="23">
        <v>1168394.7208630249</v>
      </c>
      <c r="U13" s="33">
        <v>151.71476384615883</v>
      </c>
      <c r="V13" s="5">
        <v>13</v>
      </c>
      <c r="W13" s="23">
        <v>94</v>
      </c>
      <c r="X13" s="33">
        <v>277.78095009470923</v>
      </c>
      <c r="Y13" s="23">
        <v>41.007850557650833</v>
      </c>
      <c r="Z13" s="5">
        <v>5415.5327684146232</v>
      </c>
      <c r="AA13" s="35"/>
    </row>
    <row r="14" spans="2:27" x14ac:dyDescent="0.2">
      <c r="B14" s="50" t="s">
        <v>3</v>
      </c>
      <c r="C14" s="51"/>
      <c r="D14" s="9">
        <f>MIN(D4:D13)</f>
        <v>1141726.937281823</v>
      </c>
      <c r="E14" s="22">
        <f>INDEX(E4:E13, MATCH($D$14, D4:D13, 0))</f>
        <v>371.94766284620312</v>
      </c>
      <c r="F14" s="9">
        <f>INDEX(F4:F13, MATCH($D$14, D4:D13, 0))</f>
        <v>14</v>
      </c>
      <c r="G14" s="9">
        <f>INDEX(G4:G13, MATCH($D$14, D4:D13, 0))</f>
        <v>94</v>
      </c>
      <c r="H14" s="22">
        <f>INDEX(H4:H13, MATCH($D$14, D4:D13, 0))</f>
        <v>284.12843424466513</v>
      </c>
      <c r="I14" s="22">
        <f>INDEX(I4:I13, MATCH($D$14, D4:D13, 0))</f>
        <v>38.423322876589999</v>
      </c>
      <c r="J14" s="22">
        <f>INDEX(J4:J13, MATCH($D$14, D4:D13, 0))</f>
        <v>5202.2457846926009</v>
      </c>
      <c r="K14" s="32" t="e">
        <f>(D14-$D$15)/$D$15</f>
        <v>#DIV/0!</v>
      </c>
      <c r="L14" s="16">
        <f>MIN(L4:L13)</f>
        <v>1122901.2933666781</v>
      </c>
      <c r="M14" s="21">
        <f>INDEX(M4:M13, MATCH($L$14, L4:L13, 0))</f>
        <v>434.55296015384823</v>
      </c>
      <c r="N14" s="16">
        <f>INDEX(N4:N13, MATCH($L$14, L4:L13, 0))</f>
        <v>14</v>
      </c>
      <c r="O14" s="16">
        <f>INDEX(O4:O13, MATCH($L$14, L4:L13, 0))</f>
        <v>94</v>
      </c>
      <c r="P14" s="21">
        <f>INDEX(P4:P13, MATCH($L$14, L4:L13, 0))</f>
        <v>319.31080953619761</v>
      </c>
      <c r="Q14" s="21">
        <f>INDEX(Q4:Q13, MATCH($L$14, L4:L13, 0))</f>
        <v>38.32349772688012</v>
      </c>
      <c r="R14" s="21">
        <f>INDEX(R4:R13, MATCH($L$14, L4:L13, 0))</f>
        <v>5166.2457623952414</v>
      </c>
      <c r="S14" s="36" t="e">
        <f>(L14-$D$15)/$D$15</f>
        <v>#DIV/0!</v>
      </c>
      <c r="T14" s="38">
        <f>MIN(T4:T13)</f>
        <v>1142681.118073452</v>
      </c>
      <c r="U14" s="39">
        <f>INDEX(U4:U13, MATCH($T$14, T4:T13, 0))</f>
        <v>411.26108699997599</v>
      </c>
      <c r="V14" s="38">
        <f>INDEX(V4:V13, MATCH($T$14, T4:T13, 0))</f>
        <v>14</v>
      </c>
      <c r="W14" s="38">
        <f>INDEX(W4:W13, MATCH($T$14, T4:T13, 0))</f>
        <v>94</v>
      </c>
      <c r="X14" s="39">
        <f>INDEX(X4:X13, MATCH($T$14, T4:T13, 0))</f>
        <v>236.85679124908486</v>
      </c>
      <c r="Y14" s="39">
        <f>INDEX(Y4:Y13, MATCH($T$14, T4:T13, 0))</f>
        <v>38.10457053800593</v>
      </c>
      <c r="Z14" s="39">
        <f>INDEX(Z4:Z13, MATCH($T$14, T4:T13, 0))</f>
        <v>5143.3431961025944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-1.6488744637981726E-2</v>
      </c>
      <c r="M15" s="41">
        <f t="shared" ref="M15:R15" si="0">(M14-E14)/E14</f>
        <v>0.1683174907689414</v>
      </c>
      <c r="N15" s="41">
        <f t="shared" si="0"/>
        <v>0</v>
      </c>
      <c r="O15" s="41">
        <f t="shared" si="0"/>
        <v>0</v>
      </c>
      <c r="P15" s="41">
        <f t="shared" si="0"/>
        <v>0.12382560508265313</v>
      </c>
      <c r="Q15" s="41">
        <f t="shared" si="0"/>
        <v>-2.5980353138770106E-3</v>
      </c>
      <c r="R15" s="41">
        <f t="shared" si="0"/>
        <v>-6.9200925498922186E-3</v>
      </c>
      <c r="T15" s="41">
        <f>(T14-D14)/D14</f>
        <v>8.3573467566657172E-4</v>
      </c>
      <c r="U15" s="41">
        <f t="shared" ref="U15:Z15" si="1">(U14-E14)/E14</f>
        <v>0.10569611824669162</v>
      </c>
      <c r="V15" s="41">
        <f t="shared" si="1"/>
        <v>0</v>
      </c>
      <c r="W15" s="41">
        <f t="shared" si="1"/>
        <v>0</v>
      </c>
      <c r="X15" s="41">
        <f t="shared" si="1"/>
        <v>-0.16637420721811425</v>
      </c>
      <c r="Y15" s="41">
        <f t="shared" si="1"/>
        <v>-8.2958035568098647E-3</v>
      </c>
      <c r="Z15" s="41">
        <f t="shared" si="1"/>
        <v>-1.1322530889125791E-2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37:C1048576">
    <cfRule type="duplicateValues" dxfId="119" priority="11"/>
    <cfRule type="duplicateValues" dxfId="118" priority="12"/>
  </conditionalFormatting>
  <conditionalFormatting sqref="C2">
    <cfRule type="duplicateValues" dxfId="117" priority="3"/>
    <cfRule type="duplicateValues" dxfId="116" priority="4"/>
  </conditionalFormatting>
  <conditionalFormatting sqref="C4:C13">
    <cfRule type="duplicateValues" dxfId="115" priority="5"/>
    <cfRule type="duplicateValues" dxfId="114" priority="6"/>
  </conditionalFormatting>
  <conditionalFormatting sqref="C14">
    <cfRule type="duplicateValues" dxfId="113" priority="9"/>
    <cfRule type="duplicateValues" dxfId="112" priority="10"/>
  </conditionalFormatting>
  <conditionalFormatting sqref="C15">
    <cfRule type="duplicateValues" dxfId="111" priority="7"/>
    <cfRule type="duplicateValues" dxfId="110" priority="8"/>
  </conditionalFormatting>
  <conditionalFormatting sqref="C17:C36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5481-6863-4A2C-ACE5-11B06FC7399E}">
  <dimension ref="B1:AA17"/>
  <sheetViews>
    <sheetView zoomScale="85" zoomScaleNormal="85" workbookViewId="0">
      <selection activeCell="U20" sqref="U20:U32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-0.11587763687478805</v>
      </c>
      <c r="R2" s="1">
        <f>(R14-J14)/J14</f>
        <v>1.7996601804129808E-3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88</v>
      </c>
      <c r="D4" s="23">
        <v>1165811.7722223699</v>
      </c>
      <c r="E4" s="33">
        <v>146.44345992307461</v>
      </c>
      <c r="F4" s="5">
        <v>12</v>
      </c>
      <c r="G4" s="23">
        <v>93.333333333333329</v>
      </c>
      <c r="H4" s="33">
        <v>333.17399140428307</v>
      </c>
      <c r="I4" s="23">
        <v>46.56837742252381</v>
      </c>
      <c r="J4" s="5">
        <v>5421.3436955217421</v>
      </c>
      <c r="K4" s="31"/>
      <c r="L4" s="23">
        <v>1129903.411233261</v>
      </c>
      <c r="M4" s="33">
        <v>254.33831530766412</v>
      </c>
      <c r="N4" s="5">
        <v>13</v>
      </c>
      <c r="O4" s="23">
        <v>94</v>
      </c>
      <c r="P4" s="33">
        <v>399.02959461095151</v>
      </c>
      <c r="Q4" s="23">
        <v>43.793306085609501</v>
      </c>
      <c r="R4" s="5">
        <v>5259.2196014406318</v>
      </c>
      <c r="S4" s="35"/>
      <c r="T4" s="23">
        <v>1194759.271036525</v>
      </c>
      <c r="U4" s="33">
        <v>224.21564484615092</v>
      </c>
      <c r="V4" s="5">
        <v>13</v>
      </c>
      <c r="W4" s="23">
        <v>93.333333333333329</v>
      </c>
      <c r="X4" s="33">
        <v>304.91963496073186</v>
      </c>
      <c r="Y4" s="23">
        <v>43.055536486479511</v>
      </c>
      <c r="Z4" s="5">
        <v>5397.1555402158428</v>
      </c>
      <c r="AA4" s="35"/>
    </row>
    <row r="5" spans="2:27" x14ac:dyDescent="0.2">
      <c r="B5" s="4">
        <v>2</v>
      </c>
      <c r="C5" s="4">
        <v>199</v>
      </c>
      <c r="D5" s="23">
        <v>1177420.745513577</v>
      </c>
      <c r="E5" s="33">
        <v>181.57157261533524</v>
      </c>
      <c r="F5" s="5">
        <v>13</v>
      </c>
      <c r="G5" s="23">
        <v>94</v>
      </c>
      <c r="H5" s="33">
        <v>373.33237715219161</v>
      </c>
      <c r="I5" s="23">
        <v>43.243950924027288</v>
      </c>
      <c r="J5" s="5">
        <v>5436.530931383867</v>
      </c>
      <c r="K5" s="31"/>
      <c r="L5" s="23">
        <v>1142276.8760377441</v>
      </c>
      <c r="M5" s="33">
        <v>163.75328538464737</v>
      </c>
      <c r="N5" s="5">
        <v>13</v>
      </c>
      <c r="O5" s="23">
        <v>94</v>
      </c>
      <c r="P5" s="33">
        <v>371.13183476991094</v>
      </c>
      <c r="Q5" s="23">
        <v>43.613936857015233</v>
      </c>
      <c r="R5" s="5">
        <v>5351.2306259657107</v>
      </c>
      <c r="S5" s="35"/>
      <c r="T5" s="23">
        <v>1201013.9810161099</v>
      </c>
      <c r="U5" s="33">
        <v>161.12782392310552</v>
      </c>
      <c r="V5" s="5">
        <v>13</v>
      </c>
      <c r="W5" s="23">
        <v>93.333333333333329</v>
      </c>
      <c r="X5" s="33">
        <v>315.63066743733083</v>
      </c>
      <c r="Y5" s="23">
        <v>42.460621447942017</v>
      </c>
      <c r="Z5" s="5">
        <v>5431.0443949220044</v>
      </c>
      <c r="AA5" s="35"/>
    </row>
    <row r="6" spans="2:27" x14ac:dyDescent="0.2">
      <c r="B6" s="4">
        <v>3</v>
      </c>
      <c r="C6" s="4">
        <v>221</v>
      </c>
      <c r="D6" s="23">
        <v>1181428.0970732439</v>
      </c>
      <c r="E6" s="33">
        <v>221.80821776927377</v>
      </c>
      <c r="F6" s="5">
        <v>12</v>
      </c>
      <c r="G6" s="23">
        <v>94</v>
      </c>
      <c r="H6" s="33">
        <v>323.89224579221337</v>
      </c>
      <c r="I6" s="23">
        <v>46.327004582394245</v>
      </c>
      <c r="J6" s="5">
        <v>5606.299673098998</v>
      </c>
      <c r="K6" s="31"/>
      <c r="L6" s="23">
        <v>1122555.2088620791</v>
      </c>
      <c r="M6" s="33">
        <v>164.27802023083831</v>
      </c>
      <c r="N6" s="5">
        <v>12</v>
      </c>
      <c r="O6" s="23">
        <v>94</v>
      </c>
      <c r="P6" s="33">
        <v>278.92451537366765</v>
      </c>
      <c r="Q6" s="23">
        <v>45.784417849722537</v>
      </c>
      <c r="R6" s="5">
        <v>5356.3981601734595</v>
      </c>
      <c r="S6" s="35"/>
      <c r="T6" s="23">
        <v>1173897.2892378459</v>
      </c>
      <c r="U6" s="33">
        <v>256.0078853076825</v>
      </c>
      <c r="V6" s="5">
        <v>13</v>
      </c>
      <c r="W6" s="23">
        <v>94</v>
      </c>
      <c r="X6" s="33">
        <v>280.9277963078016</v>
      </c>
      <c r="Y6" s="23">
        <v>43.48195515669476</v>
      </c>
      <c r="Z6" s="5">
        <v>5376.6084475748057</v>
      </c>
      <c r="AA6" s="35"/>
    </row>
    <row r="7" spans="2:27" x14ac:dyDescent="0.2">
      <c r="B7" s="4">
        <v>4</v>
      </c>
      <c r="C7" s="4">
        <v>254</v>
      </c>
      <c r="D7" s="23">
        <v>1174184.5602595841</v>
      </c>
      <c r="E7" s="33">
        <v>154.33890084619631</v>
      </c>
      <c r="F7" s="5">
        <v>14</v>
      </c>
      <c r="G7" s="23">
        <v>94</v>
      </c>
      <c r="H7" s="33">
        <v>349.88343846988687</v>
      </c>
      <c r="I7" s="23">
        <v>40.279638286506497</v>
      </c>
      <c r="J7" s="5">
        <v>5312.0648531790848</v>
      </c>
      <c r="K7" s="31"/>
      <c r="L7" s="23">
        <v>1133387.64991507</v>
      </c>
      <c r="M7" s="33">
        <v>261.22876507695759</v>
      </c>
      <c r="N7" s="5">
        <v>13</v>
      </c>
      <c r="O7" s="23">
        <v>94</v>
      </c>
      <c r="P7" s="33">
        <v>395.49114526553342</v>
      </c>
      <c r="Q7" s="23">
        <v>43.89392477410864</v>
      </c>
      <c r="R7" s="5">
        <v>5266.8383220173719</v>
      </c>
      <c r="S7" s="35"/>
      <c r="T7" s="23">
        <v>1196782.6262750069</v>
      </c>
      <c r="U7" s="33">
        <v>153.76341507689523</v>
      </c>
      <c r="V7" s="5">
        <v>13</v>
      </c>
      <c r="W7" s="23">
        <v>94</v>
      </c>
      <c r="X7" s="33">
        <v>353.51863044486544</v>
      </c>
      <c r="Y7" s="23">
        <v>43.705837152870004</v>
      </c>
      <c r="Z7" s="5">
        <v>5459.3656912891638</v>
      </c>
      <c r="AA7" s="35"/>
    </row>
    <row r="8" spans="2:27" x14ac:dyDescent="0.2">
      <c r="B8" s="4">
        <v>5</v>
      </c>
      <c r="C8" s="4">
        <v>322</v>
      </c>
      <c r="D8" s="23">
        <v>1183868.953052948</v>
      </c>
      <c r="E8" s="33">
        <v>120.23267007692576</v>
      </c>
      <c r="F8" s="5">
        <v>12</v>
      </c>
      <c r="G8" s="23">
        <v>94</v>
      </c>
      <c r="H8" s="33">
        <v>521.56548228476356</v>
      </c>
      <c r="I8" s="23">
        <v>47.834075658752916</v>
      </c>
      <c r="J8" s="5">
        <v>5524.5107805118623</v>
      </c>
      <c r="K8" s="31"/>
      <c r="L8" s="23">
        <v>1163585.031157979</v>
      </c>
      <c r="M8" s="33">
        <v>175.82498200004923</v>
      </c>
      <c r="N8" s="5">
        <v>12</v>
      </c>
      <c r="O8" s="23">
        <v>94</v>
      </c>
      <c r="P8" s="33">
        <v>381.35297410022923</v>
      </c>
      <c r="Q8" s="23">
        <v>46.396630409198231</v>
      </c>
      <c r="R8" s="5">
        <v>5591.2304169228155</v>
      </c>
      <c r="S8" s="35"/>
      <c r="T8" s="23">
        <v>1184475.0770277751</v>
      </c>
      <c r="U8" s="33">
        <v>293.41906276916581</v>
      </c>
      <c r="V8" s="5">
        <v>13</v>
      </c>
      <c r="W8" s="23">
        <v>94</v>
      </c>
      <c r="X8" s="33">
        <v>273.62640101280397</v>
      </c>
      <c r="Y8" s="23">
        <v>42.540366506643849</v>
      </c>
      <c r="Z8" s="5">
        <v>5442.6613364522445</v>
      </c>
      <c r="AA8" s="35"/>
    </row>
    <row r="9" spans="2:27" x14ac:dyDescent="0.2">
      <c r="B9" s="4">
        <v>6</v>
      </c>
      <c r="C9" s="4">
        <v>333</v>
      </c>
      <c r="D9" s="23">
        <v>1155075.914594016</v>
      </c>
      <c r="E9" s="33">
        <v>124.98730038462853</v>
      </c>
      <c r="F9" s="5">
        <v>13</v>
      </c>
      <c r="G9" s="23">
        <v>94</v>
      </c>
      <c r="H9" s="33">
        <v>315.4818009440686</v>
      </c>
      <c r="I9" s="23">
        <v>43.565165325317544</v>
      </c>
      <c r="J9" s="5">
        <v>5346.775780707324</v>
      </c>
      <c r="K9" s="31"/>
      <c r="L9" s="23">
        <v>1188082.2620484531</v>
      </c>
      <c r="M9" s="33">
        <v>209.23719669226551</v>
      </c>
      <c r="N9" s="5">
        <v>12</v>
      </c>
      <c r="O9" s="23">
        <v>92.666666666666671</v>
      </c>
      <c r="P9" s="33">
        <v>450.74210849586063</v>
      </c>
      <c r="Q9" s="23">
        <v>46.12524933431758</v>
      </c>
      <c r="R9" s="5">
        <v>5590.8059499322471</v>
      </c>
      <c r="S9" s="35"/>
      <c r="T9" s="23">
        <v>1171128.6600115581</v>
      </c>
      <c r="U9" s="33">
        <v>239.10754153845261</v>
      </c>
      <c r="V9" s="5">
        <v>13</v>
      </c>
      <c r="W9" s="23">
        <v>94</v>
      </c>
      <c r="X9" s="33">
        <v>305.17398155735839</v>
      </c>
      <c r="Y9" s="23">
        <v>43.561551887336037</v>
      </c>
      <c r="Z9" s="5">
        <v>5348.7296705024692</v>
      </c>
      <c r="AA9" s="35"/>
    </row>
    <row r="10" spans="2:27" x14ac:dyDescent="0.2">
      <c r="B10" s="4">
        <v>7</v>
      </c>
      <c r="C10" s="4">
        <v>475</v>
      </c>
      <c r="D10" s="23">
        <v>1183868.953052948</v>
      </c>
      <c r="E10" s="33">
        <v>177.72703538460729</v>
      </c>
      <c r="F10" s="5">
        <v>12</v>
      </c>
      <c r="G10" s="23">
        <v>94</v>
      </c>
      <c r="H10" s="33">
        <v>521.56548228476356</v>
      </c>
      <c r="I10" s="23">
        <v>47.834075658752916</v>
      </c>
      <c r="J10" s="5">
        <v>5524.5107805118623</v>
      </c>
      <c r="K10" s="31"/>
      <c r="L10" s="23">
        <v>1157914.1018400891</v>
      </c>
      <c r="M10" s="33">
        <v>134.78076569234523</v>
      </c>
      <c r="N10" s="5">
        <v>12</v>
      </c>
      <c r="O10" s="23">
        <v>94</v>
      </c>
      <c r="P10" s="33">
        <v>533.29074085330012</v>
      </c>
      <c r="Q10" s="23">
        <v>47.88109305698385</v>
      </c>
      <c r="R10" s="5">
        <v>5537.5126348250787</v>
      </c>
      <c r="S10" s="35"/>
      <c r="T10" s="23">
        <v>1213531.7831096179</v>
      </c>
      <c r="U10" s="33">
        <v>211.24606207693716</v>
      </c>
      <c r="V10" s="5">
        <v>15</v>
      </c>
      <c r="W10" s="23">
        <v>94</v>
      </c>
      <c r="X10" s="33">
        <v>418.12178689911377</v>
      </c>
      <c r="Y10" s="23">
        <v>37.692766489253032</v>
      </c>
      <c r="Z10" s="5">
        <v>5262.1192800945937</v>
      </c>
      <c r="AA10" s="35"/>
    </row>
    <row r="11" spans="2:27" x14ac:dyDescent="0.2">
      <c r="B11" s="4">
        <v>8</v>
      </c>
      <c r="C11" s="4">
        <v>637</v>
      </c>
      <c r="D11" s="23">
        <v>1183868.953052948</v>
      </c>
      <c r="E11" s="33">
        <v>188.87606300001676</v>
      </c>
      <c r="F11" s="5">
        <v>12</v>
      </c>
      <c r="G11" s="23">
        <v>94</v>
      </c>
      <c r="H11" s="33">
        <v>521.56548228476356</v>
      </c>
      <c r="I11" s="23">
        <v>47.834075658752916</v>
      </c>
      <c r="J11" s="5">
        <v>5524.5107805118623</v>
      </c>
      <c r="K11" s="31"/>
      <c r="L11" s="23">
        <v>1151310.648590429</v>
      </c>
      <c r="M11" s="33">
        <v>362.52027053842676</v>
      </c>
      <c r="N11" s="5">
        <v>12</v>
      </c>
      <c r="O11" s="23">
        <v>94</v>
      </c>
      <c r="P11" s="33">
        <v>366.95776166066821</v>
      </c>
      <c r="Q11" s="23">
        <v>45.348653111417924</v>
      </c>
      <c r="R11" s="5">
        <v>5513.969042562815</v>
      </c>
      <c r="S11" s="35"/>
      <c r="T11" s="23">
        <v>1199070.112007193</v>
      </c>
      <c r="U11" s="33">
        <v>197.74313507691167</v>
      </c>
      <c r="V11" s="5">
        <v>13</v>
      </c>
      <c r="W11" s="23">
        <v>94</v>
      </c>
      <c r="X11" s="33">
        <v>395.04060029123031</v>
      </c>
      <c r="Y11" s="23">
        <v>43.871025884917046</v>
      </c>
      <c r="Z11" s="5">
        <v>5430.9662835247036</v>
      </c>
      <c r="AA11" s="35"/>
    </row>
    <row r="12" spans="2:27" x14ac:dyDescent="0.2">
      <c r="B12" s="4">
        <v>9</v>
      </c>
      <c r="C12" s="4">
        <v>903</v>
      </c>
      <c r="D12" s="23">
        <v>1175236.7998209151</v>
      </c>
      <c r="E12" s="33">
        <v>169.29325138460484</v>
      </c>
      <c r="F12" s="5">
        <v>13</v>
      </c>
      <c r="G12" s="23">
        <v>94</v>
      </c>
      <c r="H12" s="33">
        <v>385.7997171012762</v>
      </c>
      <c r="I12" s="23">
        <v>43.97680808942669</v>
      </c>
      <c r="J12" s="5">
        <v>5432.5516405024864</v>
      </c>
      <c r="K12" s="31"/>
      <c r="L12" s="23">
        <v>1177543.503547627</v>
      </c>
      <c r="M12" s="33">
        <v>137.05634900001593</v>
      </c>
      <c r="N12" s="5">
        <v>13</v>
      </c>
      <c r="O12" s="23">
        <v>94</v>
      </c>
      <c r="P12" s="33">
        <v>399.88876402470504</v>
      </c>
      <c r="Q12" s="23">
        <v>43.195477180429705</v>
      </c>
      <c r="R12" s="5">
        <v>5573.0587187111396</v>
      </c>
      <c r="S12" s="35"/>
      <c r="T12" s="23">
        <v>1177322.093775729</v>
      </c>
      <c r="U12" s="33">
        <v>214.56775361537714</v>
      </c>
      <c r="V12" s="5">
        <v>13</v>
      </c>
      <c r="W12" s="23">
        <v>94</v>
      </c>
      <c r="X12" s="33">
        <v>374.10713428162308</v>
      </c>
      <c r="Y12" s="23">
        <v>43.963138526993411</v>
      </c>
      <c r="Z12" s="5">
        <v>5313.0959713748935</v>
      </c>
      <c r="AA12" s="35"/>
    </row>
    <row r="13" spans="2:27" x14ac:dyDescent="0.2">
      <c r="B13" s="4">
        <v>10</v>
      </c>
      <c r="C13" s="4">
        <v>998</v>
      </c>
      <c r="D13" s="23">
        <v>1157102.776712934</v>
      </c>
      <c r="E13" s="33">
        <v>180.61401653846798</v>
      </c>
      <c r="F13" s="5">
        <v>13</v>
      </c>
      <c r="G13" s="23">
        <v>94</v>
      </c>
      <c r="H13" s="33">
        <v>310.69270707462476</v>
      </c>
      <c r="I13" s="23">
        <v>43.500701755209576</v>
      </c>
      <c r="J13" s="5">
        <v>5348.9870947343234</v>
      </c>
      <c r="K13" s="31"/>
      <c r="L13" s="23">
        <v>1148553.674735619</v>
      </c>
      <c r="M13" s="33">
        <v>176.80316600008291</v>
      </c>
      <c r="N13" s="5">
        <v>12</v>
      </c>
      <c r="O13" s="23">
        <v>94</v>
      </c>
      <c r="P13" s="33">
        <v>405.2291130217364</v>
      </c>
      <c r="Q13" s="23">
        <v>47.577363517502967</v>
      </c>
      <c r="R13" s="5">
        <v>5508.1145910973755</v>
      </c>
      <c r="S13" s="35"/>
      <c r="T13" s="23">
        <v>1213946.5782953729</v>
      </c>
      <c r="U13" s="33">
        <v>184.92300984619828</v>
      </c>
      <c r="V13" s="5">
        <v>13</v>
      </c>
      <c r="W13" s="23">
        <v>93.333333333333329</v>
      </c>
      <c r="X13" s="33">
        <v>374.34647301580947</v>
      </c>
      <c r="Y13" s="23">
        <v>43.380793724870017</v>
      </c>
      <c r="Z13" s="5">
        <v>5454.889831516175</v>
      </c>
      <c r="AA13" s="35"/>
    </row>
    <row r="14" spans="2:27" x14ac:dyDescent="0.2">
      <c r="B14" s="50" t="s">
        <v>3</v>
      </c>
      <c r="C14" s="51"/>
      <c r="D14" s="9">
        <f>MIN(D4:D13)</f>
        <v>1155075.914594016</v>
      </c>
      <c r="E14" s="22">
        <f>INDEX(E4:E13, MATCH($D$14, D4:D13, 0))</f>
        <v>124.98730038462853</v>
      </c>
      <c r="F14" s="9">
        <f>INDEX(F4:F13, MATCH($D$14, D4:D13, 0))</f>
        <v>13</v>
      </c>
      <c r="G14" s="9">
        <f>INDEX(G4:G13, MATCH($D$14, D4:D13, 0))</f>
        <v>94</v>
      </c>
      <c r="H14" s="22">
        <f>INDEX(H4:H13, MATCH($D$14, D4:D13, 0))</f>
        <v>315.4818009440686</v>
      </c>
      <c r="I14" s="22">
        <f>INDEX(I4:I13, MATCH($D$14, D4:D13, 0))</f>
        <v>43.565165325317544</v>
      </c>
      <c r="J14" s="22">
        <f>INDEX(J4:J13, MATCH($D$14, D4:D13, 0))</f>
        <v>5346.775780707324</v>
      </c>
      <c r="K14" s="32" t="e">
        <f>(D14-$D$15)/$D$15</f>
        <v>#DIV/0!</v>
      </c>
      <c r="L14" s="16">
        <f>MIN(L4:L13)</f>
        <v>1122555.2088620791</v>
      </c>
      <c r="M14" s="21">
        <f>INDEX(M4:M13, MATCH($L$14, L4:L13, 0))</f>
        <v>164.27802023083831</v>
      </c>
      <c r="N14" s="16">
        <f>INDEX(N4:N13, MATCH($L$14, L4:L13, 0))</f>
        <v>12</v>
      </c>
      <c r="O14" s="16">
        <f>INDEX(O4:O13, MATCH($L$14, L4:L13, 0))</f>
        <v>94</v>
      </c>
      <c r="P14" s="21">
        <f>INDEX(P4:P13, MATCH($L$14, L4:L13, 0))</f>
        <v>278.92451537366765</v>
      </c>
      <c r="Q14" s="21">
        <f>INDEX(Q4:Q13, MATCH($L$14, L4:L13, 0))</f>
        <v>45.784417849722537</v>
      </c>
      <c r="R14" s="21">
        <f>INDEX(R4:R13, MATCH($L$14, L4:L13, 0))</f>
        <v>5356.3981601734595</v>
      </c>
      <c r="S14" s="36" t="e">
        <f>(L14-$D$15)/$D$15</f>
        <v>#DIV/0!</v>
      </c>
      <c r="T14" s="38">
        <f>MIN(T4:T13)</f>
        <v>1171128.6600115581</v>
      </c>
      <c r="U14" s="39">
        <f>INDEX(U4:U13, MATCH($T$14, T4:T13, 0))</f>
        <v>239.10754153845261</v>
      </c>
      <c r="V14" s="38">
        <f>INDEX(V4:V13, MATCH($T$14, T4:T13, 0))</f>
        <v>13</v>
      </c>
      <c r="W14" s="38">
        <f>INDEX(W4:W13, MATCH($T$14, T4:T13, 0))</f>
        <v>94</v>
      </c>
      <c r="X14" s="39">
        <f>INDEX(X4:X13, MATCH($T$14, T4:T13, 0))</f>
        <v>305.17398155735839</v>
      </c>
      <c r="Y14" s="39">
        <f>INDEX(Y4:Y13, MATCH($T$14, T4:T13, 0))</f>
        <v>43.561551887336037</v>
      </c>
      <c r="Z14" s="39">
        <f>INDEX(Z4:Z13, MATCH($T$14, T4:T13, 0))</f>
        <v>5348.7296705024692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-2.8154604663683323E-2</v>
      </c>
      <c r="M15" s="41">
        <f t="shared" ref="M15:R15" si="0">(M14-E14)/E14</f>
        <v>0.31435769654435969</v>
      </c>
      <c r="N15" s="41">
        <f t="shared" si="0"/>
        <v>-7.6923076923076927E-2</v>
      </c>
      <c r="O15" s="41">
        <f t="shared" si="0"/>
        <v>0</v>
      </c>
      <c r="P15" s="41">
        <f t="shared" si="0"/>
        <v>-0.11587763687478805</v>
      </c>
      <c r="Q15" s="41">
        <f t="shared" si="0"/>
        <v>5.0940987089868627E-2</v>
      </c>
      <c r="R15" s="41">
        <f t="shared" si="0"/>
        <v>1.7996601804129808E-3</v>
      </c>
      <c r="T15" s="41">
        <f>(T14-D14)/D14</f>
        <v>1.389756743666865E-2</v>
      </c>
      <c r="U15" s="41">
        <f t="shared" ref="U15:Z15" si="1">(U14-E14)/E14</f>
        <v>0.91305469277788387</v>
      </c>
      <c r="V15" s="41">
        <f t="shared" si="1"/>
        <v>0</v>
      </c>
      <c r="W15" s="41">
        <f t="shared" si="1"/>
        <v>0</v>
      </c>
      <c r="X15" s="41">
        <f t="shared" si="1"/>
        <v>-3.2673261518935189E-2</v>
      </c>
      <c r="Y15" s="41">
        <f t="shared" si="1"/>
        <v>-8.2943286328051325E-5</v>
      </c>
      <c r="Z15" s="41">
        <f t="shared" si="1"/>
        <v>3.6543327704059952E-4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37:C1048576">
    <cfRule type="duplicateValues" dxfId="109" priority="11"/>
    <cfRule type="duplicateValues" dxfId="108" priority="12"/>
  </conditionalFormatting>
  <conditionalFormatting sqref="C2">
    <cfRule type="duplicateValues" dxfId="107" priority="3"/>
    <cfRule type="duplicateValues" dxfId="106" priority="4"/>
  </conditionalFormatting>
  <conditionalFormatting sqref="C4:C13">
    <cfRule type="duplicateValues" dxfId="105" priority="5"/>
    <cfRule type="duplicateValues" dxfId="104" priority="6"/>
  </conditionalFormatting>
  <conditionalFormatting sqref="C14">
    <cfRule type="duplicateValues" dxfId="103" priority="9"/>
    <cfRule type="duplicateValues" dxfId="102" priority="10"/>
  </conditionalFormatting>
  <conditionalFormatting sqref="C15">
    <cfRule type="duplicateValues" dxfId="101" priority="7"/>
    <cfRule type="duplicateValues" dxfId="100" priority="8"/>
  </conditionalFormatting>
  <conditionalFormatting sqref="C17:C36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9C41-71D6-43C7-8DDF-0A8890644F1D}">
  <dimension ref="B1:AA17"/>
  <sheetViews>
    <sheetView zoomScale="90" zoomScaleNormal="90" workbookViewId="0">
      <selection activeCell="U20" sqref="U20:U3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-1.3775708338944082E-2</v>
      </c>
      <c r="R2" s="1">
        <f>(R14-J14)/J14</f>
        <v>-4.3879559722733528E-3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38</v>
      </c>
      <c r="D4" s="23">
        <v>1121786.2826260659</v>
      </c>
      <c r="E4" s="33">
        <v>323.91321707696005</v>
      </c>
      <c r="F4" s="5">
        <v>13</v>
      </c>
      <c r="G4" s="23">
        <v>98.666666666666671</v>
      </c>
      <c r="H4" s="33">
        <v>619.0229855192207</v>
      </c>
      <c r="I4" s="23">
        <v>45.072103264841239</v>
      </c>
      <c r="J4" s="5">
        <v>5694.8610713517592</v>
      </c>
      <c r="K4" s="31"/>
      <c r="L4" s="23">
        <v>1114293.522247501</v>
      </c>
      <c r="M4" s="33">
        <v>201.06553953848422</v>
      </c>
      <c r="N4" s="5">
        <v>14</v>
      </c>
      <c r="O4" s="23">
        <v>98.666666666666671</v>
      </c>
      <c r="P4" s="33">
        <v>610.33790073623641</v>
      </c>
      <c r="Q4" s="23">
        <v>41.446145743235448</v>
      </c>
      <c r="R4" s="5">
        <v>5745.8917403445939</v>
      </c>
      <c r="S4" s="35"/>
      <c r="T4" s="23">
        <v>1199948.447215952</v>
      </c>
      <c r="U4" s="33">
        <v>211.18843415384902</v>
      </c>
      <c r="V4" s="5">
        <v>13</v>
      </c>
      <c r="W4" s="23">
        <v>97.333333333333329</v>
      </c>
      <c r="X4" s="33">
        <v>620.45736704355113</v>
      </c>
      <c r="Y4" s="23">
        <v>44.867280636567067</v>
      </c>
      <c r="Z4" s="5">
        <v>5832.4041048424115</v>
      </c>
      <c r="AA4" s="35"/>
    </row>
    <row r="5" spans="2:27" x14ac:dyDescent="0.2">
      <c r="B5" s="4">
        <v>2</v>
      </c>
      <c r="C5" s="4">
        <v>43</v>
      </c>
      <c r="D5" s="23">
        <v>1121786.2826260659</v>
      </c>
      <c r="E5" s="33">
        <v>208.6951060769542</v>
      </c>
      <c r="F5" s="5">
        <v>13</v>
      </c>
      <c r="G5" s="23">
        <v>98.666666666666671</v>
      </c>
      <c r="H5" s="33">
        <v>619.0229855192207</v>
      </c>
      <c r="I5" s="23">
        <v>45.072103264841239</v>
      </c>
      <c r="J5" s="5">
        <v>5694.8610713517592</v>
      </c>
      <c r="K5" s="31"/>
      <c r="L5" s="23">
        <v>1073782.7883949401</v>
      </c>
      <c r="M5" s="33">
        <v>124.38644407693153</v>
      </c>
      <c r="N5" s="5">
        <v>13</v>
      </c>
      <c r="O5" s="23">
        <v>98.666666666666671</v>
      </c>
      <c r="P5" s="33">
        <v>548.48706616596303</v>
      </c>
      <c r="Q5" s="23">
        <v>45.733038391322061</v>
      </c>
      <c r="R5" s="5">
        <v>5637.9432620523303</v>
      </c>
      <c r="S5" s="35"/>
      <c r="T5" s="23">
        <v>1172304.9002190379</v>
      </c>
      <c r="U5" s="33">
        <v>166.67265761545144</v>
      </c>
      <c r="V5" s="5">
        <v>14</v>
      </c>
      <c r="W5" s="23">
        <v>97.333333333333329</v>
      </c>
      <c r="X5" s="33">
        <v>501.10730294207951</v>
      </c>
      <c r="Y5" s="23">
        <v>41.870176622450195</v>
      </c>
      <c r="Z5" s="5">
        <v>5653.8017106252491</v>
      </c>
      <c r="AA5" s="35"/>
    </row>
    <row r="6" spans="2:27" x14ac:dyDescent="0.2">
      <c r="B6" s="4">
        <v>3</v>
      </c>
      <c r="C6" s="4">
        <v>165</v>
      </c>
      <c r="D6" s="23">
        <v>1146239.0879266439</v>
      </c>
      <c r="E6" s="33">
        <v>145.33956584610183</v>
      </c>
      <c r="F6" s="5">
        <v>14</v>
      </c>
      <c r="G6" s="23">
        <v>98.666666666666671</v>
      </c>
      <c r="H6" s="33">
        <v>647.95799584527902</v>
      </c>
      <c r="I6" s="23">
        <v>42.327934779083762</v>
      </c>
      <c r="J6" s="5">
        <v>5712.7035541894957</v>
      </c>
      <c r="K6" s="31"/>
      <c r="L6" s="23">
        <v>1105806.993610291</v>
      </c>
      <c r="M6" s="33">
        <v>281.33940992312722</v>
      </c>
      <c r="N6" s="5">
        <v>14</v>
      </c>
      <c r="O6" s="23">
        <v>98.666666666666671</v>
      </c>
      <c r="P6" s="33">
        <v>574.70724952186993</v>
      </c>
      <c r="Q6" s="23">
        <v>42.520162978515934</v>
      </c>
      <c r="R6" s="5">
        <v>5709.5521272049555</v>
      </c>
      <c r="S6" s="35"/>
      <c r="T6" s="23">
        <v>1162655.7839266851</v>
      </c>
      <c r="U6" s="33">
        <v>566.58996999998078</v>
      </c>
      <c r="V6" s="5">
        <v>14</v>
      </c>
      <c r="W6" s="23">
        <v>98.666666666666671</v>
      </c>
      <c r="X6" s="33">
        <v>535.64407708573231</v>
      </c>
      <c r="Y6" s="23">
        <v>41.821406100065794</v>
      </c>
      <c r="Z6" s="5">
        <v>5697.1740375663949</v>
      </c>
      <c r="AA6" s="35"/>
    </row>
    <row r="7" spans="2:27" x14ac:dyDescent="0.2">
      <c r="B7" s="4">
        <v>4</v>
      </c>
      <c r="C7" s="4">
        <v>242</v>
      </c>
      <c r="D7" s="23">
        <v>1130331.2847810029</v>
      </c>
      <c r="E7" s="33">
        <v>333.8130008461527</v>
      </c>
      <c r="F7" s="5">
        <v>14</v>
      </c>
      <c r="G7" s="23">
        <v>98.666666666666671</v>
      </c>
      <c r="H7" s="33">
        <v>539.58555323621454</v>
      </c>
      <c r="I7" s="23">
        <v>42.186819433527738</v>
      </c>
      <c r="J7" s="5">
        <v>5683.283563563481</v>
      </c>
      <c r="K7" s="31"/>
      <c r="L7" s="23">
        <v>1103265.2140809931</v>
      </c>
      <c r="M7" s="33">
        <v>251.30245569224755</v>
      </c>
      <c r="N7" s="5">
        <v>14</v>
      </c>
      <c r="O7" s="23">
        <v>98.666666666666671</v>
      </c>
      <c r="P7" s="33">
        <v>582.63475441152605</v>
      </c>
      <c r="Q7" s="23">
        <v>41.120903044750825</v>
      </c>
      <c r="R7" s="5">
        <v>5652.521472821988</v>
      </c>
      <c r="S7" s="35"/>
      <c r="T7" s="23">
        <v>1257485.3574225181</v>
      </c>
      <c r="U7" s="33">
        <v>234.9519023077132</v>
      </c>
      <c r="V7" s="5">
        <v>14</v>
      </c>
      <c r="W7" s="23">
        <v>96.666666666666671</v>
      </c>
      <c r="X7" s="33">
        <v>647.54033051642762</v>
      </c>
      <c r="Y7" s="23">
        <v>39.123981383118185</v>
      </c>
      <c r="Z7" s="5">
        <v>5931.0073809622945</v>
      </c>
      <c r="AA7" s="35"/>
    </row>
    <row r="8" spans="2:27" x14ac:dyDescent="0.2">
      <c r="B8" s="4">
        <v>5</v>
      </c>
      <c r="C8" s="4">
        <v>358</v>
      </c>
      <c r="D8" s="23">
        <v>1134322.89888199</v>
      </c>
      <c r="E8" s="33">
        <v>145.86066753845299</v>
      </c>
      <c r="F8" s="5">
        <v>13</v>
      </c>
      <c r="G8" s="23">
        <v>98.666666666666671</v>
      </c>
      <c r="H8" s="33">
        <v>601.82548601251983</v>
      </c>
      <c r="I8" s="23">
        <v>43.954983973877411</v>
      </c>
      <c r="J8" s="5">
        <v>5755.0234233203137</v>
      </c>
      <c r="K8" s="31"/>
      <c r="L8" s="23">
        <v>1120002.2141643511</v>
      </c>
      <c r="M8" s="33">
        <v>199.57626438466832</v>
      </c>
      <c r="N8" s="5">
        <v>14</v>
      </c>
      <c r="O8" s="23">
        <v>98.666666666666671</v>
      </c>
      <c r="P8" s="33">
        <v>649.0640018982815</v>
      </c>
      <c r="Q8" s="23">
        <v>42.766225068830956</v>
      </c>
      <c r="R8" s="5">
        <v>5780.31993307216</v>
      </c>
      <c r="S8" s="35"/>
      <c r="T8" s="23">
        <v>1188876.334966979</v>
      </c>
      <c r="U8" s="33">
        <v>191.47208946157028</v>
      </c>
      <c r="V8" s="5">
        <v>14</v>
      </c>
      <c r="W8" s="23">
        <v>97.333333333333329</v>
      </c>
      <c r="X8" s="33">
        <v>563.30105315357696</v>
      </c>
      <c r="Y8" s="23">
        <v>41.427704699971819</v>
      </c>
      <c r="Z8" s="5">
        <v>5700.0872504628305</v>
      </c>
      <c r="AA8" s="35"/>
    </row>
    <row r="9" spans="2:27" x14ac:dyDescent="0.2">
      <c r="B9" s="4">
        <v>6</v>
      </c>
      <c r="C9" s="4">
        <v>479</v>
      </c>
      <c r="D9" s="23">
        <v>1120670.5772736871</v>
      </c>
      <c r="E9" s="33">
        <v>230.17353484613031</v>
      </c>
      <c r="F9" s="5">
        <v>13</v>
      </c>
      <c r="G9" s="23">
        <v>98.666666666666671</v>
      </c>
      <c r="H9" s="33">
        <v>598.59378458235756</v>
      </c>
      <c r="I9" s="23">
        <v>43.835182209102499</v>
      </c>
      <c r="J9" s="5">
        <v>5690.5646683356308</v>
      </c>
      <c r="K9" s="31"/>
      <c r="L9" s="23">
        <v>1161419.3648333149</v>
      </c>
      <c r="M9" s="33">
        <v>332.93645507691861</v>
      </c>
      <c r="N9" s="5">
        <v>13</v>
      </c>
      <c r="O9" s="23">
        <v>98</v>
      </c>
      <c r="P9" s="33">
        <v>863.84085102939264</v>
      </c>
      <c r="Q9" s="23">
        <v>46.2223688321995</v>
      </c>
      <c r="R9" s="5">
        <v>6057.32998339811</v>
      </c>
      <c r="S9" s="35"/>
      <c r="T9" s="23">
        <v>1162523.7713529139</v>
      </c>
      <c r="U9" s="33">
        <v>251.44189669231238</v>
      </c>
      <c r="V9" s="5">
        <v>13</v>
      </c>
      <c r="W9" s="23">
        <v>98</v>
      </c>
      <c r="X9" s="33">
        <v>590.38438875051884</v>
      </c>
      <c r="Y9" s="23">
        <v>43.820259126848313</v>
      </c>
      <c r="Z9" s="5">
        <v>5667.2777403585742</v>
      </c>
      <c r="AA9" s="35"/>
    </row>
    <row r="10" spans="2:27" x14ac:dyDescent="0.2">
      <c r="B10" s="4">
        <v>7</v>
      </c>
      <c r="C10" s="4">
        <v>517</v>
      </c>
      <c r="D10" s="23">
        <v>1109461.4547045201</v>
      </c>
      <c r="E10" s="33">
        <v>267.75269992309256</v>
      </c>
      <c r="F10" s="5">
        <v>13</v>
      </c>
      <c r="G10" s="23">
        <v>98.666666666666671</v>
      </c>
      <c r="H10" s="33">
        <v>556.1484043778413</v>
      </c>
      <c r="I10" s="23">
        <v>46.079268944698597</v>
      </c>
      <c r="J10" s="5">
        <v>5662.791341137412</v>
      </c>
      <c r="K10" s="31"/>
      <c r="L10" s="23">
        <v>1168368.0439503989</v>
      </c>
      <c r="M10" s="33">
        <v>134.09267276928477</v>
      </c>
      <c r="N10" s="5">
        <v>14</v>
      </c>
      <c r="O10" s="23">
        <v>98.666666666666671</v>
      </c>
      <c r="P10" s="33">
        <v>749.65060158065717</v>
      </c>
      <c r="Q10" s="23">
        <v>41.236018096732337</v>
      </c>
      <c r="R10" s="5">
        <v>6044.9671807087934</v>
      </c>
      <c r="S10" s="35"/>
      <c r="T10" s="23">
        <v>1139593.1301876321</v>
      </c>
      <c r="U10" s="33">
        <v>151.87074384616261</v>
      </c>
      <c r="V10" s="5">
        <v>13</v>
      </c>
      <c r="W10" s="23">
        <v>97.333333333333329</v>
      </c>
      <c r="X10" s="33">
        <v>446.97955327510522</v>
      </c>
      <c r="Y10" s="23">
        <v>45.165307398308855</v>
      </c>
      <c r="Z10" s="5">
        <v>5602.595750656551</v>
      </c>
      <c r="AA10" s="35"/>
    </row>
    <row r="11" spans="2:27" x14ac:dyDescent="0.2">
      <c r="B11" s="4">
        <v>8</v>
      </c>
      <c r="C11" s="4">
        <v>583</v>
      </c>
      <c r="D11" s="23">
        <v>1208164.084242699</v>
      </c>
      <c r="E11" s="33">
        <v>135.39227392309562</v>
      </c>
      <c r="F11" s="5">
        <v>13</v>
      </c>
      <c r="G11" s="23">
        <v>97.333333333333329</v>
      </c>
      <c r="H11" s="33">
        <v>788.31076836414411</v>
      </c>
      <c r="I11" s="23">
        <v>45.564296915079552</v>
      </c>
      <c r="J11" s="5">
        <v>5997.4604940281197</v>
      </c>
      <c r="K11" s="31"/>
      <c r="L11" s="23">
        <v>1127266.291173459</v>
      </c>
      <c r="M11" s="33">
        <v>133.6331841538553</v>
      </c>
      <c r="N11" s="5">
        <v>14</v>
      </c>
      <c r="O11" s="23">
        <v>98</v>
      </c>
      <c r="P11" s="33">
        <v>625.61471409768615</v>
      </c>
      <c r="Q11" s="23">
        <v>41.174628678944956</v>
      </c>
      <c r="R11" s="5">
        <v>5758.8549794830697</v>
      </c>
      <c r="S11" s="35"/>
      <c r="T11" s="23">
        <v>1147780.377241394</v>
      </c>
      <c r="U11" s="33">
        <v>209.12290069229829</v>
      </c>
      <c r="V11" s="5">
        <v>14</v>
      </c>
      <c r="W11" s="23">
        <v>98</v>
      </c>
      <c r="X11" s="33">
        <v>497.49041385777082</v>
      </c>
      <c r="Y11" s="23">
        <v>40.555797139388353</v>
      </c>
      <c r="Z11" s="5">
        <v>5559.3854873937444</v>
      </c>
      <c r="AA11" s="35"/>
    </row>
    <row r="12" spans="2:27" x14ac:dyDescent="0.2">
      <c r="B12" s="4">
        <v>9</v>
      </c>
      <c r="C12" s="4">
        <v>614</v>
      </c>
      <c r="D12" s="23">
        <v>1158688.9487574219</v>
      </c>
      <c r="E12" s="33">
        <v>130.9993118461436</v>
      </c>
      <c r="F12" s="5">
        <v>13</v>
      </c>
      <c r="G12" s="23">
        <v>98</v>
      </c>
      <c r="H12" s="33">
        <v>600.50049892048003</v>
      </c>
      <c r="I12" s="23">
        <v>44.082311528140231</v>
      </c>
      <c r="J12" s="5">
        <v>5867.9866836457422</v>
      </c>
      <c r="K12" s="31"/>
      <c r="L12" s="23">
        <v>1144156.8768092359</v>
      </c>
      <c r="M12" s="33">
        <v>192.84456315378731</v>
      </c>
      <c r="N12" s="5">
        <v>12</v>
      </c>
      <c r="O12" s="23">
        <v>98</v>
      </c>
      <c r="P12" s="33">
        <v>809.92497612179056</v>
      </c>
      <c r="Q12" s="23">
        <v>48.242144258277733</v>
      </c>
      <c r="R12" s="5">
        <v>6050.0988094936547</v>
      </c>
      <c r="S12" s="35"/>
      <c r="T12" s="23">
        <v>1139825.690813917</v>
      </c>
      <c r="U12" s="33">
        <v>146.07307123082975</v>
      </c>
      <c r="V12" s="5">
        <v>13</v>
      </c>
      <c r="W12" s="23">
        <v>98</v>
      </c>
      <c r="X12" s="33">
        <v>491.37218443429515</v>
      </c>
      <c r="Y12" s="23">
        <v>45.590747133156817</v>
      </c>
      <c r="Z12" s="5">
        <v>5654.4282310119679</v>
      </c>
      <c r="AA12" s="35"/>
    </row>
    <row r="13" spans="2:27" x14ac:dyDescent="0.2">
      <c r="B13" s="4">
        <v>10</v>
      </c>
      <c r="C13" s="4">
        <v>945</v>
      </c>
      <c r="D13" s="23">
        <v>1148819.2570402501</v>
      </c>
      <c r="E13" s="33">
        <v>155.96661746152677</v>
      </c>
      <c r="F13" s="5">
        <v>14</v>
      </c>
      <c r="G13" s="23">
        <v>98.666666666666671</v>
      </c>
      <c r="H13" s="33">
        <v>613.47811460885009</v>
      </c>
      <c r="I13" s="23">
        <v>41.600870935938474</v>
      </c>
      <c r="J13" s="5">
        <v>5742.8782596553647</v>
      </c>
      <c r="K13" s="31"/>
      <c r="L13" s="23">
        <v>1105075.2085651681</v>
      </c>
      <c r="M13" s="33">
        <v>128.97493530772269</v>
      </c>
      <c r="N13" s="5">
        <v>14</v>
      </c>
      <c r="O13" s="23">
        <v>98.666666666666671</v>
      </c>
      <c r="P13" s="33">
        <v>594.70254991640502</v>
      </c>
      <c r="Q13" s="23">
        <v>42.442787262415735</v>
      </c>
      <c r="R13" s="5">
        <v>5708.7252617603062</v>
      </c>
      <c r="S13" s="35"/>
      <c r="T13" s="23">
        <v>1155401.2090336799</v>
      </c>
      <c r="U13" s="33">
        <v>208.53790961537291</v>
      </c>
      <c r="V13" s="5">
        <v>14</v>
      </c>
      <c r="W13" s="23">
        <v>98.666666666666671</v>
      </c>
      <c r="X13" s="33">
        <v>508.70690232833567</v>
      </c>
      <c r="Y13" s="23">
        <v>41.228054566835162</v>
      </c>
      <c r="Z13" s="5">
        <v>5667.6130331906961</v>
      </c>
      <c r="AA13" s="35"/>
    </row>
    <row r="14" spans="2:27" x14ac:dyDescent="0.2">
      <c r="B14" s="50" t="s">
        <v>3</v>
      </c>
      <c r="C14" s="51"/>
      <c r="D14" s="9">
        <f>MIN(D4:D13)</f>
        <v>1109461.4547045201</v>
      </c>
      <c r="E14" s="22">
        <f>INDEX(E4:E13, MATCH($D$14, D4:D13, 0))</f>
        <v>267.75269992309256</v>
      </c>
      <c r="F14" s="9">
        <f>INDEX(F4:F13, MATCH($D$14, D4:D13, 0))</f>
        <v>13</v>
      </c>
      <c r="G14" s="9">
        <f>INDEX(G4:G13, MATCH($D$14, D4:D13, 0))</f>
        <v>98.666666666666671</v>
      </c>
      <c r="H14" s="22">
        <f>INDEX(H4:H13, MATCH($D$14, D4:D13, 0))</f>
        <v>556.1484043778413</v>
      </c>
      <c r="I14" s="22">
        <f>INDEX(I4:I13, MATCH($D$14, D4:D13, 0))</f>
        <v>46.079268944698597</v>
      </c>
      <c r="J14" s="22">
        <f>INDEX(J4:J13, MATCH($D$14, D4:D13, 0))</f>
        <v>5662.791341137412</v>
      </c>
      <c r="K14" s="32" t="e">
        <f>(D14-$D$15)/$D$15</f>
        <v>#DIV/0!</v>
      </c>
      <c r="L14" s="16">
        <f>MIN(L4:L13)</f>
        <v>1073782.7883949401</v>
      </c>
      <c r="M14" s="21">
        <f>INDEX(M4:M13, MATCH($L$14, L4:L13, 0))</f>
        <v>124.38644407693153</v>
      </c>
      <c r="N14" s="16">
        <f>INDEX(N4:N13, MATCH($L$14, L4:L13, 0))</f>
        <v>13</v>
      </c>
      <c r="O14" s="16">
        <f>INDEX(O4:O13, MATCH($L$14, L4:L13, 0))</f>
        <v>98.666666666666671</v>
      </c>
      <c r="P14" s="21">
        <f>INDEX(P4:P13, MATCH($L$14, L4:L13, 0))</f>
        <v>548.48706616596303</v>
      </c>
      <c r="Q14" s="21">
        <f>INDEX(Q4:Q13, MATCH($L$14, L4:L13, 0))</f>
        <v>45.733038391322061</v>
      </c>
      <c r="R14" s="21">
        <f>INDEX(R4:R13, MATCH($L$14, L4:L13, 0))</f>
        <v>5637.9432620523303</v>
      </c>
      <c r="S14" s="36" t="e">
        <f>(L14-$D$15)/$D$15</f>
        <v>#DIV/0!</v>
      </c>
      <c r="T14" s="38">
        <f>MIN(T4:T13)</f>
        <v>1139593.1301876321</v>
      </c>
      <c r="U14" s="39">
        <f>INDEX(U4:U13, MATCH($T$14, T4:T13, 0))</f>
        <v>151.87074384616261</v>
      </c>
      <c r="V14" s="38">
        <f>INDEX(V4:V13, MATCH($T$14, T4:T13, 0))</f>
        <v>13</v>
      </c>
      <c r="W14" s="38">
        <f>INDEX(W4:W13, MATCH($T$14, T4:T13, 0))</f>
        <v>97.333333333333329</v>
      </c>
      <c r="X14" s="39">
        <f>INDEX(X4:X13, MATCH($T$14, T4:T13, 0))</f>
        <v>446.97955327510522</v>
      </c>
      <c r="Y14" s="39">
        <f>INDEX(Y4:Y13, MATCH($T$14, T4:T13, 0))</f>
        <v>45.165307398308855</v>
      </c>
      <c r="Z14" s="39">
        <f>INDEX(Z4:Z13, MATCH($T$14, T4:T13, 0))</f>
        <v>5602.595750656551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-3.2158545173687159E-2</v>
      </c>
      <c r="M15" s="41">
        <f t="shared" ref="M15:R15" si="0">(M14-E14)/E14</f>
        <v>-0.53544280183669701</v>
      </c>
      <c r="N15" s="41">
        <f t="shared" si="0"/>
        <v>0</v>
      </c>
      <c r="O15" s="41">
        <f t="shared" si="0"/>
        <v>0</v>
      </c>
      <c r="P15" s="41">
        <f t="shared" si="0"/>
        <v>-1.3775708338944082E-2</v>
      </c>
      <c r="Q15" s="41">
        <f t="shared" si="0"/>
        <v>-7.5138030898897253E-3</v>
      </c>
      <c r="R15" s="41">
        <f t="shared" si="0"/>
        <v>-4.3879559722733528E-3</v>
      </c>
      <c r="T15" s="41">
        <f>(T14-D14)/D14</f>
        <v>2.7158830399508452E-2</v>
      </c>
      <c r="U15" s="41">
        <f t="shared" ref="U15:Z15" si="1">(U14-E14)/E14</f>
        <v>-0.43279472479722925</v>
      </c>
      <c r="V15" s="41">
        <f t="shared" si="1"/>
        <v>0</v>
      </c>
      <c r="W15" s="41">
        <f t="shared" si="1"/>
        <v>-1.351351351351361E-2</v>
      </c>
      <c r="X15" s="41">
        <f t="shared" si="1"/>
        <v>-0.19629446069320722</v>
      </c>
      <c r="Y15" s="41">
        <f t="shared" si="1"/>
        <v>-1.9834549621145708E-2</v>
      </c>
      <c r="Z15" s="41">
        <f t="shared" si="1"/>
        <v>-1.063002093041456E-2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37:C1048576">
    <cfRule type="duplicateValues" dxfId="99" priority="11"/>
    <cfRule type="duplicateValues" dxfId="98" priority="12"/>
  </conditionalFormatting>
  <conditionalFormatting sqref="C2">
    <cfRule type="duplicateValues" dxfId="97" priority="3"/>
    <cfRule type="duplicateValues" dxfId="96" priority="4"/>
  </conditionalFormatting>
  <conditionalFormatting sqref="C4:C13">
    <cfRule type="duplicateValues" dxfId="95" priority="5"/>
    <cfRule type="duplicateValues" dxfId="94" priority="6"/>
  </conditionalFormatting>
  <conditionalFormatting sqref="C14">
    <cfRule type="duplicateValues" dxfId="93" priority="9"/>
    <cfRule type="duplicateValues" dxfId="92" priority="10"/>
  </conditionalFormatting>
  <conditionalFormatting sqref="C15">
    <cfRule type="duplicateValues" dxfId="91" priority="7"/>
    <cfRule type="duplicateValues" dxfId="90" priority="8"/>
  </conditionalFormatting>
  <conditionalFormatting sqref="C17:C36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E562-5A4A-4199-8EFE-21B684C6C986}">
  <dimension ref="B1:AA17"/>
  <sheetViews>
    <sheetView zoomScale="85" zoomScaleNormal="85" workbookViewId="0">
      <selection activeCell="U20" sqref="U20:U3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0.13906798705016823</v>
      </c>
      <c r="R2" s="1">
        <f>(R14-J14)/J14</f>
        <v>3.4742888691306779E-3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16</v>
      </c>
      <c r="D4" s="23">
        <v>1140190.0234291479</v>
      </c>
      <c r="E4" s="33">
        <v>126.30827415376331</v>
      </c>
      <c r="F4" s="5">
        <v>12</v>
      </c>
      <c r="G4" s="23">
        <v>96.666666666666671</v>
      </c>
      <c r="H4" s="33">
        <v>564.16082997875378</v>
      </c>
      <c r="I4" s="23">
        <v>44.547633874464715</v>
      </c>
      <c r="J4" s="5">
        <v>5610.9785466450712</v>
      </c>
      <c r="K4" s="31"/>
      <c r="L4" s="23">
        <v>1065448.5068027419</v>
      </c>
      <c r="M4" s="33">
        <v>242.86586469236332</v>
      </c>
      <c r="N4" s="5">
        <v>13</v>
      </c>
      <c r="O4" s="23">
        <v>96.666666666666671</v>
      </c>
      <c r="P4" s="33">
        <v>406.21925880375107</v>
      </c>
      <c r="Q4" s="23">
        <v>40.271646295768932</v>
      </c>
      <c r="R4" s="5">
        <v>5237.9074144570059</v>
      </c>
      <c r="S4" s="35"/>
      <c r="T4" s="23">
        <v>1100543.9829622009</v>
      </c>
      <c r="U4" s="33">
        <v>186.80951815385083</v>
      </c>
      <c r="V4" s="5">
        <v>15</v>
      </c>
      <c r="W4" s="23">
        <v>96.666666666666671</v>
      </c>
      <c r="X4" s="33">
        <v>284.35029160632621</v>
      </c>
      <c r="Y4" s="23">
        <v>35.546847371001668</v>
      </c>
      <c r="Z4" s="5">
        <v>5065.7142904781358</v>
      </c>
      <c r="AA4" s="35"/>
    </row>
    <row r="5" spans="2:27" x14ac:dyDescent="0.2">
      <c r="B5" s="4">
        <v>2</v>
      </c>
      <c r="C5" s="4">
        <v>80</v>
      </c>
      <c r="D5" s="23">
        <v>1082711.424619141</v>
      </c>
      <c r="E5" s="33">
        <v>196.92162207685985</v>
      </c>
      <c r="F5" s="5">
        <v>14</v>
      </c>
      <c r="G5" s="23">
        <v>96.666666666666671</v>
      </c>
      <c r="H5" s="33">
        <v>341.23408527907327</v>
      </c>
      <c r="I5" s="23">
        <v>37.728680826147844</v>
      </c>
      <c r="J5" s="5">
        <v>5124.14575974318</v>
      </c>
      <c r="K5" s="31"/>
      <c r="L5" s="23">
        <v>1071118.6963481901</v>
      </c>
      <c r="M5" s="33">
        <v>293.69558476914574</v>
      </c>
      <c r="N5" s="5">
        <v>15</v>
      </c>
      <c r="O5" s="23">
        <v>96.666666666666671</v>
      </c>
      <c r="P5" s="33">
        <v>397.57490501310764</v>
      </c>
      <c r="Q5" s="23">
        <v>36.031416766128423</v>
      </c>
      <c r="R5" s="5">
        <v>5042.3829266295079</v>
      </c>
      <c r="S5" s="35"/>
      <c r="T5" s="23">
        <v>1102023.5276261379</v>
      </c>
      <c r="U5" s="33">
        <v>141.38181200000247</v>
      </c>
      <c r="V5" s="5">
        <v>14</v>
      </c>
      <c r="W5" s="23">
        <v>96.666666666666671</v>
      </c>
      <c r="X5" s="33">
        <v>331.26826913209987</v>
      </c>
      <c r="Y5" s="23">
        <v>37.402649827477113</v>
      </c>
      <c r="Z5" s="5">
        <v>5125.5860920263076</v>
      </c>
      <c r="AA5" s="35"/>
    </row>
    <row r="6" spans="2:27" x14ac:dyDescent="0.2">
      <c r="B6" s="4">
        <v>3</v>
      </c>
      <c r="C6" s="4">
        <v>183</v>
      </c>
      <c r="D6" s="23">
        <v>1050417.709782372</v>
      </c>
      <c r="E6" s="33">
        <v>217.86547646150356</v>
      </c>
      <c r="F6" s="5">
        <v>14</v>
      </c>
      <c r="G6" s="23">
        <v>96.666666666666671</v>
      </c>
      <c r="H6" s="33">
        <v>371.24558506965866</v>
      </c>
      <c r="I6" s="23">
        <v>37.439649434799328</v>
      </c>
      <c r="J6" s="5">
        <v>4893.5953189958855</v>
      </c>
      <c r="K6" s="31"/>
      <c r="L6" s="23">
        <v>1046806.642795335</v>
      </c>
      <c r="M6" s="33">
        <v>220.14708876923231</v>
      </c>
      <c r="N6" s="5">
        <v>13</v>
      </c>
      <c r="O6" s="23">
        <v>96.666666666666671</v>
      </c>
      <c r="P6" s="33">
        <v>386.92284120600942</v>
      </c>
      <c r="Q6" s="23">
        <v>40.068217820762705</v>
      </c>
      <c r="R6" s="5">
        <v>5120.9677235205081</v>
      </c>
      <c r="S6" s="35"/>
      <c r="T6" s="23">
        <v>1107455.281441275</v>
      </c>
      <c r="U6" s="33">
        <v>119.65804869228469</v>
      </c>
      <c r="V6" s="5">
        <v>13</v>
      </c>
      <c r="W6" s="23">
        <v>96.666666666666671</v>
      </c>
      <c r="X6" s="33">
        <v>429.39113952176814</v>
      </c>
      <c r="Y6" s="23">
        <v>40.715727520019747</v>
      </c>
      <c r="Z6" s="5">
        <v>5200.1058642695025</v>
      </c>
      <c r="AA6" s="35"/>
    </row>
    <row r="7" spans="2:27" x14ac:dyDescent="0.2">
      <c r="B7" s="4">
        <v>4</v>
      </c>
      <c r="C7" s="4">
        <v>194</v>
      </c>
      <c r="D7" s="23">
        <v>1093225.2305004499</v>
      </c>
      <c r="E7" s="33">
        <v>174.32775238457208</v>
      </c>
      <c r="F7" s="5">
        <v>14</v>
      </c>
      <c r="G7" s="23">
        <v>96.666666666666671</v>
      </c>
      <c r="H7" s="33">
        <v>390.90742838215931</v>
      </c>
      <c r="I7" s="23">
        <v>37.483494527445018</v>
      </c>
      <c r="J7" s="5">
        <v>5159.4165147039748</v>
      </c>
      <c r="K7" s="31"/>
      <c r="L7" s="23">
        <v>1030093.9863647959</v>
      </c>
      <c r="M7" s="33">
        <v>582.74054461543881</v>
      </c>
      <c r="N7" s="5">
        <v>14</v>
      </c>
      <c r="O7" s="23">
        <v>96.666666666666671</v>
      </c>
      <c r="P7" s="33">
        <v>400.25603254965131</v>
      </c>
      <c r="Q7" s="23">
        <v>37.637342593170345</v>
      </c>
      <c r="R7" s="5">
        <v>4888.3287426904653</v>
      </c>
      <c r="S7" s="35"/>
      <c r="T7" s="23">
        <v>1090712.6994100411</v>
      </c>
      <c r="U7" s="33">
        <v>246.72885399992361</v>
      </c>
      <c r="V7" s="5">
        <v>15</v>
      </c>
      <c r="W7" s="23">
        <v>96.666666666666671</v>
      </c>
      <c r="X7" s="33">
        <v>270.6445129164922</v>
      </c>
      <c r="Y7" s="23">
        <v>35.112784578315882</v>
      </c>
      <c r="Z7" s="5">
        <v>4991.7761884911042</v>
      </c>
      <c r="AA7" s="35"/>
    </row>
    <row r="8" spans="2:27" x14ac:dyDescent="0.2">
      <c r="B8" s="4">
        <v>5</v>
      </c>
      <c r="C8" s="4">
        <v>323</v>
      </c>
      <c r="D8" s="23">
        <v>1129378.7609582299</v>
      </c>
      <c r="E8" s="33">
        <v>338.10159884617087</v>
      </c>
      <c r="F8" s="5">
        <v>15</v>
      </c>
      <c r="G8" s="23">
        <v>96.666666666666671</v>
      </c>
      <c r="H8" s="33">
        <v>386.83742233253872</v>
      </c>
      <c r="I8" s="23">
        <v>34.229361819244104</v>
      </c>
      <c r="J8" s="5">
        <v>5229.5433522831599</v>
      </c>
      <c r="K8" s="31"/>
      <c r="L8" s="23">
        <v>1071006.0653487521</v>
      </c>
      <c r="M8" s="33">
        <v>168.07138384615354</v>
      </c>
      <c r="N8" s="5">
        <v>12</v>
      </c>
      <c r="O8" s="23">
        <v>96.666666666666671</v>
      </c>
      <c r="P8" s="33">
        <v>462.15906612565237</v>
      </c>
      <c r="Q8" s="23">
        <v>43.401088713304496</v>
      </c>
      <c r="R8" s="5">
        <v>5377.5373319424107</v>
      </c>
      <c r="S8" s="35"/>
      <c r="T8" s="23">
        <v>1086406.720183251</v>
      </c>
      <c r="U8" s="33">
        <v>256.39546646154486</v>
      </c>
      <c r="V8" s="5">
        <v>15</v>
      </c>
      <c r="W8" s="23">
        <v>96.666666666666671</v>
      </c>
      <c r="X8" s="33">
        <v>311.03033183347651</v>
      </c>
      <c r="Y8" s="23">
        <v>35.715325281194588</v>
      </c>
      <c r="Z8" s="5">
        <v>4929.0194329662645</v>
      </c>
      <c r="AA8" s="35"/>
    </row>
    <row r="9" spans="2:27" x14ac:dyDescent="0.2">
      <c r="B9" s="4">
        <v>6</v>
      </c>
      <c r="C9" s="4">
        <v>356</v>
      </c>
      <c r="D9" s="23">
        <v>1046045.483747479</v>
      </c>
      <c r="E9" s="33">
        <v>205.49383246160752</v>
      </c>
      <c r="F9" s="5">
        <v>14</v>
      </c>
      <c r="G9" s="23">
        <v>96.666666666666671</v>
      </c>
      <c r="H9" s="33">
        <v>351.38906290061749</v>
      </c>
      <c r="I9" s="23">
        <v>37.424531203822959</v>
      </c>
      <c r="J9" s="5">
        <v>4871.4040777261835</v>
      </c>
      <c r="K9" s="31"/>
      <c r="L9" s="23">
        <v>1071068.038011533</v>
      </c>
      <c r="M9" s="33">
        <v>240.73656015384654</v>
      </c>
      <c r="N9" s="5">
        <v>13</v>
      </c>
      <c r="O9" s="23">
        <v>96.666666666666671</v>
      </c>
      <c r="P9" s="33">
        <v>386.68963648183637</v>
      </c>
      <c r="Q9" s="23">
        <v>40.01606907808106</v>
      </c>
      <c r="R9" s="5">
        <v>5290.1495702433904</v>
      </c>
      <c r="S9" s="35"/>
      <c r="T9" s="23">
        <v>1102490.9372031849</v>
      </c>
      <c r="U9" s="33">
        <v>120.95490623077447</v>
      </c>
      <c r="V9" s="5">
        <v>13</v>
      </c>
      <c r="W9" s="23">
        <v>96.666666666666671</v>
      </c>
      <c r="X9" s="33">
        <v>438.24680942334402</v>
      </c>
      <c r="Y9" s="23">
        <v>40.337052314863101</v>
      </c>
      <c r="Z9" s="5">
        <v>5149.6399086825877</v>
      </c>
      <c r="AA9" s="35"/>
    </row>
    <row r="10" spans="2:27" x14ac:dyDescent="0.2">
      <c r="B10" s="4">
        <v>7</v>
      </c>
      <c r="C10" s="4">
        <v>435</v>
      </c>
      <c r="D10" s="23">
        <v>1106261.1965489159</v>
      </c>
      <c r="E10" s="33">
        <v>163.43257253846298</v>
      </c>
      <c r="F10" s="5">
        <v>14</v>
      </c>
      <c r="G10" s="23">
        <v>96.666666666666671</v>
      </c>
      <c r="H10" s="33">
        <v>458.61522459470422</v>
      </c>
      <c r="I10" s="23">
        <v>38.401762948415197</v>
      </c>
      <c r="J10" s="5">
        <v>5223.9263487252529</v>
      </c>
      <c r="K10" s="31"/>
      <c r="L10" s="23">
        <v>1100392.369395321</v>
      </c>
      <c r="M10" s="33">
        <v>155.63753800000993</v>
      </c>
      <c r="N10" s="5">
        <v>13</v>
      </c>
      <c r="O10" s="23">
        <v>96.666666666666671</v>
      </c>
      <c r="P10" s="33">
        <v>426.42971137489485</v>
      </c>
      <c r="Q10" s="23">
        <v>40.316814787214682</v>
      </c>
      <c r="R10" s="5">
        <v>5466.4279032984105</v>
      </c>
      <c r="S10" s="35"/>
      <c r="T10" s="23">
        <v>1095014.425246018</v>
      </c>
      <c r="U10" s="33">
        <v>309.61212615384005</v>
      </c>
      <c r="V10" s="5">
        <v>15</v>
      </c>
      <c r="W10" s="23">
        <v>96.666666666666671</v>
      </c>
      <c r="X10" s="33">
        <v>236.75670654488334</v>
      </c>
      <c r="Y10" s="23">
        <v>34.706302352782721</v>
      </c>
      <c r="Z10" s="5">
        <v>5056.1141582802948</v>
      </c>
      <c r="AA10" s="35"/>
    </row>
    <row r="11" spans="2:27" x14ac:dyDescent="0.2">
      <c r="B11" s="4">
        <v>8</v>
      </c>
      <c r="C11" s="4">
        <v>785</v>
      </c>
      <c r="D11" s="23">
        <v>1134999.855652645</v>
      </c>
      <c r="E11" s="33">
        <v>165.99049976919423</v>
      </c>
      <c r="F11" s="5">
        <v>12</v>
      </c>
      <c r="G11" s="23">
        <v>96.666666666666671</v>
      </c>
      <c r="H11" s="33">
        <v>529.03309148890014</v>
      </c>
      <c r="I11" s="23">
        <v>43.737179051491232</v>
      </c>
      <c r="J11" s="5">
        <v>5587.2704326917628</v>
      </c>
      <c r="K11" s="31"/>
      <c r="L11" s="23">
        <v>1088688.6794502451</v>
      </c>
      <c r="M11" s="33">
        <v>101.60341438461238</v>
      </c>
      <c r="N11" s="5">
        <v>13</v>
      </c>
      <c r="O11" s="23">
        <v>96.666666666666671</v>
      </c>
      <c r="P11" s="33">
        <v>540.96753255963984</v>
      </c>
      <c r="Q11" s="23">
        <v>40.318625448567637</v>
      </c>
      <c r="R11" s="5">
        <v>5356.578696583796</v>
      </c>
      <c r="S11" s="35"/>
      <c r="T11" s="23">
        <v>1099703.549210272</v>
      </c>
      <c r="U11" s="33">
        <v>272.7965665384769</v>
      </c>
      <c r="V11" s="5">
        <v>15</v>
      </c>
      <c r="W11" s="23">
        <v>96.666666666666671</v>
      </c>
      <c r="X11" s="33">
        <v>253.4006601637729</v>
      </c>
      <c r="Y11" s="23">
        <v>34.817182015240967</v>
      </c>
      <c r="Z11" s="5">
        <v>5073.3058063437511</v>
      </c>
      <c r="AA11" s="35"/>
    </row>
    <row r="12" spans="2:27" x14ac:dyDescent="0.2">
      <c r="B12" s="4">
        <v>9</v>
      </c>
      <c r="C12" s="4">
        <v>800</v>
      </c>
      <c r="D12" s="23">
        <v>1088715.929915909</v>
      </c>
      <c r="E12" s="33">
        <v>133.22303138467336</v>
      </c>
      <c r="F12" s="5">
        <v>14</v>
      </c>
      <c r="G12" s="23">
        <v>96.666666666666671</v>
      </c>
      <c r="H12" s="33">
        <v>321.74700318718203</v>
      </c>
      <c r="I12" s="23">
        <v>37.137340567116851</v>
      </c>
      <c r="J12" s="5">
        <v>5173.6222561572185</v>
      </c>
      <c r="K12" s="31"/>
      <c r="L12" s="23">
        <v>1058251.6489305189</v>
      </c>
      <c r="M12" s="33">
        <v>171.10865515388116</v>
      </c>
      <c r="N12" s="5">
        <v>13</v>
      </c>
      <c r="O12" s="23">
        <v>96.666666666666671</v>
      </c>
      <c r="P12" s="33">
        <v>389.12984135223536</v>
      </c>
      <c r="Q12" s="23">
        <v>40.659761644319445</v>
      </c>
      <c r="R12" s="5">
        <v>5214.4288626400812</v>
      </c>
      <c r="S12" s="35"/>
      <c r="T12" s="23">
        <v>1082773.259441094</v>
      </c>
      <c r="U12" s="33">
        <v>264.26828869224454</v>
      </c>
      <c r="V12" s="5">
        <v>14</v>
      </c>
      <c r="W12" s="23">
        <v>96.666666666666671</v>
      </c>
      <c r="X12" s="33">
        <v>378.3153433346879</v>
      </c>
      <c r="Y12" s="23">
        <v>38.428571581629207</v>
      </c>
      <c r="Z12" s="5">
        <v>4998.3491623568016</v>
      </c>
      <c r="AA12" s="35"/>
    </row>
    <row r="13" spans="2:27" x14ac:dyDescent="0.2">
      <c r="B13" s="4">
        <v>10</v>
      </c>
      <c r="C13" s="4">
        <v>876</v>
      </c>
      <c r="D13" s="23">
        <v>1078172.497278759</v>
      </c>
      <c r="E13" s="33">
        <v>146.12448830766462</v>
      </c>
      <c r="F13" s="5">
        <v>13</v>
      </c>
      <c r="G13" s="23">
        <v>96.666666666666671</v>
      </c>
      <c r="H13" s="33">
        <v>443.58333674363513</v>
      </c>
      <c r="I13" s="23">
        <v>40.349749483757215</v>
      </c>
      <c r="J13" s="5">
        <v>5150.676543416781</v>
      </c>
      <c r="K13" s="31"/>
      <c r="L13" s="23">
        <v>1051875.9092717511</v>
      </c>
      <c r="M13" s="33">
        <v>123.48072515379707</v>
      </c>
      <c r="N13" s="5">
        <v>13</v>
      </c>
      <c r="O13" s="23">
        <v>96.666666666666671</v>
      </c>
      <c r="P13" s="33">
        <v>427.05022416780935</v>
      </c>
      <c r="Q13" s="23">
        <v>40.749826035248489</v>
      </c>
      <c r="R13" s="5">
        <v>5158.4792410734917</v>
      </c>
      <c r="S13" s="35"/>
      <c r="T13" s="23">
        <v>1069378.624070779</v>
      </c>
      <c r="U13" s="33">
        <v>160.79021215385114</v>
      </c>
      <c r="V13" s="5">
        <v>15</v>
      </c>
      <c r="W13" s="23">
        <v>96.666666666666671</v>
      </c>
      <c r="X13" s="33">
        <v>292.55865342603028</v>
      </c>
      <c r="Y13" s="23">
        <v>35.115618277900161</v>
      </c>
      <c r="Z13" s="5">
        <v>4843.4141592490168</v>
      </c>
      <c r="AA13" s="35"/>
    </row>
    <row r="14" spans="2:27" x14ac:dyDescent="0.2">
      <c r="B14" s="50" t="s">
        <v>3</v>
      </c>
      <c r="C14" s="51"/>
      <c r="D14" s="9">
        <f>MIN(D4:D13)</f>
        <v>1046045.483747479</v>
      </c>
      <c r="E14" s="22">
        <f>INDEX(E4:E13, MATCH($D$14, D4:D13, 0))</f>
        <v>205.49383246160752</v>
      </c>
      <c r="F14" s="9">
        <f>INDEX(F4:F13, MATCH($D$14, D4:D13, 0))</f>
        <v>14</v>
      </c>
      <c r="G14" s="9">
        <f>INDEX(G4:G13, MATCH($D$14, D4:D13, 0))</f>
        <v>96.666666666666671</v>
      </c>
      <c r="H14" s="22">
        <f>INDEX(H4:H13, MATCH($D$14, D4:D13, 0))</f>
        <v>351.38906290061749</v>
      </c>
      <c r="I14" s="22">
        <f>INDEX(I4:I13, MATCH($D$14, D4:D13, 0))</f>
        <v>37.424531203822959</v>
      </c>
      <c r="J14" s="22">
        <f>INDEX(J4:J13, MATCH($D$14, D4:D13, 0))</f>
        <v>4871.4040777261835</v>
      </c>
      <c r="K14" s="32" t="e">
        <f>(D14-$D$15)/$D$15</f>
        <v>#DIV/0!</v>
      </c>
      <c r="L14" s="16">
        <f>MIN(L4:L13)</f>
        <v>1030093.9863647959</v>
      </c>
      <c r="M14" s="21">
        <f>INDEX(M4:M13, MATCH($L$14, L4:L13, 0))</f>
        <v>582.74054461543881</v>
      </c>
      <c r="N14" s="16">
        <f>INDEX(N4:N13, MATCH($L$14, L4:L13, 0))</f>
        <v>14</v>
      </c>
      <c r="O14" s="16">
        <f>INDEX(O4:O13, MATCH($L$14, L4:L13, 0))</f>
        <v>96.666666666666671</v>
      </c>
      <c r="P14" s="21">
        <f>INDEX(P4:P13, MATCH($L$14, L4:L13, 0))</f>
        <v>400.25603254965131</v>
      </c>
      <c r="Q14" s="21">
        <f>INDEX(Q4:Q13, MATCH($L$14, L4:L13, 0))</f>
        <v>37.637342593170345</v>
      </c>
      <c r="R14" s="21">
        <f>INDEX(R4:R13, MATCH($L$14, L4:L13, 0))</f>
        <v>4888.3287426904653</v>
      </c>
      <c r="S14" s="36" t="e">
        <f>(L14-$D$15)/$D$15</f>
        <v>#DIV/0!</v>
      </c>
      <c r="T14" s="38">
        <f>MIN(T4:T13)</f>
        <v>1069378.624070779</v>
      </c>
      <c r="U14" s="39">
        <f>INDEX(U4:U13, MATCH($T$14, T4:T13, 0))</f>
        <v>160.79021215385114</v>
      </c>
      <c r="V14" s="38">
        <f>INDEX(V4:V13, MATCH($T$14, T4:T13, 0))</f>
        <v>15</v>
      </c>
      <c r="W14" s="38">
        <f>INDEX(W4:W13, MATCH($T$14, T4:T13, 0))</f>
        <v>96.666666666666671</v>
      </c>
      <c r="X14" s="39">
        <f>INDEX(X4:X13, MATCH($T$14, T4:T13, 0))</f>
        <v>292.55865342603028</v>
      </c>
      <c r="Y14" s="39">
        <f>INDEX(Y4:Y13, MATCH($T$14, T4:T13, 0))</f>
        <v>35.115618277900161</v>
      </c>
      <c r="Z14" s="39">
        <f>INDEX(Z4:Z13, MATCH($T$14, T4:T13, 0))</f>
        <v>4843.4141592490168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-1.5249334403258008E-2</v>
      </c>
      <c r="M15" s="41">
        <f t="shared" ref="M15:R15" si="0">(M14-E14)/E14</f>
        <v>1.8358055209482376</v>
      </c>
      <c r="N15" s="41">
        <f t="shared" si="0"/>
        <v>0</v>
      </c>
      <c r="O15" s="41">
        <f t="shared" si="0"/>
        <v>0</v>
      </c>
      <c r="P15" s="41">
        <f t="shared" si="0"/>
        <v>0.13906798705016823</v>
      </c>
      <c r="Q15" s="41">
        <f t="shared" si="0"/>
        <v>5.6864142983746374E-3</v>
      </c>
      <c r="R15" s="41">
        <f t="shared" si="0"/>
        <v>3.4742888691306779E-3</v>
      </c>
      <c r="T15" s="41">
        <f>(T14-D14)/D14</f>
        <v>2.2306047572337361E-2</v>
      </c>
      <c r="U15" s="41">
        <f t="shared" ref="U15:Z15" si="1">(U14-E14)/E14</f>
        <v>-0.21754239420352614</v>
      </c>
      <c r="V15" s="41">
        <f t="shared" si="1"/>
        <v>7.1428571428571425E-2</v>
      </c>
      <c r="W15" s="41">
        <f t="shared" si="1"/>
        <v>0</v>
      </c>
      <c r="X15" s="41">
        <f t="shared" si="1"/>
        <v>-0.16742242626722298</v>
      </c>
      <c r="Y15" s="41">
        <f t="shared" si="1"/>
        <v>-6.1695172969513087E-2</v>
      </c>
      <c r="Z15" s="41">
        <f t="shared" si="1"/>
        <v>-5.7457599555632462E-3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37:C1048576">
    <cfRule type="duplicateValues" dxfId="89" priority="11"/>
    <cfRule type="duplicateValues" dxfId="88" priority="12"/>
  </conditionalFormatting>
  <conditionalFormatting sqref="C2">
    <cfRule type="duplicateValues" dxfId="87" priority="3"/>
    <cfRule type="duplicateValues" dxfId="86" priority="4"/>
  </conditionalFormatting>
  <conditionalFormatting sqref="C4:C13">
    <cfRule type="duplicateValues" dxfId="85" priority="5"/>
    <cfRule type="duplicateValues" dxfId="84" priority="6"/>
  </conditionalFormatting>
  <conditionalFormatting sqref="C14">
    <cfRule type="duplicateValues" dxfId="83" priority="9"/>
    <cfRule type="duplicateValues" dxfId="82" priority="10"/>
  </conditionalFormatting>
  <conditionalFormatting sqref="C15">
    <cfRule type="duplicateValues" dxfId="81" priority="7"/>
    <cfRule type="duplicateValues" dxfId="80" priority="8"/>
  </conditionalFormatting>
  <conditionalFormatting sqref="C17:C36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DEAD-C54D-4644-92BB-97A76528F3AE}">
  <dimension ref="B1:AA17"/>
  <sheetViews>
    <sheetView zoomScale="85" zoomScaleNormal="85" workbookViewId="0">
      <selection activeCell="U20" sqref="U20:U29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0.27670464086480645</v>
      </c>
      <c r="R2" s="1">
        <f>(R14-J14)/J14</f>
        <v>1.5404934016658659E-2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69</v>
      </c>
      <c r="D4" s="23">
        <v>1318656.474301717</v>
      </c>
      <c r="E4" s="33">
        <v>439.80038330764864</v>
      </c>
      <c r="F4" s="5">
        <v>15</v>
      </c>
      <c r="G4" s="23">
        <v>93.333333333333329</v>
      </c>
      <c r="H4" s="33">
        <v>611.49334131411842</v>
      </c>
      <c r="I4" s="23">
        <v>33.981339648843765</v>
      </c>
      <c r="J4" s="5">
        <v>5812.7765925569047</v>
      </c>
      <c r="K4" s="31"/>
      <c r="L4" s="23">
        <v>1313195.268772447</v>
      </c>
      <c r="M4" s="33">
        <v>209.86468192306347</v>
      </c>
      <c r="N4" s="5">
        <v>14</v>
      </c>
      <c r="O4" s="23">
        <v>93.333333333333329</v>
      </c>
      <c r="P4" s="33">
        <v>845.9692940859145</v>
      </c>
      <c r="Q4" s="23">
        <v>36.450747576513763</v>
      </c>
      <c r="R4" s="5">
        <v>6026.0980793383787</v>
      </c>
      <c r="S4" s="35"/>
      <c r="T4" s="23">
        <v>1351335.1729987541</v>
      </c>
      <c r="U4" s="33">
        <v>293.73274284611955</v>
      </c>
      <c r="V4" s="5">
        <v>15</v>
      </c>
      <c r="W4" s="23">
        <v>93.333333333333329</v>
      </c>
      <c r="X4" s="33">
        <v>599.99998828137473</v>
      </c>
      <c r="Y4" s="23">
        <v>34.136273947148361</v>
      </c>
      <c r="Z4" s="5">
        <v>5826.7899179019596</v>
      </c>
      <c r="AA4" s="35"/>
    </row>
    <row r="5" spans="2:27" x14ac:dyDescent="0.2">
      <c r="B5" s="4">
        <v>2</v>
      </c>
      <c r="C5" s="4">
        <v>114</v>
      </c>
      <c r="D5" s="23">
        <v>1331858.0465048731</v>
      </c>
      <c r="E5" s="33">
        <v>212.70075661533221</v>
      </c>
      <c r="F5" s="5">
        <v>15</v>
      </c>
      <c r="G5" s="23">
        <v>93.333333333333329</v>
      </c>
      <c r="H5" s="33">
        <v>618.58717806284756</v>
      </c>
      <c r="I5" s="23">
        <v>34.525110804306841</v>
      </c>
      <c r="J5" s="5">
        <v>5927.1238187888921</v>
      </c>
      <c r="K5" s="31"/>
      <c r="L5" s="23">
        <v>1270212.717896546</v>
      </c>
      <c r="M5" s="33">
        <v>397.48813930764578</v>
      </c>
      <c r="N5" s="5">
        <v>15</v>
      </c>
      <c r="O5" s="23">
        <v>93.333333333333329</v>
      </c>
      <c r="P5" s="33">
        <v>632.47306294783368</v>
      </c>
      <c r="Q5" s="23">
        <v>34.246293482089179</v>
      </c>
      <c r="R5" s="5">
        <v>5732.7812608186159</v>
      </c>
      <c r="S5" s="35"/>
      <c r="T5" s="23">
        <v>1361453.8396466121</v>
      </c>
      <c r="U5" s="33">
        <v>292.8497589230895</v>
      </c>
      <c r="V5" s="5">
        <v>14</v>
      </c>
      <c r="W5" s="23">
        <v>90</v>
      </c>
      <c r="X5" s="33">
        <v>473.30082025379784</v>
      </c>
      <c r="Y5" s="23">
        <v>34.609486547457735</v>
      </c>
      <c r="Z5" s="5">
        <v>5735.8983720900833</v>
      </c>
      <c r="AA5" s="35"/>
    </row>
    <row r="6" spans="2:27" x14ac:dyDescent="0.2">
      <c r="B6" s="4">
        <v>3</v>
      </c>
      <c r="C6" s="4">
        <v>155</v>
      </c>
      <c r="D6" s="23">
        <v>1298314.612475632</v>
      </c>
      <c r="E6" s="33">
        <v>222.78767107690396</v>
      </c>
      <c r="F6" s="5">
        <v>15</v>
      </c>
      <c r="G6" s="23">
        <v>93.333333333333329</v>
      </c>
      <c r="H6" s="33">
        <v>557.2158028380004</v>
      </c>
      <c r="I6" s="23">
        <v>34.54691388475625</v>
      </c>
      <c r="J6" s="5">
        <v>5750.2115391621046</v>
      </c>
      <c r="K6" s="31"/>
      <c r="L6" s="23">
        <v>1266023.411634685</v>
      </c>
      <c r="M6" s="33">
        <v>383.12834638457463</v>
      </c>
      <c r="N6" s="5">
        <v>14</v>
      </c>
      <c r="O6" s="23">
        <v>93.333333333333329</v>
      </c>
      <c r="P6" s="33">
        <v>711.40000144648411</v>
      </c>
      <c r="Q6" s="23">
        <v>37.291093717460406</v>
      </c>
      <c r="R6" s="5">
        <v>5838.7931685047261</v>
      </c>
      <c r="S6" s="35"/>
      <c r="T6" s="23">
        <v>1455738.9652224651</v>
      </c>
      <c r="U6" s="33">
        <v>252.04895030769805</v>
      </c>
      <c r="V6" s="5">
        <v>13</v>
      </c>
      <c r="W6" s="23">
        <v>86</v>
      </c>
      <c r="X6" s="33">
        <v>547.07189948384928</v>
      </c>
      <c r="Y6" s="23">
        <v>34.713114836938999</v>
      </c>
      <c r="Z6" s="5">
        <v>5777.0201649125293</v>
      </c>
      <c r="AA6" s="35"/>
    </row>
    <row r="7" spans="2:27" x14ac:dyDescent="0.2">
      <c r="B7" s="4">
        <v>4</v>
      </c>
      <c r="C7" s="4">
        <v>270</v>
      </c>
      <c r="D7" s="23">
        <v>1352309.5085820509</v>
      </c>
      <c r="E7" s="33">
        <v>295.05281261535578</v>
      </c>
      <c r="F7" s="5">
        <v>15</v>
      </c>
      <c r="G7" s="23">
        <v>93.333333333333329</v>
      </c>
      <c r="H7" s="33">
        <v>798.17551819688629</v>
      </c>
      <c r="I7" s="23">
        <v>34.087832887533501</v>
      </c>
      <c r="J7" s="5">
        <v>5904.2385145919625</v>
      </c>
      <c r="K7" s="31"/>
      <c r="L7" s="23">
        <v>1350568.6688454051</v>
      </c>
      <c r="M7" s="33">
        <v>471.66295684614363</v>
      </c>
      <c r="N7" s="5">
        <v>14</v>
      </c>
      <c r="O7" s="23">
        <v>93.333333333333329</v>
      </c>
      <c r="P7" s="33">
        <v>1060.741391331685</v>
      </c>
      <c r="Q7" s="23">
        <v>36.605032506615778</v>
      </c>
      <c r="R7" s="5">
        <v>6241.739583069937</v>
      </c>
      <c r="S7" s="35"/>
      <c r="T7" s="23">
        <v>1403235.7847858879</v>
      </c>
      <c r="U7" s="33">
        <v>375.55364930769429</v>
      </c>
      <c r="V7" s="5">
        <v>14</v>
      </c>
      <c r="W7" s="23">
        <v>90</v>
      </c>
      <c r="X7" s="33">
        <v>600.97192022262186</v>
      </c>
      <c r="Y7" s="23">
        <v>34.404900197937195</v>
      </c>
      <c r="Z7" s="5">
        <v>5869.2947888582194</v>
      </c>
      <c r="AA7" s="35"/>
    </row>
    <row r="8" spans="2:27" x14ac:dyDescent="0.2">
      <c r="B8" s="4">
        <v>5</v>
      </c>
      <c r="C8" s="4">
        <v>272</v>
      </c>
      <c r="D8" s="23">
        <v>1330395.726383463</v>
      </c>
      <c r="E8" s="33">
        <v>346.17247461538329</v>
      </c>
      <c r="F8" s="5">
        <v>15</v>
      </c>
      <c r="G8" s="23">
        <v>93.333333333333329</v>
      </c>
      <c r="H8" s="33">
        <v>769.00489567171348</v>
      </c>
      <c r="I8" s="23">
        <v>34.446184128575169</v>
      </c>
      <c r="J8" s="5">
        <v>5825.6334466884691</v>
      </c>
      <c r="K8" s="31"/>
      <c r="L8" s="23">
        <v>1345002.848103438</v>
      </c>
      <c r="M8" s="33">
        <v>128.33209815390339</v>
      </c>
      <c r="N8" s="5">
        <v>15</v>
      </c>
      <c r="O8" s="23">
        <v>92.666666666666671</v>
      </c>
      <c r="P8" s="33">
        <v>872.71362025445012</v>
      </c>
      <c r="Q8" s="23">
        <v>34.003740210206175</v>
      </c>
      <c r="R8" s="5">
        <v>6062.7201950467843</v>
      </c>
      <c r="S8" s="35"/>
      <c r="T8" s="23">
        <v>1363926.065357476</v>
      </c>
      <c r="U8" s="33">
        <v>152.34510523079038</v>
      </c>
      <c r="V8" s="5">
        <v>13</v>
      </c>
      <c r="W8" s="23">
        <v>89.333333333333329</v>
      </c>
      <c r="X8" s="33">
        <v>463.78290029813155</v>
      </c>
      <c r="Y8" s="23">
        <v>36.603018516595924</v>
      </c>
      <c r="Z8" s="5">
        <v>5746.9438724439169</v>
      </c>
      <c r="AA8" s="35"/>
    </row>
    <row r="9" spans="2:27" x14ac:dyDescent="0.2">
      <c r="B9" s="4">
        <v>6</v>
      </c>
      <c r="C9" s="4">
        <v>483</v>
      </c>
      <c r="D9" s="23">
        <v>1323385.3430637461</v>
      </c>
      <c r="E9" s="33">
        <v>244.84482315386859</v>
      </c>
      <c r="F9" s="5">
        <v>15</v>
      </c>
      <c r="G9" s="23">
        <v>93.333333333333329</v>
      </c>
      <c r="H9" s="33">
        <v>624.66099323344724</v>
      </c>
      <c r="I9" s="23">
        <v>34.677709108612028</v>
      </c>
      <c r="J9" s="5">
        <v>5870.1829840585997</v>
      </c>
      <c r="K9" s="31"/>
      <c r="L9" s="23">
        <v>1279777.847123883</v>
      </c>
      <c r="M9" s="33">
        <v>244.00831461543788</v>
      </c>
      <c r="N9" s="5">
        <v>16</v>
      </c>
      <c r="O9" s="23">
        <v>93.333333333333329</v>
      </c>
      <c r="P9" s="33">
        <v>593.24300504116911</v>
      </c>
      <c r="Q9" s="23">
        <v>32.043942063009602</v>
      </c>
      <c r="R9" s="5">
        <v>5661.9976774937677</v>
      </c>
      <c r="S9" s="35"/>
      <c r="T9" s="23">
        <v>1395554.203373655</v>
      </c>
      <c r="U9" s="33">
        <v>511.5206396923615</v>
      </c>
      <c r="V9" s="5">
        <v>15</v>
      </c>
      <c r="W9" s="23">
        <v>88.666666666666671</v>
      </c>
      <c r="X9" s="33">
        <v>512.77969497936408</v>
      </c>
      <c r="Y9" s="23">
        <v>31.859723103612698</v>
      </c>
      <c r="Z9" s="5">
        <v>5583.2060018536959</v>
      </c>
      <c r="AA9" s="35"/>
    </row>
    <row r="10" spans="2:27" x14ac:dyDescent="0.2">
      <c r="B10" s="4">
        <v>7</v>
      </c>
      <c r="C10" s="4">
        <v>530</v>
      </c>
      <c r="D10" s="23">
        <v>1317647.020910942</v>
      </c>
      <c r="E10" s="33">
        <v>190.8173417692216</v>
      </c>
      <c r="F10" s="5">
        <v>14</v>
      </c>
      <c r="G10" s="23">
        <v>93.333333333333329</v>
      </c>
      <c r="H10" s="33">
        <v>664.29440446850401</v>
      </c>
      <c r="I10" s="23">
        <v>37.190397721197243</v>
      </c>
      <c r="J10" s="5">
        <v>5945.0812900184528</v>
      </c>
      <c r="K10" s="31"/>
      <c r="L10" s="23">
        <v>1303149.2712518671</v>
      </c>
      <c r="M10" s="33">
        <v>114.38474346158237</v>
      </c>
      <c r="N10" s="5">
        <v>14</v>
      </c>
      <c r="O10" s="23">
        <v>93.333333333333329</v>
      </c>
      <c r="P10" s="33">
        <v>810.17181726753779</v>
      </c>
      <c r="Q10" s="23">
        <v>36.873158697201653</v>
      </c>
      <c r="R10" s="5">
        <v>6019.9321891969466</v>
      </c>
      <c r="S10" s="35"/>
      <c r="T10" s="23">
        <v>1358557.601577682</v>
      </c>
      <c r="U10" s="33">
        <v>201.754958307675</v>
      </c>
      <c r="V10" s="5">
        <v>13</v>
      </c>
      <c r="W10" s="23">
        <v>87.333333333333329</v>
      </c>
      <c r="X10" s="33">
        <v>374.23556089775832</v>
      </c>
      <c r="Y10" s="23">
        <v>35.064482769446968</v>
      </c>
      <c r="Z10" s="5">
        <v>5510.2315318227111</v>
      </c>
      <c r="AA10" s="35"/>
    </row>
    <row r="11" spans="2:27" x14ac:dyDescent="0.2">
      <c r="B11" s="4">
        <v>8</v>
      </c>
      <c r="C11" s="4">
        <v>552</v>
      </c>
      <c r="D11" s="23">
        <v>1311506.1473503071</v>
      </c>
      <c r="E11" s="33">
        <v>208.09396546154932</v>
      </c>
      <c r="F11" s="5">
        <v>13</v>
      </c>
      <c r="G11" s="23">
        <v>92.666666666666671</v>
      </c>
      <c r="H11" s="33">
        <v>583.33842659823233</v>
      </c>
      <c r="I11" s="23">
        <v>38.564171508025964</v>
      </c>
      <c r="J11" s="5">
        <v>5966.8106890680565</v>
      </c>
      <c r="K11" s="31"/>
      <c r="L11" s="23">
        <v>1285653.427031419</v>
      </c>
      <c r="M11" s="33">
        <v>163.48152976930862</v>
      </c>
      <c r="N11" s="5">
        <v>15</v>
      </c>
      <c r="O11" s="23">
        <v>92.666666666666671</v>
      </c>
      <c r="P11" s="33">
        <v>666.72272287666681</v>
      </c>
      <c r="Q11" s="23">
        <v>33.528654944653063</v>
      </c>
      <c r="R11" s="5">
        <v>5738.3338088478531</v>
      </c>
      <c r="S11" s="35"/>
      <c r="T11" s="23">
        <v>1489438.6579840989</v>
      </c>
      <c r="U11" s="33">
        <v>229.63001999995097</v>
      </c>
      <c r="V11" s="5">
        <v>12</v>
      </c>
      <c r="W11" s="23">
        <v>84</v>
      </c>
      <c r="X11" s="33">
        <v>553.85294189341619</v>
      </c>
      <c r="Y11" s="23">
        <v>35.535706618586488</v>
      </c>
      <c r="Z11" s="5">
        <v>5900.0827376543066</v>
      </c>
      <c r="AA11" s="35"/>
    </row>
    <row r="12" spans="2:27" x14ac:dyDescent="0.2">
      <c r="B12" s="4">
        <v>9</v>
      </c>
      <c r="C12" s="4">
        <v>603</v>
      </c>
      <c r="D12" s="23">
        <v>1329535.156040655</v>
      </c>
      <c r="E12" s="33">
        <v>491.55465099996383</v>
      </c>
      <c r="F12" s="5">
        <v>15</v>
      </c>
      <c r="G12" s="23">
        <v>93.333333333333329</v>
      </c>
      <c r="H12" s="33">
        <v>755.46045363842416</v>
      </c>
      <c r="I12" s="23">
        <v>34.456092298980067</v>
      </c>
      <c r="J12" s="5">
        <v>5826.6500093091863</v>
      </c>
      <c r="K12" s="31"/>
      <c r="L12" s="23">
        <v>1292518.5612340809</v>
      </c>
      <c r="M12" s="33">
        <v>269.54999646154016</v>
      </c>
      <c r="N12" s="5">
        <v>15</v>
      </c>
      <c r="O12" s="23">
        <v>93.333333333333329</v>
      </c>
      <c r="P12" s="33">
        <v>697.22244169345447</v>
      </c>
      <c r="Q12" s="23">
        <v>34.331492720348784</v>
      </c>
      <c r="R12" s="5">
        <v>5842.7365570222864</v>
      </c>
      <c r="S12" s="35"/>
      <c r="T12" s="23">
        <v>1436344.2243723411</v>
      </c>
      <c r="U12" s="33">
        <v>165.58586223077813</v>
      </c>
      <c r="V12" s="5">
        <v>12</v>
      </c>
      <c r="W12" s="23">
        <v>85.333333333333329</v>
      </c>
      <c r="X12" s="33">
        <v>472.53196432552221</v>
      </c>
      <c r="Y12" s="23">
        <v>37.409257745037152</v>
      </c>
      <c r="Z12" s="5">
        <v>5780.8014329294392</v>
      </c>
      <c r="AA12" s="35"/>
    </row>
    <row r="13" spans="2:27" x14ac:dyDescent="0.2">
      <c r="B13" s="4">
        <v>10</v>
      </c>
      <c r="C13" s="4">
        <v>884</v>
      </c>
      <c r="D13" s="23">
        <v>1329961.296754769</v>
      </c>
      <c r="E13" s="33">
        <v>126.39722792306337</v>
      </c>
      <c r="F13" s="5">
        <v>14</v>
      </c>
      <c r="G13" s="23">
        <v>91.333333333333329</v>
      </c>
      <c r="H13" s="33">
        <v>562.03464641089442</v>
      </c>
      <c r="I13" s="23">
        <v>35.258811173301211</v>
      </c>
      <c r="J13" s="5">
        <v>5787.7386323284072</v>
      </c>
      <c r="K13" s="31"/>
      <c r="L13" s="23">
        <v>1303280.3044360781</v>
      </c>
      <c r="M13" s="33">
        <v>122.50410276921822</v>
      </c>
      <c r="N13" s="5">
        <v>13</v>
      </c>
      <c r="O13" s="23">
        <v>92</v>
      </c>
      <c r="P13" s="33">
        <v>748.21931405152702</v>
      </c>
      <c r="Q13" s="23">
        <v>39.259068478079065</v>
      </c>
      <c r="R13" s="5">
        <v>5982.0033057249102</v>
      </c>
      <c r="S13" s="35"/>
      <c r="T13" s="23">
        <v>1462037.6069901979</v>
      </c>
      <c r="U13" s="33">
        <v>150.78661946149967</v>
      </c>
      <c r="V13" s="5">
        <v>11</v>
      </c>
      <c r="W13" s="23">
        <v>83.333333333333329</v>
      </c>
      <c r="X13" s="33">
        <v>489.49160352925469</v>
      </c>
      <c r="Y13" s="23">
        <v>39.103077389812491</v>
      </c>
      <c r="Z13" s="5">
        <v>5785.6077191388677</v>
      </c>
      <c r="AA13" s="35"/>
    </row>
    <row r="14" spans="2:27" x14ac:dyDescent="0.2">
      <c r="B14" s="50" t="s">
        <v>3</v>
      </c>
      <c r="C14" s="51"/>
      <c r="D14" s="9">
        <f>MIN(D4:D13)</f>
        <v>1298314.612475632</v>
      </c>
      <c r="E14" s="22">
        <f>INDEX(E4:E13, MATCH($D$14, D4:D13, 0))</f>
        <v>222.78767107690396</v>
      </c>
      <c r="F14" s="9">
        <f>INDEX(F4:F13, MATCH($D$14, D4:D13, 0))</f>
        <v>15</v>
      </c>
      <c r="G14" s="9">
        <f>INDEX(G4:G13, MATCH($D$14, D4:D13, 0))</f>
        <v>93.333333333333329</v>
      </c>
      <c r="H14" s="22">
        <f>INDEX(H4:H13, MATCH($D$14, D4:D13, 0))</f>
        <v>557.2158028380004</v>
      </c>
      <c r="I14" s="22">
        <f>INDEX(I4:I13, MATCH($D$14, D4:D13, 0))</f>
        <v>34.54691388475625</v>
      </c>
      <c r="J14" s="22">
        <f>INDEX(J4:J13, MATCH($D$14, D4:D13, 0))</f>
        <v>5750.2115391621046</v>
      </c>
      <c r="K14" s="32" t="e">
        <f>(D14-$D$15)/$D$15</f>
        <v>#DIV/0!</v>
      </c>
      <c r="L14" s="16">
        <f>MIN(L4:L13)</f>
        <v>1266023.411634685</v>
      </c>
      <c r="M14" s="21">
        <f>INDEX(M4:M13, MATCH($L$14, L4:L13, 0))</f>
        <v>383.12834638457463</v>
      </c>
      <c r="N14" s="16">
        <f>INDEX(N4:N13, MATCH($L$14, L4:L13, 0))</f>
        <v>14</v>
      </c>
      <c r="O14" s="16">
        <f>INDEX(O4:O13, MATCH($L$14, L4:L13, 0))</f>
        <v>93.333333333333329</v>
      </c>
      <c r="P14" s="21">
        <f>INDEX(P4:P13, MATCH($L$14, L4:L13, 0))</f>
        <v>711.40000144648411</v>
      </c>
      <c r="Q14" s="21">
        <f>INDEX(Q4:Q13, MATCH($L$14, L4:L13, 0))</f>
        <v>37.291093717460406</v>
      </c>
      <c r="R14" s="21">
        <f>INDEX(R4:R13, MATCH($L$14, L4:L13, 0))</f>
        <v>5838.7931685047261</v>
      </c>
      <c r="S14" s="36" t="e">
        <f>(L14-$D$15)/$D$15</f>
        <v>#DIV/0!</v>
      </c>
      <c r="T14" s="38">
        <f>MIN(T4:T13)</f>
        <v>1351335.1729987541</v>
      </c>
      <c r="U14" s="39">
        <f>INDEX(U4:U13, MATCH($T$14, T4:T13, 0))</f>
        <v>293.73274284611955</v>
      </c>
      <c r="V14" s="38">
        <f>INDEX(V4:V13, MATCH($T$14, T4:T13, 0))</f>
        <v>15</v>
      </c>
      <c r="W14" s="38">
        <f>INDEX(W4:W13, MATCH($T$14, T4:T13, 0))</f>
        <v>93.333333333333329</v>
      </c>
      <c r="X14" s="39">
        <f>INDEX(X4:X13, MATCH($T$14, T4:T13, 0))</f>
        <v>599.99998828137473</v>
      </c>
      <c r="Y14" s="39">
        <f>INDEX(Y4:Y13, MATCH($T$14, T4:T13, 0))</f>
        <v>34.136273947148361</v>
      </c>
      <c r="Z14" s="39">
        <f>INDEX(Z4:Z13, MATCH($T$14, T4:T13, 0))</f>
        <v>5826.7899179019596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-2.4871630135452287E-2</v>
      </c>
      <c r="M15" s="41">
        <f t="shared" ref="M15:R15" si="0">(M14-E14)/E14</f>
        <v>0.71970174351489469</v>
      </c>
      <c r="N15" s="41">
        <f t="shared" si="0"/>
        <v>-6.6666666666666666E-2</v>
      </c>
      <c r="O15" s="41">
        <f t="shared" si="0"/>
        <v>0</v>
      </c>
      <c r="P15" s="41">
        <f t="shared" si="0"/>
        <v>0.27670464086480645</v>
      </c>
      <c r="Q15" s="41">
        <f t="shared" si="0"/>
        <v>7.9433429042558235E-2</v>
      </c>
      <c r="R15" s="41">
        <f t="shared" si="0"/>
        <v>1.5404934016658659E-2</v>
      </c>
      <c r="T15" s="41">
        <f>(T14-D14)/D14</f>
        <v>4.0837991049043378E-2</v>
      </c>
      <c r="U15" s="41">
        <f t="shared" ref="U15:Z15" si="1">(U14-E14)/E14</f>
        <v>0.31844253959962665</v>
      </c>
      <c r="V15" s="41">
        <f t="shared" si="1"/>
        <v>0</v>
      </c>
      <c r="W15" s="41">
        <f t="shared" si="1"/>
        <v>0</v>
      </c>
      <c r="X15" s="41">
        <f t="shared" si="1"/>
        <v>7.6782074782277832E-2</v>
      </c>
      <c r="Y15" s="41">
        <f t="shared" si="1"/>
        <v>-1.1886443431032017E-2</v>
      </c>
      <c r="Z15" s="41">
        <f t="shared" si="1"/>
        <v>1.3317488968590824E-2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37:C1048576">
    <cfRule type="duplicateValues" dxfId="79" priority="11"/>
    <cfRule type="duplicateValues" dxfId="78" priority="12"/>
  </conditionalFormatting>
  <conditionalFormatting sqref="C2">
    <cfRule type="duplicateValues" dxfId="77" priority="3"/>
    <cfRule type="duplicateValues" dxfId="76" priority="4"/>
  </conditionalFormatting>
  <conditionalFormatting sqref="C4:C13">
    <cfRule type="duplicateValues" dxfId="75" priority="5"/>
    <cfRule type="duplicateValues" dxfId="74" priority="6"/>
  </conditionalFormatting>
  <conditionalFormatting sqref="C14">
    <cfRule type="duplicateValues" dxfId="73" priority="9"/>
    <cfRule type="duplicateValues" dxfId="72" priority="10"/>
  </conditionalFormatting>
  <conditionalFormatting sqref="C15">
    <cfRule type="duplicateValues" dxfId="71" priority="7"/>
    <cfRule type="duplicateValues" dxfId="70" priority="8"/>
  </conditionalFormatting>
  <conditionalFormatting sqref="C17:C36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6D35-3901-4478-9CED-E4E71666CB2D}">
  <dimension ref="B1:AA17"/>
  <sheetViews>
    <sheetView zoomScale="85" zoomScaleNormal="85" workbookViewId="0">
      <selection activeCell="U20" sqref="U20:U3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0.20831903063445709</v>
      </c>
      <c r="R2" s="1">
        <f>(R14-J14)/J14</f>
        <v>4.2631340918706385E-2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51</v>
      </c>
      <c r="D4" s="23">
        <v>1168643.226288683</v>
      </c>
      <c r="E4" s="33">
        <v>309.76703292314107</v>
      </c>
      <c r="F4" s="5">
        <v>13</v>
      </c>
      <c r="G4" s="23">
        <v>94</v>
      </c>
      <c r="H4" s="33">
        <v>362.73205147026351</v>
      </c>
      <c r="I4" s="23">
        <v>40.263651627371402</v>
      </c>
      <c r="J4" s="5">
        <v>5415.5349556114834</v>
      </c>
      <c r="K4" s="31"/>
      <c r="L4" s="23">
        <v>1156233.3460433451</v>
      </c>
      <c r="M4" s="33">
        <v>164.23280346153592</v>
      </c>
      <c r="N4" s="5">
        <v>12</v>
      </c>
      <c r="O4" s="23">
        <v>94.666666666666671</v>
      </c>
      <c r="P4" s="33">
        <v>438.2960408125968</v>
      </c>
      <c r="Q4" s="23">
        <v>43.915001104564055</v>
      </c>
      <c r="R4" s="5">
        <v>5646.406472561328</v>
      </c>
      <c r="S4" s="35"/>
      <c r="T4" s="23">
        <v>1187643.0893275971</v>
      </c>
      <c r="U4" s="33">
        <v>299.65800646155219</v>
      </c>
      <c r="V4" s="5">
        <v>13</v>
      </c>
      <c r="W4" s="23">
        <v>94</v>
      </c>
      <c r="X4" s="33">
        <v>367.62301868782299</v>
      </c>
      <c r="Y4" s="23">
        <v>40.306597509558472</v>
      </c>
      <c r="Z4" s="5">
        <v>5422.375159830237</v>
      </c>
      <c r="AA4" s="35"/>
    </row>
    <row r="5" spans="2:27" x14ac:dyDescent="0.2">
      <c r="B5" s="4">
        <v>2</v>
      </c>
      <c r="C5" s="4">
        <v>157</v>
      </c>
      <c r="D5" s="23">
        <v>1179422.3932702451</v>
      </c>
      <c r="E5" s="33">
        <v>98.198421076925143</v>
      </c>
      <c r="F5" s="5">
        <v>12</v>
      </c>
      <c r="G5" s="23">
        <v>94.666666666666671</v>
      </c>
      <c r="H5" s="33">
        <v>438.2960408125968</v>
      </c>
      <c r="I5" s="23">
        <v>43.915001104564055</v>
      </c>
      <c r="J5" s="5">
        <v>5646.406472561328</v>
      </c>
      <c r="K5" s="31"/>
      <c r="L5" s="23">
        <v>1158938.1180200209</v>
      </c>
      <c r="M5" s="33">
        <v>482.05868799991617</v>
      </c>
      <c r="N5" s="5">
        <v>14</v>
      </c>
      <c r="O5" s="23">
        <v>94.666666666666671</v>
      </c>
      <c r="P5" s="33">
        <v>480.85511303888387</v>
      </c>
      <c r="Q5" s="23">
        <v>37.708888369462933</v>
      </c>
      <c r="R5" s="5">
        <v>5409.2694600306368</v>
      </c>
      <c r="S5" s="35"/>
      <c r="T5" s="23">
        <v>1198393.598932093</v>
      </c>
      <c r="U5" s="33">
        <v>151.20720884619425</v>
      </c>
      <c r="V5" s="5">
        <v>13</v>
      </c>
      <c r="W5" s="23">
        <v>94.666666666666671</v>
      </c>
      <c r="X5" s="33">
        <v>381.62989378775166</v>
      </c>
      <c r="Y5" s="23">
        <v>40.540453292555966</v>
      </c>
      <c r="Z5" s="5">
        <v>5542.3525761004448</v>
      </c>
      <c r="AA5" s="35"/>
    </row>
    <row r="6" spans="2:27" x14ac:dyDescent="0.2">
      <c r="B6" s="4">
        <v>3</v>
      </c>
      <c r="C6" s="4">
        <v>204</v>
      </c>
      <c r="D6" s="23">
        <v>1168814.8782724959</v>
      </c>
      <c r="E6" s="33">
        <v>230.17236007690931</v>
      </c>
      <c r="F6" s="5">
        <v>13</v>
      </c>
      <c r="G6" s="23">
        <v>94</v>
      </c>
      <c r="H6" s="33">
        <v>361.64317955181463</v>
      </c>
      <c r="I6" s="23">
        <v>40.120958464931775</v>
      </c>
      <c r="J6" s="5">
        <v>5405.6134102949354</v>
      </c>
      <c r="K6" s="31"/>
      <c r="L6" s="23">
        <v>1156233.3460433451</v>
      </c>
      <c r="M6" s="33">
        <v>128.32450615385409</v>
      </c>
      <c r="N6" s="5">
        <v>12</v>
      </c>
      <c r="O6" s="23">
        <v>94.666666666666671</v>
      </c>
      <c r="P6" s="33">
        <v>438.2960408125968</v>
      </c>
      <c r="Q6" s="23">
        <v>43.915001104564055</v>
      </c>
      <c r="R6" s="5">
        <v>5646.406472561328</v>
      </c>
      <c r="S6" s="35"/>
      <c r="T6" s="23">
        <v>1198429.0286038499</v>
      </c>
      <c r="U6" s="33">
        <v>259.84485446153059</v>
      </c>
      <c r="V6" s="5">
        <v>13</v>
      </c>
      <c r="W6" s="23">
        <v>94.666666666666671</v>
      </c>
      <c r="X6" s="33">
        <v>401.74032636777207</v>
      </c>
      <c r="Y6" s="23">
        <v>40.70444623953253</v>
      </c>
      <c r="Z6" s="5">
        <v>5550.9354472321284</v>
      </c>
      <c r="AA6" s="35"/>
    </row>
    <row r="7" spans="2:27" x14ac:dyDescent="0.2">
      <c r="B7" s="4">
        <v>4</v>
      </c>
      <c r="C7" s="4">
        <v>223</v>
      </c>
      <c r="D7" s="23">
        <v>1209864.3907835791</v>
      </c>
      <c r="E7" s="33">
        <v>179.55091323076678</v>
      </c>
      <c r="F7" s="5">
        <v>13</v>
      </c>
      <c r="G7" s="23">
        <v>94</v>
      </c>
      <c r="H7" s="33">
        <v>433.02601265982452</v>
      </c>
      <c r="I7" s="23">
        <v>39.336379694786949</v>
      </c>
      <c r="J7" s="5">
        <v>5647.4674768098557</v>
      </c>
      <c r="K7" s="31"/>
      <c r="L7" s="23">
        <v>1167531.2880421691</v>
      </c>
      <c r="M7" s="33">
        <v>228.41681438462379</v>
      </c>
      <c r="N7" s="5">
        <v>13</v>
      </c>
      <c r="O7" s="23">
        <v>94.666666666666671</v>
      </c>
      <c r="P7" s="33">
        <v>533.59995414781429</v>
      </c>
      <c r="Q7" s="23">
        <v>40.493210693816373</v>
      </c>
      <c r="R7" s="5">
        <v>5548.5080795512058</v>
      </c>
      <c r="S7" s="35"/>
      <c r="T7" s="23">
        <v>1226297.370106518</v>
      </c>
      <c r="U7" s="33">
        <v>440.03308907697476</v>
      </c>
      <c r="V7" s="5">
        <v>13</v>
      </c>
      <c r="W7" s="23">
        <v>92.666666666666671</v>
      </c>
      <c r="X7" s="33">
        <v>386.9428489469193</v>
      </c>
      <c r="Y7" s="23">
        <v>38.771904933627845</v>
      </c>
      <c r="Z7" s="5">
        <v>5434.8129511720817</v>
      </c>
      <c r="AA7" s="35"/>
    </row>
    <row r="8" spans="2:27" x14ac:dyDescent="0.2">
      <c r="B8" s="4">
        <v>5</v>
      </c>
      <c r="C8" s="4">
        <v>237</v>
      </c>
      <c r="D8" s="23">
        <v>1243711.955503087</v>
      </c>
      <c r="E8" s="33">
        <v>141.27079630772084</v>
      </c>
      <c r="F8" s="5">
        <v>13</v>
      </c>
      <c r="G8" s="23">
        <v>94.666666666666671</v>
      </c>
      <c r="H8" s="33">
        <v>623.91760614343332</v>
      </c>
      <c r="I8" s="23">
        <v>40.118266863383056</v>
      </c>
      <c r="J8" s="5">
        <v>5811.4492872780693</v>
      </c>
      <c r="K8" s="31"/>
      <c r="L8" s="23">
        <v>1181226.1396203509</v>
      </c>
      <c r="M8" s="33">
        <v>233.2061027691592</v>
      </c>
      <c r="N8" s="5">
        <v>12</v>
      </c>
      <c r="O8" s="23">
        <v>94.666666666666671</v>
      </c>
      <c r="P8" s="33">
        <v>524.02179425054703</v>
      </c>
      <c r="Q8" s="23">
        <v>43.639634461837204</v>
      </c>
      <c r="R8" s="5">
        <v>5791.4470757439221</v>
      </c>
      <c r="S8" s="35"/>
      <c r="T8" s="23">
        <v>1219863.2978053</v>
      </c>
      <c r="U8" s="33">
        <v>658.48816207699622</v>
      </c>
      <c r="V8" s="5">
        <v>13</v>
      </c>
      <c r="W8" s="23">
        <v>93.333333333333329</v>
      </c>
      <c r="X8" s="33">
        <v>406.89967414873752</v>
      </c>
      <c r="Y8" s="23">
        <v>39.881047448651501</v>
      </c>
      <c r="Z8" s="5">
        <v>5478.5402352123847</v>
      </c>
      <c r="AA8" s="35"/>
    </row>
    <row r="9" spans="2:27" x14ac:dyDescent="0.2">
      <c r="B9" s="4">
        <v>6</v>
      </c>
      <c r="C9" s="4">
        <v>363</v>
      </c>
      <c r="D9" s="23">
        <v>1190772.751406092</v>
      </c>
      <c r="E9" s="33">
        <v>171.87102507692398</v>
      </c>
      <c r="F9" s="5">
        <v>13</v>
      </c>
      <c r="G9" s="23">
        <v>94.666666666666671</v>
      </c>
      <c r="H9" s="33">
        <v>460.59135454137476</v>
      </c>
      <c r="I9" s="23">
        <v>40.837244570789089</v>
      </c>
      <c r="J9" s="5">
        <v>5567.9654675734828</v>
      </c>
      <c r="K9" s="31"/>
      <c r="L9" s="23">
        <v>1170917.3913653339</v>
      </c>
      <c r="M9" s="33">
        <v>168.97079930775084</v>
      </c>
      <c r="N9" s="5">
        <v>13</v>
      </c>
      <c r="O9" s="23">
        <v>94.666666666666671</v>
      </c>
      <c r="P9" s="33">
        <v>487.1918099015403</v>
      </c>
      <c r="Q9" s="23">
        <v>40.753460891430386</v>
      </c>
      <c r="R9" s="5">
        <v>5621.3024681314619</v>
      </c>
      <c r="S9" s="35"/>
      <c r="T9" s="23">
        <v>1206116.9729398149</v>
      </c>
      <c r="U9" s="33">
        <v>123.62127369233909</v>
      </c>
      <c r="V9" s="5">
        <v>13</v>
      </c>
      <c r="W9" s="23">
        <v>94</v>
      </c>
      <c r="X9" s="33">
        <v>382.2103319267203</v>
      </c>
      <c r="Y9" s="23">
        <v>40.398183860966512</v>
      </c>
      <c r="Z9" s="5">
        <v>5525.5706106404223</v>
      </c>
      <c r="AA9" s="35"/>
    </row>
    <row r="10" spans="2:27" x14ac:dyDescent="0.2">
      <c r="B10" s="4">
        <v>7</v>
      </c>
      <c r="C10" s="4">
        <v>434</v>
      </c>
      <c r="D10" s="23">
        <v>1211151.1259381061</v>
      </c>
      <c r="E10" s="33">
        <v>215.50041484619629</v>
      </c>
      <c r="F10" s="5">
        <v>14</v>
      </c>
      <c r="G10" s="23">
        <v>94.666666666666671</v>
      </c>
      <c r="H10" s="33">
        <v>520.73937083825979</v>
      </c>
      <c r="I10" s="23">
        <v>37.974113345284842</v>
      </c>
      <c r="J10" s="5">
        <v>5556.6362525577761</v>
      </c>
      <c r="K10" s="31"/>
      <c r="L10" s="23">
        <v>1156233.3460433451</v>
      </c>
      <c r="M10" s="33">
        <v>109.02499161544253</v>
      </c>
      <c r="N10" s="5">
        <v>12</v>
      </c>
      <c r="O10" s="23">
        <v>94.666666666666671</v>
      </c>
      <c r="P10" s="33">
        <v>438.2960408125968</v>
      </c>
      <c r="Q10" s="23">
        <v>43.915001104564055</v>
      </c>
      <c r="R10" s="5">
        <v>5646.406472561328</v>
      </c>
      <c r="S10" s="35"/>
      <c r="T10" s="23">
        <v>1199912.154320773</v>
      </c>
      <c r="U10" s="33">
        <v>127.53470876916815</v>
      </c>
      <c r="V10" s="5">
        <v>12</v>
      </c>
      <c r="W10" s="23">
        <v>94</v>
      </c>
      <c r="X10" s="33">
        <v>388.46136330387338</v>
      </c>
      <c r="Y10" s="23">
        <v>43.637996084834064</v>
      </c>
      <c r="Z10" s="5">
        <v>5606.1667770762215</v>
      </c>
      <c r="AA10" s="35"/>
    </row>
    <row r="11" spans="2:27" x14ac:dyDescent="0.2">
      <c r="B11" s="4">
        <v>8</v>
      </c>
      <c r="C11" s="4">
        <v>486</v>
      </c>
      <c r="D11" s="23">
        <v>1221464.7729007881</v>
      </c>
      <c r="E11" s="33">
        <v>148.57329807691991</v>
      </c>
      <c r="F11" s="5">
        <v>12</v>
      </c>
      <c r="G11" s="23">
        <v>93.333333333333329</v>
      </c>
      <c r="H11" s="33">
        <v>497.96427611527832</v>
      </c>
      <c r="I11" s="23">
        <v>43.330760313874919</v>
      </c>
      <c r="J11" s="5">
        <v>5702.8304282870968</v>
      </c>
      <c r="K11" s="31"/>
      <c r="L11" s="23">
        <v>1186577.4422960989</v>
      </c>
      <c r="M11" s="33">
        <v>124.3354080769663</v>
      </c>
      <c r="N11" s="5">
        <v>11</v>
      </c>
      <c r="O11" s="23">
        <v>94</v>
      </c>
      <c r="P11" s="33">
        <v>540.09739096794897</v>
      </c>
      <c r="Q11" s="23">
        <v>47.123191499827335</v>
      </c>
      <c r="R11" s="5">
        <v>5861.1856700759199</v>
      </c>
      <c r="S11" s="35"/>
      <c r="T11" s="23">
        <v>1244269.1404623061</v>
      </c>
      <c r="U11" s="33">
        <v>132.82781023084399</v>
      </c>
      <c r="V11" s="5">
        <v>12</v>
      </c>
      <c r="W11" s="23">
        <v>92.666666666666671</v>
      </c>
      <c r="X11" s="33">
        <v>461.70549326715275</v>
      </c>
      <c r="Y11" s="23">
        <v>42.993349267428748</v>
      </c>
      <c r="Z11" s="5">
        <v>5642.1448576852899</v>
      </c>
      <c r="AA11" s="35"/>
    </row>
    <row r="12" spans="2:27" x14ac:dyDescent="0.2">
      <c r="B12" s="4">
        <v>9</v>
      </c>
      <c r="C12" s="4">
        <v>603</v>
      </c>
      <c r="D12" s="23">
        <v>1171192.273408608</v>
      </c>
      <c r="E12" s="33">
        <v>178.29719907693706</v>
      </c>
      <c r="F12" s="5">
        <v>14</v>
      </c>
      <c r="G12" s="23">
        <v>94.666666666666671</v>
      </c>
      <c r="H12" s="33">
        <v>407.82753733113157</v>
      </c>
      <c r="I12" s="23">
        <v>38.041275864139564</v>
      </c>
      <c r="J12" s="5">
        <v>5383.0256376659336</v>
      </c>
      <c r="K12" s="31"/>
      <c r="L12" s="23">
        <v>1156233.3460433451</v>
      </c>
      <c r="M12" s="33">
        <v>174.59501769232492</v>
      </c>
      <c r="N12" s="5">
        <v>12</v>
      </c>
      <c r="O12" s="23">
        <v>94.666666666666671</v>
      </c>
      <c r="P12" s="33">
        <v>438.2960408125968</v>
      </c>
      <c r="Q12" s="23">
        <v>43.915001104564055</v>
      </c>
      <c r="R12" s="5">
        <v>5646.406472561328</v>
      </c>
      <c r="S12" s="35"/>
      <c r="T12" s="23">
        <v>1186687.145766705</v>
      </c>
      <c r="U12" s="33">
        <v>137.39680976920332</v>
      </c>
      <c r="V12" s="5">
        <v>14</v>
      </c>
      <c r="W12" s="23">
        <v>94.666666666666671</v>
      </c>
      <c r="X12" s="33">
        <v>326.11957582205713</v>
      </c>
      <c r="Y12" s="23">
        <v>37.776824411909693</v>
      </c>
      <c r="Z12" s="5">
        <v>5407.8241867867782</v>
      </c>
      <c r="AA12" s="35"/>
    </row>
    <row r="13" spans="2:27" x14ac:dyDescent="0.2">
      <c r="B13" s="4">
        <v>10</v>
      </c>
      <c r="C13" s="4">
        <v>817</v>
      </c>
      <c r="D13" s="23">
        <v>1171164.502807962</v>
      </c>
      <c r="E13" s="33">
        <v>126.49336761544245</v>
      </c>
      <c r="F13" s="5">
        <v>13</v>
      </c>
      <c r="G13" s="23">
        <v>94</v>
      </c>
      <c r="H13" s="33">
        <v>335.11944124890414</v>
      </c>
      <c r="I13" s="23">
        <v>40.259183073031487</v>
      </c>
      <c r="J13" s="5">
        <v>5454.0835218996663</v>
      </c>
      <c r="K13" s="31"/>
      <c r="L13" s="23">
        <v>1156233.3460433451</v>
      </c>
      <c r="M13" s="33">
        <v>137.44691415385415</v>
      </c>
      <c r="N13" s="5">
        <v>12</v>
      </c>
      <c r="O13" s="23">
        <v>94.666666666666671</v>
      </c>
      <c r="P13" s="33">
        <v>438.2960408125968</v>
      </c>
      <c r="Q13" s="23">
        <v>43.915001104564055</v>
      </c>
      <c r="R13" s="5">
        <v>5646.406472561328</v>
      </c>
      <c r="S13" s="35"/>
      <c r="T13" s="23">
        <v>1223319.235100175</v>
      </c>
      <c r="U13" s="33">
        <v>98.148302923117839</v>
      </c>
      <c r="V13" s="5">
        <v>13</v>
      </c>
      <c r="W13" s="23">
        <v>94.666666666666671</v>
      </c>
      <c r="X13" s="33">
        <v>475.06485153175606</v>
      </c>
      <c r="Y13" s="23">
        <v>40.913734161801408</v>
      </c>
      <c r="Z13" s="5">
        <v>5622.6705356674802</v>
      </c>
      <c r="AA13" s="35"/>
    </row>
    <row r="14" spans="2:27" x14ac:dyDescent="0.2">
      <c r="B14" s="50" t="s">
        <v>3</v>
      </c>
      <c r="C14" s="51"/>
      <c r="D14" s="9">
        <f>MIN(D4:D13)</f>
        <v>1168643.226288683</v>
      </c>
      <c r="E14" s="22">
        <f>INDEX(E4:E13, MATCH($D$14, D4:D13, 0))</f>
        <v>309.76703292314107</v>
      </c>
      <c r="F14" s="9">
        <f>INDEX(F4:F13, MATCH($D$14, D4:D13, 0))</f>
        <v>13</v>
      </c>
      <c r="G14" s="9">
        <f>INDEX(G4:G13, MATCH($D$14, D4:D13, 0))</f>
        <v>94</v>
      </c>
      <c r="H14" s="22">
        <f>INDEX(H4:H13, MATCH($D$14, D4:D13, 0))</f>
        <v>362.73205147026351</v>
      </c>
      <c r="I14" s="22">
        <f>INDEX(I4:I13, MATCH($D$14, D4:D13, 0))</f>
        <v>40.263651627371402</v>
      </c>
      <c r="J14" s="22">
        <f>INDEX(J4:J13, MATCH($D$14, D4:D13, 0))</f>
        <v>5415.5349556114834</v>
      </c>
      <c r="K14" s="32" t="e">
        <f>(D14-$D$15)/$D$15</f>
        <v>#DIV/0!</v>
      </c>
      <c r="L14" s="16">
        <f>MIN(L4:L13)</f>
        <v>1156233.3460433451</v>
      </c>
      <c r="M14" s="21">
        <f>INDEX(M4:M13, MATCH($L$14, L4:L13, 0))</f>
        <v>164.23280346153592</v>
      </c>
      <c r="N14" s="16">
        <f>INDEX(N4:N13, MATCH($L$14, L4:L13, 0))</f>
        <v>12</v>
      </c>
      <c r="O14" s="16">
        <f>INDEX(O4:O13, MATCH($L$14, L4:L13, 0))</f>
        <v>94.666666666666671</v>
      </c>
      <c r="P14" s="21">
        <f>INDEX(P4:P13, MATCH($L$14, L4:L13, 0))</f>
        <v>438.2960408125968</v>
      </c>
      <c r="Q14" s="21">
        <f>INDEX(Q4:Q13, MATCH($L$14, L4:L13, 0))</f>
        <v>43.915001104564055</v>
      </c>
      <c r="R14" s="21">
        <f>INDEX(R4:R13, MATCH($L$14, L4:L13, 0))</f>
        <v>5646.406472561328</v>
      </c>
      <c r="S14" s="36" t="e">
        <f>(L14-$D$15)/$D$15</f>
        <v>#DIV/0!</v>
      </c>
      <c r="T14" s="38">
        <f>MIN(T4:T13)</f>
        <v>1186687.145766705</v>
      </c>
      <c r="U14" s="39">
        <f>INDEX(U4:U13, MATCH($T$14, T4:T13, 0))</f>
        <v>137.39680976920332</v>
      </c>
      <c r="V14" s="38">
        <f>INDEX(V4:V13, MATCH($T$14, T4:T13, 0))</f>
        <v>14</v>
      </c>
      <c r="W14" s="38">
        <f>INDEX(W4:W13, MATCH($T$14, T4:T13, 0))</f>
        <v>94.666666666666671</v>
      </c>
      <c r="X14" s="39">
        <f>INDEX(X4:X13, MATCH($T$14, T4:T13, 0))</f>
        <v>326.11957582205713</v>
      </c>
      <c r="Y14" s="39">
        <f>INDEX(Y4:Y13, MATCH($T$14, T4:T13, 0))</f>
        <v>37.776824411909693</v>
      </c>
      <c r="Z14" s="39">
        <f>INDEX(Z4:Z13, MATCH($T$14, T4:T13, 0))</f>
        <v>5407.8241867867782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-1.061904948078005E-2</v>
      </c>
      <c r="M15" s="41">
        <f t="shared" ref="M15:R15" si="0">(M14-E14)/E14</f>
        <v>-0.46981832794878103</v>
      </c>
      <c r="N15" s="41">
        <f t="shared" si="0"/>
        <v>-7.6923076923076927E-2</v>
      </c>
      <c r="O15" s="41">
        <f t="shared" si="0"/>
        <v>7.0921985815603338E-3</v>
      </c>
      <c r="P15" s="41">
        <f t="shared" si="0"/>
        <v>0.20831903063445709</v>
      </c>
      <c r="Q15" s="41">
        <f t="shared" si="0"/>
        <v>9.0685999148434171E-2</v>
      </c>
      <c r="R15" s="41">
        <f t="shared" si="0"/>
        <v>4.2631340918706385E-2</v>
      </c>
      <c r="T15" s="41">
        <f>(T14-D14)/D14</f>
        <v>1.5440058242005113E-2</v>
      </c>
      <c r="U15" s="41">
        <f t="shared" ref="U15:Z15" si="1">(U14-E14)/E14</f>
        <v>-0.55645115468664474</v>
      </c>
      <c r="V15" s="41">
        <f t="shared" si="1"/>
        <v>7.6923076923076927E-2</v>
      </c>
      <c r="W15" s="41">
        <f t="shared" si="1"/>
        <v>7.0921985815603338E-3</v>
      </c>
      <c r="X15" s="41">
        <f t="shared" si="1"/>
        <v>-0.10093531988641441</v>
      </c>
      <c r="Y15" s="41">
        <f t="shared" si="1"/>
        <v>-6.1763578685723408E-2</v>
      </c>
      <c r="Z15" s="41">
        <f t="shared" si="1"/>
        <v>-1.4238240336193178E-3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37:C1048576">
    <cfRule type="duplicateValues" dxfId="69" priority="11"/>
    <cfRule type="duplicateValues" dxfId="68" priority="12"/>
  </conditionalFormatting>
  <conditionalFormatting sqref="C2">
    <cfRule type="duplicateValues" dxfId="67" priority="3"/>
    <cfRule type="duplicateValues" dxfId="66" priority="4"/>
  </conditionalFormatting>
  <conditionalFormatting sqref="C4:C13">
    <cfRule type="duplicateValues" dxfId="65" priority="5"/>
    <cfRule type="duplicateValues" dxfId="64" priority="6"/>
  </conditionalFormatting>
  <conditionalFormatting sqref="C14">
    <cfRule type="duplicateValues" dxfId="63" priority="9"/>
    <cfRule type="duplicateValues" dxfId="62" priority="10"/>
  </conditionalFormatting>
  <conditionalFormatting sqref="C15">
    <cfRule type="duplicateValues" dxfId="61" priority="7"/>
    <cfRule type="duplicateValues" dxfId="60" priority="8"/>
  </conditionalFormatting>
  <conditionalFormatting sqref="C17:C36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41086-73B8-4522-A718-A32ADBBE88D5}">
  <dimension ref="B1:AA17"/>
  <sheetViews>
    <sheetView zoomScale="85" zoomScaleNormal="85" workbookViewId="0">
      <selection activeCell="U20" sqref="U20:U32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/>
      <c r="J2" s="28"/>
      <c r="K2" s="28"/>
      <c r="L2" s="48">
        <v>-0.5</v>
      </c>
      <c r="P2" s="1">
        <f>(P14-H14)/H14</f>
        <v>2.634138274052799E-2</v>
      </c>
      <c r="R2" s="1">
        <f>(R14-J14)/J14</f>
        <v>2.9265055162720565E-4</v>
      </c>
      <c r="T2" s="48">
        <v>0.5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</v>
      </c>
      <c r="D4" s="23">
        <v>1281702.7336423241</v>
      </c>
      <c r="E4" s="33">
        <v>144.5523972307833</v>
      </c>
      <c r="F4" s="5">
        <v>11</v>
      </c>
      <c r="G4" s="23">
        <v>92</v>
      </c>
      <c r="H4" s="33">
        <v>592.76653159283774</v>
      </c>
      <c r="I4" s="23">
        <v>41.443088648347867</v>
      </c>
      <c r="J4" s="5">
        <v>5860.5421444969725</v>
      </c>
      <c r="K4" s="31"/>
      <c r="L4" s="23">
        <v>1204551.4442157189</v>
      </c>
      <c r="M4" s="33">
        <v>147.59234484616454</v>
      </c>
      <c r="N4" s="5">
        <v>12</v>
      </c>
      <c r="O4" s="23">
        <v>92.666666666666671</v>
      </c>
      <c r="P4" s="33">
        <v>509.2295858057285</v>
      </c>
      <c r="Q4" s="23">
        <v>38.580194847097637</v>
      </c>
      <c r="R4" s="5">
        <v>5553.4388343215978</v>
      </c>
      <c r="S4" s="35"/>
      <c r="T4" s="23">
        <v>1269319.894389692</v>
      </c>
      <c r="U4" s="33">
        <v>172.93891115382746</v>
      </c>
      <c r="V4" s="5">
        <v>13</v>
      </c>
      <c r="W4" s="23">
        <v>92.666666666666671</v>
      </c>
      <c r="X4" s="33">
        <v>435.094102647157</v>
      </c>
      <c r="Y4" s="23">
        <v>35.280481664101345</v>
      </c>
      <c r="Z4" s="5">
        <v>5567.2383009293999</v>
      </c>
      <c r="AA4" s="35"/>
    </row>
    <row r="5" spans="2:27" x14ac:dyDescent="0.2">
      <c r="B5" s="4">
        <v>2</v>
      </c>
      <c r="C5" s="4">
        <v>48</v>
      </c>
      <c r="D5" s="23">
        <v>1239485.4862941881</v>
      </c>
      <c r="E5" s="33">
        <v>177.19669053841454</v>
      </c>
      <c r="F5" s="5">
        <v>12</v>
      </c>
      <c r="G5" s="23">
        <v>92</v>
      </c>
      <c r="H5" s="33">
        <v>488.76502468408506</v>
      </c>
      <c r="I5" s="23">
        <v>38.605788126454136</v>
      </c>
      <c r="J5" s="5">
        <v>5528.7049505883151</v>
      </c>
      <c r="K5" s="31"/>
      <c r="L5" s="23">
        <v>1203940.875196123</v>
      </c>
      <c r="M5" s="33">
        <v>187.39893584610675</v>
      </c>
      <c r="N5" s="5">
        <v>13</v>
      </c>
      <c r="O5" s="23">
        <v>92.666666666666671</v>
      </c>
      <c r="P5" s="33">
        <v>552.8159055942333</v>
      </c>
      <c r="Q5" s="23">
        <v>36.056360876269579</v>
      </c>
      <c r="R5" s="5">
        <v>5409.6314803684209</v>
      </c>
      <c r="S5" s="35"/>
      <c r="T5" s="23">
        <v>1291812.6029955701</v>
      </c>
      <c r="U5" s="33">
        <v>233.49462530763748</v>
      </c>
      <c r="V5" s="5">
        <v>15</v>
      </c>
      <c r="W5" s="23">
        <v>92</v>
      </c>
      <c r="X5" s="33">
        <v>396.73059589588217</v>
      </c>
      <c r="Y5" s="23">
        <v>30.635292653317091</v>
      </c>
      <c r="Z5" s="5">
        <v>5387.5383327865147</v>
      </c>
      <c r="AA5" s="35"/>
    </row>
    <row r="6" spans="2:27" x14ac:dyDescent="0.2">
      <c r="B6" s="4">
        <v>3</v>
      </c>
      <c r="C6" s="4">
        <v>445</v>
      </c>
      <c r="D6" s="23">
        <v>1210876.1857202931</v>
      </c>
      <c r="E6" s="33">
        <v>111.06697430762532</v>
      </c>
      <c r="F6" s="5">
        <v>12</v>
      </c>
      <c r="G6" s="23">
        <v>92.666666666666671</v>
      </c>
      <c r="H6" s="33">
        <v>395.7095551113469</v>
      </c>
      <c r="I6" s="23">
        <v>38.858003489073702</v>
      </c>
      <c r="J6" s="5">
        <v>5502.549474089722</v>
      </c>
      <c r="K6" s="31"/>
      <c r="L6" s="23">
        <v>1273833.241836488</v>
      </c>
      <c r="M6" s="33">
        <v>93.860221384540921</v>
      </c>
      <c r="N6" s="5">
        <v>13</v>
      </c>
      <c r="O6" s="23">
        <v>92.666666666666671</v>
      </c>
      <c r="P6" s="33">
        <v>631.44574362389017</v>
      </c>
      <c r="Q6" s="23">
        <v>34.84904357221167</v>
      </c>
      <c r="R6" s="5">
        <v>5836.5989145738013</v>
      </c>
      <c r="S6" s="35"/>
      <c r="T6" s="23">
        <v>1210980.5252533839</v>
      </c>
      <c r="U6" s="33">
        <v>251.26760953849254</v>
      </c>
      <c r="V6" s="5">
        <v>14</v>
      </c>
      <c r="W6" s="23">
        <v>92.666666666666671</v>
      </c>
      <c r="X6" s="33">
        <v>295.40228857547351</v>
      </c>
      <c r="Y6" s="23">
        <v>32.949739429757763</v>
      </c>
      <c r="Z6" s="5">
        <v>5202.9354842318189</v>
      </c>
      <c r="AA6" s="35"/>
    </row>
    <row r="7" spans="2:27" x14ac:dyDescent="0.2">
      <c r="B7" s="4">
        <v>4</v>
      </c>
      <c r="C7" s="4">
        <v>568</v>
      </c>
      <c r="D7" s="23">
        <v>1254769.981569526</v>
      </c>
      <c r="E7" s="33">
        <v>226.45354630765863</v>
      </c>
      <c r="F7" s="5">
        <v>13</v>
      </c>
      <c r="G7" s="23">
        <v>92.666666666666671</v>
      </c>
      <c r="H7" s="33">
        <v>456.81481322441994</v>
      </c>
      <c r="I7" s="23">
        <v>35.2152440558243</v>
      </c>
      <c r="J7" s="5">
        <v>5592.3213535914902</v>
      </c>
      <c r="K7" s="31"/>
      <c r="L7" s="23">
        <v>1249402.410419588</v>
      </c>
      <c r="M7" s="33">
        <v>197.18195353849575</v>
      </c>
      <c r="N7" s="5">
        <v>13</v>
      </c>
      <c r="O7" s="23">
        <v>92.666666666666671</v>
      </c>
      <c r="P7" s="33">
        <v>574.19240038150838</v>
      </c>
      <c r="Q7" s="23">
        <v>35.416090886692899</v>
      </c>
      <c r="R7" s="5">
        <v>5713.4834763399022</v>
      </c>
      <c r="S7" s="35"/>
      <c r="T7" s="23">
        <v>1268890.0466010279</v>
      </c>
      <c r="U7" s="33">
        <v>261.876955461563</v>
      </c>
      <c r="V7" s="5">
        <v>13</v>
      </c>
      <c r="W7" s="23">
        <v>92.666666666666671</v>
      </c>
      <c r="X7" s="33">
        <v>423.9950274004558</v>
      </c>
      <c r="Y7" s="23">
        <v>35.165442510055463</v>
      </c>
      <c r="Z7" s="5">
        <v>5564.8890708614172</v>
      </c>
      <c r="AA7" s="35"/>
    </row>
    <row r="8" spans="2:27" x14ac:dyDescent="0.2">
      <c r="B8" s="4">
        <v>5</v>
      </c>
      <c r="C8" s="4">
        <v>612</v>
      </c>
      <c r="D8" s="23">
        <v>1284308.6324758481</v>
      </c>
      <c r="E8" s="33">
        <v>150.23558484614253</v>
      </c>
      <c r="F8" s="5">
        <v>13</v>
      </c>
      <c r="G8" s="23">
        <v>92.666666666666671</v>
      </c>
      <c r="H8" s="33">
        <v>625.07008847448844</v>
      </c>
      <c r="I8" s="23">
        <v>35.288092697441826</v>
      </c>
      <c r="J8" s="5">
        <v>5692.6336826878842</v>
      </c>
      <c r="K8" s="31"/>
      <c r="L8" s="23">
        <v>1187328.4713921719</v>
      </c>
      <c r="M8" s="33">
        <v>120.89785169227977</v>
      </c>
      <c r="N8" s="5">
        <v>11</v>
      </c>
      <c r="O8" s="23">
        <v>92.666666666666671</v>
      </c>
      <c r="P8" s="33">
        <v>469.33471265874647</v>
      </c>
      <c r="Q8" s="23">
        <v>42.264411898844749</v>
      </c>
      <c r="R8" s="5">
        <v>5586.6173544584362</v>
      </c>
      <c r="S8" s="35"/>
      <c r="T8" s="23">
        <v>1257485.142005411</v>
      </c>
      <c r="U8" s="33">
        <v>260.65102669231305</v>
      </c>
      <c r="V8" s="5">
        <v>14</v>
      </c>
      <c r="W8" s="23">
        <v>92.666666666666671</v>
      </c>
      <c r="X8" s="33">
        <v>453.76920590742293</v>
      </c>
      <c r="Y8" s="23">
        <v>33.204526725290499</v>
      </c>
      <c r="Z8" s="5">
        <v>5365.562235871118</v>
      </c>
      <c r="AA8" s="35"/>
    </row>
    <row r="9" spans="2:27" x14ac:dyDescent="0.2">
      <c r="B9" s="4">
        <v>6</v>
      </c>
      <c r="C9" s="4">
        <v>662</v>
      </c>
      <c r="D9" s="23">
        <v>1234967.8278609221</v>
      </c>
      <c r="E9" s="33">
        <v>128.72566730769063</v>
      </c>
      <c r="F9" s="5">
        <v>13</v>
      </c>
      <c r="G9" s="23">
        <v>92</v>
      </c>
      <c r="H9" s="33">
        <v>478.82561724374682</v>
      </c>
      <c r="I9" s="23">
        <v>35.647182140057424</v>
      </c>
      <c r="J9" s="5">
        <v>5377.3523421048058</v>
      </c>
      <c r="K9" s="31"/>
      <c r="L9" s="23">
        <v>1187055.8440057719</v>
      </c>
      <c r="M9" s="33">
        <v>164.61985446145545</v>
      </c>
      <c r="N9" s="5">
        <v>11</v>
      </c>
      <c r="O9" s="23">
        <v>92.666666666666671</v>
      </c>
      <c r="P9" s="33">
        <v>470.097599869639</v>
      </c>
      <c r="Q9" s="23">
        <v>42.174073633435313</v>
      </c>
      <c r="R9" s="5">
        <v>5582.1202975584993</v>
      </c>
      <c r="S9" s="35"/>
      <c r="T9" s="23">
        <v>1363661.3625763289</v>
      </c>
      <c r="U9" s="33">
        <v>345.01284330769869</v>
      </c>
      <c r="V9" s="5">
        <v>12</v>
      </c>
      <c r="W9" s="23">
        <v>88</v>
      </c>
      <c r="X9" s="33">
        <v>511.86935823532713</v>
      </c>
      <c r="Y9" s="23">
        <v>36.04917110873378</v>
      </c>
      <c r="Z9" s="5">
        <v>5594.0670156813167</v>
      </c>
      <c r="AA9" s="35"/>
    </row>
    <row r="10" spans="2:27" x14ac:dyDescent="0.2">
      <c r="B10" s="4">
        <v>7</v>
      </c>
      <c r="C10" s="4">
        <v>718</v>
      </c>
      <c r="D10" s="23">
        <v>1300345.0328045429</v>
      </c>
      <c r="E10" s="33">
        <v>121.58971038458938</v>
      </c>
      <c r="F10" s="5">
        <v>12</v>
      </c>
      <c r="G10" s="23">
        <v>91.333333333333329</v>
      </c>
      <c r="H10" s="33">
        <v>546.76674491528581</v>
      </c>
      <c r="I10" s="23">
        <v>36.973246245291058</v>
      </c>
      <c r="J10" s="5">
        <v>5795.3987995766183</v>
      </c>
      <c r="K10" s="31"/>
      <c r="L10" s="23">
        <v>1256940.5089133291</v>
      </c>
      <c r="M10" s="33">
        <v>212.95669438469653</v>
      </c>
      <c r="N10" s="5">
        <v>14</v>
      </c>
      <c r="O10" s="23">
        <v>92.666666666666671</v>
      </c>
      <c r="P10" s="33">
        <v>568.15644740572498</v>
      </c>
      <c r="Q10" s="23">
        <v>32.694760539465946</v>
      </c>
      <c r="R10" s="5">
        <v>5622.0134585462411</v>
      </c>
      <c r="S10" s="35"/>
      <c r="T10" s="23">
        <v>1328088.9372824761</v>
      </c>
      <c r="U10" s="33">
        <v>142.31746769232598</v>
      </c>
      <c r="V10" s="5">
        <v>13</v>
      </c>
      <c r="W10" s="23">
        <v>92</v>
      </c>
      <c r="X10" s="33">
        <v>593.71373661530708</v>
      </c>
      <c r="Y10" s="23">
        <v>35.164974398261513</v>
      </c>
      <c r="Z10" s="5">
        <v>5736.0172717855394</v>
      </c>
      <c r="AA10" s="35"/>
    </row>
    <row r="11" spans="2:27" x14ac:dyDescent="0.2">
      <c r="B11" s="4">
        <v>8</v>
      </c>
      <c r="C11" s="4">
        <v>720</v>
      </c>
      <c r="D11" s="23">
        <v>1234202.7726563241</v>
      </c>
      <c r="E11" s="33">
        <v>151.25684261536938</v>
      </c>
      <c r="F11" s="5">
        <v>12</v>
      </c>
      <c r="G11" s="23">
        <v>92.666666666666671</v>
      </c>
      <c r="H11" s="33">
        <v>553.85010705655168</v>
      </c>
      <c r="I11" s="23">
        <v>38.891761396309242</v>
      </c>
      <c r="J11" s="5">
        <v>5524.9167794800851</v>
      </c>
      <c r="K11" s="31"/>
      <c r="L11" s="23">
        <v>1205989.194275036</v>
      </c>
      <c r="M11" s="33">
        <v>229.41115584618484</v>
      </c>
      <c r="N11" s="5">
        <v>11</v>
      </c>
      <c r="O11" s="23">
        <v>92.666666666666671</v>
      </c>
      <c r="P11" s="33">
        <v>593.34948718562646</v>
      </c>
      <c r="Q11" s="23">
        <v>42.427933297030215</v>
      </c>
      <c r="R11" s="5">
        <v>5656.4254081228637</v>
      </c>
      <c r="S11" s="35"/>
      <c r="T11" s="23">
        <v>1276858.7659251839</v>
      </c>
      <c r="U11" s="33">
        <v>151.1103560000013</v>
      </c>
      <c r="V11" s="5">
        <v>13</v>
      </c>
      <c r="W11" s="23">
        <v>92</v>
      </c>
      <c r="X11" s="33">
        <v>495.06815068415631</v>
      </c>
      <c r="Y11" s="23">
        <v>35.199067536883824</v>
      </c>
      <c r="Z11" s="5">
        <v>5440.0610339010573</v>
      </c>
      <c r="AA11" s="35"/>
    </row>
    <row r="12" spans="2:27" x14ac:dyDescent="0.2">
      <c r="B12" s="4">
        <v>9</v>
      </c>
      <c r="C12" s="4">
        <v>740</v>
      </c>
      <c r="D12" s="23">
        <v>1204846.1049447469</v>
      </c>
      <c r="E12" s="33">
        <v>167.72226484617792</v>
      </c>
      <c r="F12" s="5">
        <v>12</v>
      </c>
      <c r="G12" s="23">
        <v>92.666666666666671</v>
      </c>
      <c r="H12" s="33">
        <v>381.05739905978987</v>
      </c>
      <c r="I12" s="23">
        <v>38.403845039915126</v>
      </c>
      <c r="J12" s="5">
        <v>5454.0471054728532</v>
      </c>
      <c r="K12" s="31"/>
      <c r="L12" s="23">
        <v>1204236.143240151</v>
      </c>
      <c r="M12" s="33">
        <v>187.17752399997647</v>
      </c>
      <c r="N12" s="5">
        <v>12</v>
      </c>
      <c r="O12" s="23">
        <v>92.666666666666671</v>
      </c>
      <c r="P12" s="33">
        <v>520.50741367944954</v>
      </c>
      <c r="Q12" s="23">
        <v>38.573546914381311</v>
      </c>
      <c r="R12" s="5">
        <v>5543.8412958234703</v>
      </c>
      <c r="S12" s="35"/>
      <c r="T12" s="23">
        <v>1241857.7881534831</v>
      </c>
      <c r="U12" s="33">
        <v>255.9569643845316</v>
      </c>
      <c r="V12" s="5">
        <v>14</v>
      </c>
      <c r="W12" s="23">
        <v>92.666666666666671</v>
      </c>
      <c r="X12" s="33">
        <v>384.82212640941287</v>
      </c>
      <c r="Y12" s="23">
        <v>33.102660326924756</v>
      </c>
      <c r="Z12" s="5">
        <v>5282.2220871634336</v>
      </c>
      <c r="AA12" s="35"/>
    </row>
    <row r="13" spans="2:27" x14ac:dyDescent="0.2">
      <c r="B13" s="4">
        <v>10</v>
      </c>
      <c r="C13" s="4">
        <v>867</v>
      </c>
      <c r="D13" s="23">
        <v>1248605.2160460739</v>
      </c>
      <c r="E13" s="33">
        <v>144.23978576920209</v>
      </c>
      <c r="F13" s="5">
        <v>13</v>
      </c>
      <c r="G13" s="23">
        <v>92.666666666666671</v>
      </c>
      <c r="H13" s="33">
        <v>480.96239642334535</v>
      </c>
      <c r="I13" s="23">
        <v>35.62313838826659</v>
      </c>
      <c r="J13" s="5">
        <v>5544.2671744864574</v>
      </c>
      <c r="K13" s="31"/>
      <c r="L13" s="23">
        <v>1187025.566419495</v>
      </c>
      <c r="M13" s="33">
        <v>247.53930361538477</v>
      </c>
      <c r="N13" s="5">
        <v>12</v>
      </c>
      <c r="O13" s="23">
        <v>92.666666666666671</v>
      </c>
      <c r="P13" s="33">
        <v>391.09497785453391</v>
      </c>
      <c r="Q13" s="23">
        <v>38.350001584856081</v>
      </c>
      <c r="R13" s="5">
        <v>5455.6432353668706</v>
      </c>
      <c r="S13" s="35"/>
      <c r="T13" s="23">
        <v>1302622.943184549</v>
      </c>
      <c r="U13" s="33">
        <v>315.9241619999878</v>
      </c>
      <c r="V13" s="5">
        <v>13</v>
      </c>
      <c r="W13" s="23">
        <v>91.333333333333329</v>
      </c>
      <c r="X13" s="33">
        <v>465.27828597288141</v>
      </c>
      <c r="Y13" s="23">
        <v>34.481882661313506</v>
      </c>
      <c r="Z13" s="5">
        <v>5556.4938106808222</v>
      </c>
      <c r="AA13" s="35"/>
    </row>
    <row r="14" spans="2:27" x14ac:dyDescent="0.2">
      <c r="B14" s="50" t="s">
        <v>3</v>
      </c>
      <c r="C14" s="51"/>
      <c r="D14" s="9">
        <f>MIN(D4:D13)</f>
        <v>1204846.1049447469</v>
      </c>
      <c r="E14" s="22">
        <f>INDEX(E4:E13, MATCH($D$14, D4:D13, 0))</f>
        <v>167.72226484617792</v>
      </c>
      <c r="F14" s="9">
        <f>INDEX(F4:F13, MATCH($D$14, D4:D13, 0))</f>
        <v>12</v>
      </c>
      <c r="G14" s="9">
        <f>INDEX(G4:G13, MATCH($D$14, D4:D13, 0))</f>
        <v>92.666666666666671</v>
      </c>
      <c r="H14" s="22">
        <f>INDEX(H4:H13, MATCH($D$14, D4:D13, 0))</f>
        <v>381.05739905978987</v>
      </c>
      <c r="I14" s="22">
        <f>INDEX(I4:I13, MATCH($D$14, D4:D13, 0))</f>
        <v>38.403845039915126</v>
      </c>
      <c r="J14" s="22">
        <f>INDEX(J4:J13, MATCH($D$14, D4:D13, 0))</f>
        <v>5454.0471054728532</v>
      </c>
      <c r="K14" s="32" t="e">
        <f>(D14-$D$15)/$D$15</f>
        <v>#DIV/0!</v>
      </c>
      <c r="L14" s="16">
        <f>MIN(L4:L13)</f>
        <v>1187025.566419495</v>
      </c>
      <c r="M14" s="21">
        <f>INDEX(M4:M13, MATCH($L$14, L4:L13, 0))</f>
        <v>247.53930361538477</v>
      </c>
      <c r="N14" s="16">
        <f>INDEX(N4:N13, MATCH($L$14, L4:L13, 0))</f>
        <v>12</v>
      </c>
      <c r="O14" s="16">
        <f>INDEX(O4:O13, MATCH($L$14, L4:L13, 0))</f>
        <v>92.666666666666671</v>
      </c>
      <c r="P14" s="21">
        <f>INDEX(P4:P13, MATCH($L$14, L4:L13, 0))</f>
        <v>391.09497785453391</v>
      </c>
      <c r="Q14" s="21">
        <f>INDEX(Q4:Q13, MATCH($L$14, L4:L13, 0))</f>
        <v>38.350001584856081</v>
      </c>
      <c r="R14" s="21">
        <f>INDEX(R4:R13, MATCH($L$14, L4:L13, 0))</f>
        <v>5455.6432353668706</v>
      </c>
      <c r="S14" s="36" t="e">
        <f>(L14-$D$15)/$D$15</f>
        <v>#DIV/0!</v>
      </c>
      <c r="T14" s="38">
        <f>MIN(T4:T13)</f>
        <v>1210980.5252533839</v>
      </c>
      <c r="U14" s="39">
        <f>INDEX(U4:U13, MATCH($T$14, T4:T13, 0))</f>
        <v>251.26760953849254</v>
      </c>
      <c r="V14" s="38">
        <f>INDEX(V4:V13, MATCH($T$14, T4:T13, 0))</f>
        <v>14</v>
      </c>
      <c r="W14" s="38">
        <f>INDEX(W4:W13, MATCH($T$14, T4:T13, 0))</f>
        <v>92.666666666666671</v>
      </c>
      <c r="X14" s="39">
        <f>INDEX(X4:X13, MATCH($T$14, T4:T13, 0))</f>
        <v>295.40228857547351</v>
      </c>
      <c r="Y14" s="39">
        <f>INDEX(Y4:Y13, MATCH($T$14, T4:T13, 0))</f>
        <v>32.949739429757763</v>
      </c>
      <c r="Z14" s="39">
        <f>INDEX(Z4:Z13, MATCH($T$14, T4:T13, 0))</f>
        <v>5202.9354842318189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-1.479071762950932E-2</v>
      </c>
      <c r="M15" s="41">
        <f t="shared" ref="M15:R15" si="0">(M14-E14)/E14</f>
        <v>0.47588815260996475</v>
      </c>
      <c r="N15" s="41">
        <f t="shared" si="0"/>
        <v>0</v>
      </c>
      <c r="O15" s="41">
        <f t="shared" si="0"/>
        <v>0</v>
      </c>
      <c r="P15" s="41">
        <f t="shared" si="0"/>
        <v>2.634138274052799E-2</v>
      </c>
      <c r="Q15" s="41">
        <f t="shared" si="0"/>
        <v>-1.4020329215234275E-3</v>
      </c>
      <c r="R15" s="41">
        <f t="shared" si="0"/>
        <v>2.9265055162720565E-4</v>
      </c>
      <c r="T15" s="41">
        <f>(T14-D14)/D14</f>
        <v>5.091455484199192E-3</v>
      </c>
      <c r="U15" s="41">
        <f t="shared" ref="U15:Z15" si="1">(U14-E14)/E14</f>
        <v>0.49811719850632852</v>
      </c>
      <c r="V15" s="41">
        <f t="shared" si="1"/>
        <v>0.16666666666666666</v>
      </c>
      <c r="W15" s="41">
        <f t="shared" si="1"/>
        <v>0</v>
      </c>
      <c r="X15" s="41">
        <f t="shared" si="1"/>
        <v>-0.22478269860566763</v>
      </c>
      <c r="Y15" s="41">
        <f t="shared" si="1"/>
        <v>-0.14201977964676782</v>
      </c>
      <c r="Z15" s="41">
        <f t="shared" si="1"/>
        <v>-4.6041337081422863E-2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 C16 C3 C37:C1048576">
    <cfRule type="duplicateValues" dxfId="59" priority="11"/>
    <cfRule type="duplicateValues" dxfId="58" priority="12"/>
  </conditionalFormatting>
  <conditionalFormatting sqref="C2">
    <cfRule type="duplicateValues" dxfId="57" priority="3"/>
    <cfRule type="duplicateValues" dxfId="56" priority="4"/>
  </conditionalFormatting>
  <conditionalFormatting sqref="C4:C13">
    <cfRule type="duplicateValues" dxfId="55" priority="5"/>
    <cfRule type="duplicateValues" dxfId="54" priority="6"/>
  </conditionalFormatting>
  <conditionalFormatting sqref="C14">
    <cfRule type="duplicateValues" dxfId="53" priority="9"/>
    <cfRule type="duplicateValues" dxfId="52" priority="10"/>
  </conditionalFormatting>
  <conditionalFormatting sqref="C15">
    <cfRule type="duplicateValues" dxfId="51" priority="7"/>
    <cfRule type="duplicateValues" dxfId="50" priority="8"/>
  </conditionalFormatting>
  <conditionalFormatting sqref="C17:C3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.5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50" t="s">
        <v>3</v>
      </c>
      <c r="C14" s="51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66406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66406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50" t="s">
        <v>3</v>
      </c>
      <c r="C14" s="51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50" t="s">
        <v>3</v>
      </c>
      <c r="C14" s="51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50" t="s">
        <v>3</v>
      </c>
      <c r="C14" s="51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results45</vt:lpstr>
      <vt:lpstr>results229</vt:lpstr>
      <vt:lpstr>results268</vt:lpstr>
      <vt:lpstr>results346</vt:lpstr>
      <vt:lpstr>results418</vt:lpstr>
      <vt:lpstr>results464</vt:lpstr>
      <vt:lpstr>results658</vt:lpstr>
      <vt:lpstr>results720</vt:lpstr>
      <vt:lpstr>results846</vt:lpstr>
      <vt:lpstr>results910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2026-10-27T20:22:22Z</dcterms:modified>
</cp:coreProperties>
</file>