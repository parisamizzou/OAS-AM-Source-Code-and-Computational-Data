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200-10-5/"/>
    </mc:Choice>
  </mc:AlternateContent>
  <xr:revisionPtr revIDLastSave="0" documentId="13_ncr:1_{B0788769-C81C-604B-92A1-7604364A850E}" xr6:coauthVersionLast="47" xr6:coauthVersionMax="47" xr10:uidLastSave="{00000000-0000-0000-0000-000000000000}"/>
  <bookViews>
    <workbookView xWindow="0" yWindow="740" windowWidth="34560" windowHeight="21600" tabRatio="750" activeTab="1" xr2:uid="{41E620E7-D6DF-9342-B452-EA60AB3B07C5}"/>
  </bookViews>
  <sheets>
    <sheet name="Summary" sheetId="67" r:id="rId1"/>
    <sheet name="results113" sheetId="57" r:id="rId2"/>
    <sheet name="results166" sheetId="58" r:id="rId3"/>
    <sheet name="results168" sheetId="59" r:id="rId4"/>
    <sheet name="results206" sheetId="60" r:id="rId5"/>
    <sheet name="results346" sheetId="61" r:id="rId6"/>
    <sheet name="results486" sheetId="65" r:id="rId7"/>
    <sheet name="results505" sheetId="66" r:id="rId8"/>
    <sheet name="results676" sheetId="62" r:id="rId9"/>
    <sheet name="results699" sheetId="63" r:id="rId10"/>
    <sheet name="results841" sheetId="64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C5" i="67" a="1"/>
  <c r="I3" i="67" a="1"/>
  <c r="Q6" i="67" a="1"/>
  <c r="I10" i="67" a="1"/>
  <c r="Q5" i="67" a="1"/>
  <c r="H6" i="67" a="1"/>
  <c r="F12" i="67" a="1"/>
  <c r="E8" i="67" a="1"/>
  <c r="S9" i="67" a="1"/>
  <c r="X5" i="67" a="1"/>
  <c r="U7" i="67" a="1"/>
  <c r="O3" i="67" a="1"/>
  <c r="E7" i="67" a="1"/>
  <c r="C7" i="67" a="1"/>
  <c r="O12" i="67" a="1"/>
  <c r="K10" i="67" a="1"/>
  <c r="S8" i="67" a="1"/>
  <c r="N8" i="67" a="1"/>
  <c r="F8" i="67" a="1"/>
  <c r="O5" i="67" a="1"/>
  <c r="E12" i="67" a="1"/>
  <c r="P9" i="67" a="1"/>
  <c r="H5" i="67" a="1"/>
  <c r="N3" i="67" a="1"/>
  <c r="G5" i="67" a="1"/>
  <c r="S11" i="67" a="1"/>
  <c r="N7" i="67" a="1"/>
  <c r="I9" i="67" a="1"/>
  <c r="V8" i="67" a="1"/>
  <c r="U11" i="67" a="1"/>
  <c r="M9" i="67" a="1"/>
  <c r="C3" i="67" a="1"/>
  <c r="Y9" i="67" a="1"/>
  <c r="F3" i="67" a="1"/>
  <c r="X11" i="67" a="1"/>
  <c r="Q3" i="67" a="1"/>
  <c r="X7" i="67" a="1"/>
  <c r="P8" i="67" a="1"/>
  <c r="W10" i="67" a="1"/>
  <c r="K11" i="67" a="1"/>
  <c r="W9" i="67" a="1"/>
  <c r="U8" i="67" a="1"/>
  <c r="M4" i="67" a="1"/>
  <c r="I11" i="67" a="1"/>
  <c r="I4" i="67" a="1"/>
  <c r="C10" i="67" a="1"/>
  <c r="U4" i="67" a="1"/>
  <c r="H11" i="67" a="1"/>
  <c r="S4" i="67" a="1"/>
  <c r="H8" i="67" a="1"/>
  <c r="U6" i="67" a="1"/>
  <c r="S7" i="67" a="1"/>
  <c r="W12" i="67" a="1"/>
  <c r="Y7" i="67" a="1"/>
  <c r="V12" i="67" a="1"/>
  <c r="K4" i="67" a="1"/>
  <c r="W8" i="67" a="1"/>
  <c r="M11" i="67" a="1"/>
  <c r="Y3" i="67" a="1"/>
  <c r="Q4" i="67" a="1"/>
  <c r="O8" i="67" a="1"/>
  <c r="H7" i="67" a="1"/>
  <c r="Q7" i="67" a="1"/>
  <c r="K12" i="67" a="1"/>
  <c r="E6" i="67" a="1"/>
  <c r="X3" i="67" a="1"/>
  <c r="V7" i="67" a="1"/>
  <c r="O10" i="67" a="1"/>
  <c r="V4" i="67" a="1"/>
  <c r="G6" i="67" a="1"/>
  <c r="P7" i="67" a="1"/>
  <c r="P5" i="67" a="1"/>
  <c r="W6" i="67" a="1"/>
  <c r="Y11" i="67" a="1"/>
  <c r="U3" i="67" a="1"/>
  <c r="V3" i="67" a="1"/>
  <c r="F7" i="67" a="1"/>
  <c r="F5" i="67" a="1"/>
  <c r="W11" i="67" a="1"/>
  <c r="M10" i="67" a="1"/>
  <c r="E11" i="67" a="1"/>
  <c r="P4" i="67" a="1"/>
  <c r="X10" i="67" a="1"/>
  <c r="M12" i="67" a="1"/>
  <c r="N6" i="67" a="1"/>
  <c r="W3" i="67" a="1"/>
  <c r="Y5" i="67" a="1"/>
  <c r="E5" i="67" a="1"/>
  <c r="M5" i="67" a="1"/>
  <c r="Q12" i="67" a="1"/>
  <c r="V9" i="67" a="1"/>
  <c r="E9" i="67" a="1"/>
  <c r="X4" i="67" a="1"/>
  <c r="Y10" i="67" a="1"/>
  <c r="Q11" i="67" a="1"/>
  <c r="U10" i="67" a="1"/>
  <c r="S12" i="67" a="1"/>
  <c r="X8" i="67" a="1"/>
  <c r="N4" i="67" a="1"/>
  <c r="X9" i="67" a="1"/>
  <c r="M3" i="67" a="1"/>
  <c r="C11" i="67" a="1"/>
  <c r="I8" i="67" a="1"/>
  <c r="G3" i="67" a="1"/>
  <c r="U12" i="67" a="1"/>
  <c r="G11" i="67" a="1"/>
  <c r="V6" i="67" a="1"/>
  <c r="N12" i="67" a="1"/>
  <c r="S6" i="67" a="1"/>
  <c r="H4" i="67" a="1"/>
  <c r="G12" i="67" a="1"/>
  <c r="V11" i="67" a="1"/>
  <c r="S10" i="67" a="1"/>
  <c r="K5" i="67" a="1"/>
  <c r="N11" i="67" a="1"/>
  <c r="W7" i="67" a="1"/>
  <c r="I5" i="67" a="1"/>
  <c r="G7" i="67" a="1"/>
  <c r="P12" i="67" a="1"/>
  <c r="G4" i="67" a="1"/>
  <c r="G10" i="67" a="1"/>
  <c r="I12" i="67" a="1"/>
  <c r="V10" i="67" a="1"/>
  <c r="P6" i="67" a="1"/>
  <c r="F6" i="67" a="1"/>
  <c r="Y8" i="67" a="1"/>
  <c r="Y6" i="67" a="1"/>
  <c r="M8" i="67" a="1"/>
  <c r="P11" i="67" a="1"/>
  <c r="E10" i="67" a="1"/>
  <c r="O6" i="67" a="1"/>
  <c r="F10" i="67" a="1"/>
  <c r="N9" i="67" a="1"/>
  <c r="E4" i="67" a="1"/>
  <c r="E3" i="67" a="1"/>
  <c r="S5" i="67" a="1"/>
  <c r="K3" i="67" a="1"/>
  <c r="G8" i="67" a="1"/>
  <c r="I7" i="67" a="1"/>
  <c r="Y12" i="67" a="1"/>
  <c r="N5" i="67" a="1"/>
  <c r="O4" i="67" a="1"/>
  <c r="C4" i="67" a="1"/>
  <c r="S3" i="67" a="1"/>
  <c r="V5" i="67" a="1"/>
  <c r="O11" i="67" a="1"/>
  <c r="P3" i="67" a="1"/>
  <c r="N10" i="67" a="1"/>
  <c r="C6" i="67" a="1"/>
  <c r="C12" i="67" a="1"/>
  <c r="K6" i="67" a="1"/>
  <c r="M7" i="67" a="1"/>
  <c r="X12" i="67" a="1"/>
  <c r="O7" i="67" a="1"/>
  <c r="U5" i="67" a="1"/>
  <c r="H12" i="67" a="1"/>
  <c r="U9" i="67" a="1"/>
  <c r="H3" i="67" a="1"/>
  <c r="Q8" i="67" a="1"/>
  <c r="K9" i="67" a="1"/>
  <c r="Y4" i="67" a="1"/>
  <c r="I6" i="67" a="1"/>
  <c r="F9" i="67" a="1"/>
  <c r="Q10" i="67" a="1"/>
  <c r="X6" i="67" a="1"/>
  <c r="F4" i="67" a="1"/>
  <c r="C9" i="67" a="1"/>
  <c r="M6" i="67" a="1"/>
  <c r="H9" i="67" a="1"/>
  <c r="F11" i="67" a="1"/>
  <c r="K8" i="67" a="1"/>
  <c r="C8" i="67" a="1"/>
  <c r="H10" i="67" a="1"/>
  <c r="O9" i="67" a="1"/>
  <c r="P10" i="67" a="1"/>
  <c r="K7" i="67" a="1"/>
  <c r="W5" i="67" a="1"/>
  <c r="Q9" i="67" a="1"/>
  <c r="W4" i="67" a="1"/>
  <c r="G9" i="67" a="1"/>
  <c r="Q8" i="67" l="1"/>
  <c r="Q11" i="67"/>
  <c r="U8" i="67"/>
  <c r="E9" i="67"/>
  <c r="Q3" i="67"/>
  <c r="H6" i="67"/>
  <c r="V9" i="67"/>
  <c r="H4" i="67"/>
  <c r="Y5" i="67"/>
  <c r="U5" i="67"/>
  <c r="O6" i="67"/>
  <c r="I7" i="67"/>
  <c r="K10" i="67"/>
  <c r="M6" i="67"/>
  <c r="H12" i="67"/>
  <c r="W8" i="67"/>
  <c r="O5" i="67"/>
  <c r="N9" i="67"/>
  <c r="N12" i="67"/>
  <c r="X11" i="67"/>
  <c r="E6" i="67"/>
  <c r="F9" i="67"/>
  <c r="M12" i="67"/>
  <c r="W12" i="67"/>
  <c r="H10" i="67"/>
  <c r="O3" i="67"/>
  <c r="S12" i="67"/>
  <c r="F3" i="67"/>
  <c r="X9" i="67"/>
  <c r="M10" i="67"/>
  <c r="Y11" i="67"/>
  <c r="I10" i="67"/>
  <c r="V11" i="67"/>
  <c r="P12" i="67"/>
  <c r="C4" i="67"/>
  <c r="C9" i="67"/>
  <c r="V10" i="67"/>
  <c r="V12" i="67"/>
  <c r="F4" i="67"/>
  <c r="X4" i="67"/>
  <c r="S11" i="67"/>
  <c r="S10" i="67"/>
  <c r="Y8" i="67"/>
  <c r="G11" i="67"/>
  <c r="H11" i="67"/>
  <c r="C6" i="67"/>
  <c r="U3" i="67"/>
  <c r="G5" i="67"/>
  <c r="U7" i="67"/>
  <c r="I9" i="67"/>
  <c r="H8" i="67"/>
  <c r="I11" i="67"/>
  <c r="S7" i="67"/>
  <c r="X7" i="67"/>
  <c r="H5" i="67"/>
  <c r="V3" i="67"/>
  <c r="S5" i="67"/>
  <c r="U4" i="67"/>
  <c r="N11" i="67"/>
  <c r="W4" i="67"/>
  <c r="G7" i="67"/>
  <c r="Q5" i="67"/>
  <c r="Q7" i="67"/>
  <c r="M9" i="67"/>
  <c r="X12" i="67"/>
  <c r="M5" i="67"/>
  <c r="U11" i="67"/>
  <c r="E5" i="67"/>
  <c r="O12" i="67"/>
  <c r="G12" i="67"/>
  <c r="P10" i="67"/>
  <c r="F8" i="67"/>
  <c r="W3" i="67"/>
  <c r="V6" i="67"/>
  <c r="O7" i="67"/>
  <c r="G4" i="67"/>
  <c r="F11" i="67"/>
  <c r="S9" i="67"/>
  <c r="H9" i="67"/>
  <c r="Q4" i="67"/>
  <c r="C12" i="67"/>
  <c r="E10" i="67"/>
  <c r="S6" i="67"/>
  <c r="F10" i="67"/>
  <c r="Y12" i="67"/>
  <c r="M4" i="67"/>
  <c r="E7" i="67"/>
  <c r="S8" i="67"/>
  <c r="U9" i="67"/>
  <c r="Y10" i="67"/>
  <c r="V8" i="67"/>
  <c r="Y9" i="67"/>
  <c r="V5" i="67"/>
  <c r="W11" i="67"/>
  <c r="Q12" i="67"/>
  <c r="Y6" i="67"/>
  <c r="Q6" i="67"/>
  <c r="M3" i="67"/>
  <c r="K11" i="67"/>
  <c r="Y4" i="67"/>
  <c r="K4" i="67"/>
  <c r="U10" i="67"/>
  <c r="X6" i="67"/>
  <c r="C10" i="67"/>
  <c r="P8" i="67"/>
  <c r="P5" i="67"/>
  <c r="G3" i="67"/>
  <c r="I6" i="67"/>
  <c r="U12" i="67"/>
  <c r="I3" i="67"/>
  <c r="C7" i="67"/>
  <c r="N3" i="67"/>
  <c r="N7" i="67"/>
  <c r="C5" i="67"/>
  <c r="G10" i="67"/>
  <c r="F6" i="67"/>
  <c r="K12" i="67"/>
  <c r="V4" i="67"/>
  <c r="E4" i="67"/>
  <c r="G9" i="67"/>
  <c r="I4" i="67"/>
  <c r="K5" i="67"/>
  <c r="F12" i="67"/>
  <c r="I5" i="67"/>
  <c r="E3" i="67"/>
  <c r="H3" i="67"/>
  <c r="P3" i="67"/>
  <c r="K3" i="67"/>
  <c r="P6" i="67"/>
  <c r="K6" i="67"/>
  <c r="E8" i="67"/>
  <c r="Q9" i="67"/>
  <c r="N8" i="67"/>
  <c r="W10" i="67"/>
  <c r="X10" i="67"/>
  <c r="W5" i="67"/>
  <c r="O11" i="67"/>
  <c r="X3" i="67"/>
  <c r="C8" i="67"/>
  <c r="N10" i="67"/>
  <c r="O9" i="67"/>
  <c r="Y3" i="67"/>
  <c r="F5" i="67"/>
  <c r="S3" i="67"/>
  <c r="G8" i="67"/>
  <c r="O8" i="67"/>
  <c r="U6" i="67"/>
  <c r="O10" i="67"/>
  <c r="F7" i="67"/>
  <c r="N4" i="67"/>
  <c r="P11" i="67"/>
  <c r="O4" i="67"/>
  <c r="Q10" i="67"/>
  <c r="M8" i="67"/>
  <c r="P9" i="67"/>
  <c r="P7" i="67"/>
  <c r="P4" i="67"/>
  <c r="E12" i="67"/>
  <c r="E11" i="67"/>
  <c r="K7" i="67"/>
  <c r="W6" i="67"/>
  <c r="Y7" i="67"/>
  <c r="C3" i="67"/>
  <c r="K9" i="67"/>
  <c r="C11" i="67"/>
  <c r="M11" i="67"/>
  <c r="W9" i="67"/>
  <c r="V7" i="67"/>
  <c r="I8" i="67"/>
  <c r="N6" i="67"/>
  <c r="X5" i="67"/>
  <c r="I12" i="67"/>
  <c r="S4" i="67"/>
  <c r="W7" i="67"/>
  <c r="K8" i="67"/>
  <c r="H7" i="67"/>
  <c r="X8" i="67"/>
  <c r="M7" i="67"/>
  <c r="G6" i="67"/>
  <c r="N5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C16" i="67" l="1"/>
  <c r="K16" i="67"/>
  <c r="S16" i="67"/>
  <c r="I13" i="67"/>
  <c r="F13" i="67"/>
  <c r="O13" i="67"/>
  <c r="G13" i="67"/>
  <c r="K13" i="67"/>
  <c r="P13" i="67"/>
  <c r="W13" i="67"/>
  <c r="H13" i="67"/>
  <c r="U13" i="67"/>
  <c r="Y13" i="67"/>
  <c r="M13" i="67"/>
  <c r="E13" i="67"/>
  <c r="S13" i="67"/>
  <c r="Q13" i="67"/>
  <c r="X13" i="67"/>
  <c r="C13" i="67"/>
  <c r="J13" i="67" s="1"/>
  <c r="N13" i="67"/>
  <c r="V13" i="67"/>
  <c r="T14" i="59"/>
  <c r="Z14" i="59" s="1"/>
  <c r="T14" i="58"/>
  <c r="Z14" i="58" s="1"/>
  <c r="T14" i="57"/>
  <c r="AA14" i="57" s="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X14" i="67" l="1"/>
  <c r="V14" i="67"/>
  <c r="Y14" i="67"/>
  <c r="Q14" i="67"/>
  <c r="N14" i="67"/>
  <c r="O14" i="67"/>
  <c r="W14" i="67"/>
  <c r="P14" i="67"/>
  <c r="M14" i="67"/>
  <c r="U14" i="67"/>
  <c r="Z13" i="67"/>
  <c r="S14" i="67"/>
  <c r="K14" i="67"/>
  <c r="R13" i="67"/>
  <c r="D14" i="63"/>
  <c r="T15" i="63" s="1"/>
  <c r="D14" i="62"/>
  <c r="T15" i="62" s="1"/>
  <c r="D14" i="66"/>
  <c r="T15" i="66" s="1"/>
  <c r="D14" i="65"/>
  <c r="T15" i="65" s="1"/>
  <c r="D14" i="61"/>
  <c r="T15" i="61" s="1"/>
  <c r="D14" i="60"/>
  <c r="D14" i="59"/>
  <c r="D14" i="57"/>
  <c r="G14" i="57" s="1"/>
  <c r="L14" i="64"/>
  <c r="L14" i="63"/>
  <c r="P14" i="63" s="1"/>
  <c r="L14" i="62"/>
  <c r="N14" i="62" s="1"/>
  <c r="L14" i="66"/>
  <c r="L14" i="65"/>
  <c r="L14" i="61"/>
  <c r="Q14" i="61" s="1"/>
  <c r="S14" i="64"/>
  <c r="R14" i="66"/>
  <c r="L15" i="66"/>
  <c r="M14" i="65"/>
  <c r="L15" i="65"/>
  <c r="T15" i="60"/>
  <c r="L15" i="60"/>
  <c r="T15" i="59"/>
  <c r="L15" i="59"/>
  <c r="L14" i="60"/>
  <c r="S14" i="60" s="1"/>
  <c r="L14" i="59"/>
  <c r="N14" i="59" s="1"/>
  <c r="L14" i="58"/>
  <c r="S14" i="58" s="1"/>
  <c r="L14" i="57"/>
  <c r="P14" i="57" s="1"/>
  <c r="T14" i="64"/>
  <c r="U14" i="64" s="1"/>
  <c r="T14" i="63"/>
  <c r="Z14" i="63" s="1"/>
  <c r="T14" i="62"/>
  <c r="V14" i="62" s="1"/>
  <c r="T14" i="66"/>
  <c r="Z14" i="66" s="1"/>
  <c r="Z2" i="66" s="1"/>
  <c r="T14" i="65"/>
  <c r="W14" i="65" s="1"/>
  <c r="T14" i="61"/>
  <c r="AA14" i="61" s="1"/>
  <c r="D14" i="64"/>
  <c r="N14" i="57"/>
  <c r="S14" i="59"/>
  <c r="P14" i="59"/>
  <c r="Q14" i="59"/>
  <c r="M14" i="59"/>
  <c r="P14" i="65"/>
  <c r="O14" i="57"/>
  <c r="R14" i="57"/>
  <c r="R14" i="59"/>
  <c r="Z2" i="59" s="1"/>
  <c r="Q14" i="57"/>
  <c r="M14" i="57"/>
  <c r="S14" i="57"/>
  <c r="N14" i="66"/>
  <c r="M14" i="66"/>
  <c r="O14" i="66"/>
  <c r="M14" i="61"/>
  <c r="Q14" i="66"/>
  <c r="P14" i="66"/>
  <c r="N14" i="61"/>
  <c r="S14" i="66"/>
  <c r="R14" i="63"/>
  <c r="M14" i="62"/>
  <c r="O14" i="65"/>
  <c r="N14" i="65"/>
  <c r="O14" i="62"/>
  <c r="R14" i="65"/>
  <c r="Q14" i="65"/>
  <c r="S14" i="65"/>
  <c r="M14" i="64"/>
  <c r="Q14" i="64"/>
  <c r="T14" i="60"/>
  <c r="P14" i="64"/>
  <c r="R14" i="64"/>
  <c r="N14" i="64"/>
  <c r="M14" i="63"/>
  <c r="O14" i="63"/>
  <c r="O14" i="64"/>
  <c r="Q14" i="63"/>
  <c r="N14" i="63"/>
  <c r="O14" i="59"/>
  <c r="S14" i="61"/>
  <c r="D14" i="58"/>
  <c r="X14" i="59"/>
  <c r="V14" i="59"/>
  <c r="U14" i="59"/>
  <c r="W14" i="59"/>
  <c r="Y14" i="59"/>
  <c r="AA14" i="59"/>
  <c r="U14" i="58"/>
  <c r="V14" i="58"/>
  <c r="X14" i="58"/>
  <c r="AA14" i="58"/>
  <c r="Y14" i="58"/>
  <c r="W14" i="58"/>
  <c r="U14" i="57"/>
  <c r="V14" i="57"/>
  <c r="Y14" i="57"/>
  <c r="X14" i="57"/>
  <c r="X2" i="57" s="1"/>
  <c r="W14" i="57"/>
  <c r="Z14" i="57"/>
  <c r="K14" i="65"/>
  <c r="G14" i="65"/>
  <c r="W15" i="65" s="1"/>
  <c r="F14" i="65"/>
  <c r="V15" i="65" s="1"/>
  <c r="E14" i="65"/>
  <c r="J14" i="65"/>
  <c r="Z15" i="65" s="1"/>
  <c r="I14" i="65"/>
  <c r="Y15" i="65" s="1"/>
  <c r="H14" i="65"/>
  <c r="X15" i="65" s="1"/>
  <c r="K14" i="66"/>
  <c r="F14" i="66"/>
  <c r="V15" i="66" s="1"/>
  <c r="E14" i="66"/>
  <c r="H14" i="66"/>
  <c r="X15" i="66" s="1"/>
  <c r="J14" i="66"/>
  <c r="Z15" i="66" s="1"/>
  <c r="I14" i="66"/>
  <c r="Y15" i="66" s="1"/>
  <c r="G14" i="66"/>
  <c r="W15" i="66" s="1"/>
  <c r="K14" i="61"/>
  <c r="E14" i="61"/>
  <c r="J14" i="61"/>
  <c r="Z15" i="61" s="1"/>
  <c r="F14" i="61"/>
  <c r="V15" i="61" s="1"/>
  <c r="I14" i="61"/>
  <c r="Y15" i="61" s="1"/>
  <c r="H14" i="61"/>
  <c r="X15" i="61" s="1"/>
  <c r="G14" i="61"/>
  <c r="W15" i="61" s="1"/>
  <c r="K14" i="59"/>
  <c r="H14" i="59"/>
  <c r="J14" i="59"/>
  <c r="E14" i="59"/>
  <c r="I14" i="59"/>
  <c r="G14" i="59"/>
  <c r="F14" i="59"/>
  <c r="K14" i="60"/>
  <c r="I14" i="60"/>
  <c r="J14" i="60"/>
  <c r="G14" i="60"/>
  <c r="F14" i="60"/>
  <c r="E14" i="60"/>
  <c r="H14" i="60"/>
  <c r="G14" i="26"/>
  <c r="E14" i="26"/>
  <c r="D14" i="26"/>
  <c r="K14" i="26"/>
  <c r="P14" i="25"/>
  <c r="N14" i="25"/>
  <c r="M14" i="25"/>
  <c r="T14" i="25"/>
  <c r="D14" i="25"/>
  <c r="T12" i="67" a="1"/>
  <c r="L12" i="67" a="1"/>
  <c r="L11" i="67" a="1"/>
  <c r="L10" i="67" a="1"/>
  <c r="L9" i="67" a="1"/>
  <c r="D9" i="67" a="1"/>
  <c r="L8" i="67" a="1"/>
  <c r="D8" i="67" a="1"/>
  <c r="L7" i="67" a="1"/>
  <c r="D7" i="67" a="1"/>
  <c r="D6" i="67" a="1"/>
  <c r="T5" i="67" a="1"/>
  <c r="L5" i="67" a="1"/>
  <c r="D5" i="67" a="1"/>
  <c r="T4" i="67" a="1"/>
  <c r="T3" i="67" a="1"/>
  <c r="L3" i="67" a="1"/>
  <c r="I4" i="23" a="1"/>
  <c r="H4" i="23" a="1"/>
  <c r="T12" i="67" l="1"/>
  <c r="L12" i="67"/>
  <c r="L11" i="67"/>
  <c r="L10" i="67"/>
  <c r="L9" i="67"/>
  <c r="D9" i="67"/>
  <c r="L8" i="67"/>
  <c r="D8" i="67"/>
  <c r="L7" i="67"/>
  <c r="D7" i="67"/>
  <c r="D6" i="67"/>
  <c r="T5" i="67"/>
  <c r="L5" i="67"/>
  <c r="D5" i="67"/>
  <c r="T4" i="67"/>
  <c r="T3" i="67"/>
  <c r="L3" i="67"/>
  <c r="H14" i="63"/>
  <c r="X15" i="63" s="1"/>
  <c r="I14" i="63"/>
  <c r="Y15" i="63" s="1"/>
  <c r="E14" i="63"/>
  <c r="G14" i="63"/>
  <c r="W15" i="63" s="1"/>
  <c r="F14" i="63"/>
  <c r="V15" i="63" s="1"/>
  <c r="J14" i="63"/>
  <c r="R15" i="63" s="1"/>
  <c r="K14" i="63"/>
  <c r="J14" i="62"/>
  <c r="Z15" i="62" s="1"/>
  <c r="F14" i="62"/>
  <c r="V15" i="62" s="1"/>
  <c r="H14" i="62"/>
  <c r="X15" i="62" s="1"/>
  <c r="I14" i="62"/>
  <c r="Y15" i="62" s="1"/>
  <c r="G14" i="62"/>
  <c r="W15" i="62" s="1"/>
  <c r="K14" i="62"/>
  <c r="E14" i="62"/>
  <c r="L15" i="57"/>
  <c r="I14" i="57"/>
  <c r="E14" i="57"/>
  <c r="U15" i="57" s="1"/>
  <c r="J14" i="57"/>
  <c r="J2" i="57" s="1"/>
  <c r="T15" i="57"/>
  <c r="F14" i="57"/>
  <c r="H14" i="57"/>
  <c r="H2" i="57" s="1"/>
  <c r="K14" i="57"/>
  <c r="L15" i="63"/>
  <c r="S14" i="63"/>
  <c r="R14" i="62"/>
  <c r="S14" i="62"/>
  <c r="Q14" i="62"/>
  <c r="L15" i="62"/>
  <c r="P14" i="62"/>
  <c r="M15" i="62"/>
  <c r="O15" i="65"/>
  <c r="P14" i="61"/>
  <c r="P15" i="61" s="1"/>
  <c r="R14" i="61"/>
  <c r="L15" i="61"/>
  <c r="O14" i="61"/>
  <c r="N15" i="65"/>
  <c r="O15" i="62"/>
  <c r="N15" i="63"/>
  <c r="F14" i="64"/>
  <c r="V15" i="64" s="1"/>
  <c r="T15" i="64"/>
  <c r="O15" i="63"/>
  <c r="Q15" i="65"/>
  <c r="L15" i="64"/>
  <c r="R15" i="65"/>
  <c r="Q15" i="63"/>
  <c r="P15" i="63"/>
  <c r="Q15" i="62"/>
  <c r="N15" i="66"/>
  <c r="P15" i="66"/>
  <c r="O15" i="66"/>
  <c r="M15" i="66"/>
  <c r="P15" i="65"/>
  <c r="Q15" i="66"/>
  <c r="R15" i="66"/>
  <c r="R15" i="61"/>
  <c r="M15" i="65"/>
  <c r="Q15" i="61"/>
  <c r="N15" i="61"/>
  <c r="M15" i="61"/>
  <c r="O15" i="61"/>
  <c r="R15" i="60"/>
  <c r="Z15" i="60"/>
  <c r="X15" i="60"/>
  <c r="P15" i="60"/>
  <c r="Y15" i="60"/>
  <c r="Q15" i="60"/>
  <c r="V15" i="60"/>
  <c r="N15" i="60"/>
  <c r="W15" i="60"/>
  <c r="O15" i="60"/>
  <c r="Q15" i="59"/>
  <c r="Y15" i="59"/>
  <c r="M15" i="59"/>
  <c r="U15" i="59"/>
  <c r="Z15" i="59"/>
  <c r="R15" i="59"/>
  <c r="V15" i="59"/>
  <c r="N15" i="59"/>
  <c r="O15" i="59"/>
  <c r="W15" i="59"/>
  <c r="X15" i="59"/>
  <c r="P15" i="59"/>
  <c r="H14" i="58"/>
  <c r="H2" i="58" s="1"/>
  <c r="T15" i="58"/>
  <c r="L15" i="58"/>
  <c r="Q15" i="57"/>
  <c r="Y15" i="57"/>
  <c r="P15" i="57"/>
  <c r="X15" i="57"/>
  <c r="O15" i="57"/>
  <c r="W15" i="57"/>
  <c r="N15" i="57"/>
  <c r="V15" i="57"/>
  <c r="R15" i="57"/>
  <c r="Z15" i="57"/>
  <c r="J2" i="60"/>
  <c r="M14" i="60"/>
  <c r="P14" i="60"/>
  <c r="O14" i="60"/>
  <c r="N14" i="60"/>
  <c r="R14" i="60"/>
  <c r="Q14" i="60"/>
  <c r="R14" i="58"/>
  <c r="Z2" i="58" s="1"/>
  <c r="M14" i="58"/>
  <c r="P14" i="58"/>
  <c r="O14" i="58"/>
  <c r="Q14" i="58"/>
  <c r="N14" i="58"/>
  <c r="AA14" i="64"/>
  <c r="W14" i="64"/>
  <c r="Z14" i="64"/>
  <c r="Z2" i="64" s="1"/>
  <c r="V14" i="64"/>
  <c r="X14" i="64"/>
  <c r="X2" i="64" s="1"/>
  <c r="Y14" i="64"/>
  <c r="X14" i="63"/>
  <c r="X2" i="63" s="1"/>
  <c r="AA14" i="63"/>
  <c r="Z2" i="63"/>
  <c r="V14" i="63"/>
  <c r="W14" i="63"/>
  <c r="Y14" i="63"/>
  <c r="U14" i="63"/>
  <c r="Y14" i="62"/>
  <c r="Z14" i="62"/>
  <c r="AA14" i="62"/>
  <c r="X14" i="62"/>
  <c r="X2" i="62" s="1"/>
  <c r="U14" i="62"/>
  <c r="W14" i="62"/>
  <c r="AA14" i="66"/>
  <c r="W14" i="66"/>
  <c r="X14" i="66"/>
  <c r="X2" i="66" s="1"/>
  <c r="Y14" i="66"/>
  <c r="U14" i="66"/>
  <c r="V14" i="66"/>
  <c r="U14" i="65"/>
  <c r="U15" i="65" s="1"/>
  <c r="AA14" i="65"/>
  <c r="X14" i="65"/>
  <c r="X2" i="65" s="1"/>
  <c r="V14" i="65"/>
  <c r="Z14" i="65"/>
  <c r="Z2" i="65" s="1"/>
  <c r="Y14" i="65"/>
  <c r="Y14" i="61"/>
  <c r="J14" i="64"/>
  <c r="Z14" i="61"/>
  <c r="Z2" i="61" s="1"/>
  <c r="X14" i="61"/>
  <c r="W14" i="61"/>
  <c r="H14" i="64"/>
  <c r="P15" i="64" s="1"/>
  <c r="I14" i="64"/>
  <c r="Y15" i="64" s="1"/>
  <c r="E14" i="64"/>
  <c r="G14" i="64"/>
  <c r="W15" i="64" s="1"/>
  <c r="K14" i="64"/>
  <c r="V14" i="61"/>
  <c r="U14" i="61"/>
  <c r="X2" i="59"/>
  <c r="P2" i="59"/>
  <c r="J2" i="59"/>
  <c r="P2" i="65"/>
  <c r="Z2" i="57"/>
  <c r="J2" i="66"/>
  <c r="X2" i="61"/>
  <c r="P2" i="61"/>
  <c r="R2" i="65"/>
  <c r="H2" i="66"/>
  <c r="E14" i="58"/>
  <c r="P2" i="60"/>
  <c r="X2" i="58"/>
  <c r="P2" i="63"/>
  <c r="F14" i="58"/>
  <c r="I14" i="58"/>
  <c r="G14" i="58"/>
  <c r="W14" i="60"/>
  <c r="AA14" i="60"/>
  <c r="U14" i="60"/>
  <c r="U15" i="60" s="1"/>
  <c r="Z14" i="60"/>
  <c r="Z2" i="60" s="1"/>
  <c r="X14" i="60"/>
  <c r="X2" i="60" s="1"/>
  <c r="V14" i="60"/>
  <c r="Y14" i="60"/>
  <c r="J2" i="61"/>
  <c r="J14" i="58"/>
  <c r="K14" i="58"/>
  <c r="R2" i="57"/>
  <c r="P2" i="57"/>
  <c r="H2" i="61"/>
  <c r="P2" i="66"/>
  <c r="H2" i="63"/>
  <c r="H2" i="59"/>
  <c r="R2" i="59"/>
  <c r="R2" i="61"/>
  <c r="H2" i="60"/>
  <c r="H2" i="65"/>
  <c r="R2" i="66"/>
  <c r="J2" i="65"/>
  <c r="R2" i="60"/>
  <c r="H4" i="23"/>
  <c r="I4" i="23"/>
  <c r="D12" i="67" a="1"/>
  <c r="T11" i="67" a="1"/>
  <c r="D11" i="67" a="1"/>
  <c r="T10" i="67" a="1"/>
  <c r="D10" i="67" a="1"/>
  <c r="T9" i="67" a="1"/>
  <c r="T8" i="67" a="1"/>
  <c r="T7" i="67" a="1"/>
  <c r="T6" i="67" a="1"/>
  <c r="L6" i="67" a="1"/>
  <c r="L4" i="67" a="1"/>
  <c r="D4" i="67" a="1"/>
  <c r="D3" i="67" a="1"/>
  <c r="G13" i="23" a="1"/>
  <c r="D7" i="23" a="1"/>
  <c r="F12" i="23" a="1"/>
  <c r="D12" i="23" a="1"/>
  <c r="E7" i="23" a="1"/>
  <c r="F9" i="23" a="1"/>
  <c r="E8" i="23" a="1"/>
  <c r="G9" i="23" a="1"/>
  <c r="D9" i="23" a="1"/>
  <c r="F10" i="23" a="1"/>
  <c r="E9" i="23" a="1"/>
  <c r="E12" i="23" a="1"/>
  <c r="E5" i="23" a="1"/>
  <c r="D8" i="23" a="1"/>
  <c r="G12" i="23" a="1"/>
  <c r="F11" i="23" a="1"/>
  <c r="G6" i="23" a="1"/>
  <c r="F4" i="23" a="1"/>
  <c r="D6" i="23" a="1"/>
  <c r="D13" i="23" a="1"/>
  <c r="F5" i="23" a="1"/>
  <c r="D10" i="23" a="1"/>
  <c r="E11" i="23" a="1"/>
  <c r="D11" i="23" a="1"/>
  <c r="E4" i="23" a="1"/>
  <c r="G11" i="23" a="1"/>
  <c r="G5" i="23" a="1"/>
  <c r="F6" i="23" a="1"/>
  <c r="G10" i="23" a="1"/>
  <c r="F13" i="23" a="1"/>
  <c r="E6" i="23" a="1"/>
  <c r="F8" i="23" a="1"/>
  <c r="G4" i="23" a="1"/>
  <c r="E13" i="23" a="1"/>
  <c r="G8" i="23" a="1"/>
  <c r="G7" i="23" a="1"/>
  <c r="F7" i="23" a="1"/>
  <c r="D4" i="23" a="1"/>
  <c r="E10" i="23" a="1"/>
  <c r="D5" i="23" a="1"/>
  <c r="D12" i="67" l="1"/>
  <c r="U15" i="64"/>
  <c r="T11" i="67"/>
  <c r="D11" i="67"/>
  <c r="U15" i="63"/>
  <c r="M15" i="63"/>
  <c r="T10" i="67"/>
  <c r="D10" i="67"/>
  <c r="U15" i="62"/>
  <c r="T9" i="67"/>
  <c r="U15" i="66"/>
  <c r="T8" i="67"/>
  <c r="T7" i="67"/>
  <c r="U15" i="61"/>
  <c r="T6" i="67"/>
  <c r="L6" i="67"/>
  <c r="M15" i="60"/>
  <c r="L4" i="67"/>
  <c r="D4" i="67"/>
  <c r="D3" i="67"/>
  <c r="M15" i="57"/>
  <c r="J2" i="63"/>
  <c r="Z15" i="63"/>
  <c r="R2" i="63"/>
  <c r="P15" i="62"/>
  <c r="N15" i="62"/>
  <c r="H2" i="62"/>
  <c r="P2" i="62"/>
  <c r="R15" i="62"/>
  <c r="R2" i="62"/>
  <c r="J2" i="62"/>
  <c r="Z2" i="62"/>
  <c r="N15" i="64"/>
  <c r="Q15" i="64"/>
  <c r="O15" i="64"/>
  <c r="H2" i="64"/>
  <c r="X15" i="64"/>
  <c r="J2" i="64"/>
  <c r="Z15" i="64"/>
  <c r="R15" i="64"/>
  <c r="M15" i="64"/>
  <c r="P2" i="58"/>
  <c r="U15" i="58"/>
  <c r="M15" i="58"/>
  <c r="V15" i="58"/>
  <c r="N15" i="58"/>
  <c r="Z15" i="58"/>
  <c r="R15" i="58"/>
  <c r="W15" i="58"/>
  <c r="O15" i="58"/>
  <c r="Q15" i="58"/>
  <c r="Y15" i="58"/>
  <c r="X15" i="58"/>
  <c r="P15" i="58"/>
  <c r="R2" i="58"/>
  <c r="P2" i="64"/>
  <c r="R2" i="64"/>
  <c r="J2" i="58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T13" i="67" l="1"/>
  <c r="T16" i="67" s="1"/>
  <c r="L13" i="67"/>
  <c r="L16" i="67" s="1"/>
  <c r="D13" i="67"/>
  <c r="D16" i="67" s="1"/>
  <c r="T14" i="67" l="1"/>
  <c r="L14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<sst xmlns="http://schemas.openxmlformats.org/spreadsheetml/2006/main" count="677" uniqueCount="22">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</sst>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2318-6F31-4527-80B0-25F9A0B95CFD}">
  <dimension ref="B2:Z16"/>
  <sheetViews>
    <sheetView topLeftCell="N1" zoomScale="85" zoomScaleNormal="85" workbookViewId="0">
      <selection activeCell="N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113</v>
      </c>
      <c r="C3" s="5" cm="1">
        <f t="array" aca="1" ref="C3" ca="1">INDIRECT("'results" &amp; $B3 &amp; "'!D$14")</f>
        <v>1699204.717511208</v>
      </c>
      <c r="D3" s="33" cm="1">
        <f t="array" aca="1" ref="D3" ca="1">INDIRECT("'results" &amp; $B3 &amp; "'!E$14")</f>
        <v>526.32237655000051</v>
      </c>
      <c r="E3" s="5" cm="1">
        <f t="array" aca="1" ref="E3" ca="1">INDIRECT("'results" &amp; $B3 &amp; "'!F$14")</f>
        <v>16</v>
      </c>
      <c r="F3" s="5" cm="1">
        <f t="array" aca="1" ref="F3" ca="1">INDIRECT("'results" &amp; $B3 &amp; "'!G$14")</f>
        <v>94.5</v>
      </c>
      <c r="G3" s="5" cm="1">
        <f t="array" aca="1" ref="G3" ca="1">INDIRECT("'results" &amp; $B3 &amp; "'!H$14")</f>
        <v>890.97755787601352</v>
      </c>
      <c r="H3" s="33" cm="1">
        <f t="array" aca="1" ref="H3" ca="1">INDIRECT("'results" &amp; $B3 &amp; "'!I$14")</f>
        <v>43.006330625965333</v>
      </c>
      <c r="I3" s="5" cm="1">
        <f t="array" aca="1" ref="I3" ca="1">INDIRECT("'results" &amp; $B3 &amp; "'!J$14")</f>
        <v>5970.3279375984157</v>
      </c>
      <c r="J3" s="5"/>
      <c r="K3" s="5" cm="1">
        <f t="array" aca="1" ref="K3" ca="1">INDIRECT("'results" &amp; $B3 &amp; "'!L$14")</f>
        <v>2174979.1625583689</v>
      </c>
      <c r="L3" s="5" cm="1">
        <f t="array" aca="1" ref="L3" ca="1">INDIRECT("'results" &amp; $B3 &amp; "'!M$14")</f>
        <v>806.86259164998751</v>
      </c>
      <c r="M3" s="5" cm="1">
        <f t="array" aca="1" ref="M3" ca="1">INDIRECT("'results" &amp; $B3 &amp; "'!N$14")</f>
        <v>24</v>
      </c>
      <c r="N3" s="5" cm="1">
        <f t="array" aca="1" ref="N3" ca="1">INDIRECT("'results" &amp; $B3 &amp; "'!O$14")</f>
        <v>74.5</v>
      </c>
      <c r="O3" s="5" cm="1">
        <f t="array" aca="1" ref="O3" ca="1">INDIRECT("'results" &amp; $B3 &amp; "'!P$14")</f>
        <v>452.44311186916121</v>
      </c>
      <c r="P3" s="5" cm="1">
        <f t="array" aca="1" ref="P3" ca="1">INDIRECT("'results" &amp; $B3 &amp; "'!Q$14")</f>
        <v>20.846199412992192</v>
      </c>
      <c r="Q3" s="5" cm="1">
        <f t="array" aca="1" ref="Q3" ca="1">INDIRECT("'results" &amp; $B3 &amp; "'!R$14")</f>
        <v>4815.2834485655776</v>
      </c>
      <c r="R3" s="5"/>
      <c r="S3" s="5" cm="1">
        <f t="array" aca="1" ref="S3" ca="1">INDIRECT("'results" &amp; $B3 &amp; "'!T$14")</f>
        <v>2268427.828153952</v>
      </c>
      <c r="T3" s="5" cm="1">
        <f t="array" aca="1" ref="T3" ca="1">INDIRECT("'results" &amp; $B3 &amp; "'!U$14")</f>
        <v>519.75459555000998</v>
      </c>
      <c r="U3" s="5" cm="1">
        <f t="array" aca="1" ref="U3" ca="1">INDIRECT("'results" &amp; $B3 &amp; "'!V$14")</f>
        <v>17</v>
      </c>
      <c r="V3" s="5" cm="1">
        <f t="array" aca="1" ref="V3" ca="1">INDIRECT("'results" &amp; $B3 &amp; "'!W$14")</f>
        <v>75.5</v>
      </c>
      <c r="W3" s="5" cm="1">
        <f t="array" aca="1" ref="W3" ca="1">INDIRECT("'results" &amp; $B3 &amp; "'!X$14")</f>
        <v>1074.9395735919591</v>
      </c>
      <c r="X3" s="5" cm="1">
        <f t="array" aca="1" ref="X3" ca="1">INDIRECT("'results" &amp; $B3 &amp; "'!Y$14")</f>
        <v>48.670687148983603</v>
      </c>
      <c r="Y3" s="5" cm="1">
        <f t="array" aca="1" ref="Y3" ca="1">INDIRECT("'results" &amp; $B3 &amp; "'!Z$14")</f>
        <v>6423.0604980991411</v>
      </c>
      <c r="Z3" s="5"/>
    </row>
    <row r="4" spans="2:26" x14ac:dyDescent="0.2">
      <c r="B4" s="4">
        <v>166</v>
      </c>
      <c r="C4" s="5" cm="1">
        <f t="array" aca="1" ref="C4" ca="1">INDIRECT("'results" &amp; $B4 &amp; "'!D$14")</f>
        <v>1549576.5351816751</v>
      </c>
      <c r="D4" s="33" cm="1">
        <f t="array" aca="1" ref="D4" ca="1">INDIRECT("'results" &amp; $B4 &amp; "'!E$14")</f>
        <v>650.982805549982</v>
      </c>
      <c r="E4" s="5" cm="1">
        <f t="array" aca="1" ref="E4" ca="1">INDIRECT("'results" &amp; $B4 &amp; "'!F$14")</f>
        <v>15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552.76654927832635</v>
      </c>
      <c r="H4" s="33" cm="1">
        <f t="array" aca="1" ref="H4" ca="1">INDIRECT("'results" &amp; $B4 &amp; "'!I$14")</f>
        <v>37.795747386526521</v>
      </c>
      <c r="I4" s="5" cm="1">
        <f t="array" aca="1" ref="I4" ca="1">INDIRECT("'results" &amp; $B4 &amp; "'!J$14")</f>
        <v>5682.5448750378464</v>
      </c>
      <c r="J4" s="5"/>
      <c r="K4" s="5" cm="1">
        <f t="array" aca="1" ref="K4" ca="1">INDIRECT("'results" &amp; $B4 &amp; "'!L$14")</f>
        <v>2009403.127134728</v>
      </c>
      <c r="L4" s="5" cm="1">
        <f t="array" aca="1" ref="L4" ca="1">INDIRECT("'results" &amp; $B4 &amp; "'!M$14")</f>
        <v>532.72212150000246</v>
      </c>
      <c r="M4" s="5" cm="1">
        <f t="array" aca="1" ref="M4" ca="1">INDIRECT("'results" &amp; $B4 &amp; "'!N$14")</f>
        <v>30</v>
      </c>
      <c r="N4" s="5" cm="1">
        <f t="array" aca="1" ref="N4" ca="1">INDIRECT("'results" &amp; $B4 &amp; "'!O$14")</f>
        <v>87</v>
      </c>
      <c r="O4" s="5" cm="1">
        <f t="array" aca="1" ref="O4" ca="1">INDIRECT("'results" &amp; $B4 &amp; "'!P$14")</f>
        <v>605.77684945290548</v>
      </c>
      <c r="P4" s="5" cm="1">
        <f t="array" aca="1" ref="P4" ca="1">INDIRECT("'results" &amp; $B4 &amp; "'!Q$14")</f>
        <v>16.840135510888821</v>
      </c>
      <c r="Q4" s="5" cm="1">
        <f t="array" aca="1" ref="Q4" ca="1">INDIRECT("'results" &amp; $B4 &amp; "'!R$14")</f>
        <v>5165.9806496388946</v>
      </c>
      <c r="R4" s="5"/>
      <c r="S4" s="5" cm="1">
        <f t="array" aca="1" ref="S4" ca="1">INDIRECT("'results" &amp; $B4 &amp; "'!T$14")</f>
        <v>2161748.1339857178</v>
      </c>
      <c r="T4" s="5" cm="1">
        <f t="array" aca="1" ref="T4" ca="1">INDIRECT("'results" &amp; $B4 &amp; "'!U$14")</f>
        <v>595.82538345002104</v>
      </c>
      <c r="U4" s="5" cm="1">
        <f t="array" aca="1" ref="U4" ca="1">INDIRECT("'results" &amp; $B4 &amp; "'!V$14")</f>
        <v>18</v>
      </c>
      <c r="V4" s="5" cm="1">
        <f t="array" aca="1" ref="V4" ca="1">INDIRECT("'results" &amp; $B4 &amp; "'!W$14")</f>
        <v>82.5</v>
      </c>
      <c r="W4" s="5" cm="1">
        <f t="array" aca="1" ref="W4" ca="1">INDIRECT("'results" &amp; $B4 &amp; "'!X$14")</f>
        <v>1197.5936009744853</v>
      </c>
      <c r="X4" s="5" cm="1">
        <f t="array" aca="1" ref="X4" ca="1">INDIRECT("'results" &amp; $B4 &amp; "'!Y$14")</f>
        <v>42.952525631004548</v>
      </c>
      <c r="Y4" s="5" cm="1">
        <f t="array" aca="1" ref="Y4" ca="1">INDIRECT("'results" &amp; $B4 &amp; "'!Z$14")</f>
        <v>6636.5283211043397</v>
      </c>
      <c r="Z4" s="5"/>
    </row>
    <row r="5" spans="2:26" x14ac:dyDescent="0.2">
      <c r="B5" s="4">
        <v>168</v>
      </c>
      <c r="C5" s="5" cm="1">
        <f t="array" aca="1" ref="C5" ca="1">INDIRECT("'results" &amp; $B5 &amp; "'!D$14")</f>
        <v>1786004.0937027161</v>
      </c>
      <c r="D5" s="33" cm="1">
        <f t="array" aca="1" ref="D5" ca="1">INDIRECT("'results" &amp; $B5 &amp; "'!E$14")</f>
        <v>625.5659301499835</v>
      </c>
      <c r="E5" s="5" cm="1">
        <f t="array" aca="1" ref="E5" ca="1">INDIRECT("'results" &amp; $B5 &amp; "'!F$14")</f>
        <v>15</v>
      </c>
      <c r="F5" s="5" cm="1">
        <f t="array" aca="1" ref="F5" ca="1">INDIRECT("'results" &amp; $B5 &amp; "'!G$14")</f>
        <v>93</v>
      </c>
      <c r="G5" s="5" cm="1">
        <f t="array" aca="1" ref="G5" ca="1">INDIRECT("'results" &amp; $B5 &amp; "'!H$14")</f>
        <v>960.55760066099003</v>
      </c>
      <c r="H5" s="33" cm="1">
        <f t="array" aca="1" ref="H5" ca="1">INDIRECT("'results" &amp; $B5 &amp; "'!I$14")</f>
        <v>39.442294889938019</v>
      </c>
      <c r="I5" s="5" cm="1">
        <f t="array" aca="1" ref="I5" ca="1">INDIRECT("'results" &amp; $B5 &amp; "'!J$14")</f>
        <v>6076.7465258180819</v>
      </c>
      <c r="J5" s="5"/>
      <c r="K5" s="5" cm="1">
        <f t="array" aca="1" ref="K5" ca="1">INDIRECT("'results" &amp; $B5 &amp; "'!L$14")</f>
        <v>2142464.9915980352</v>
      </c>
      <c r="L5" s="5" cm="1">
        <f t="array" aca="1" ref="L5" ca="1">INDIRECT("'results" &amp; $B5 &amp; "'!M$14")</f>
        <v>627.58991545002198</v>
      </c>
      <c r="M5" s="5" cm="1">
        <f t="array" aca="1" ref="M5" ca="1">INDIRECT("'results" &amp; $B5 &amp; "'!N$14")</f>
        <v>28</v>
      </c>
      <c r="N5" s="5" cm="1">
        <f t="array" aca="1" ref="N5" ca="1">INDIRECT("'results" &amp; $B5 &amp; "'!O$14")</f>
        <v>83</v>
      </c>
      <c r="O5" s="5" cm="1">
        <f t="array" aca="1" ref="O5" ca="1">INDIRECT("'results" &amp; $B5 &amp; "'!P$14")</f>
        <v>714.2359189496226</v>
      </c>
      <c r="P5" s="5" cm="1">
        <f t="array" aca="1" ref="P5" ca="1">INDIRECT("'results" &amp; $B5 &amp; "'!Q$14")</f>
        <v>18.455908484730735</v>
      </c>
      <c r="Q5" s="5" cm="1">
        <f t="array" aca="1" ref="Q5" ca="1">INDIRECT("'results" &amp; $B5 &amp; "'!R$14")</f>
        <v>5266.255970641284</v>
      </c>
      <c r="R5" s="5"/>
      <c r="S5" s="5" cm="1">
        <f t="array" aca="1" ref="S5" ca="1">INDIRECT("'results" &amp; $B5 &amp; "'!T$14")</f>
        <v>2361995.0750325122</v>
      </c>
      <c r="T5" s="5" cm="1">
        <f t="array" aca="1" ref="T5" ca="1">INDIRECT("'results" &amp; $B5 &amp; "'!U$14")</f>
        <v>454.4633211500186</v>
      </c>
      <c r="U5" s="5" cm="1">
        <f t="array" aca="1" ref="U5" ca="1">INDIRECT("'results" &amp; $B5 &amp; "'!V$14")</f>
        <v>15</v>
      </c>
      <c r="V5" s="5" cm="1">
        <f t="array" aca="1" ref="V5" ca="1">INDIRECT("'results" &amp; $B5 &amp; "'!W$14")</f>
        <v>73.5</v>
      </c>
      <c r="W5" s="5" cm="1">
        <f t="array" aca="1" ref="W5" ca="1">INDIRECT("'results" &amp; $B5 &amp; "'!X$14")</f>
        <v>1245.8248913821649</v>
      </c>
      <c r="X5" s="5" cm="1">
        <f t="array" aca="1" ref="X5" ca="1">INDIRECT("'results" &amp; $B5 &amp; "'!Y$14")</f>
        <v>46.802953984345272</v>
      </c>
      <c r="Y5" s="5" cm="1">
        <f t="array" aca="1" ref="Y5" ca="1">INDIRECT("'results" &amp; $B5 &amp; "'!Z$14")</f>
        <v>6596.9048168282043</v>
      </c>
      <c r="Z5" s="5"/>
    </row>
    <row r="6" spans="2:26" x14ac:dyDescent="0.2">
      <c r="B6" s="4">
        <v>206</v>
      </c>
      <c r="C6" s="5" cm="1">
        <f t="array" aca="1" ref="C6" ca="1">INDIRECT("'results" &amp; $B6 &amp; "'!D$14")</f>
        <v>1730613.535045285</v>
      </c>
      <c r="D6" s="33" cm="1">
        <f t="array" aca="1" ref="D6" ca="1">INDIRECT("'results" &amp; $B6 &amp; "'!E$14")</f>
        <v>1291.2548230999964</v>
      </c>
      <c r="E6" s="5" cm="1">
        <f t="array" aca="1" ref="E6" ca="1">INDIRECT("'results" &amp; $B6 &amp; "'!F$14")</f>
        <v>18</v>
      </c>
      <c r="F6" s="5" cm="1">
        <f t="array" aca="1" ref="F6" ca="1">INDIRECT("'results" &amp; $B6 &amp; "'!G$14")</f>
        <v>96.5</v>
      </c>
      <c r="G6" s="5" cm="1">
        <f t="array" aca="1" ref="G6" ca="1">INDIRECT("'results" &amp; $B6 &amp; "'!H$14")</f>
        <v>916.7727989633928</v>
      </c>
      <c r="H6" s="33" cm="1">
        <f t="array" aca="1" ref="H6" ca="1">INDIRECT("'results" &amp; $B6 &amp; "'!I$14")</f>
        <v>40.282405803394482</v>
      </c>
      <c r="I6" s="5" cm="1">
        <f t="array" aca="1" ref="I6" ca="1">INDIRECT("'results" &amp; $B6 &amp; "'!J$14")</f>
        <v>6177.1700184178453</v>
      </c>
      <c r="J6" s="5"/>
      <c r="K6" s="5" cm="1">
        <f t="array" aca="1" ref="K6" ca="1">INDIRECT("'results" &amp; $B6 &amp; "'!L$14")</f>
        <v>2152215.215596159</v>
      </c>
      <c r="L6" s="5" cm="1">
        <f t="array" aca="1" ref="L6" ca="1">INDIRECT("'results" &amp; $B6 &amp; "'!M$14")</f>
        <v>853.21863199997449</v>
      </c>
      <c r="M6" s="5" cm="1">
        <f t="array" aca="1" ref="M6" ca="1">INDIRECT("'results" &amp; $B6 &amp; "'!N$14")</f>
        <v>25</v>
      </c>
      <c r="N6" s="5" cm="1">
        <f t="array" aca="1" ref="N6" ca="1">INDIRECT("'results" &amp; $B6 &amp; "'!O$14")</f>
        <v>79</v>
      </c>
      <c r="O6" s="5" cm="1">
        <f t="array" aca="1" ref="O6" ca="1">INDIRECT("'results" &amp; $B6 &amp; "'!P$14")</f>
        <v>630.52527235448895</v>
      </c>
      <c r="P6" s="5" cm="1">
        <f t="array" aca="1" ref="P6" ca="1">INDIRECT("'results" &amp; $B6 &amp; "'!Q$14")</f>
        <v>22.376196578571413</v>
      </c>
      <c r="Q6" s="5" cm="1">
        <f t="array" aca="1" ref="Q6" ca="1">INDIRECT("'results" &amp; $B6 &amp; "'!R$14")</f>
        <v>5224.339355830286</v>
      </c>
      <c r="R6" s="5"/>
      <c r="S6" s="5" cm="1">
        <f t="array" aca="1" ref="S6" ca="1">INDIRECT("'results" &amp; $B6 &amp; "'!T$14")</f>
        <v>2286230.923785551</v>
      </c>
      <c r="T6" s="5" cm="1">
        <f t="array" aca="1" ref="T6" ca="1">INDIRECT("'results" &amp; $B6 &amp; "'!U$14")</f>
        <v>901.64890734999801</v>
      </c>
      <c r="U6" s="5" cm="1">
        <f t="array" aca="1" ref="U6" ca="1">INDIRECT("'results" &amp; $B6 &amp; "'!V$14")</f>
        <v>15</v>
      </c>
      <c r="V6" s="5" cm="1">
        <f t="array" aca="1" ref="V6" ca="1">INDIRECT("'results" &amp; $B6 &amp; "'!W$14")</f>
        <v>74</v>
      </c>
      <c r="W6" s="5" cm="1">
        <f t="array" aca="1" ref="W6" ca="1">INDIRECT("'results" &amp; $B6 &amp; "'!X$14")</f>
        <v>1094.1456348948145</v>
      </c>
      <c r="X6" s="5" cm="1">
        <f t="array" aca="1" ref="X6" ca="1">INDIRECT("'results" &amp; $B6 &amp; "'!Y$14")</f>
        <v>51.65977981529565</v>
      </c>
      <c r="Y6" s="5" cm="1">
        <f t="array" aca="1" ref="Y6" ca="1">INDIRECT("'results" &amp; $B6 &amp; "'!Z$14")</f>
        <v>6446.0960097163497</v>
      </c>
      <c r="Z6" s="5"/>
    </row>
    <row r="7" spans="2:26" x14ac:dyDescent="0.2">
      <c r="B7" s="4">
        <v>346</v>
      </c>
      <c r="C7" s="5" cm="1">
        <f t="array" aca="1" ref="C7" ca="1">INDIRECT("'results" &amp; $B7 &amp; "'!D$14")</f>
        <v>1982536.780908064</v>
      </c>
      <c r="D7" s="33" cm="1">
        <f t="array" aca="1" ref="D7" ca="1">INDIRECT("'results" &amp; $B7 &amp; "'!E$14")</f>
        <v>537.45613225002296</v>
      </c>
      <c r="E7" s="5" cm="1">
        <f t="array" aca="1" ref="E7" ca="1">INDIRECT("'results" &amp; $B7 &amp; "'!F$14")</f>
        <v>18</v>
      </c>
      <c r="F7" s="5" cm="1">
        <f t="array" aca="1" ref="F7" ca="1">INDIRECT("'results" &amp; $B7 &amp; "'!G$14")</f>
        <v>92.5</v>
      </c>
      <c r="G7" s="5" cm="1">
        <f t="array" aca="1" ref="G7" ca="1">INDIRECT("'results" &amp; $B7 &amp; "'!H$14")</f>
        <v>1310.3020282819302</v>
      </c>
      <c r="H7" s="33" cm="1">
        <f t="array" aca="1" ref="H7" ca="1">INDIRECT("'results" &amp; $B7 &amp; "'!I$14")</f>
        <v>39.876240610677222</v>
      </c>
      <c r="I7" s="5" cm="1">
        <f t="array" aca="1" ref="I7" ca="1">INDIRECT("'results" &amp; $B7 &amp; "'!J$14")</f>
        <v>6705.8571349574249</v>
      </c>
      <c r="J7" s="5"/>
      <c r="K7" s="5" cm="1">
        <f t="array" aca="1" ref="K7" ca="1">INDIRECT("'results" &amp; $B7 &amp; "'!L$14")</f>
        <v>2455366.9326103171</v>
      </c>
      <c r="L7" s="5" cm="1">
        <f t="array" aca="1" ref="L7" ca="1">INDIRECT("'results" &amp; $B7 &amp; "'!M$14")</f>
        <v>1369.0280061999799</v>
      </c>
      <c r="M7" s="5" cm="1">
        <f t="array" aca="1" ref="M7" ca="1">INDIRECT("'results" &amp; $B7 &amp; "'!N$14")</f>
        <v>31</v>
      </c>
      <c r="N7" s="5" cm="1">
        <f t="array" aca="1" ref="N7" ca="1">INDIRECT("'results" &amp; $B7 &amp; "'!O$14")</f>
        <v>77.5</v>
      </c>
      <c r="O7" s="5" cm="1">
        <f t="array" aca="1" ref="O7" ca="1">INDIRECT("'results" &amp; $B7 &amp; "'!P$14")</f>
        <v>1014.7799967923185</v>
      </c>
      <c r="P7" s="5" cm="1">
        <f t="array" aca="1" ref="P7" ca="1">INDIRECT("'results" &amp; $B7 &amp; "'!Q$14")</f>
        <v>17.857186838193389</v>
      </c>
      <c r="Q7" s="5" cm="1">
        <f t="array" aca="1" ref="Q7" ca="1">INDIRECT("'results" &amp; $B7 &amp; "'!R$14")</f>
        <v>5807.4174632117338</v>
      </c>
      <c r="R7" s="5"/>
      <c r="S7" s="5" cm="1">
        <f t="array" aca="1" ref="S7" ca="1">INDIRECT("'results" &amp; $B7 &amp; "'!T$14")</f>
        <v>2666621.707163299</v>
      </c>
      <c r="T7" s="5" cm="1">
        <f t="array" aca="1" ref="T7" ca="1">INDIRECT("'results" &amp; $B7 &amp; "'!U$14")</f>
        <v>578.87687155001902</v>
      </c>
      <c r="U7" s="5" cm="1">
        <f t="array" aca="1" ref="U7" ca="1">INDIRECT("'results" &amp; $B7 &amp; "'!V$14")</f>
        <v>16</v>
      </c>
      <c r="V7" s="5" cm="1">
        <f t="array" aca="1" ref="V7" ca="1">INDIRECT("'results" &amp; $B7 &amp; "'!W$14")</f>
        <v>63</v>
      </c>
      <c r="W7" s="5" cm="1">
        <f t="array" aca="1" ref="W7" ca="1">INDIRECT("'results" &amp; $B7 &amp; "'!X$14")</f>
        <v>1376.561417486422</v>
      </c>
      <c r="X7" s="5" cm="1">
        <f t="array" aca="1" ref="X7" ca="1">INDIRECT("'results" &amp; $B7 &amp; "'!Y$14")</f>
        <v>44.63169357402812</v>
      </c>
      <c r="Y7" s="5" cm="1">
        <f t="array" aca="1" ref="Y7" ca="1">INDIRECT("'results" &amp; $B7 &amp; "'!Z$14")</f>
        <v>6901.1111407369008</v>
      </c>
      <c r="Z7" s="5"/>
    </row>
    <row r="8" spans="2:26" x14ac:dyDescent="0.2">
      <c r="B8" s="4">
        <v>486</v>
      </c>
      <c r="C8" s="5" cm="1">
        <f t="array" aca="1" ref="C8" ca="1">INDIRECT("'results" &amp; $B8 &amp; "'!D$14")</f>
        <v>1866541.845344604</v>
      </c>
      <c r="D8" s="33" cm="1">
        <f t="array" aca="1" ref="D8" ca="1">INDIRECT("'results" &amp; $B8 &amp; "'!E$14")</f>
        <v>993.66881810000655</v>
      </c>
      <c r="E8" s="5" cm="1">
        <f t="array" aca="1" ref="E8" ca="1">INDIRECT("'results" &amp; $B8 &amp; "'!F$14")</f>
        <v>17</v>
      </c>
      <c r="F8" s="5" cm="1">
        <f t="array" aca="1" ref="F8" ca="1">INDIRECT("'results" &amp; $B8 &amp; "'!G$14")</f>
        <v>93.5</v>
      </c>
      <c r="G8" s="5" cm="1">
        <f t="array" aca="1" ref="G8" ca="1">INDIRECT("'results" &amp; $B8 &amp; "'!H$14")</f>
        <v>1208.0630256648403</v>
      </c>
      <c r="H8" s="33" cm="1">
        <f t="array" aca="1" ref="H8" ca="1">INDIRECT("'results" &amp; $B8 &amp; "'!I$14")</f>
        <v>46.559229095061831</v>
      </c>
      <c r="I8" s="5" cm="1">
        <f t="array" aca="1" ref="I8" ca="1">INDIRECT("'results" &amp; $B8 &amp; "'!J$14")</f>
        <v>6559.9571576030476</v>
      </c>
      <c r="J8" s="5"/>
      <c r="K8" s="5" cm="1">
        <f t="array" aca="1" ref="K8" ca="1">INDIRECT("'results" &amp; $B8 &amp; "'!L$14")</f>
        <v>2336918.1049553282</v>
      </c>
      <c r="L8" s="5" cm="1">
        <f t="array" aca="1" ref="L8" ca="1">INDIRECT("'results" &amp; $B8 &amp; "'!M$14")</f>
        <v>707.21005714999046</v>
      </c>
      <c r="M8" s="5" cm="1">
        <f t="array" aca="1" ref="M8" ca="1">INDIRECT("'results" &amp; $B8 &amp; "'!N$14")</f>
        <v>29</v>
      </c>
      <c r="N8" s="5" cm="1">
        <f t="array" aca="1" ref="N8" ca="1">INDIRECT("'results" &amp; $B8 &amp; "'!O$14")</f>
        <v>76</v>
      </c>
      <c r="O8" s="5" cm="1">
        <f t="array" aca="1" ref="O8" ca="1">INDIRECT("'results" &amp; $B8 &amp; "'!P$14")</f>
        <v>806.66193565926505</v>
      </c>
      <c r="P8" s="5" cm="1">
        <f t="array" aca="1" ref="P8" ca="1">INDIRECT("'results" &amp; $B8 &amp; "'!Q$14")</f>
        <v>20.802312307402648</v>
      </c>
      <c r="Q8" s="5" cm="1">
        <f t="array" aca="1" ref="Q8" ca="1">INDIRECT("'results" &amp; $B8 &amp; "'!R$14")</f>
        <v>5379.7000384456296</v>
      </c>
      <c r="R8" s="5"/>
      <c r="S8" s="5" cm="1">
        <f t="array" aca="1" ref="S8" ca="1">INDIRECT("'results" &amp; $B8 &amp; "'!T$14")</f>
        <v>2512003.1431724629</v>
      </c>
      <c r="T8" s="5" cm="1">
        <f t="array" aca="1" ref="T8" ca="1">INDIRECT("'results" &amp; $B8 &amp; "'!U$14")</f>
        <v>733.66117395000754</v>
      </c>
      <c r="U8" s="5" cm="1">
        <f t="array" aca="1" ref="U8" ca="1">INDIRECT("'results" &amp; $B8 &amp; "'!V$14")</f>
        <v>17</v>
      </c>
      <c r="V8" s="5" cm="1">
        <f t="array" aca="1" ref="V8" ca="1">INDIRECT("'results" &amp; $B8 &amp; "'!W$14")</f>
        <v>68.5</v>
      </c>
      <c r="W8" s="5" cm="1">
        <f t="array" aca="1" ref="W8" ca="1">INDIRECT("'results" &amp; $B8 &amp; "'!X$14")</f>
        <v>1437.7129739424106</v>
      </c>
      <c r="X8" s="5" cm="1">
        <f t="array" aca="1" ref="X8" ca="1">INDIRECT("'results" &amp; $B8 &amp; "'!Y$14")</f>
        <v>51.724026385572756</v>
      </c>
      <c r="Y8" s="5" cm="1">
        <f t="array" aca="1" ref="Y8" ca="1">INDIRECT("'results" &amp; $B8 &amp; "'!Z$14")</f>
        <v>6950.2327043138212</v>
      </c>
      <c r="Z8" s="5"/>
    </row>
    <row r="9" spans="2:26" x14ac:dyDescent="0.2">
      <c r="B9" s="4">
        <v>505</v>
      </c>
      <c r="C9" s="5" cm="1">
        <f t="array" aca="1" ref="C9" ca="1">INDIRECT("'results" &amp; $B9 &amp; "'!D$14")</f>
        <v>1571019.5803433729</v>
      </c>
      <c r="D9" s="33" cm="1">
        <f t="array" aca="1" ref="D9" ca="1">INDIRECT("'results" &amp; $B9 &amp; "'!E$14")</f>
        <v>670.86397159996</v>
      </c>
      <c r="E9" s="5" cm="1">
        <f t="array" aca="1" ref="E9" ca="1">INDIRECT("'results" &amp; $B9 &amp; "'!F$14")</f>
        <v>17</v>
      </c>
      <c r="F9" s="5" cm="1">
        <f t="array" aca="1" ref="F9" ca="1">INDIRECT("'results" &amp; $B9 &amp; "'!G$14")</f>
        <v>98</v>
      </c>
      <c r="G9" s="5" cm="1">
        <f t="array" aca="1" ref="G9" ca="1">INDIRECT("'results" &amp; $B9 &amp; "'!H$14")</f>
        <v>694.42584703842306</v>
      </c>
      <c r="H9" s="33" cm="1">
        <f t="array" aca="1" ref="H9" ca="1">INDIRECT("'results" &amp; $B9 &amp; "'!I$14")</f>
        <v>42.282384448406738</v>
      </c>
      <c r="I9" s="5" cm="1">
        <f t="array" aca="1" ref="I9" ca="1">INDIRECT("'results" &amp; $B9 &amp; "'!J$14")</f>
        <v>5889.4939617655127</v>
      </c>
      <c r="J9" s="5"/>
      <c r="K9" s="5" cm="1">
        <f t="array" aca="1" ref="K9" ca="1">INDIRECT("'results" &amp; $B9 &amp; "'!L$14")</f>
        <v>2136770.6192312888</v>
      </c>
      <c r="L9" s="5" cm="1">
        <f t="array" aca="1" ref="L9" ca="1">INDIRECT("'results" &amp; $B9 &amp; "'!M$14")</f>
        <v>799.90350705001049</v>
      </c>
      <c r="M9" s="5" cm="1">
        <f t="array" aca="1" ref="M9" ca="1">INDIRECT("'results" &amp; $B9 &amp; "'!N$14")</f>
        <v>32</v>
      </c>
      <c r="N9" s="5" cm="1">
        <f t="array" aca="1" ref="N9" ca="1">INDIRECT("'results" &amp; $B9 &amp; "'!O$14")</f>
        <v>83.5</v>
      </c>
      <c r="O9" s="5" cm="1">
        <f t="array" aca="1" ref="O9" ca="1">INDIRECT("'results" &amp; $B9 &amp; "'!P$14")</f>
        <v>614.10394588824238</v>
      </c>
      <c r="P9" s="5" cm="1">
        <f t="array" aca="1" ref="P9" ca="1">INDIRECT("'results" &amp; $B9 &amp; "'!Q$14")</f>
        <v>18.518459407201203</v>
      </c>
      <c r="Q9" s="5" cm="1">
        <f t="array" aca="1" ref="Q9" ca="1">INDIRECT("'results" &amp; $B9 &amp; "'!R$14")</f>
        <v>5136.9185429376648</v>
      </c>
      <c r="R9" s="5"/>
      <c r="S9" s="5" cm="1">
        <f t="array" aca="1" ref="S9" ca="1">INDIRECT("'results" &amp; $B9 &amp; "'!T$14")</f>
        <v>2200061.7079321081</v>
      </c>
      <c r="T9" s="5" cm="1">
        <f t="array" aca="1" ref="T9" ca="1">INDIRECT("'results" &amp; $B9 &amp; "'!U$14")</f>
        <v>1144.160197549965</v>
      </c>
      <c r="U9" s="5" cm="1">
        <f t="array" aca="1" ref="U9" ca="1">INDIRECT("'results" &amp; $B9 &amp; "'!V$14")</f>
        <v>17</v>
      </c>
      <c r="V9" s="5" cm="1">
        <f t="array" aca="1" ref="V9" ca="1">INDIRECT("'results" &amp; $B9 &amp; "'!W$14")</f>
        <v>79.5</v>
      </c>
      <c r="W9" s="5" cm="1">
        <f t="array" aca="1" ref="W9" ca="1">INDIRECT("'results" &amp; $B9 &amp; "'!X$14")</f>
        <v>1281.2085733472768</v>
      </c>
      <c r="X9" s="5" cm="1">
        <f t="array" aca="1" ref="X9" ca="1">INDIRECT("'results" &amp; $B9 &amp; "'!Y$14")</f>
        <v>55.644491320844175</v>
      </c>
      <c r="Y9" s="5" cm="1">
        <f t="array" aca="1" ref="Y9" ca="1">INDIRECT("'results" &amp; $B9 &amp; "'!Z$14")</f>
        <v>6676.7947726358952</v>
      </c>
      <c r="Z9" s="5"/>
    </row>
    <row r="10" spans="2:26" x14ac:dyDescent="0.2">
      <c r="B10" s="4">
        <v>676</v>
      </c>
      <c r="C10" s="5" cm="1">
        <f t="array" aca="1" ref="C10" ca="1">INDIRECT("'results" &amp; $B10 &amp; "'!D$14")</f>
        <v>1427528.131662989</v>
      </c>
      <c r="D10" s="33" cm="1">
        <f t="array" aca="1" ref="D10" ca="1">INDIRECT("'results" &amp; $B10 &amp; "'!E$14")</f>
        <v>1165.452946550038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97.5</v>
      </c>
      <c r="G10" s="5" cm="1">
        <f t="array" aca="1" ref="G10" ca="1">INDIRECT("'results" &amp; $B10 &amp; "'!H$14")</f>
        <v>413.31715918338023</v>
      </c>
      <c r="H10" s="33" cm="1">
        <f t="array" aca="1" ref="H10" ca="1">INDIRECT("'results" &amp; $B10 &amp; "'!I$14")</f>
        <v>46.820492998437857</v>
      </c>
      <c r="I10" s="5" cm="1">
        <f t="array" aca="1" ref="I10" ca="1">INDIRECT("'results" &amp; $B10 &amp; "'!J$14")</f>
        <v>5438.1575412016455</v>
      </c>
      <c r="J10" s="5"/>
      <c r="K10" s="5" cm="1">
        <f t="array" aca="1" ref="K10" ca="1">INDIRECT("'results" &amp; $B10 &amp; "'!L$14")</f>
        <v>1939967.7836567829</v>
      </c>
      <c r="L10" s="5" cm="1">
        <f t="array" aca="1" ref="L10" ca="1">INDIRECT("'results" &amp; $B10 &amp; "'!M$14")</f>
        <v>274.1954167499789</v>
      </c>
      <c r="M10" s="5" cm="1">
        <f t="array" aca="1" ref="M10" ca="1">INDIRECT("'results" &amp; $B10 &amp; "'!N$14")</f>
        <v>31</v>
      </c>
      <c r="N10" s="5" cm="1">
        <f t="array" aca="1" ref="N10" ca="1">INDIRECT("'results" &amp; $B10 &amp; "'!O$14")</f>
        <v>87.5</v>
      </c>
      <c r="O10" s="5" cm="1">
        <f t="array" aca="1" ref="O10" ca="1">INDIRECT("'results" &amp; $B10 &amp; "'!P$14")</f>
        <v>410.04175573410208</v>
      </c>
      <c r="P10" s="5" cm="1">
        <f t="array" aca="1" ref="P10" ca="1">INDIRECT("'results" &amp; $B10 &amp; "'!Q$14")</f>
        <v>19.798376892304873</v>
      </c>
      <c r="Q10" s="5" cm="1">
        <f t="array" aca="1" ref="Q10" ca="1">INDIRECT("'results" &amp; $B10 &amp; "'!R$14")</f>
        <v>4859.8213462465646</v>
      </c>
      <c r="R10" s="5"/>
      <c r="S10" s="5" cm="1">
        <f t="array" aca="1" ref="S10" ca="1">INDIRECT("'results" &amp; $B10 &amp; "'!T$14")</f>
        <v>2057394.9483657919</v>
      </c>
      <c r="T10" s="5" cm="1">
        <f t="array" aca="1" ref="T10" ca="1">INDIRECT("'results" &amp; $B10 &amp; "'!U$14")</f>
        <v>547.37103574996604</v>
      </c>
      <c r="U10" s="5" cm="1">
        <f t="array" aca="1" ref="U10" ca="1">INDIRECT("'results" &amp; $B10 &amp; "'!V$14")</f>
        <v>16</v>
      </c>
      <c r="V10" s="5" cm="1">
        <f t="array" aca="1" ref="V10" ca="1">INDIRECT("'results" &amp; $B10 &amp; "'!W$14")</f>
        <v>81</v>
      </c>
      <c r="W10" s="5" cm="1">
        <f t="array" aca="1" ref="W10" ca="1">INDIRECT("'results" &amp; $B10 &amp; "'!X$14")</f>
        <v>972.97933128523755</v>
      </c>
      <c r="X10" s="5" cm="1">
        <f t="array" aca="1" ref="X10" ca="1">INDIRECT("'results" &amp; $B10 &amp; "'!Y$14")</f>
        <v>60.434437391634155</v>
      </c>
      <c r="Y10" s="5" cm="1">
        <f t="array" aca="1" ref="Y10" ca="1">INDIRECT("'results" &amp; $B10 &amp; "'!Z$14")</f>
        <v>6325.0195563688503</v>
      </c>
      <c r="Z10" s="5"/>
    </row>
    <row r="11" spans="2:26" x14ac:dyDescent="0.2">
      <c r="B11" s="4">
        <v>699</v>
      </c>
      <c r="C11" s="5" cm="1">
        <f t="array" aca="1" ref="C11" ca="1">INDIRECT("'results" &amp; $B11 &amp; "'!D$14")</f>
        <v>1524307.57954646</v>
      </c>
      <c r="D11" s="33" cm="1">
        <f t="array" aca="1" ref="D11" ca="1">INDIRECT("'results" &amp; $B11 &amp; "'!E$14")</f>
        <v>425.89649825001834</v>
      </c>
      <c r="E11" s="5" cm="1">
        <f t="array" aca="1" ref="E11" ca="1">INDIRECT("'results" &amp; $B11 &amp; "'!F$14")</f>
        <v>15</v>
      </c>
      <c r="F11" s="5" cm="1">
        <f t="array" aca="1" ref="F11" ca="1">INDIRECT("'results" &amp; $B11 &amp; "'!G$14")</f>
        <v>98</v>
      </c>
      <c r="G11" s="5" cm="1">
        <f t="array" aca="1" ref="G11" ca="1">INDIRECT("'results" &amp; $B11 &amp; "'!H$14")</f>
        <v>599.47723721183343</v>
      </c>
      <c r="H11" s="33" cm="1">
        <f t="array" aca="1" ref="H11" ca="1">INDIRECT("'results" &amp; $B11 &amp; "'!I$14")</f>
        <v>47.161988272047793</v>
      </c>
      <c r="I11" s="5" cm="1">
        <f t="array" aca="1" ref="I11" ca="1">INDIRECT("'results" &amp; $B11 &amp; "'!J$14")</f>
        <v>5826.7755694806992</v>
      </c>
      <c r="J11" s="5"/>
      <c r="K11" s="5" cm="1">
        <f t="array" aca="1" ref="K11" ca="1">INDIRECT("'results" &amp; $B11 &amp; "'!L$14")</f>
        <v>2056227.574593829</v>
      </c>
      <c r="L11" s="5" cm="1">
        <f t="array" aca="1" ref="L11" ca="1">INDIRECT("'results" &amp; $B11 &amp; "'!M$14")</f>
        <v>1061.4918033499855</v>
      </c>
      <c r="M11" s="5" cm="1">
        <f t="array" aca="1" ref="M11" ca="1">INDIRECT("'results" &amp; $B11 &amp; "'!N$14")</f>
        <v>32</v>
      </c>
      <c r="N11" s="5" cm="1">
        <f t="array" aca="1" ref="N11" ca="1">INDIRECT("'results" &amp; $B11 &amp; "'!O$14")</f>
        <v>84.5</v>
      </c>
      <c r="O11" s="5" cm="1">
        <f t="array" aca="1" ref="O11" ca="1">INDIRECT("'results" &amp; $B11 &amp; "'!P$14")</f>
        <v>424.05995262837524</v>
      </c>
      <c r="P11" s="5" cm="1">
        <f t="array" aca="1" ref="P11" ca="1">INDIRECT("'results" &amp; $B11 &amp; "'!Q$14")</f>
        <v>18.103605473412273</v>
      </c>
      <c r="Q11" s="5" cm="1">
        <f t="array" aca="1" ref="Q11" ca="1">INDIRECT("'results" &amp; $B11 &amp; "'!R$14")</f>
        <v>4917.2091452602344</v>
      </c>
      <c r="R11" s="5"/>
      <c r="S11" s="5" cm="1">
        <f t="array" aca="1" ref="S11" ca="1">INDIRECT("'results" &amp; $B11 &amp; "'!T$14")</f>
        <v>2143600.4382181019</v>
      </c>
      <c r="T11" s="5" cm="1">
        <f t="array" aca="1" ref="T11" ca="1">INDIRECT("'results" &amp; $B11 &amp; "'!U$14")</f>
        <v>901.50682509999001</v>
      </c>
      <c r="U11" s="5" cm="1">
        <f t="array" aca="1" ref="U11" ca="1">INDIRECT("'results" &amp; $B11 &amp; "'!V$14")</f>
        <v>17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1034.0724835398876</v>
      </c>
      <c r="X11" s="5" cm="1">
        <f t="array" aca="1" ref="X11" ca="1">INDIRECT("'results" &amp; $B11 &amp; "'!Y$14")</f>
        <v>55.778019677240628</v>
      </c>
      <c r="Y11" s="5" cm="1">
        <f t="array" aca="1" ref="Y11" ca="1">INDIRECT("'results" &amp; $B11 &amp; "'!Z$14")</f>
        <v>6476.0092633585682</v>
      </c>
      <c r="Z11" s="5"/>
    </row>
    <row r="12" spans="2:26" x14ac:dyDescent="0.2">
      <c r="B12" s="4">
        <v>841</v>
      </c>
      <c r="C12" s="5" cm="1">
        <f t="array" aca="1" ref="C12" ca="1">INDIRECT("'results" &amp; $B12 &amp; "'!D$14")</f>
        <v>1522227.1542394061</v>
      </c>
      <c r="D12" s="33" cm="1">
        <f t="array" aca="1" ref="D12" ca="1">INDIRECT("'results" &amp; $B12 &amp; "'!E$14")</f>
        <v>848.10762329999102</v>
      </c>
      <c r="E12" s="5" cm="1">
        <f t="array" aca="1" ref="E12" ca="1">INDIRECT("'results" &amp; $B12 &amp; "'!F$14")</f>
        <v>15</v>
      </c>
      <c r="F12" s="5" cm="1">
        <f t="array" aca="1" ref="F12" ca="1">INDIRECT("'results" &amp; $B12 &amp; "'!G$14")</f>
        <v>96</v>
      </c>
      <c r="G12" s="5" cm="1">
        <f t="array" aca="1" ref="G12" ca="1">INDIRECT("'results" &amp; $B12 &amp; "'!H$14")</f>
        <v>523.24158468637438</v>
      </c>
      <c r="H12" s="33" cm="1">
        <f t="array" aca="1" ref="H12" ca="1">INDIRECT("'results" &amp; $B12 &amp; "'!I$14")</f>
        <v>49.226099910403413</v>
      </c>
      <c r="I12" s="5" cm="1">
        <f t="array" aca="1" ref="I12" ca="1">INDIRECT("'results" &amp; $B12 &amp; "'!J$14")</f>
        <v>5654.4832069597105</v>
      </c>
      <c r="J12" s="5"/>
      <c r="K12" s="5" cm="1">
        <f t="array" aca="1" ref="K12" ca="1">INDIRECT("'results" &amp; $B12 &amp; "'!L$14")</f>
        <v>1988709.2061183969</v>
      </c>
      <c r="L12" s="5" cm="1">
        <f t="array" aca="1" ref="L12" ca="1">INDIRECT("'results" &amp; $B12 &amp; "'!M$14")</f>
        <v>639.71875845000602</v>
      </c>
      <c r="M12" s="5" cm="1">
        <f t="array" aca="1" ref="M12" ca="1">INDIRECT("'results" &amp; $B12 &amp; "'!N$14")</f>
        <v>32</v>
      </c>
      <c r="N12" s="5" cm="1">
        <f t="array" aca="1" ref="N12" ca="1">INDIRECT("'results" &amp; $B12 &amp; "'!O$14")</f>
        <v>86.5</v>
      </c>
      <c r="O12" s="5" cm="1">
        <f t="array" aca="1" ref="O12" ca="1">INDIRECT("'results" &amp; $B12 &amp; "'!P$14")</f>
        <v>510.31752058126563</v>
      </c>
      <c r="P12" s="5" cm="1">
        <f t="array" aca="1" ref="P12" ca="1">INDIRECT("'results" &amp; $B12 &amp; "'!Q$14")</f>
        <v>19.753651261228448</v>
      </c>
      <c r="Q12" s="5" cm="1">
        <f t="array" aca="1" ref="Q12" ca="1">INDIRECT("'results" &amp; $B12 &amp; "'!R$14")</f>
        <v>4871.4215056587755</v>
      </c>
      <c r="R12" s="5"/>
      <c r="S12" s="5" cm="1">
        <f t="array" aca="1" ref="S12" ca="1">INDIRECT("'results" &amp; $B12 &amp; "'!T$14")</f>
        <v>2101666.5476134452</v>
      </c>
      <c r="T12" s="5" cm="1">
        <f t="array" aca="1" ref="T12" ca="1">INDIRECT("'results" &amp; $B12 &amp; "'!U$14")</f>
        <v>1095.738679050002</v>
      </c>
      <c r="U12" s="5" cm="1">
        <f t="array" aca="1" ref="U12" ca="1">INDIRECT("'results" &amp; $B12 &amp; "'!V$14")</f>
        <v>16</v>
      </c>
      <c r="V12" s="5" cm="1">
        <f t="array" aca="1" ref="V12" ca="1">INDIRECT("'results" &amp; $B12 &amp; "'!W$14")</f>
        <v>79.5</v>
      </c>
      <c r="W12" s="5" cm="1">
        <f t="array" aca="1" ref="W12" ca="1">INDIRECT("'results" &amp; $B12 &amp; "'!X$14")</f>
        <v>993.53415273198686</v>
      </c>
      <c r="X12" s="5" cm="1">
        <f t="array" aca="1" ref="X12" ca="1">INDIRECT("'results" &amp; $B12 &amp; "'!Y$14")</f>
        <v>58.885791286296971</v>
      </c>
      <c r="Y12" s="5" cm="1">
        <f t="array" aca="1" ref="Y12" ca="1">INDIRECT("'results" &amp; $B12 &amp; "'!Z$14")</f>
        <v>6327.2964197961937</v>
      </c>
      <c r="Z12" s="5"/>
    </row>
    <row r="13" spans="2:26" x14ac:dyDescent="0.2">
      <c r="B13" s="8" t="s">
        <v>3</v>
      </c>
      <c r="C13" s="9">
        <f ca="1">AVERAGE(C3:C12)</f>
        <v>1665955.9953485781</v>
      </c>
      <c r="D13" s="10">
        <f t="shared" ref="D13:I13" ca="1" si="0">AVERAGE(D3:D12)</f>
        <v>773.55719253999996</v>
      </c>
      <c r="E13" s="9">
        <f t="shared" ca="1" si="0"/>
        <v>16.100000000000001</v>
      </c>
      <c r="F13" s="9">
        <f t="shared" ca="1" si="0"/>
        <v>95.55</v>
      </c>
      <c r="G13" s="9">
        <f t="shared" ca="1" si="0"/>
        <v>806.99013888455033</v>
      </c>
      <c r="H13" s="10">
        <f t="shared" ca="1" si="0"/>
        <v>43.245321404085921</v>
      </c>
      <c r="I13" s="9">
        <f t="shared" ca="1" si="0"/>
        <v>5998.1513928840232</v>
      </c>
      <c r="J13" s="32" t="e">
        <f ca="1">(C13-$D$15)/$D$15</f>
        <v>#DIV/0!</v>
      </c>
      <c r="K13" s="16">
        <f ca="1">AVERAGE(K3:K12)</f>
        <v>2139302.2718053237</v>
      </c>
      <c r="L13" s="42">
        <f t="shared" ref="L13:Q13" ca="1" si="1">AVERAGE(L3:L12)</f>
        <v>767.19408095499375</v>
      </c>
      <c r="M13" s="16">
        <f t="shared" ca="1" si="1"/>
        <v>29.4</v>
      </c>
      <c r="N13" s="16">
        <f ca="1">AVERAGE(N3:N12)</f>
        <v>81.900000000000006</v>
      </c>
      <c r="O13" s="16">
        <f t="shared" ca="1" si="1"/>
        <v>618.29462599097474</v>
      </c>
      <c r="P13" s="42">
        <f t="shared" ca="1" si="1"/>
        <v>19.335203216692598</v>
      </c>
      <c r="Q13" s="16">
        <f t="shared" ca="1" si="1"/>
        <v>5144.4347466436648</v>
      </c>
      <c r="R13" s="43" t="e">
        <f ca="1">(K13-$D$15)/$D$15</f>
        <v>#DIV/0!</v>
      </c>
      <c r="S13" s="38">
        <f ca="1">AVERAGE(S3:S12)</f>
        <v>2275975.045342294</v>
      </c>
      <c r="T13" s="44">
        <f t="shared" ref="T13:Y13" ca="1" si="2">AVERAGE(T3:T12)</f>
        <v>747.30069904499976</v>
      </c>
      <c r="U13" s="38">
        <f t="shared" ca="1" si="2"/>
        <v>16.399999999999999</v>
      </c>
      <c r="V13" s="38">
        <f t="shared" ca="1" si="2"/>
        <v>75.7</v>
      </c>
      <c r="W13" s="38">
        <f t="shared" ca="1" si="2"/>
        <v>1170.8572633176645</v>
      </c>
      <c r="X13" s="44">
        <f t="shared" ca="1" si="2"/>
        <v>51.718440621524586</v>
      </c>
      <c r="Y13" s="38">
        <f t="shared" ca="1" si="2"/>
        <v>6575.9053502958268</v>
      </c>
      <c r="Z13" s="45" t="e">
        <f ca="1">(S13-$D$15)/$D$15</f>
        <v>#DIV/0!</v>
      </c>
    </row>
    <row r="14" spans="2:26" x14ac:dyDescent="0.2">
      <c r="K14" s="46">
        <f ca="1">(K13-C13)/C13</f>
        <v>0.28412891923817257</v>
      </c>
      <c r="L14" s="46">
        <f t="shared" ref="L14:Q14" ca="1" si="3">(L13-D13)/D13</f>
        <v>-8.2257803900869005E-3</v>
      </c>
      <c r="M14" s="46">
        <f t="shared" ca="1" si="3"/>
        <v>0.82608695652173891</v>
      </c>
      <c r="N14" s="46">
        <f t="shared" ca="1" si="3"/>
        <v>-0.14285714285714277</v>
      </c>
      <c r="O14" s="46">
        <f t="shared" ca="1" si="3"/>
        <v>-0.23382629328581023</v>
      </c>
      <c r="P14" s="46">
        <f t="shared" ca="1" si="3"/>
        <v>-0.55289491235309074</v>
      </c>
      <c r="Q14" s="46">
        <f t="shared" ca="1" si="3"/>
        <v>-0.14232995973612389</v>
      </c>
      <c r="S14" s="46">
        <f ca="1">(S13-C13)/C13</f>
        <v>0.3661675648678091</v>
      </c>
      <c r="T14" s="46">
        <f t="shared" ref="T14:Y14" ca="1" si="4">(T13-D13)/D13</f>
        <v>-3.3942536826250889E-2</v>
      </c>
      <c r="U14" s="46">
        <f t="shared" ca="1" si="4"/>
        <v>1.8633540372670631E-2</v>
      </c>
      <c r="V14" s="46">
        <f ca="1">(V13-F13)/F13</f>
        <v>-0.20774463631606482</v>
      </c>
      <c r="W14" s="46">
        <f t="shared" ca="1" si="4"/>
        <v>0.450894139717821</v>
      </c>
      <c r="X14" s="46">
        <f t="shared" ca="1" si="4"/>
        <v>0.19593146593282354</v>
      </c>
      <c r="Y14" s="46">
        <f t="shared" ca="1" si="4"/>
        <v>9.6322003158711325E-2</v>
      </c>
    </row>
    <row r="16" spans="2:26" x14ac:dyDescent="0.2">
      <c r="B16" s="1" t="s">
        <v>21</v>
      </c>
      <c r="C16">
        <f ca="1">_xlfn.STDEV.S(C3:C12)</f>
        <v>176472.50310770882</v>
      </c>
      <c r="D16">
        <f ca="1">D13/2</f>
        <v>386.77859626999998</v>
      </c>
      <c r="J16" s="1" t="s">
        <v>21</v>
      </c>
      <c r="K16">
        <f ca="1">_xlfn.STDEV.S(K3:K12)</f>
        <v>158672.47424073852</v>
      </c>
      <c r="L16">
        <f ca="1">L13/2</f>
        <v>383.59704047749688</v>
      </c>
      <c r="R16" s="1" t="s">
        <v>21</v>
      </c>
      <c r="S16">
        <f ca="1">_xlfn.STDEV.S(S3:S12)</f>
        <v>191592.74987903799</v>
      </c>
      <c r="T16">
        <f ca="1">T13/2</f>
        <v>373.65034952249988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26DD-56E0-4E10-93FD-5085C84F837B}">
  <dimension ref="B1:AA17"/>
  <sheetViews>
    <sheetView tabSelected="1" zoomScale="90" zoomScaleNormal="90" workbookViewId="0">
      <selection activeCell="U22" sqref="U22:U3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-0.97660300281559609</v>
      </c>
      <c r="J2" s="28" t="e">
        <f>(S14-J14)/J14</f>
        <v>#DIV/0!</v>
      </c>
      <c r="K2" s="28"/>
      <c r="L2" s="1" t="s">
        <v>19</v>
      </c>
      <c r="P2" s="1">
        <f>(P14-H14)/H14</f>
        <v>-0.49219471593904929</v>
      </c>
      <c r="R2" s="1">
        <f>(R14-J14)/J14</f>
        <v>-0.19346416161814028</v>
      </c>
      <c r="T2" s="1" t="s">
        <v>20</v>
      </c>
      <c r="X2" s="1">
        <f>(X14-P14)/P14</f>
        <v>1.3758557604095278</v>
      </c>
      <c r="Z2" s="1">
        <f>(Z14-R14)/R14</f>
        <v>0.33389042757441484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62</v>
      </c>
      <c r="D4" s="23">
        <v>1717888.9505277539</v>
      </c>
      <c r="E4" s="33">
        <v>173.03599514998496</v>
      </c>
      <c r="F4" s="5">
        <v>16</v>
      </c>
      <c r="G4" s="23">
        <v>94.5</v>
      </c>
      <c r="H4" s="33">
        <v>893.61864383553177</v>
      </c>
      <c r="I4" s="23">
        <v>42.818421417947278</v>
      </c>
      <c r="J4" s="5">
        <v>6063.7797214781358</v>
      </c>
      <c r="K4" s="31"/>
      <c r="L4" s="23">
        <v>2174979.1625583689</v>
      </c>
      <c r="M4" s="33">
        <v>806.86259164998751</v>
      </c>
      <c r="N4" s="5">
        <v>24</v>
      </c>
      <c r="O4" s="5">
        <v>74.5</v>
      </c>
      <c r="P4" s="33">
        <v>452.44311186916121</v>
      </c>
      <c r="Q4" s="5">
        <v>20.846199412992192</v>
      </c>
      <c r="R4" s="5">
        <v>4815.2834485655776</v>
      </c>
      <c r="S4" s="35"/>
      <c r="T4" s="23">
        <v>2268427.828153952</v>
      </c>
      <c r="U4" s="33">
        <v>519.75459555000998</v>
      </c>
      <c r="V4" s="5">
        <v>17</v>
      </c>
      <c r="W4" s="5">
        <v>75.5</v>
      </c>
      <c r="X4" s="33">
        <v>1074.9395735919591</v>
      </c>
      <c r="Y4" s="5">
        <v>48.670687148983603</v>
      </c>
      <c r="Z4" s="5">
        <v>6423.0604980991411</v>
      </c>
      <c r="AA4" s="35"/>
    </row>
    <row r="5" spans="2:27" x14ac:dyDescent="0.2">
      <c r="B5" s="4">
        <v>2</v>
      </c>
      <c r="C5" s="4">
        <v>311</v>
      </c>
      <c r="D5" s="23">
        <v>1780787.645820722</v>
      </c>
      <c r="E5" s="33">
        <v>332.1904191999929</v>
      </c>
      <c r="F5" s="5">
        <v>14</v>
      </c>
      <c r="G5" s="23">
        <v>89.5</v>
      </c>
      <c r="H5" s="33">
        <v>665.10109984966414</v>
      </c>
      <c r="I5" s="23">
        <v>43.815211548117979</v>
      </c>
      <c r="J5" s="5">
        <v>6049.5361394052534</v>
      </c>
      <c r="K5" s="31"/>
      <c r="L5" s="23">
        <v>2256969.8698400478</v>
      </c>
      <c r="M5" s="33">
        <v>438.75597689999267</v>
      </c>
      <c r="N5" s="5">
        <v>21</v>
      </c>
      <c r="O5" s="5">
        <v>69</v>
      </c>
      <c r="P5" s="33">
        <v>357.68928602348012</v>
      </c>
      <c r="Q5" s="5">
        <v>21.51142980067711</v>
      </c>
      <c r="R5" s="5">
        <v>4675.6336484924714</v>
      </c>
      <c r="S5" s="35"/>
      <c r="T5" s="23">
        <v>2272082.2940139291</v>
      </c>
      <c r="U5" s="33">
        <v>570.62829374999251</v>
      </c>
      <c r="V5" s="5">
        <v>16</v>
      </c>
      <c r="W5" s="5">
        <v>76.5</v>
      </c>
      <c r="X5" s="33">
        <v>1259.6500513884594</v>
      </c>
      <c r="Y5" s="5">
        <v>50.520124532159528</v>
      </c>
      <c r="Z5" s="5">
        <v>6620.1315478319329</v>
      </c>
      <c r="AA5" s="35"/>
    </row>
    <row r="6" spans="2:27" x14ac:dyDescent="0.2">
      <c r="B6" s="4">
        <v>3</v>
      </c>
      <c r="C6" s="4">
        <v>333</v>
      </c>
      <c r="D6" s="23">
        <v>1701940.522339744</v>
      </c>
      <c r="E6" s="33">
        <v>899.41894080000952</v>
      </c>
      <c r="F6" s="5">
        <v>17</v>
      </c>
      <c r="G6" s="23">
        <v>94</v>
      </c>
      <c r="H6" s="33">
        <v>867.41598779446099</v>
      </c>
      <c r="I6" s="23">
        <v>41.131628178434752</v>
      </c>
      <c r="J6" s="5">
        <v>5880.0254671197572</v>
      </c>
      <c r="K6" s="31"/>
      <c r="L6" s="23">
        <v>2220160.6725520259</v>
      </c>
      <c r="M6" s="33">
        <v>510.46441929996951</v>
      </c>
      <c r="N6" s="5">
        <v>21</v>
      </c>
      <c r="O6" s="5">
        <v>71</v>
      </c>
      <c r="P6" s="33">
        <v>343.57852847221346</v>
      </c>
      <c r="Q6" s="5">
        <v>21.647807285753522</v>
      </c>
      <c r="R6" s="5">
        <v>4817.8928431619552</v>
      </c>
      <c r="S6" s="35"/>
      <c r="T6" s="23">
        <v>2328125.2525316798</v>
      </c>
      <c r="U6" s="33">
        <v>262.12704250001116</v>
      </c>
      <c r="V6" s="5">
        <v>13</v>
      </c>
      <c r="W6" s="5">
        <v>70.5</v>
      </c>
      <c r="X6" s="33">
        <v>957.8955362959158</v>
      </c>
      <c r="Y6" s="5">
        <v>54.096585207558618</v>
      </c>
      <c r="Z6" s="5">
        <v>6407.2279107211207</v>
      </c>
      <c r="AA6" s="35"/>
    </row>
    <row r="7" spans="2:27" x14ac:dyDescent="0.2">
      <c r="B7" s="4">
        <v>4</v>
      </c>
      <c r="C7" s="4">
        <v>432</v>
      </c>
      <c r="D7" s="23">
        <v>1703691.1910571959</v>
      </c>
      <c r="E7" s="33">
        <v>412.28120490000583</v>
      </c>
      <c r="F7" s="5">
        <v>17</v>
      </c>
      <c r="G7" s="23">
        <v>94.5</v>
      </c>
      <c r="H7" s="33">
        <v>916.0724863028596</v>
      </c>
      <c r="I7" s="23">
        <v>41.307818458947111</v>
      </c>
      <c r="J7" s="5">
        <v>5891.1094005243103</v>
      </c>
      <c r="K7" s="31"/>
      <c r="L7" s="23">
        <v>2204217.6549433558</v>
      </c>
      <c r="M7" s="33">
        <v>604.4404888499995</v>
      </c>
      <c r="N7" s="5">
        <v>22</v>
      </c>
      <c r="O7" s="5">
        <v>72.5</v>
      </c>
      <c r="P7" s="33">
        <v>452.43728822008507</v>
      </c>
      <c r="Q7" s="5">
        <v>21.575529141797357</v>
      </c>
      <c r="R7" s="5">
        <v>4797.953718025884</v>
      </c>
      <c r="S7" s="35"/>
      <c r="T7" s="23">
        <v>2386661.9916744442</v>
      </c>
      <c r="U7" s="33">
        <v>380.21363459998975</v>
      </c>
      <c r="V7" s="5">
        <v>13</v>
      </c>
      <c r="W7" s="5">
        <v>69</v>
      </c>
      <c r="X7" s="33">
        <v>971.33883544037781</v>
      </c>
      <c r="Y7" s="5">
        <v>52.412800099378849</v>
      </c>
      <c r="Z7" s="5">
        <v>6496.5816815869857</v>
      </c>
      <c r="AA7" s="35"/>
    </row>
    <row r="8" spans="2:27" x14ac:dyDescent="0.2">
      <c r="B8" s="4">
        <v>5</v>
      </c>
      <c r="C8" s="4">
        <v>614</v>
      </c>
      <c r="D8" s="23">
        <v>1791664.881736323</v>
      </c>
      <c r="E8" s="33">
        <v>272.88498179998714</v>
      </c>
      <c r="F8" s="5">
        <v>14</v>
      </c>
      <c r="G8" s="23">
        <v>89.5</v>
      </c>
      <c r="H8" s="33">
        <v>715.39297892071477</v>
      </c>
      <c r="I8" s="23">
        <v>44.390870871541672</v>
      </c>
      <c r="J8" s="5">
        <v>6080.9068556096499</v>
      </c>
      <c r="K8" s="31"/>
      <c r="L8" s="23">
        <v>2193185.4864868862</v>
      </c>
      <c r="M8" s="33">
        <v>558.050701099972</v>
      </c>
      <c r="N8" s="5">
        <v>24</v>
      </c>
      <c r="O8" s="5">
        <v>74.5</v>
      </c>
      <c r="P8" s="33">
        <v>502.67859635775483</v>
      </c>
      <c r="Q8" s="5">
        <v>20.884195943328347</v>
      </c>
      <c r="R8" s="5">
        <v>4898.2345711280614</v>
      </c>
      <c r="S8" s="35"/>
      <c r="T8" s="23">
        <v>2293309.2313801949</v>
      </c>
      <c r="U8" s="33">
        <v>608.2042861000225</v>
      </c>
      <c r="V8" s="5">
        <v>16</v>
      </c>
      <c r="W8" s="5">
        <v>75</v>
      </c>
      <c r="X8" s="33">
        <v>1187.9867809437631</v>
      </c>
      <c r="Y8" s="5">
        <v>50.325978732082795</v>
      </c>
      <c r="Z8" s="5">
        <v>6545.5734535378633</v>
      </c>
      <c r="AA8" s="35"/>
    </row>
    <row r="9" spans="2:27" x14ac:dyDescent="0.2">
      <c r="B9" s="4">
        <v>6</v>
      </c>
      <c r="C9" s="4">
        <v>627</v>
      </c>
      <c r="D9" s="23">
        <v>1701452.8674844771</v>
      </c>
      <c r="E9" s="33">
        <v>1000.559466799954</v>
      </c>
      <c r="F9" s="5">
        <v>16</v>
      </c>
      <c r="G9" s="23">
        <v>94</v>
      </c>
      <c r="H9" s="33">
        <v>844.81209515486273</v>
      </c>
      <c r="I9" s="23">
        <v>43.887556915045188</v>
      </c>
      <c r="J9" s="5">
        <v>5972.9576584400038</v>
      </c>
      <c r="K9" s="31"/>
      <c r="L9" s="23">
        <v>2229239.6294929129</v>
      </c>
      <c r="M9" s="33">
        <v>959.49984895001398</v>
      </c>
      <c r="N9" s="5">
        <v>24</v>
      </c>
      <c r="O9" s="5">
        <v>73.5</v>
      </c>
      <c r="P9" s="33">
        <v>516.17324624173943</v>
      </c>
      <c r="Q9" s="5">
        <v>20.519772246333392</v>
      </c>
      <c r="R9" s="5">
        <v>4936.3079710609145</v>
      </c>
      <c r="S9" s="35"/>
      <c r="T9" s="23">
        <v>2328487.0257898001</v>
      </c>
      <c r="U9" s="33">
        <v>414.93202879998717</v>
      </c>
      <c r="V9" s="5">
        <v>14</v>
      </c>
      <c r="W9" s="5">
        <v>73</v>
      </c>
      <c r="X9" s="33">
        <v>1156.2402378507463</v>
      </c>
      <c r="Y9" s="5">
        <v>52.216546461987207</v>
      </c>
      <c r="Z9" s="5">
        <v>6567.1039443975651</v>
      </c>
      <c r="AA9" s="35"/>
    </row>
    <row r="10" spans="2:27" x14ac:dyDescent="0.2">
      <c r="B10" s="4">
        <v>7</v>
      </c>
      <c r="C10" s="4">
        <v>718</v>
      </c>
      <c r="D10" s="23">
        <v>1699204.717511208</v>
      </c>
      <c r="E10" s="33">
        <v>526.32237655000051</v>
      </c>
      <c r="F10" s="5">
        <v>16</v>
      </c>
      <c r="G10" s="23">
        <v>94.5</v>
      </c>
      <c r="H10" s="33">
        <v>890.97755787601352</v>
      </c>
      <c r="I10" s="23">
        <v>43.006330625965333</v>
      </c>
      <c r="J10" s="5">
        <v>5970.3279375984157</v>
      </c>
      <c r="K10" s="31"/>
      <c r="L10" s="23">
        <v>2225294.3599250489</v>
      </c>
      <c r="M10" s="33">
        <v>842.93218380003248</v>
      </c>
      <c r="N10" s="5">
        <v>24</v>
      </c>
      <c r="O10" s="5">
        <v>74</v>
      </c>
      <c r="P10" s="33">
        <v>567.2778427932742</v>
      </c>
      <c r="Q10" s="5">
        <v>20.932850238188259</v>
      </c>
      <c r="R10" s="5">
        <v>4972.1490507153339</v>
      </c>
      <c r="S10" s="35"/>
      <c r="T10" s="23">
        <v>2301020.0985655528</v>
      </c>
      <c r="U10" s="33">
        <v>661.26192855002603</v>
      </c>
      <c r="V10" s="5">
        <v>15</v>
      </c>
      <c r="W10" s="5">
        <v>73</v>
      </c>
      <c r="X10" s="33">
        <v>1055.8721899944785</v>
      </c>
      <c r="Y10" s="5">
        <v>51.064051149269247</v>
      </c>
      <c r="Z10" s="5">
        <v>6414.429202388309</v>
      </c>
      <c r="AA10" s="35"/>
    </row>
    <row r="11" spans="2:27" x14ac:dyDescent="0.2">
      <c r="B11" s="4">
        <v>8</v>
      </c>
      <c r="C11" s="4">
        <v>738</v>
      </c>
      <c r="D11" s="23">
        <v>1743141.511478818</v>
      </c>
      <c r="E11" s="33">
        <v>444.59854425000958</v>
      </c>
      <c r="F11" s="5">
        <v>17</v>
      </c>
      <c r="G11" s="23">
        <v>93.5</v>
      </c>
      <c r="H11" s="33">
        <v>809.99959619276524</v>
      </c>
      <c r="I11" s="23">
        <v>40.678331856908827</v>
      </c>
      <c r="J11" s="5">
        <v>6025.3967388637757</v>
      </c>
      <c r="K11" s="31"/>
      <c r="L11" s="23">
        <v>2184867.39932309</v>
      </c>
      <c r="M11" s="33">
        <v>702.30741994996799</v>
      </c>
      <c r="N11" s="5">
        <v>23</v>
      </c>
      <c r="O11" s="5">
        <v>73.5</v>
      </c>
      <c r="P11" s="33">
        <v>424.90028493352088</v>
      </c>
      <c r="Q11" s="5">
        <v>21.179981217388036</v>
      </c>
      <c r="R11" s="5">
        <v>4817.869804990637</v>
      </c>
      <c r="S11" s="35"/>
      <c r="T11" s="23">
        <v>2300392.2809252311</v>
      </c>
      <c r="U11" s="33">
        <v>787.33045634999849</v>
      </c>
      <c r="V11" s="5">
        <v>16</v>
      </c>
      <c r="W11" s="5">
        <v>75.5</v>
      </c>
      <c r="X11" s="33">
        <v>1271.0758679641426</v>
      </c>
      <c r="Y11" s="5">
        <v>49.962434833784059</v>
      </c>
      <c r="Z11" s="5">
        <v>6630.2113046567301</v>
      </c>
      <c r="AA11" s="35"/>
    </row>
    <row r="12" spans="2:27" x14ac:dyDescent="0.2">
      <c r="B12" s="4">
        <v>9</v>
      </c>
      <c r="C12" s="4">
        <v>928</v>
      </c>
      <c r="D12" s="23">
        <v>1700850.6315751129</v>
      </c>
      <c r="E12" s="33">
        <v>577.66200825001602</v>
      </c>
      <c r="F12" s="5">
        <v>17</v>
      </c>
      <c r="G12" s="23">
        <v>94.5</v>
      </c>
      <c r="H12" s="33">
        <v>849.0210237089799</v>
      </c>
      <c r="I12" s="23">
        <v>41.067707166430004</v>
      </c>
      <c r="J12" s="5">
        <v>5911.2980845483198</v>
      </c>
      <c r="K12" s="31"/>
      <c r="L12" s="23">
        <v>2306269.5863676402</v>
      </c>
      <c r="M12" s="33">
        <v>727.73314090003248</v>
      </c>
      <c r="N12" s="5">
        <v>19</v>
      </c>
      <c r="O12" s="5">
        <v>66.5</v>
      </c>
      <c r="P12" s="33">
        <v>369.65789948935753</v>
      </c>
      <c r="Q12" s="5">
        <v>23.026732303178076</v>
      </c>
      <c r="R12" s="5">
        <v>4715.9003883700534</v>
      </c>
      <c r="S12" s="35"/>
      <c r="T12" s="23">
        <v>2325430.2311780211</v>
      </c>
      <c r="U12" s="33">
        <v>303.49098385000252</v>
      </c>
      <c r="V12" s="5">
        <v>15</v>
      </c>
      <c r="W12" s="5">
        <v>72.5</v>
      </c>
      <c r="X12" s="33">
        <v>1058.6991573918804</v>
      </c>
      <c r="Y12" s="5">
        <v>48.887375813378625</v>
      </c>
      <c r="Z12" s="5">
        <v>6471.6926152973565</v>
      </c>
      <c r="AA12" s="35"/>
    </row>
    <row r="13" spans="2:27" x14ac:dyDescent="0.2">
      <c r="B13" s="4">
        <v>10</v>
      </c>
      <c r="C13" s="4">
        <v>45</v>
      </c>
      <c r="D13" s="23">
        <v>1713699.880347217</v>
      </c>
      <c r="E13" s="33">
        <v>258.32716510002501</v>
      </c>
      <c r="F13" s="5">
        <v>16</v>
      </c>
      <c r="G13" s="23">
        <v>94</v>
      </c>
      <c r="H13" s="33">
        <v>884.17532592898169</v>
      </c>
      <c r="I13" s="23">
        <v>43.302112121512081</v>
      </c>
      <c r="J13" s="5">
        <v>5997.9596871810145</v>
      </c>
      <c r="K13" s="31"/>
      <c r="L13" s="23">
        <v>2203260.474886375</v>
      </c>
      <c r="M13" s="33">
        <v>321.76959054998588</v>
      </c>
      <c r="N13" s="5">
        <v>26</v>
      </c>
      <c r="O13" s="5">
        <v>76</v>
      </c>
      <c r="P13" s="33">
        <v>563.96518219005952</v>
      </c>
      <c r="Q13" s="5">
        <v>19.619173927793334</v>
      </c>
      <c r="R13" s="5">
        <v>4959.9110839309069</v>
      </c>
      <c r="S13" s="35"/>
      <c r="T13" s="23">
        <v>2269259.8173289499</v>
      </c>
      <c r="U13" s="33">
        <v>568.954821499996</v>
      </c>
      <c r="V13" s="5">
        <v>17</v>
      </c>
      <c r="W13" s="5">
        <v>77.5</v>
      </c>
      <c r="X13" s="33">
        <v>1298.9821288627638</v>
      </c>
      <c r="Y13" s="5">
        <v>49.870058435020681</v>
      </c>
      <c r="Z13" s="5">
        <v>6632.9725984940551</v>
      </c>
      <c r="AA13" s="35"/>
    </row>
    <row r="14" spans="2:27" x14ac:dyDescent="0.2">
      <c r="B14" s="47" t="s">
        <v>3</v>
      </c>
      <c r="C14" s="48"/>
      <c r="D14" s="9">
        <f>MIN(D4:D13)</f>
        <v>1699204.717511208</v>
      </c>
      <c r="E14" s="22">
        <f>INDEX(E4:E13, MATCH($D$14, D4:D13, 0))</f>
        <v>526.32237655000051</v>
      </c>
      <c r="F14" s="9">
        <f>INDEX(F4:F13, MATCH($D$14, D4:D13, 0))</f>
        <v>16</v>
      </c>
      <c r="G14" s="9">
        <f>INDEX(G4:G13, MATCH($D$14, D4:D13, 0))</f>
        <v>94.5</v>
      </c>
      <c r="H14" s="22">
        <f>INDEX(H4:H13, MATCH($D$14, D4:D13, 0))</f>
        <v>890.97755787601352</v>
      </c>
      <c r="I14" s="22">
        <f>INDEX(I4:I13, MATCH($D$14, D4:D13, 0))</f>
        <v>43.006330625965333</v>
      </c>
      <c r="J14" s="22">
        <f>INDEX(J4:J13, MATCH($D$14, D4:D13, 0))</f>
        <v>5970.3279375984157</v>
      </c>
      <c r="K14" s="32" t="e">
        <f>(D14-$D$15)/$D$15</f>
        <v>#DIV/0!</v>
      </c>
      <c r="L14" s="16">
        <f>MIN(L4:L13)</f>
        <v>2174979.1625583689</v>
      </c>
      <c r="M14" s="21">
        <f>INDEX(M4:M13, MATCH($L$14, L4:L13, 0))</f>
        <v>806.86259164998751</v>
      </c>
      <c r="N14" s="16">
        <f>INDEX(N4:N13, MATCH($L$14, L4:L13, 0))</f>
        <v>24</v>
      </c>
      <c r="O14" s="16">
        <f>INDEX(O4:O13, MATCH($L$14, L4:L13, 0))</f>
        <v>74.5</v>
      </c>
      <c r="P14" s="21">
        <f>INDEX(P4:P13, MATCH($L$14, L4:L13, 0))</f>
        <v>452.44311186916121</v>
      </c>
      <c r="Q14" s="21">
        <f>INDEX(Q4:Q13, MATCH($L$14, L4:L13, 0))</f>
        <v>20.846199412992192</v>
      </c>
      <c r="R14" s="21">
        <f>INDEX(R4:R13, MATCH($L$14, L4:L13, 0))</f>
        <v>4815.2834485655776</v>
      </c>
      <c r="S14" s="36" t="e">
        <f>(L14-$D$15)/$D$15</f>
        <v>#DIV/0!</v>
      </c>
      <c r="T14" s="38">
        <f>MIN(T4:T13)</f>
        <v>2268427.828153952</v>
      </c>
      <c r="U14" s="39">
        <f>INDEX(U4:U13, MATCH($T$14, T4:T13, 0))</f>
        <v>519.75459555000998</v>
      </c>
      <c r="V14" s="38">
        <f>INDEX(V4:V13, MATCH($T$14, T4:T13, 0))</f>
        <v>17</v>
      </c>
      <c r="W14" s="38">
        <f>INDEX(W4:W13, MATCH($T$14, T4:T13, 0))</f>
        <v>75.5</v>
      </c>
      <c r="X14" s="39">
        <f>INDEX(X4:X13, MATCH($T$14, T4:T13, 0))</f>
        <v>1074.9395735919591</v>
      </c>
      <c r="Y14" s="39">
        <f>INDEX(Y4:Y13, MATCH($T$14, T4:T13, 0))</f>
        <v>48.670687148983603</v>
      </c>
      <c r="Z14" s="39">
        <f>INDEX(Z4:Z13, MATCH($T$14, T4:T13, 0))</f>
        <v>6423.0604980991411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0.27999830752825261</v>
      </c>
      <c r="M15" s="41">
        <f t="shared" ref="M15:R15" si="0">(M14-E14)/E14</f>
        <v>0.5330197377107635</v>
      </c>
      <c r="N15" s="41">
        <f t="shared" si="0"/>
        <v>0.5</v>
      </c>
      <c r="O15" s="41">
        <f t="shared" si="0"/>
        <v>-0.21164021164021163</v>
      </c>
      <c r="P15" s="41">
        <f t="shared" si="0"/>
        <v>-0.49219471593904929</v>
      </c>
      <c r="Q15" s="41">
        <f t="shared" si="0"/>
        <v>-0.51527602774819914</v>
      </c>
      <c r="R15" s="41">
        <f t="shared" si="0"/>
        <v>-0.19346416161814028</v>
      </c>
      <c r="T15" s="1">
        <f>(T14-D14)/D14</f>
        <v>0.33499383845665986</v>
      </c>
      <c r="U15" s="1">
        <f t="shared" ref="U15:Z15" si="1">(U14-E14)/E14</f>
        <v>-1.2478627724403038E-2</v>
      </c>
      <c r="V15" s="1">
        <f t="shared" si="1"/>
        <v>6.25E-2</v>
      </c>
      <c r="W15" s="1">
        <f t="shared" si="1"/>
        <v>-0.20105820105820105</v>
      </c>
      <c r="X15" s="1">
        <f t="shared" si="1"/>
        <v>0.20647210930260634</v>
      </c>
      <c r="Y15" s="1">
        <f t="shared" si="1"/>
        <v>0.13170983063591993</v>
      </c>
      <c r="Z15" s="1">
        <f t="shared" si="1"/>
        <v>7.5830434313267983E-2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107" priority="3"/>
    <cfRule type="duplicateValues" dxfId="106" priority="4"/>
  </conditionalFormatting>
  <conditionalFormatting sqref="C14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FAE7-B5F9-48BD-9DB9-62734BB87A64}">
  <dimension ref="B1:AA17"/>
  <sheetViews>
    <sheetView zoomScale="90" zoomScaleNormal="90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-0.96953481441148215</v>
      </c>
      <c r="J2" s="28" t="e">
        <f>(S14-J14)/J14</f>
        <v>#DIV/0!</v>
      </c>
      <c r="K2" s="28"/>
      <c r="L2" s="1" t="s">
        <v>19</v>
      </c>
      <c r="P2" s="1">
        <f>(P14-H14)/H14</f>
        <v>9.5899978469731237E-2</v>
      </c>
      <c r="R2" s="1">
        <f>(R14-J14)/J14</f>
        <v>-9.0903677271094385E-2</v>
      </c>
      <c r="T2" s="1" t="s">
        <v>20</v>
      </c>
      <c r="X2" s="1">
        <f>(X14-P14)/P14</f>
        <v>0.97695504880397221</v>
      </c>
      <c r="Z2" s="1">
        <f>(Z14-R14)/R14</f>
        <v>0.28465992639136917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803</v>
      </c>
      <c r="D4" s="23">
        <v>1605645.6434305089</v>
      </c>
      <c r="E4" s="33">
        <v>156.71398240001869</v>
      </c>
      <c r="F4" s="5">
        <v>15</v>
      </c>
      <c r="G4" s="23">
        <v>96</v>
      </c>
      <c r="H4" s="33">
        <v>652.61409565567374</v>
      </c>
      <c r="I4" s="23">
        <v>37.74319508042543</v>
      </c>
      <c r="J4" s="5">
        <v>5882.8315726661203</v>
      </c>
      <c r="K4" s="31"/>
      <c r="L4" s="23">
        <v>2009403.127134728</v>
      </c>
      <c r="M4" s="33">
        <v>532.72212150000246</v>
      </c>
      <c r="N4" s="5">
        <v>30</v>
      </c>
      <c r="O4" s="5">
        <v>87</v>
      </c>
      <c r="P4" s="33">
        <v>605.77684945290548</v>
      </c>
      <c r="Q4" s="5">
        <v>16.840135510888821</v>
      </c>
      <c r="R4" s="5">
        <v>5165.9806496388946</v>
      </c>
      <c r="S4" s="35"/>
      <c r="T4" s="23">
        <v>2300046.8676200658</v>
      </c>
      <c r="U4" s="33">
        <v>131.93330279999645</v>
      </c>
      <c r="V4" s="5">
        <v>13</v>
      </c>
      <c r="W4" s="5">
        <v>72.5</v>
      </c>
      <c r="X4" s="33">
        <v>953.68048180285257</v>
      </c>
      <c r="Y4" s="5">
        <v>48.06034807867912</v>
      </c>
      <c r="Z4" s="5">
        <v>6524.0322614820188</v>
      </c>
      <c r="AA4" s="35"/>
    </row>
    <row r="5" spans="2:27" x14ac:dyDescent="0.2">
      <c r="B5" s="4">
        <v>2</v>
      </c>
      <c r="C5" s="4">
        <v>436</v>
      </c>
      <c r="D5" s="23">
        <v>1566615.9550092069</v>
      </c>
      <c r="E5" s="33">
        <v>406.74681880004937</v>
      </c>
      <c r="F5" s="5">
        <v>14</v>
      </c>
      <c r="G5" s="23">
        <v>96</v>
      </c>
      <c r="H5" s="33">
        <v>646.17546414521667</v>
      </c>
      <c r="I5" s="23">
        <v>40.000323343534099</v>
      </c>
      <c r="J5" s="5">
        <v>5779.3623343838271</v>
      </c>
      <c r="K5" s="31"/>
      <c r="L5" s="23">
        <v>2051839.2799789531</v>
      </c>
      <c r="M5" s="33">
        <v>458.77468094998039</v>
      </c>
      <c r="N5" s="5">
        <v>26</v>
      </c>
      <c r="O5" s="5">
        <v>82.5</v>
      </c>
      <c r="P5" s="33">
        <v>556.12886614869922</v>
      </c>
      <c r="Q5" s="5">
        <v>17.511607431322545</v>
      </c>
      <c r="R5" s="5">
        <v>5131.7199038103709</v>
      </c>
      <c r="S5" s="35"/>
      <c r="T5" s="23">
        <v>2218925.7334272382</v>
      </c>
      <c r="U5" s="33">
        <v>244.78616464999504</v>
      </c>
      <c r="V5" s="5">
        <v>15</v>
      </c>
      <c r="W5" s="5">
        <v>77</v>
      </c>
      <c r="X5" s="33">
        <v>1072.3312724466921</v>
      </c>
      <c r="Y5" s="5">
        <v>46.966899693267003</v>
      </c>
      <c r="Z5" s="5">
        <v>6563.1904493030643</v>
      </c>
      <c r="AA5" s="35"/>
    </row>
    <row r="6" spans="2:27" x14ac:dyDescent="0.2">
      <c r="B6" s="4">
        <v>3</v>
      </c>
      <c r="C6" s="4">
        <v>670</v>
      </c>
      <c r="D6" s="23">
        <v>1569598.9918137121</v>
      </c>
      <c r="E6" s="33">
        <v>423.59181794995675</v>
      </c>
      <c r="F6" s="5">
        <v>14</v>
      </c>
      <c r="G6" s="23">
        <v>96</v>
      </c>
      <c r="H6" s="33">
        <v>622.97460564760797</v>
      </c>
      <c r="I6" s="23">
        <v>40.708115697994458</v>
      </c>
      <c r="J6" s="5">
        <v>5825.8474631995859</v>
      </c>
      <c r="K6" s="31"/>
      <c r="L6" s="23">
        <v>2023112.8888853451</v>
      </c>
      <c r="M6" s="33">
        <v>900.12775359995453</v>
      </c>
      <c r="N6" s="5">
        <v>30</v>
      </c>
      <c r="O6" s="5">
        <v>87.5</v>
      </c>
      <c r="P6" s="33">
        <v>679.66782965309028</v>
      </c>
      <c r="Q6" s="5">
        <v>16.902801774406569</v>
      </c>
      <c r="R6" s="5">
        <v>5275.1874293444071</v>
      </c>
      <c r="S6" s="35"/>
      <c r="T6" s="23">
        <v>2261854.216307736</v>
      </c>
      <c r="U6" s="33">
        <v>369.94113185000606</v>
      </c>
      <c r="V6" s="5">
        <v>15</v>
      </c>
      <c r="W6" s="5">
        <v>77</v>
      </c>
      <c r="X6" s="33">
        <v>1177.9417871978528</v>
      </c>
      <c r="Y6" s="5">
        <v>47.851249784708791</v>
      </c>
      <c r="Z6" s="5">
        <v>6741.539591152572</v>
      </c>
      <c r="AA6" s="35"/>
    </row>
    <row r="7" spans="2:27" x14ac:dyDescent="0.2">
      <c r="B7" s="4">
        <v>4</v>
      </c>
      <c r="C7" s="4">
        <v>891</v>
      </c>
      <c r="D7" s="23">
        <v>1565431.3930207291</v>
      </c>
      <c r="E7" s="33">
        <v>604.66057794995152</v>
      </c>
      <c r="F7" s="5">
        <v>14</v>
      </c>
      <c r="G7" s="23">
        <v>96</v>
      </c>
      <c r="H7" s="33">
        <v>625.43229968436003</v>
      </c>
      <c r="I7" s="23">
        <v>40.542572077907586</v>
      </c>
      <c r="J7" s="5">
        <v>5828.0881449603658</v>
      </c>
      <c r="K7" s="31"/>
      <c r="L7" s="23">
        <v>2017986.81170756</v>
      </c>
      <c r="M7" s="33">
        <v>582.17039160005504</v>
      </c>
      <c r="N7" s="5">
        <v>29</v>
      </c>
      <c r="O7" s="5">
        <v>86.5</v>
      </c>
      <c r="P7" s="33">
        <v>621.66461512377816</v>
      </c>
      <c r="Q7" s="5">
        <v>17.245042387319014</v>
      </c>
      <c r="R7" s="5">
        <v>5219.7748565542406</v>
      </c>
      <c r="S7" s="35"/>
      <c r="T7" s="23">
        <v>2245805.5526442118</v>
      </c>
      <c r="U7" s="33">
        <v>674.83409379998898</v>
      </c>
      <c r="V7" s="5">
        <v>14</v>
      </c>
      <c r="W7" s="5">
        <v>77</v>
      </c>
      <c r="X7" s="33">
        <v>1157.4825203381793</v>
      </c>
      <c r="Y7" s="5">
        <v>50.263233391620659</v>
      </c>
      <c r="Z7" s="5">
        <v>6766.3072600708183</v>
      </c>
      <c r="AA7" s="35"/>
    </row>
    <row r="8" spans="2:27" x14ac:dyDescent="0.2">
      <c r="B8" s="4">
        <v>5</v>
      </c>
      <c r="C8" s="4">
        <v>264</v>
      </c>
      <c r="D8" s="23">
        <v>1635525.585135106</v>
      </c>
      <c r="E8" s="33">
        <v>253.10438114998394</v>
      </c>
      <c r="F8" s="5">
        <v>15</v>
      </c>
      <c r="G8" s="23">
        <v>95.5</v>
      </c>
      <c r="H8" s="33">
        <v>668.63628728995741</v>
      </c>
      <c r="I8" s="23">
        <v>37.493660589631517</v>
      </c>
      <c r="J8" s="5">
        <v>5962.3515528224016</v>
      </c>
      <c r="K8" s="31"/>
      <c r="L8" s="23">
        <v>2045373.171471067</v>
      </c>
      <c r="M8" s="33">
        <v>481.43520394997904</v>
      </c>
      <c r="N8" s="5">
        <v>24</v>
      </c>
      <c r="O8" s="5">
        <v>80</v>
      </c>
      <c r="P8" s="33">
        <v>462.34209437215031</v>
      </c>
      <c r="Q8" s="5">
        <v>18.656272022923769</v>
      </c>
      <c r="R8" s="5">
        <v>4987.7966266063577</v>
      </c>
      <c r="S8" s="35"/>
      <c r="T8" s="23">
        <v>2209830.2633617851</v>
      </c>
      <c r="U8" s="33">
        <v>480.49914454997634</v>
      </c>
      <c r="V8" s="5">
        <v>15</v>
      </c>
      <c r="W8" s="5">
        <v>78</v>
      </c>
      <c r="X8" s="33">
        <v>1127.5787457690431</v>
      </c>
      <c r="Y8" s="5">
        <v>46.869446486072881</v>
      </c>
      <c r="Z8" s="5">
        <v>6592.1549356566029</v>
      </c>
      <c r="AA8" s="35"/>
    </row>
    <row r="9" spans="2:27" x14ac:dyDescent="0.2">
      <c r="B9" s="4">
        <v>6</v>
      </c>
      <c r="C9" s="4">
        <v>565</v>
      </c>
      <c r="D9" s="23">
        <v>1549576.5351816751</v>
      </c>
      <c r="E9" s="33">
        <v>650.982805549982</v>
      </c>
      <c r="F9" s="5">
        <v>15</v>
      </c>
      <c r="G9" s="23">
        <v>96</v>
      </c>
      <c r="H9" s="33">
        <v>552.76654927832635</v>
      </c>
      <c r="I9" s="23">
        <v>37.795747386526521</v>
      </c>
      <c r="J9" s="5">
        <v>5682.5448750378464</v>
      </c>
      <c r="K9" s="31"/>
      <c r="L9" s="23">
        <v>2022619.5937885151</v>
      </c>
      <c r="M9" s="33">
        <v>416.4632533499971</v>
      </c>
      <c r="N9" s="5">
        <v>26</v>
      </c>
      <c r="O9" s="5">
        <v>83</v>
      </c>
      <c r="P9" s="33">
        <v>566.8621693199708</v>
      </c>
      <c r="Q9" s="5">
        <v>18.129844844270199</v>
      </c>
      <c r="R9" s="5">
        <v>5095.8739258966634</v>
      </c>
      <c r="S9" s="35"/>
      <c r="T9" s="23">
        <v>2242106.6459837528</v>
      </c>
      <c r="U9" s="33">
        <v>735.54390600000602</v>
      </c>
      <c r="V9" s="5">
        <v>14</v>
      </c>
      <c r="W9" s="5">
        <v>76</v>
      </c>
      <c r="X9" s="33">
        <v>1074.615975389145</v>
      </c>
      <c r="Y9" s="5">
        <v>48.890817358896513</v>
      </c>
      <c r="Z9" s="5">
        <v>6644.6610695828149</v>
      </c>
      <c r="AA9" s="35"/>
    </row>
    <row r="10" spans="2:27" x14ac:dyDescent="0.2">
      <c r="B10" s="4">
        <v>7</v>
      </c>
      <c r="C10" s="4">
        <v>909</v>
      </c>
      <c r="D10" s="23">
        <v>1589748.9518619371</v>
      </c>
      <c r="E10" s="33">
        <v>506.90466939995548</v>
      </c>
      <c r="F10" s="5">
        <v>13</v>
      </c>
      <c r="G10" s="23">
        <v>96</v>
      </c>
      <c r="H10" s="33">
        <v>683.1187271217791</v>
      </c>
      <c r="I10" s="23">
        <v>43.594577290279254</v>
      </c>
      <c r="J10" s="5">
        <v>5993.3429667499995</v>
      </c>
      <c r="K10" s="31"/>
      <c r="L10" s="23">
        <v>2036099.183445741</v>
      </c>
      <c r="M10" s="33">
        <v>587.81042814999796</v>
      </c>
      <c r="N10" s="5">
        <v>33</v>
      </c>
      <c r="O10" s="5">
        <v>90</v>
      </c>
      <c r="P10" s="33">
        <v>739.18060433630762</v>
      </c>
      <c r="Q10" s="5">
        <v>15.811479351419207</v>
      </c>
      <c r="R10" s="5">
        <v>5369.851071155821</v>
      </c>
      <c r="S10" s="35"/>
      <c r="T10" s="23">
        <v>2217049.0754142278</v>
      </c>
      <c r="U10" s="33">
        <v>653.27501020001353</v>
      </c>
      <c r="V10" s="5">
        <v>16</v>
      </c>
      <c r="W10" s="5">
        <v>80</v>
      </c>
      <c r="X10" s="33">
        <v>1256.5364079927608</v>
      </c>
      <c r="Y10" s="5">
        <v>46.507329733121736</v>
      </c>
      <c r="Z10" s="5">
        <v>6809.2287989111692</v>
      </c>
      <c r="AA10" s="35"/>
    </row>
    <row r="11" spans="2:27" x14ac:dyDescent="0.2">
      <c r="B11" s="4">
        <v>8</v>
      </c>
      <c r="C11" s="4">
        <v>284</v>
      </c>
      <c r="D11" s="23">
        <v>1567009.6295185999</v>
      </c>
      <c r="E11" s="33">
        <v>466.94009150000056</v>
      </c>
      <c r="F11" s="5">
        <v>14</v>
      </c>
      <c r="G11" s="23">
        <v>96</v>
      </c>
      <c r="H11" s="33">
        <v>563.49450149698782</v>
      </c>
      <c r="I11" s="23">
        <v>40.334423160767798</v>
      </c>
      <c r="J11" s="5">
        <v>5854.7056556078414</v>
      </c>
      <c r="K11" s="31"/>
      <c r="L11" s="23">
        <v>2040567.8472039299</v>
      </c>
      <c r="M11" s="33">
        <v>340.46383770002285</v>
      </c>
      <c r="N11" s="5">
        <v>30</v>
      </c>
      <c r="O11" s="5">
        <v>86.5</v>
      </c>
      <c r="P11" s="33">
        <v>583.16722845050469</v>
      </c>
      <c r="Q11" s="5">
        <v>16.299752553818411</v>
      </c>
      <c r="R11" s="5">
        <v>5205.9848291173639</v>
      </c>
      <c r="S11" s="35"/>
      <c r="T11" s="23">
        <v>2287062.3100501238</v>
      </c>
      <c r="U11" s="33">
        <v>478.53673170000548</v>
      </c>
      <c r="V11" s="5">
        <v>14</v>
      </c>
      <c r="W11" s="5">
        <v>75.5</v>
      </c>
      <c r="X11" s="33">
        <v>1195.3020168431538</v>
      </c>
      <c r="Y11" s="5">
        <v>50.559413293072353</v>
      </c>
      <c r="Z11" s="5">
        <v>6793.5330561000737</v>
      </c>
      <c r="AA11" s="35"/>
    </row>
    <row r="12" spans="2:27" x14ac:dyDescent="0.2">
      <c r="B12" s="4">
        <v>9</v>
      </c>
      <c r="C12" s="4">
        <v>812</v>
      </c>
      <c r="D12" s="23">
        <v>1561928.471224156</v>
      </c>
      <c r="E12" s="33">
        <v>676.87698760000046</v>
      </c>
      <c r="F12" s="5">
        <v>16</v>
      </c>
      <c r="G12" s="23">
        <v>96</v>
      </c>
      <c r="H12" s="33">
        <v>538.53939308023416</v>
      </c>
      <c r="I12" s="23">
        <v>35.037667849966375</v>
      </c>
      <c r="J12" s="5">
        <v>5639.3461109060408</v>
      </c>
      <c r="K12" s="31"/>
      <c r="L12" s="23">
        <v>2064684.6318727341</v>
      </c>
      <c r="M12" s="33">
        <v>622.93483290000597</v>
      </c>
      <c r="N12" s="5">
        <v>22</v>
      </c>
      <c r="O12" s="5">
        <v>77.5</v>
      </c>
      <c r="P12" s="33">
        <v>446.60626963875831</v>
      </c>
      <c r="Q12" s="5">
        <v>19.526275993686365</v>
      </c>
      <c r="R12" s="5">
        <v>4919.5829826458557</v>
      </c>
      <c r="S12" s="35"/>
      <c r="T12" s="23">
        <v>2263915.6449166448</v>
      </c>
      <c r="U12" s="33">
        <v>238.11812790000116</v>
      </c>
      <c r="V12" s="5">
        <v>13</v>
      </c>
      <c r="W12" s="5">
        <v>74.5</v>
      </c>
      <c r="X12" s="33">
        <v>1051.0478808186911</v>
      </c>
      <c r="Y12" s="5">
        <v>51.508000659796615</v>
      </c>
      <c r="Z12" s="5">
        <v>6602.1243814081627</v>
      </c>
      <c r="AA12" s="35"/>
    </row>
    <row r="13" spans="2:27" x14ac:dyDescent="0.2">
      <c r="B13" s="4">
        <v>10</v>
      </c>
      <c r="C13" s="4">
        <v>938</v>
      </c>
      <c r="D13" s="23">
        <v>1557120.3723256739</v>
      </c>
      <c r="E13" s="33">
        <v>416.47014079999644</v>
      </c>
      <c r="F13" s="5">
        <v>15</v>
      </c>
      <c r="G13" s="23">
        <v>96</v>
      </c>
      <c r="H13" s="33">
        <v>562.34605469031794</v>
      </c>
      <c r="I13" s="23">
        <v>37.594763042513279</v>
      </c>
      <c r="J13" s="5">
        <v>5714.1640989648513</v>
      </c>
      <c r="K13" s="31"/>
      <c r="L13" s="23">
        <v>2086403.795249433</v>
      </c>
      <c r="M13" s="33">
        <v>684.03611559997103</v>
      </c>
      <c r="N13" s="5">
        <v>22</v>
      </c>
      <c r="O13" s="5">
        <v>76.5</v>
      </c>
      <c r="P13" s="33">
        <v>390.27341728927564</v>
      </c>
      <c r="Q13" s="5">
        <v>19.013559710810128</v>
      </c>
      <c r="R13" s="5">
        <v>4906.3650610863824</v>
      </c>
      <c r="S13" s="35"/>
      <c r="T13" s="23">
        <v>2161748.1339857178</v>
      </c>
      <c r="U13" s="33">
        <v>595.82538345002104</v>
      </c>
      <c r="V13" s="5">
        <v>18</v>
      </c>
      <c r="W13" s="5">
        <v>82.5</v>
      </c>
      <c r="X13" s="33">
        <v>1197.5936009744853</v>
      </c>
      <c r="Y13" s="5">
        <v>42.952525631004548</v>
      </c>
      <c r="Z13" s="5">
        <v>6636.5283211043397</v>
      </c>
      <c r="AA13" s="35"/>
    </row>
    <row r="14" spans="2:27" x14ac:dyDescent="0.2">
      <c r="B14" s="47" t="s">
        <v>3</v>
      </c>
      <c r="C14" s="48"/>
      <c r="D14" s="9">
        <f>MIN(D4:D13)</f>
        <v>1549576.5351816751</v>
      </c>
      <c r="E14" s="22">
        <f>INDEX(E4:E13, MATCH($D$14, D4:D13, 0))</f>
        <v>650.982805549982</v>
      </c>
      <c r="F14" s="9">
        <f>INDEX(F4:F13, MATCH($D$14, D4:D13, 0))</f>
        <v>15</v>
      </c>
      <c r="G14" s="9">
        <f>INDEX(G4:G13, MATCH($D$14, D4:D13, 0))</f>
        <v>96</v>
      </c>
      <c r="H14" s="22">
        <f>INDEX(H4:H13, MATCH($D$14, D4:D13, 0))</f>
        <v>552.76654927832635</v>
      </c>
      <c r="I14" s="22">
        <f>INDEX(I4:I13, MATCH($D$14, D4:D13, 0))</f>
        <v>37.795747386526521</v>
      </c>
      <c r="J14" s="22">
        <f>INDEX(J4:J13, MATCH($D$14, D4:D13, 0))</f>
        <v>5682.5448750378464</v>
      </c>
      <c r="K14" s="32" t="e">
        <f>(D14-$D$15)/$D$15</f>
        <v>#DIV/0!</v>
      </c>
      <c r="L14" s="16">
        <f>MIN(L4:L13)</f>
        <v>2009403.127134728</v>
      </c>
      <c r="M14" s="21">
        <f>INDEX(M4:M13, MATCH($L$14, L4:L13, 0))</f>
        <v>532.72212150000246</v>
      </c>
      <c r="N14" s="16">
        <f>INDEX(N4:N13, MATCH($L$14, L4:L13, 0))</f>
        <v>30</v>
      </c>
      <c r="O14" s="16">
        <f>INDEX(O4:O13, MATCH($L$14, L4:L13, 0))</f>
        <v>87</v>
      </c>
      <c r="P14" s="21">
        <f>INDEX(P4:P13, MATCH($L$14, L4:L13, 0))</f>
        <v>605.77684945290548</v>
      </c>
      <c r="Q14" s="21">
        <f>INDEX(Q4:Q13, MATCH($L$14, L4:L13, 0))</f>
        <v>16.840135510888821</v>
      </c>
      <c r="R14" s="21">
        <f>INDEX(R4:R13, MATCH($L$14, L4:L13, 0))</f>
        <v>5165.9806496388946</v>
      </c>
      <c r="S14" s="36" t="e">
        <f>(L14-$D$15)/$D$15</f>
        <v>#DIV/0!</v>
      </c>
      <c r="T14" s="38">
        <f>MIN(T4:T13)</f>
        <v>2161748.1339857178</v>
      </c>
      <c r="U14" s="39">
        <f>INDEX(U4:U13, MATCH($T$14, T4:T13, 0))</f>
        <v>595.82538345002104</v>
      </c>
      <c r="V14" s="38">
        <f>INDEX(V4:V13, MATCH($T$14, T4:T13, 0))</f>
        <v>18</v>
      </c>
      <c r="W14" s="38">
        <f>INDEX(W4:W13, MATCH($T$14, T4:T13, 0))</f>
        <v>82.5</v>
      </c>
      <c r="X14" s="39">
        <f>INDEX(X4:X13, MATCH($T$14, T4:T13, 0))</f>
        <v>1197.5936009744853</v>
      </c>
      <c r="Y14" s="39">
        <f>INDEX(Y4:Y13, MATCH($T$14, T4:T13, 0))</f>
        <v>42.952525631004548</v>
      </c>
      <c r="Z14" s="39">
        <f>INDEX(Z4:Z13, MATCH($T$14, T4:T13, 0))</f>
        <v>6636.5283211043397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0.29674338860528887</v>
      </c>
      <c r="M15" s="41">
        <f t="shared" ref="M15:R15" si="0">(M14-E14)/E14</f>
        <v>-0.18166483514117882</v>
      </c>
      <c r="N15" s="41">
        <f t="shared" si="0"/>
        <v>1</v>
      </c>
      <c r="O15" s="41">
        <f t="shared" si="0"/>
        <v>-9.375E-2</v>
      </c>
      <c r="P15" s="41">
        <f t="shared" si="0"/>
        <v>9.5899978469731237E-2</v>
      </c>
      <c r="Q15" s="41">
        <f t="shared" si="0"/>
        <v>-0.55444364312552219</v>
      </c>
      <c r="R15" s="41">
        <f t="shared" si="0"/>
        <v>-9.0903677271094385E-2</v>
      </c>
      <c r="T15" s="1">
        <f>(T14-D14)/D14</f>
        <v>0.39505734947920501</v>
      </c>
      <c r="U15" s="1">
        <f t="shared" ref="U15:Z15" si="1">(U14-E14)/E14</f>
        <v>-8.4729460793302042E-2</v>
      </c>
      <c r="V15" s="1">
        <f t="shared" si="1"/>
        <v>0.2</v>
      </c>
      <c r="W15" s="1">
        <f t="shared" si="1"/>
        <v>-0.140625</v>
      </c>
      <c r="X15" s="1">
        <f t="shared" si="1"/>
        <v>1.1665449954198996</v>
      </c>
      <c r="Y15" s="1">
        <f t="shared" si="1"/>
        <v>0.13643805457108971</v>
      </c>
      <c r="Z15" s="1">
        <f t="shared" si="1"/>
        <v>0.16787961503958027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103" priority="7"/>
    <cfRule type="duplicateValues" dxfId="102" priority="8"/>
  </conditionalFormatting>
  <conditionalFormatting sqref="C14">
    <cfRule type="duplicateValues" dxfId="101" priority="5"/>
    <cfRule type="duplicateValues" dxfId="100" priority="6"/>
  </conditionalFormatting>
  <conditionalFormatting sqref="C15">
    <cfRule type="duplicateValues" dxfId="99" priority="3"/>
    <cfRule type="duplicateValues" dxfId="98" priority="4"/>
  </conditionalFormatting>
  <conditionalFormatting sqref="C20:C29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EE0E-C20B-4096-AB4F-1F7B2E4C1CBE}">
  <dimension ref="B1:AA17"/>
  <sheetViews>
    <sheetView zoomScale="90" zoomScaleNormal="90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-0.98078625532500019</v>
      </c>
      <c r="J2" s="28" t="e">
        <f>(S14-J14)/J14</f>
        <v>#DIV/0!</v>
      </c>
      <c r="K2" s="28"/>
      <c r="L2" s="1" t="s">
        <v>19</v>
      </c>
      <c r="P2" s="1">
        <f>(P14-H14)/H14</f>
        <v>-0.2564361382824577</v>
      </c>
      <c r="R2" s="1">
        <f>(R14-J14)/J14</f>
        <v>-0.13337573843722</v>
      </c>
      <c r="T2" s="1" t="s">
        <v>20</v>
      </c>
      <c r="X2" s="1">
        <f>(X14-P14)/P14</f>
        <v>0.74427644749974686</v>
      </c>
      <c r="Z2" s="1">
        <f>(Z14-R14)/R14</f>
        <v>0.2526745478391329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853</v>
      </c>
      <c r="D4" s="23">
        <v>1804925.0242265069</v>
      </c>
      <c r="E4" s="33">
        <v>474.68582625000272</v>
      </c>
      <c r="F4" s="5">
        <v>14</v>
      </c>
      <c r="G4" s="23">
        <v>92.5</v>
      </c>
      <c r="H4" s="33">
        <v>941.80401131082999</v>
      </c>
      <c r="I4" s="23">
        <v>42.407382295461566</v>
      </c>
      <c r="J4" s="5">
        <v>6233.4257257812305</v>
      </c>
      <c r="K4" s="31"/>
      <c r="L4" s="23">
        <v>2397272.6721079382</v>
      </c>
      <c r="M4" s="33">
        <v>560.25102819997096</v>
      </c>
      <c r="N4" s="5">
        <v>15</v>
      </c>
      <c r="O4" s="5">
        <v>61</v>
      </c>
      <c r="P4" s="33">
        <v>204.58633482678854</v>
      </c>
      <c r="Q4" s="5">
        <v>22.529994867352467</v>
      </c>
      <c r="R4" s="5">
        <v>4621.1065368921118</v>
      </c>
      <c r="S4" s="35"/>
      <c r="T4" s="23">
        <v>2371821.1782164229</v>
      </c>
      <c r="U4" s="33">
        <v>225.78272529999961</v>
      </c>
      <c r="V4" s="5">
        <v>15</v>
      </c>
      <c r="W4" s="5">
        <v>71.5</v>
      </c>
      <c r="X4" s="33">
        <v>1031.0565176241571</v>
      </c>
      <c r="Y4" s="5">
        <v>43.929069054504708</v>
      </c>
      <c r="Z4" s="5">
        <v>6389.6610804384545</v>
      </c>
      <c r="AA4" s="35"/>
    </row>
    <row r="5" spans="2:27" x14ac:dyDescent="0.2">
      <c r="B5" s="4">
        <v>2</v>
      </c>
      <c r="C5" s="4">
        <v>247</v>
      </c>
      <c r="D5" s="23">
        <v>1853143.8348622939</v>
      </c>
      <c r="E5" s="33">
        <v>805.15770495001948</v>
      </c>
      <c r="F5" s="5">
        <v>17</v>
      </c>
      <c r="G5" s="23">
        <v>95</v>
      </c>
      <c r="H5" s="33">
        <v>1153.8033169033972</v>
      </c>
      <c r="I5" s="23">
        <v>36.318249758831698</v>
      </c>
      <c r="J5" s="5">
        <v>6343.0363655027295</v>
      </c>
      <c r="K5" s="31"/>
      <c r="L5" s="23">
        <v>2244271.7685542991</v>
      </c>
      <c r="M5" s="33">
        <v>433.58907694998197</v>
      </c>
      <c r="N5" s="5">
        <v>25</v>
      </c>
      <c r="O5" s="5">
        <v>78</v>
      </c>
      <c r="P5" s="33">
        <v>794.55429841120906</v>
      </c>
      <c r="Q5" s="5">
        <v>18.923747661054389</v>
      </c>
      <c r="R5" s="5">
        <v>5355.0176246436631</v>
      </c>
      <c r="S5" s="35"/>
      <c r="T5" s="23">
        <v>2423199.294454061</v>
      </c>
      <c r="U5" s="33">
        <v>241.09818995001839</v>
      </c>
      <c r="V5" s="5">
        <v>14</v>
      </c>
      <c r="W5" s="5">
        <v>69</v>
      </c>
      <c r="X5" s="33">
        <v>1055.389135155446</v>
      </c>
      <c r="Y5" s="5">
        <v>45.750010405490137</v>
      </c>
      <c r="Z5" s="5">
        <v>6397.4769955354104</v>
      </c>
      <c r="AA5" s="35"/>
    </row>
    <row r="6" spans="2:27" x14ac:dyDescent="0.2">
      <c r="B6" s="4">
        <v>3</v>
      </c>
      <c r="C6" s="4">
        <v>868</v>
      </c>
      <c r="D6" s="23">
        <v>1799905.726692308</v>
      </c>
      <c r="E6" s="33">
        <v>829.08358385000599</v>
      </c>
      <c r="F6" s="5">
        <v>17</v>
      </c>
      <c r="G6" s="23">
        <v>96</v>
      </c>
      <c r="H6" s="33">
        <v>1017.7448946605269</v>
      </c>
      <c r="I6" s="23">
        <v>36.749870192662719</v>
      </c>
      <c r="J6" s="5">
        <v>6292.726992990677</v>
      </c>
      <c r="K6" s="31"/>
      <c r="L6" s="23">
        <v>2142464.9915980352</v>
      </c>
      <c r="M6" s="33">
        <v>627.58991545002198</v>
      </c>
      <c r="N6" s="5">
        <v>28</v>
      </c>
      <c r="O6" s="5">
        <v>83</v>
      </c>
      <c r="P6" s="33">
        <v>714.2359189496226</v>
      </c>
      <c r="Q6" s="5">
        <v>18.455908484730735</v>
      </c>
      <c r="R6" s="5">
        <v>5266.255970641284</v>
      </c>
      <c r="S6" s="35"/>
      <c r="T6" s="23">
        <v>2440536.7894632188</v>
      </c>
      <c r="U6" s="33">
        <v>342.91863255001954</v>
      </c>
      <c r="V6" s="5">
        <v>13</v>
      </c>
      <c r="W6" s="5">
        <v>66.5</v>
      </c>
      <c r="X6" s="33">
        <v>890.84119033110767</v>
      </c>
      <c r="Y6" s="5">
        <v>47.599889864227571</v>
      </c>
      <c r="Z6" s="5">
        <v>6303.9453186322462</v>
      </c>
      <c r="AA6" s="35"/>
    </row>
    <row r="7" spans="2:27" x14ac:dyDescent="0.2">
      <c r="B7" s="4">
        <v>4</v>
      </c>
      <c r="C7" s="4">
        <v>731</v>
      </c>
      <c r="D7" s="23">
        <v>1804705.8949516041</v>
      </c>
      <c r="E7" s="33">
        <v>663.12337739998452</v>
      </c>
      <c r="F7" s="5">
        <v>14</v>
      </c>
      <c r="G7" s="23">
        <v>93</v>
      </c>
      <c r="H7" s="33">
        <v>1005.1290538041711</v>
      </c>
      <c r="I7" s="23">
        <v>42.717692937663152</v>
      </c>
      <c r="J7" s="5">
        <v>6270.2281649301685</v>
      </c>
      <c r="K7" s="31"/>
      <c r="L7" s="23">
        <v>2284254.0541238738</v>
      </c>
      <c r="M7" s="33">
        <v>508.4695855499595</v>
      </c>
      <c r="N7" s="5">
        <v>20</v>
      </c>
      <c r="O7" s="5">
        <v>71</v>
      </c>
      <c r="P7" s="33">
        <v>545.75302955529594</v>
      </c>
      <c r="Q7" s="5">
        <v>20.906749815461239</v>
      </c>
      <c r="R7" s="5">
        <v>5134.7870748850182</v>
      </c>
      <c r="S7" s="35"/>
      <c r="T7" s="23">
        <v>2466325.862393036</v>
      </c>
      <c r="U7" s="33">
        <v>349.74535610000021</v>
      </c>
      <c r="V7" s="5">
        <v>14</v>
      </c>
      <c r="W7" s="5">
        <v>68</v>
      </c>
      <c r="X7" s="33">
        <v>1144.2449411438215</v>
      </c>
      <c r="Y7" s="5">
        <v>43.520300434686689</v>
      </c>
      <c r="Z7" s="5">
        <v>6457.0982287594625</v>
      </c>
      <c r="AA7" s="35"/>
    </row>
    <row r="8" spans="2:27" x14ac:dyDescent="0.2">
      <c r="B8" s="4">
        <v>5</v>
      </c>
      <c r="C8" s="4">
        <v>931</v>
      </c>
      <c r="D8" s="23">
        <v>1786004.0937027161</v>
      </c>
      <c r="E8" s="33">
        <v>625.5659301499835</v>
      </c>
      <c r="F8" s="5">
        <v>15</v>
      </c>
      <c r="G8" s="23">
        <v>93</v>
      </c>
      <c r="H8" s="33">
        <v>960.55760066099003</v>
      </c>
      <c r="I8" s="23">
        <v>39.442294889938019</v>
      </c>
      <c r="J8" s="5">
        <v>6076.7465258180819</v>
      </c>
      <c r="K8" s="31"/>
      <c r="L8" s="23">
        <v>2303216.901153157</v>
      </c>
      <c r="M8" s="33">
        <v>494.21667810005601</v>
      </c>
      <c r="N8" s="5">
        <v>19</v>
      </c>
      <c r="O8" s="5">
        <v>68.5</v>
      </c>
      <c r="P8" s="33">
        <v>420.03585663570124</v>
      </c>
      <c r="Q8" s="5">
        <v>20.935254115208362</v>
      </c>
      <c r="R8" s="5">
        <v>4957.0877426185098</v>
      </c>
      <c r="S8" s="35"/>
      <c r="T8" s="23">
        <v>2387488.8249503472</v>
      </c>
      <c r="U8" s="33">
        <v>452.42666560001089</v>
      </c>
      <c r="V8" s="5">
        <v>14</v>
      </c>
      <c r="W8" s="5">
        <v>70</v>
      </c>
      <c r="X8" s="33">
        <v>959.08158869555416</v>
      </c>
      <c r="Y8" s="5">
        <v>45.39142402431024</v>
      </c>
      <c r="Z8" s="5">
        <v>6351.3688306300273</v>
      </c>
      <c r="AA8" s="35"/>
    </row>
    <row r="9" spans="2:27" x14ac:dyDescent="0.2">
      <c r="B9" s="4">
        <v>6</v>
      </c>
      <c r="C9" s="4">
        <v>279</v>
      </c>
      <c r="D9" s="23">
        <v>1786367.865694728</v>
      </c>
      <c r="E9" s="33">
        <v>570.13278089999199</v>
      </c>
      <c r="F9" s="5">
        <v>16</v>
      </c>
      <c r="G9" s="23">
        <v>94.5</v>
      </c>
      <c r="H9" s="33">
        <v>940.80570863808009</v>
      </c>
      <c r="I9" s="23">
        <v>38.436280166443105</v>
      </c>
      <c r="J9" s="5">
        <v>6206.6945319862371</v>
      </c>
      <c r="K9" s="31"/>
      <c r="L9" s="23">
        <v>2187924.0679151439</v>
      </c>
      <c r="M9" s="33">
        <v>309.32380125002237</v>
      </c>
      <c r="N9" s="5">
        <v>27</v>
      </c>
      <c r="O9" s="5">
        <v>81.5</v>
      </c>
      <c r="P9" s="33">
        <v>743.40363611806868</v>
      </c>
      <c r="Q9" s="5">
        <v>18.434890587270942</v>
      </c>
      <c r="R9" s="5">
        <v>5339.2091145492241</v>
      </c>
      <c r="S9" s="35"/>
      <c r="T9" s="23">
        <v>2420080.317046999</v>
      </c>
      <c r="U9" s="33">
        <v>364.60561124997912</v>
      </c>
      <c r="V9" s="5">
        <v>14</v>
      </c>
      <c r="W9" s="5">
        <v>68</v>
      </c>
      <c r="X9" s="33">
        <v>934.09244102965374</v>
      </c>
      <c r="Y9" s="5">
        <v>46.832014384850886</v>
      </c>
      <c r="Z9" s="5">
        <v>6278.7941323135701</v>
      </c>
      <c r="AA9" s="35"/>
    </row>
    <row r="10" spans="2:27" x14ac:dyDescent="0.2">
      <c r="B10" s="4">
        <v>7</v>
      </c>
      <c r="C10" s="4">
        <v>443</v>
      </c>
      <c r="D10" s="23">
        <v>1815399.5016970511</v>
      </c>
      <c r="E10" s="33">
        <v>377.02615574997617</v>
      </c>
      <c r="F10" s="5">
        <v>17</v>
      </c>
      <c r="G10" s="23">
        <v>95</v>
      </c>
      <c r="H10" s="33">
        <v>1136.7299140441392</v>
      </c>
      <c r="I10" s="23">
        <v>35.922305790510286</v>
      </c>
      <c r="J10" s="5">
        <v>6186.3450490093719</v>
      </c>
      <c r="K10" s="31"/>
      <c r="L10" s="23">
        <v>2245633.679318042</v>
      </c>
      <c r="M10" s="33">
        <v>928.28253139997855</v>
      </c>
      <c r="N10" s="5">
        <v>21</v>
      </c>
      <c r="O10" s="5">
        <v>72.5</v>
      </c>
      <c r="P10" s="33">
        <v>544.12100132912701</v>
      </c>
      <c r="Q10" s="5">
        <v>19.916924999632077</v>
      </c>
      <c r="R10" s="5">
        <v>4993.0197895962901</v>
      </c>
      <c r="S10" s="35"/>
      <c r="T10" s="23">
        <v>2382314.2956406591</v>
      </c>
      <c r="U10" s="33">
        <v>349.42526114999782</v>
      </c>
      <c r="V10" s="5">
        <v>16</v>
      </c>
      <c r="W10" s="5">
        <v>73.5</v>
      </c>
      <c r="X10" s="33">
        <v>1283.7256339246701</v>
      </c>
      <c r="Y10" s="5">
        <v>44.732630860015107</v>
      </c>
      <c r="Z10" s="5">
        <v>6629.46879769098</v>
      </c>
      <c r="AA10" s="35"/>
    </row>
    <row r="11" spans="2:27" x14ac:dyDescent="0.2">
      <c r="B11" s="4">
        <v>8</v>
      </c>
      <c r="C11" s="4">
        <v>61</v>
      </c>
      <c r="D11" s="23">
        <v>1803945.398967175</v>
      </c>
      <c r="E11" s="33">
        <v>776.78018474997953</v>
      </c>
      <c r="F11" s="5">
        <v>16</v>
      </c>
      <c r="G11" s="23">
        <v>95</v>
      </c>
      <c r="H11" s="33">
        <v>1044.5283421667198</v>
      </c>
      <c r="I11" s="23">
        <v>38.406315774765602</v>
      </c>
      <c r="J11" s="5">
        <v>6282.8916886153802</v>
      </c>
      <c r="K11" s="31"/>
      <c r="L11" s="23">
        <v>2236491.3217384899</v>
      </c>
      <c r="M11" s="33">
        <v>488.99100029998226</v>
      </c>
      <c r="N11" s="5">
        <v>26</v>
      </c>
      <c r="O11" s="5">
        <v>78</v>
      </c>
      <c r="P11" s="33">
        <v>704.73014633381592</v>
      </c>
      <c r="Q11" s="5">
        <v>18.004906039159991</v>
      </c>
      <c r="R11" s="5">
        <v>5218.5144741569002</v>
      </c>
      <c r="S11" s="35"/>
      <c r="T11" s="23">
        <v>2364362.5344806351</v>
      </c>
      <c r="U11" s="33">
        <v>474.4411985000188</v>
      </c>
      <c r="V11" s="5">
        <v>15</v>
      </c>
      <c r="W11" s="5">
        <v>72.5</v>
      </c>
      <c r="X11" s="33">
        <v>1146.951013240852</v>
      </c>
      <c r="Y11" s="5">
        <v>46.005322554038017</v>
      </c>
      <c r="Z11" s="5">
        <v>6477.4950063390916</v>
      </c>
      <c r="AA11" s="35"/>
    </row>
    <row r="12" spans="2:27" x14ac:dyDescent="0.2">
      <c r="B12" s="4">
        <v>9</v>
      </c>
      <c r="C12" s="4">
        <v>549</v>
      </c>
      <c r="D12" s="23">
        <v>1803095.651963213</v>
      </c>
      <c r="E12" s="33">
        <v>357.73543790000258</v>
      </c>
      <c r="F12" s="5">
        <v>14</v>
      </c>
      <c r="G12" s="23">
        <v>93</v>
      </c>
      <c r="H12" s="33">
        <v>971.25720478912285</v>
      </c>
      <c r="I12" s="23">
        <v>42.26303499456953</v>
      </c>
      <c r="J12" s="5">
        <v>6248.0219022200436</v>
      </c>
      <c r="K12" s="31"/>
      <c r="L12" s="23">
        <v>2214153.782456019</v>
      </c>
      <c r="M12" s="33">
        <v>1531.2267520500466</v>
      </c>
      <c r="N12" s="5">
        <v>23</v>
      </c>
      <c r="O12" s="5">
        <v>75.5</v>
      </c>
      <c r="P12" s="33">
        <v>572.98225954074144</v>
      </c>
      <c r="Q12" s="5">
        <v>19.669746705841991</v>
      </c>
      <c r="R12" s="5">
        <v>5082.4803394692426</v>
      </c>
      <c r="S12" s="35"/>
      <c r="T12" s="23">
        <v>2361995.0750325122</v>
      </c>
      <c r="U12" s="33">
        <v>454.4633211500186</v>
      </c>
      <c r="V12" s="5">
        <v>15</v>
      </c>
      <c r="W12" s="5">
        <v>73.5</v>
      </c>
      <c r="X12" s="33">
        <v>1245.8248913821649</v>
      </c>
      <c r="Y12" s="5">
        <v>46.802953984345272</v>
      </c>
      <c r="Z12" s="5">
        <v>6596.9048168282043</v>
      </c>
      <c r="AA12" s="35"/>
    </row>
    <row r="13" spans="2:27" x14ac:dyDescent="0.2">
      <c r="B13" s="4">
        <v>10</v>
      </c>
      <c r="C13" s="4">
        <v>148</v>
      </c>
      <c r="D13" s="23">
        <v>1892118.417630882</v>
      </c>
      <c r="E13" s="33">
        <v>245.40549990005096</v>
      </c>
      <c r="F13" s="5">
        <v>15</v>
      </c>
      <c r="G13" s="23">
        <v>91</v>
      </c>
      <c r="H13" s="33">
        <v>1037.3703359292401</v>
      </c>
      <c r="I13" s="23">
        <v>38.017947692305022</v>
      </c>
      <c r="J13" s="5">
        <v>6305.2757495434389</v>
      </c>
      <c r="K13" s="31"/>
      <c r="L13" s="23">
        <v>2269700.192975095</v>
      </c>
      <c r="M13" s="33">
        <v>490.10458159999689</v>
      </c>
      <c r="N13" s="5">
        <v>22</v>
      </c>
      <c r="O13" s="5">
        <v>74</v>
      </c>
      <c r="P13" s="33">
        <v>632.68141058866786</v>
      </c>
      <c r="Q13" s="5">
        <v>19.756532083525894</v>
      </c>
      <c r="R13" s="5">
        <v>5219.8320621141665</v>
      </c>
      <c r="S13" s="35"/>
      <c r="T13" s="23">
        <v>2394035.7619761219</v>
      </c>
      <c r="U13" s="33">
        <v>468.70652179999161</v>
      </c>
      <c r="V13" s="5">
        <v>15</v>
      </c>
      <c r="W13" s="5">
        <v>70</v>
      </c>
      <c r="X13" s="33">
        <v>1031.8152721203437</v>
      </c>
      <c r="Y13" s="5">
        <v>45.130959978026652</v>
      </c>
      <c r="Z13" s="5">
        <v>6318.6285618182756</v>
      </c>
      <c r="AA13" s="35"/>
    </row>
    <row r="14" spans="2:27" x14ac:dyDescent="0.2">
      <c r="B14" s="47" t="s">
        <v>3</v>
      </c>
      <c r="C14" s="48"/>
      <c r="D14" s="9">
        <f>MIN(D4:D13)</f>
        <v>1786004.0937027161</v>
      </c>
      <c r="E14" s="22">
        <f>INDEX(E4:E13, MATCH($D$14, D4:D13, 0))</f>
        <v>625.5659301499835</v>
      </c>
      <c r="F14" s="9">
        <f>INDEX(F4:F13, MATCH($D$14, D4:D13, 0))</f>
        <v>15</v>
      </c>
      <c r="G14" s="9">
        <f>INDEX(G4:G13, MATCH($D$14, D4:D13, 0))</f>
        <v>93</v>
      </c>
      <c r="H14" s="22">
        <f>INDEX(H4:H13, MATCH($D$14, D4:D13, 0))</f>
        <v>960.55760066099003</v>
      </c>
      <c r="I14" s="22">
        <f>INDEX(I4:I13, MATCH($D$14, D4:D13, 0))</f>
        <v>39.442294889938019</v>
      </c>
      <c r="J14" s="22">
        <f>INDEX(J4:J13, MATCH($D$14, D4:D13, 0))</f>
        <v>6076.7465258180819</v>
      </c>
      <c r="K14" s="32" t="e">
        <f>(D14-$D$15)/$D$15</f>
        <v>#DIV/0!</v>
      </c>
      <c r="L14" s="16">
        <f>MIN(L4:L13)</f>
        <v>2142464.9915980352</v>
      </c>
      <c r="M14" s="21">
        <f>INDEX(M4:M13, MATCH($L$14, L4:L13, 0))</f>
        <v>627.58991545002198</v>
      </c>
      <c r="N14" s="16">
        <f>INDEX(N4:N13, MATCH($L$14, L4:L13, 0))</f>
        <v>28</v>
      </c>
      <c r="O14" s="16">
        <f>INDEX(O4:O13, MATCH($L$14, L4:L13, 0))</f>
        <v>83</v>
      </c>
      <c r="P14" s="21">
        <f>INDEX(P4:P13, MATCH($L$14, L4:L13, 0))</f>
        <v>714.2359189496226</v>
      </c>
      <c r="Q14" s="21">
        <f>INDEX(Q4:Q13, MATCH($L$14, L4:L13, 0))</f>
        <v>18.455908484730735</v>
      </c>
      <c r="R14" s="21">
        <f>INDEX(R4:R13, MATCH($L$14, L4:L13, 0))</f>
        <v>5266.255970641284</v>
      </c>
      <c r="S14" s="36" t="e">
        <f>(L14-$D$15)/$D$15</f>
        <v>#DIV/0!</v>
      </c>
      <c r="T14" s="38">
        <f>MIN(T4:T13)</f>
        <v>2361995.0750325122</v>
      </c>
      <c r="U14" s="39">
        <f>INDEX(U4:U13, MATCH($T$14, T4:T13, 0))</f>
        <v>454.4633211500186</v>
      </c>
      <c r="V14" s="38">
        <f>INDEX(V4:V13, MATCH($T$14, T4:T13, 0))</f>
        <v>15</v>
      </c>
      <c r="W14" s="38">
        <f>INDEX(W4:W13, MATCH($T$14, T4:T13, 0))</f>
        <v>73.5</v>
      </c>
      <c r="X14" s="39">
        <f>INDEX(X4:X13, MATCH($T$14, T4:T13, 0))</f>
        <v>1245.8248913821649</v>
      </c>
      <c r="Y14" s="39">
        <f>INDEX(Y4:Y13, MATCH($T$14, T4:T13, 0))</f>
        <v>46.802953984345272</v>
      </c>
      <c r="Z14" s="39">
        <f>INDEX(Z4:Z13, MATCH($T$14, T4:T13, 0))</f>
        <v>6596.9048168282043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0.1995857115625698</v>
      </c>
      <c r="M15" s="41">
        <f t="shared" ref="M15:R15" si="0">(M14-E14)/E14</f>
        <v>3.2354468210140726E-3</v>
      </c>
      <c r="N15" s="41">
        <f t="shared" si="0"/>
        <v>0.8666666666666667</v>
      </c>
      <c r="O15" s="41">
        <f t="shared" si="0"/>
        <v>-0.10752688172043011</v>
      </c>
      <c r="P15" s="41">
        <f t="shared" si="0"/>
        <v>-0.2564361382824577</v>
      </c>
      <c r="Q15" s="41">
        <f t="shared" si="0"/>
        <v>-0.53207822880917222</v>
      </c>
      <c r="R15" s="41">
        <f t="shared" si="0"/>
        <v>-0.13337573843722</v>
      </c>
      <c r="T15" s="1">
        <f>(T14-D14)/D14</f>
        <v>0.32250260979842466</v>
      </c>
      <c r="U15" s="1">
        <f t="shared" ref="U15:Z15" si="1">(U14-E14)/E14</f>
        <v>-0.27351650841813258</v>
      </c>
      <c r="V15" s="1">
        <f t="shared" si="1"/>
        <v>0</v>
      </c>
      <c r="W15" s="1">
        <f t="shared" si="1"/>
        <v>-0.20967741935483872</v>
      </c>
      <c r="X15" s="1">
        <f t="shared" si="1"/>
        <v>0.29698093120586772</v>
      </c>
      <c r="Y15" s="1">
        <f t="shared" si="1"/>
        <v>0.18661842864232031</v>
      </c>
      <c r="Z15" s="1">
        <f t="shared" si="1"/>
        <v>8.5598154999577861E-2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97" priority="7"/>
    <cfRule type="duplicateValues" dxfId="96" priority="8"/>
  </conditionalFormatting>
  <conditionalFormatting sqref="C14">
    <cfRule type="duplicateValues" dxfId="95" priority="5"/>
    <cfRule type="duplicateValues" dxfId="94" priority="6"/>
  </conditionalFormatting>
  <conditionalFormatting sqref="C15">
    <cfRule type="duplicateValues" dxfId="93" priority="3"/>
    <cfRule type="duplicateValues" dxfId="92" priority="4"/>
  </conditionalFormatting>
  <conditionalFormatting sqref="C20:C29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FB5F-593B-46C6-A457-BB3C5FD320B5}">
  <dimension ref="B1:AA17"/>
  <sheetViews>
    <sheetView zoomScale="90" zoomScaleNormal="90" workbookViewId="0">
      <selection activeCell="U20" sqref="U20: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-0.97559242965773796</v>
      </c>
      <c r="J2" s="28" t="e">
        <f>(S14-J14)/J14</f>
        <v>#DIV/0!</v>
      </c>
      <c r="K2" s="28"/>
      <c r="L2" s="1" t="s">
        <v>19</v>
      </c>
      <c r="P2" s="1">
        <f>(P14-H14)/H14</f>
        <v>-0.31223387837484678</v>
      </c>
      <c r="R2" s="1">
        <f>(R14-J14)/J14</f>
        <v>-0.15425035408554405</v>
      </c>
      <c r="T2" s="1" t="s">
        <v>20</v>
      </c>
      <c r="X2" s="1">
        <f>(X14-P14)/P14</f>
        <v>0.73529227592906476</v>
      </c>
      <c r="Z2" s="1">
        <f>(Z14-R14)/R14</f>
        <v>0.23385859353156324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1741778.3994472281</v>
      </c>
      <c r="E4" s="33">
        <v>1073.8381244000045</v>
      </c>
      <c r="F4" s="5">
        <v>17</v>
      </c>
      <c r="G4" s="23">
        <v>96</v>
      </c>
      <c r="H4" s="33">
        <v>974.1354337126163</v>
      </c>
      <c r="I4" s="23">
        <v>42.603775471826026</v>
      </c>
      <c r="J4" s="5">
        <v>6232.3351644654913</v>
      </c>
      <c r="K4" s="31"/>
      <c r="L4" s="23">
        <v>2192346.4868401452</v>
      </c>
      <c r="M4" s="33">
        <v>546.44042449997505</v>
      </c>
      <c r="N4" s="5">
        <v>21</v>
      </c>
      <c r="O4" s="5">
        <v>73</v>
      </c>
      <c r="P4" s="33">
        <v>411.77474038803342</v>
      </c>
      <c r="Q4" s="5">
        <v>23.571268506560251</v>
      </c>
      <c r="R4" s="5">
        <v>4923.5598520210478</v>
      </c>
      <c r="S4" s="35"/>
      <c r="T4" s="23">
        <v>2382746.9532707119</v>
      </c>
      <c r="U4" s="33">
        <v>203.09708564999164</v>
      </c>
      <c r="V4" s="5">
        <v>11</v>
      </c>
      <c r="W4" s="5">
        <v>65</v>
      </c>
      <c r="X4" s="33">
        <v>688.53932547733871</v>
      </c>
      <c r="Y4" s="5">
        <v>60.071383620323779</v>
      </c>
      <c r="Z4" s="5">
        <v>6119.220693921955</v>
      </c>
      <c r="AA4" s="35"/>
    </row>
    <row r="5" spans="2:27" x14ac:dyDescent="0.2">
      <c r="B5" s="4">
        <v>2</v>
      </c>
      <c r="C5" s="4">
        <v>514</v>
      </c>
      <c r="D5" s="23">
        <v>1758745.784542144</v>
      </c>
      <c r="E5" s="33">
        <v>377.56485175003763</v>
      </c>
      <c r="F5" s="5">
        <v>17</v>
      </c>
      <c r="G5" s="23">
        <v>97.5</v>
      </c>
      <c r="H5" s="33">
        <v>1064.035876808322</v>
      </c>
      <c r="I5" s="23">
        <v>43.001863855895131</v>
      </c>
      <c r="J5" s="5">
        <v>6398.1532016839656</v>
      </c>
      <c r="K5" s="31"/>
      <c r="L5" s="23">
        <v>2261864.3891208032</v>
      </c>
      <c r="M5" s="33">
        <v>348.85784264997346</v>
      </c>
      <c r="N5" s="5">
        <v>20</v>
      </c>
      <c r="O5" s="5">
        <v>71</v>
      </c>
      <c r="P5" s="33">
        <v>536.94958805721183</v>
      </c>
      <c r="Q5" s="5">
        <v>24.393146486696043</v>
      </c>
      <c r="R5" s="5">
        <v>5066.7507653275779</v>
      </c>
      <c r="S5" s="35"/>
      <c r="T5" s="23">
        <v>2296661.0002898169</v>
      </c>
      <c r="U5" s="33">
        <v>357.73744004999753</v>
      </c>
      <c r="V5" s="5">
        <v>15</v>
      </c>
      <c r="W5" s="5">
        <v>73.5</v>
      </c>
      <c r="X5" s="33">
        <v>1053.6037118841725</v>
      </c>
      <c r="Y5" s="5">
        <v>51.01914227326666</v>
      </c>
      <c r="Z5" s="5">
        <v>6403.4597737254562</v>
      </c>
      <c r="AA5" s="35"/>
    </row>
    <row r="6" spans="2:27" x14ac:dyDescent="0.2">
      <c r="B6" s="4">
        <v>3</v>
      </c>
      <c r="C6" s="4">
        <v>786</v>
      </c>
      <c r="D6" s="23">
        <v>1730613.535045285</v>
      </c>
      <c r="E6" s="33">
        <v>1291.2548230999964</v>
      </c>
      <c r="F6" s="5">
        <v>18</v>
      </c>
      <c r="G6" s="23">
        <v>96.5</v>
      </c>
      <c r="H6" s="33">
        <v>916.7727989633928</v>
      </c>
      <c r="I6" s="23">
        <v>40.282405803394482</v>
      </c>
      <c r="J6" s="5">
        <v>6177.1700184178453</v>
      </c>
      <c r="K6" s="31"/>
      <c r="L6" s="23">
        <v>2249877.67845851</v>
      </c>
      <c r="M6" s="33">
        <v>338.93813374999445</v>
      </c>
      <c r="N6" s="5">
        <v>20</v>
      </c>
      <c r="O6" s="5">
        <v>69.5</v>
      </c>
      <c r="P6" s="33">
        <v>311.13065454336697</v>
      </c>
      <c r="Q6" s="5">
        <v>23.230628820629846</v>
      </c>
      <c r="R6" s="5">
        <v>4840.3627206645288</v>
      </c>
      <c r="S6" s="35"/>
      <c r="T6" s="23">
        <v>2333734.0303246118</v>
      </c>
      <c r="U6" s="33">
        <v>176.05165229999696</v>
      </c>
      <c r="V6" s="5">
        <v>14</v>
      </c>
      <c r="W6" s="5">
        <v>72</v>
      </c>
      <c r="X6" s="33">
        <v>1027.3122809461918</v>
      </c>
      <c r="Y6" s="5">
        <v>52.006656011247557</v>
      </c>
      <c r="Z6" s="5">
        <v>6499.3694651255919</v>
      </c>
      <c r="AA6" s="35"/>
    </row>
    <row r="7" spans="2:27" x14ac:dyDescent="0.2">
      <c r="B7" s="4">
        <v>4</v>
      </c>
      <c r="C7" s="4">
        <v>84</v>
      </c>
      <c r="D7" s="23">
        <v>1771495.79896133</v>
      </c>
      <c r="E7" s="33">
        <v>333.66316799999913</v>
      </c>
      <c r="F7" s="5">
        <v>17</v>
      </c>
      <c r="G7" s="23">
        <v>97</v>
      </c>
      <c r="H7" s="33">
        <v>1063.0075579645254</v>
      </c>
      <c r="I7" s="23">
        <v>43.037799577819577</v>
      </c>
      <c r="J7" s="5">
        <v>6412.4053144660547</v>
      </c>
      <c r="K7" s="31"/>
      <c r="L7" s="23">
        <v>2155909.0093104229</v>
      </c>
      <c r="M7" s="33">
        <v>680.22505360003549</v>
      </c>
      <c r="N7" s="5">
        <v>23</v>
      </c>
      <c r="O7" s="5">
        <v>76</v>
      </c>
      <c r="P7" s="33">
        <v>440.32073682281742</v>
      </c>
      <c r="Q7" s="5">
        <v>22.851155545856994</v>
      </c>
      <c r="R7" s="5">
        <v>5013.2530327611466</v>
      </c>
      <c r="S7" s="35"/>
      <c r="T7" s="23">
        <v>2287205.669789758</v>
      </c>
      <c r="U7" s="33">
        <v>259.9058140499983</v>
      </c>
      <c r="V7" s="5">
        <v>15</v>
      </c>
      <c r="W7" s="5">
        <v>74</v>
      </c>
      <c r="X7" s="33">
        <v>1086.4932359967022</v>
      </c>
      <c r="Y7" s="5">
        <v>52.217182042588696</v>
      </c>
      <c r="Z7" s="5">
        <v>6465.092621405377</v>
      </c>
      <c r="AA7" s="35"/>
    </row>
    <row r="8" spans="2:27" x14ac:dyDescent="0.2">
      <c r="B8" s="4">
        <v>5</v>
      </c>
      <c r="C8" s="4">
        <v>239</v>
      </c>
      <c r="D8" s="23">
        <v>1731326.9641342319</v>
      </c>
      <c r="E8" s="33">
        <v>994.04333995003253</v>
      </c>
      <c r="F8" s="5">
        <v>17</v>
      </c>
      <c r="G8" s="23">
        <v>97</v>
      </c>
      <c r="H8" s="33">
        <v>990.27014989657584</v>
      </c>
      <c r="I8" s="23">
        <v>43.288240702868976</v>
      </c>
      <c r="J8" s="5">
        <v>6287.9708503866186</v>
      </c>
      <c r="K8" s="31"/>
      <c r="L8" s="23">
        <v>2152215.215596159</v>
      </c>
      <c r="M8" s="33">
        <v>853.21863199997449</v>
      </c>
      <c r="N8" s="5">
        <v>25</v>
      </c>
      <c r="O8" s="5">
        <v>79</v>
      </c>
      <c r="P8" s="33">
        <v>630.52527235448895</v>
      </c>
      <c r="Q8" s="5">
        <v>22.376196578571413</v>
      </c>
      <c r="R8" s="5">
        <v>5224.339355830286</v>
      </c>
      <c r="S8" s="35"/>
      <c r="T8" s="23">
        <v>2305629.906387581</v>
      </c>
      <c r="U8" s="33">
        <v>677.10735669999849</v>
      </c>
      <c r="V8" s="5">
        <v>14</v>
      </c>
      <c r="W8" s="5">
        <v>72.5</v>
      </c>
      <c r="X8" s="33">
        <v>1082.2471562312344</v>
      </c>
      <c r="Y8" s="5">
        <v>55.374116641498595</v>
      </c>
      <c r="Z8" s="5">
        <v>6454.0934510959796</v>
      </c>
      <c r="AA8" s="35"/>
    </row>
    <row r="9" spans="2:27" x14ac:dyDescent="0.2">
      <c r="B9" s="4">
        <v>6</v>
      </c>
      <c r="C9" s="4">
        <v>993</v>
      </c>
      <c r="D9" s="23">
        <v>1766591.361360156</v>
      </c>
      <c r="E9" s="33">
        <v>550.75692419998802</v>
      </c>
      <c r="F9" s="5">
        <v>16</v>
      </c>
      <c r="G9" s="23">
        <v>96</v>
      </c>
      <c r="H9" s="33">
        <v>1019.259417425894</v>
      </c>
      <c r="I9" s="23">
        <v>45.141343437420048</v>
      </c>
      <c r="J9" s="5">
        <v>6420.2873179326962</v>
      </c>
      <c r="K9" s="31"/>
      <c r="L9" s="23">
        <v>2169665.3204417452</v>
      </c>
      <c r="M9" s="33">
        <v>465.62580549996346</v>
      </c>
      <c r="N9" s="5">
        <v>26</v>
      </c>
      <c r="O9" s="5">
        <v>78.5</v>
      </c>
      <c r="P9" s="33">
        <v>570.55061950667312</v>
      </c>
      <c r="Q9" s="5">
        <v>20.591786959681546</v>
      </c>
      <c r="R9" s="5">
        <v>5145.5508520644353</v>
      </c>
      <c r="S9" s="35"/>
      <c r="T9" s="23">
        <v>2326252.1702969172</v>
      </c>
      <c r="U9" s="33">
        <v>700.92567940001049</v>
      </c>
      <c r="V9" s="5">
        <v>13</v>
      </c>
      <c r="W9" s="5">
        <v>71</v>
      </c>
      <c r="X9" s="33">
        <v>992.9161181028004</v>
      </c>
      <c r="Y9" s="5">
        <v>56.068561200310747</v>
      </c>
      <c r="Z9" s="5">
        <v>6439.1938146980765</v>
      </c>
      <c r="AA9" s="35"/>
    </row>
    <row r="10" spans="2:27" x14ac:dyDescent="0.2">
      <c r="B10" s="4">
        <v>7</v>
      </c>
      <c r="C10" s="4">
        <v>103</v>
      </c>
      <c r="D10" s="23">
        <v>1744312.4231721649</v>
      </c>
      <c r="E10" s="33">
        <v>449.4980414499878</v>
      </c>
      <c r="F10" s="5">
        <v>18</v>
      </c>
      <c r="G10" s="23">
        <v>96.5</v>
      </c>
      <c r="H10" s="33">
        <v>917.94380054958447</v>
      </c>
      <c r="I10" s="23">
        <v>40.508059047678486</v>
      </c>
      <c r="J10" s="5">
        <v>6236.1837471484878</v>
      </c>
      <c r="K10" s="31"/>
      <c r="L10" s="23">
        <v>2166320.5722290669</v>
      </c>
      <c r="M10" s="33">
        <v>663.51815499999805</v>
      </c>
      <c r="N10" s="5">
        <v>25</v>
      </c>
      <c r="O10" s="5">
        <v>79</v>
      </c>
      <c r="P10" s="33">
        <v>609.32929870377257</v>
      </c>
      <c r="Q10" s="5">
        <v>22.25208529648933</v>
      </c>
      <c r="R10" s="5">
        <v>5293.069026813997</v>
      </c>
      <c r="S10" s="35"/>
      <c r="T10" s="23">
        <v>2314152.3449889431</v>
      </c>
      <c r="U10" s="33">
        <v>729.10621920000995</v>
      </c>
      <c r="V10" s="5">
        <v>14</v>
      </c>
      <c r="W10" s="5">
        <v>72</v>
      </c>
      <c r="X10" s="33">
        <v>1054.7093468863789</v>
      </c>
      <c r="Y10" s="5">
        <v>53.63413266637707</v>
      </c>
      <c r="Z10" s="5">
        <v>6376.5036516076061</v>
      </c>
      <c r="AA10" s="35"/>
    </row>
    <row r="11" spans="2:27" x14ac:dyDescent="0.2">
      <c r="B11" s="4">
        <v>8</v>
      </c>
      <c r="C11" s="4">
        <v>799</v>
      </c>
      <c r="D11" s="23">
        <v>1743293.707489959</v>
      </c>
      <c r="E11" s="33">
        <v>377.11292545002652</v>
      </c>
      <c r="F11" s="5">
        <v>17</v>
      </c>
      <c r="G11" s="23">
        <v>97</v>
      </c>
      <c r="H11" s="33">
        <v>979.19999376757846</v>
      </c>
      <c r="I11" s="23">
        <v>43.139218884822569</v>
      </c>
      <c r="J11" s="5">
        <v>6324.6082346322091</v>
      </c>
      <c r="K11" s="31"/>
      <c r="L11" s="23">
        <v>2239565.7657311708</v>
      </c>
      <c r="M11" s="33">
        <v>1164.447088450019</v>
      </c>
      <c r="N11" s="5">
        <v>21</v>
      </c>
      <c r="O11" s="5">
        <v>72</v>
      </c>
      <c r="P11" s="33">
        <v>437.58173490813374</v>
      </c>
      <c r="Q11" s="5">
        <v>23.549336396696706</v>
      </c>
      <c r="R11" s="5">
        <v>5058.7703461149313</v>
      </c>
      <c r="S11" s="35"/>
      <c r="T11" s="23">
        <v>2313174.0751359938</v>
      </c>
      <c r="U11" s="33">
        <v>220.91289499998675</v>
      </c>
      <c r="V11" s="5">
        <v>15</v>
      </c>
      <c r="W11" s="5">
        <v>72</v>
      </c>
      <c r="X11" s="33">
        <v>982.09739451296571</v>
      </c>
      <c r="Y11" s="5">
        <v>50.6327717124529</v>
      </c>
      <c r="Z11" s="5">
        <v>6361.0186748305896</v>
      </c>
      <c r="AA11" s="35"/>
    </row>
    <row r="12" spans="2:27" x14ac:dyDescent="0.2">
      <c r="B12" s="4">
        <v>9</v>
      </c>
      <c r="C12" s="4">
        <v>871</v>
      </c>
      <c r="D12" s="23">
        <v>1754842.417642032</v>
      </c>
      <c r="E12" s="33">
        <v>753.00751490000403</v>
      </c>
      <c r="F12" s="5">
        <v>16</v>
      </c>
      <c r="G12" s="23">
        <v>95.5</v>
      </c>
      <c r="H12" s="33">
        <v>971.80107097918108</v>
      </c>
      <c r="I12" s="23">
        <v>44.710457310316961</v>
      </c>
      <c r="J12" s="5">
        <v>6319.4667755678338</v>
      </c>
      <c r="K12" s="31"/>
      <c r="L12" s="23">
        <v>2199709.1522430708</v>
      </c>
      <c r="M12" s="33">
        <v>627.95249434997095</v>
      </c>
      <c r="N12" s="5">
        <v>23</v>
      </c>
      <c r="O12" s="5">
        <v>76</v>
      </c>
      <c r="P12" s="33">
        <v>591.82514435363737</v>
      </c>
      <c r="Q12" s="5">
        <v>22.878380911647763</v>
      </c>
      <c r="R12" s="5">
        <v>5184.4425104016973</v>
      </c>
      <c r="S12" s="35"/>
      <c r="T12" s="23">
        <v>2289689.4726629569</v>
      </c>
      <c r="U12" s="33">
        <v>367.16782944998704</v>
      </c>
      <c r="V12" s="5">
        <v>15</v>
      </c>
      <c r="W12" s="5">
        <v>73</v>
      </c>
      <c r="X12" s="33">
        <v>1068.7048457501426</v>
      </c>
      <c r="Y12" s="5">
        <v>52.325286444416406</v>
      </c>
      <c r="Z12" s="5">
        <v>6308.3191992808233</v>
      </c>
      <c r="AA12" s="35"/>
    </row>
    <row r="13" spans="2:27" x14ac:dyDescent="0.2">
      <c r="B13" s="4">
        <v>10</v>
      </c>
      <c r="C13" s="4">
        <v>874</v>
      </c>
      <c r="D13" s="23">
        <v>1751436.273727539</v>
      </c>
      <c r="E13" s="33">
        <v>565.61832680000248</v>
      </c>
      <c r="F13" s="5">
        <v>17</v>
      </c>
      <c r="G13" s="23">
        <v>96</v>
      </c>
      <c r="H13" s="33">
        <v>965.35390408437752</v>
      </c>
      <c r="I13" s="23">
        <v>42.564986770391954</v>
      </c>
      <c r="J13" s="5">
        <v>6259.1614128336378</v>
      </c>
      <c r="K13" s="31"/>
      <c r="L13" s="23">
        <v>2185292.3371787569</v>
      </c>
      <c r="M13" s="33">
        <v>1266.2345478500356</v>
      </c>
      <c r="N13" s="5">
        <v>22</v>
      </c>
      <c r="O13" s="5">
        <v>75.5</v>
      </c>
      <c r="P13" s="33">
        <v>585.9453870565884</v>
      </c>
      <c r="Q13" s="5">
        <v>24.124618791972811</v>
      </c>
      <c r="R13" s="5">
        <v>5188.2425711044607</v>
      </c>
      <c r="S13" s="35"/>
      <c r="T13" s="23">
        <v>2286230.923785551</v>
      </c>
      <c r="U13" s="33">
        <v>901.64890734999801</v>
      </c>
      <c r="V13" s="5">
        <v>15</v>
      </c>
      <c r="W13" s="5">
        <v>74</v>
      </c>
      <c r="X13" s="33">
        <v>1094.1456348948145</v>
      </c>
      <c r="Y13" s="5">
        <v>51.65977981529565</v>
      </c>
      <c r="Z13" s="5">
        <v>6446.0960097163497</v>
      </c>
      <c r="AA13" s="35"/>
    </row>
    <row r="14" spans="2:27" x14ac:dyDescent="0.2">
      <c r="B14" s="47" t="s">
        <v>3</v>
      </c>
      <c r="C14" s="48"/>
      <c r="D14" s="9">
        <f>MIN(D4:D13)</f>
        <v>1730613.535045285</v>
      </c>
      <c r="E14" s="22">
        <f>INDEX(E4:E13, MATCH($D$14, D4:D13, 0))</f>
        <v>1291.2548230999964</v>
      </c>
      <c r="F14" s="9">
        <f>INDEX(F4:F13, MATCH($D$14, D4:D13, 0))</f>
        <v>18</v>
      </c>
      <c r="G14" s="9">
        <f>INDEX(G4:G13, MATCH($D$14, D4:D13, 0))</f>
        <v>96.5</v>
      </c>
      <c r="H14" s="22">
        <f>INDEX(H4:H13, MATCH($D$14, D4:D13, 0))</f>
        <v>916.7727989633928</v>
      </c>
      <c r="I14" s="22">
        <f>INDEX(I4:I13, MATCH($D$14, D4:D13, 0))</f>
        <v>40.282405803394482</v>
      </c>
      <c r="J14" s="22">
        <f>INDEX(J4:J13, MATCH($D$14, D4:D13, 0))</f>
        <v>6177.1700184178453</v>
      </c>
      <c r="K14" s="32" t="e">
        <f>(D14-$D$15)/$D$15</f>
        <v>#DIV/0!</v>
      </c>
      <c r="L14" s="16">
        <f>MIN(L4:L13)</f>
        <v>2152215.215596159</v>
      </c>
      <c r="M14" s="21">
        <f>INDEX(M4:M13, MATCH($L$14, L4:L13, 0))</f>
        <v>853.21863199997449</v>
      </c>
      <c r="N14" s="16">
        <f>INDEX(N4:N13, MATCH($L$14, L4:L13, 0))</f>
        <v>25</v>
      </c>
      <c r="O14" s="16">
        <f>INDEX(O4:O13, MATCH($L$14, L4:L13, 0))</f>
        <v>79</v>
      </c>
      <c r="P14" s="21">
        <f>INDEX(P4:P13, MATCH($L$14, L4:L13, 0))</f>
        <v>630.52527235448895</v>
      </c>
      <c r="Q14" s="21">
        <f>INDEX(Q4:Q13, MATCH($L$14, L4:L13, 0))</f>
        <v>22.376196578571413</v>
      </c>
      <c r="R14" s="21">
        <f>INDEX(R4:R13, MATCH($L$14, L4:L13, 0))</f>
        <v>5224.339355830286</v>
      </c>
      <c r="S14" s="36" t="e">
        <f>(L14-$D$15)/$D$15</f>
        <v>#DIV/0!</v>
      </c>
      <c r="T14" s="38">
        <f>MIN(T4:T13)</f>
        <v>2286230.923785551</v>
      </c>
      <c r="U14" s="39">
        <f>INDEX(U4:U13, MATCH($T$14, T4:T13, 0))</f>
        <v>901.64890734999801</v>
      </c>
      <c r="V14" s="38">
        <f>INDEX(V4:V13, MATCH($T$14, T4:T13, 0))</f>
        <v>15</v>
      </c>
      <c r="W14" s="38">
        <f>INDEX(W4:W13, MATCH($T$14, T4:T13, 0))</f>
        <v>74</v>
      </c>
      <c r="X14" s="39">
        <f>INDEX(X4:X13, MATCH($T$14, T4:T13, 0))</f>
        <v>1094.1456348948145</v>
      </c>
      <c r="Y14" s="39">
        <f>INDEX(Y4:Y13, MATCH($T$14, T4:T13, 0))</f>
        <v>51.65977981529565</v>
      </c>
      <c r="Z14" s="39">
        <f>INDEX(Z4:Z13, MATCH($T$14, T4:T13, 0))</f>
        <v>6446.0960097163497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0.24361399700935651</v>
      </c>
      <c r="M15" s="41">
        <f t="shared" ref="M15:R15" si="0">(M14-E14)/E14</f>
        <v>-0.33923295639539297</v>
      </c>
      <c r="N15" s="41">
        <f t="shared" si="0"/>
        <v>0.3888888888888889</v>
      </c>
      <c r="O15" s="41">
        <f t="shared" si="0"/>
        <v>-0.18134715025906736</v>
      </c>
      <c r="P15" s="41">
        <f t="shared" si="0"/>
        <v>-0.31223387837484678</v>
      </c>
      <c r="Q15" s="41">
        <f t="shared" si="0"/>
        <v>-0.4445168769764532</v>
      </c>
      <c r="R15" s="41">
        <f t="shared" si="0"/>
        <v>-0.15425035408554405</v>
      </c>
      <c r="T15" s="1">
        <f>(T14-D14)/D14</f>
        <v>0.32105226122926811</v>
      </c>
      <c r="U15" s="1">
        <f t="shared" ref="U15:Z15" si="1">(U14-E14)/E14</f>
        <v>-0.3017265908944658</v>
      </c>
      <c r="V15" s="1">
        <f t="shared" si="1"/>
        <v>-0.16666666666666666</v>
      </c>
      <c r="W15" s="1">
        <f t="shared" si="1"/>
        <v>-0.23316062176165803</v>
      </c>
      <c r="X15" s="1">
        <f t="shared" si="1"/>
        <v>0.19347523850181805</v>
      </c>
      <c r="Y15" s="1">
        <f t="shared" si="1"/>
        <v>0.28244028093630963</v>
      </c>
      <c r="Z15" s="1">
        <f t="shared" si="1"/>
        <v>4.3535468587828224E-2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91" priority="7"/>
    <cfRule type="duplicateValues" dxfId="90" priority="8"/>
  </conditionalFormatting>
  <conditionalFormatting sqref="C14">
    <cfRule type="duplicateValues" dxfId="89" priority="5"/>
    <cfRule type="duplicateValues" dxfId="88" priority="6"/>
  </conditionalFormatting>
  <conditionalFormatting sqref="C15">
    <cfRule type="duplicateValues" dxfId="87" priority="3"/>
    <cfRule type="duplicateValues" dxfId="86" priority="4"/>
  </conditionalFormatting>
  <conditionalFormatting sqref="C20:C29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BAF8-CB15-4E80-9802-B970FB3E5305}">
  <dimension ref="B1:AA17"/>
  <sheetViews>
    <sheetView zoomScale="90" zoomScaleNormal="90" workbookViewId="0">
      <selection activeCell="U20" sqref="U20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-0.98637170175062017</v>
      </c>
      <c r="J2" s="28" t="e">
        <f>(S14-J14)/J14</f>
        <v>#DIV/0!</v>
      </c>
      <c r="K2" s="28"/>
      <c r="L2" s="1" t="s">
        <v>19</v>
      </c>
      <c r="P2" s="1">
        <f>(P14-H14)/H14</f>
        <v>-0.22553733804190218</v>
      </c>
      <c r="R2" s="1">
        <f>(R14-J14)/J14</f>
        <v>-0.13397834962247451</v>
      </c>
      <c r="T2" s="1" t="s">
        <v>20</v>
      </c>
      <c r="X2" s="1">
        <f>(X14-P14)/P14</f>
        <v>0.35651217193646018</v>
      </c>
      <c r="Z2" s="1">
        <f>(Z14-R14)/R14</f>
        <v>0.18832702908881477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500</v>
      </c>
      <c r="D4" s="23">
        <v>2015491.925556774</v>
      </c>
      <c r="E4" s="33">
        <v>542.68900104996305</v>
      </c>
      <c r="F4" s="5">
        <v>18</v>
      </c>
      <c r="G4" s="23">
        <v>88.5</v>
      </c>
      <c r="H4" s="33">
        <v>1112.0595498373232</v>
      </c>
      <c r="I4" s="23">
        <v>37.715213329798488</v>
      </c>
      <c r="J4" s="5">
        <v>6521.0889428189803</v>
      </c>
      <c r="K4" s="31"/>
      <c r="L4" s="23">
        <v>2455366.9326103171</v>
      </c>
      <c r="M4" s="33">
        <v>1369.0280061999799</v>
      </c>
      <c r="N4" s="5">
        <v>31</v>
      </c>
      <c r="O4" s="5">
        <v>77.5</v>
      </c>
      <c r="P4" s="33">
        <v>1014.7799967923185</v>
      </c>
      <c r="Q4" s="5">
        <v>17.857186838193389</v>
      </c>
      <c r="R4" s="5">
        <v>5807.4174632117338</v>
      </c>
      <c r="S4" s="35"/>
      <c r="T4" s="23">
        <v>2760570.3259091838</v>
      </c>
      <c r="U4" s="33">
        <v>177.6687796000042</v>
      </c>
      <c r="V4" s="5">
        <v>13</v>
      </c>
      <c r="W4" s="5">
        <v>55</v>
      </c>
      <c r="X4" s="33">
        <v>911.41967848949002</v>
      </c>
      <c r="Y4" s="5">
        <v>47.089059404523105</v>
      </c>
      <c r="Z4" s="5">
        <v>6572.1211783623248</v>
      </c>
      <c r="AA4" s="35"/>
    </row>
    <row r="5" spans="2:27" x14ac:dyDescent="0.2">
      <c r="B5" s="4">
        <v>2</v>
      </c>
      <c r="C5" s="4">
        <v>185</v>
      </c>
      <c r="D5" s="23">
        <v>2026881.495968635</v>
      </c>
      <c r="E5" s="33">
        <v>653.51836899999751</v>
      </c>
      <c r="F5" s="5">
        <v>17</v>
      </c>
      <c r="G5" s="23">
        <v>90</v>
      </c>
      <c r="H5" s="33">
        <v>1274.5954841076118</v>
      </c>
      <c r="I5" s="23">
        <v>41.109885772753827</v>
      </c>
      <c r="J5" s="5">
        <v>6748.2023571425916</v>
      </c>
      <c r="K5" s="31"/>
      <c r="L5" s="23">
        <v>2493173.9079854302</v>
      </c>
      <c r="M5" s="33">
        <v>790.52043025003502</v>
      </c>
      <c r="N5" s="5">
        <v>25</v>
      </c>
      <c r="O5" s="5">
        <v>70</v>
      </c>
      <c r="P5" s="33">
        <v>878.66807392836699</v>
      </c>
      <c r="Q5" s="5">
        <v>19.721582821700405</v>
      </c>
      <c r="R5" s="5">
        <v>5567.9773444035009</v>
      </c>
      <c r="S5" s="35"/>
      <c r="T5" s="23">
        <v>2778798.7846220811</v>
      </c>
      <c r="U5" s="33">
        <v>200.98930035001831</v>
      </c>
      <c r="V5" s="5">
        <v>12</v>
      </c>
      <c r="W5" s="5">
        <v>54.5</v>
      </c>
      <c r="X5" s="33">
        <v>948.05596972536671</v>
      </c>
      <c r="Y5" s="5">
        <v>46.547971576162503</v>
      </c>
      <c r="Z5" s="5">
        <v>6712.4364724218112</v>
      </c>
      <c r="AA5" s="35"/>
    </row>
    <row r="6" spans="2:27" x14ac:dyDescent="0.2">
      <c r="B6" s="4">
        <v>3</v>
      </c>
      <c r="C6" s="4">
        <v>104</v>
      </c>
      <c r="D6" s="23">
        <v>2005741.4180286571</v>
      </c>
      <c r="E6" s="33">
        <v>544.39004249998845</v>
      </c>
      <c r="F6" s="5">
        <v>17</v>
      </c>
      <c r="G6" s="23">
        <v>91.5</v>
      </c>
      <c r="H6" s="33">
        <v>1304.2367656917945</v>
      </c>
      <c r="I6" s="23">
        <v>41.842274314906128</v>
      </c>
      <c r="J6" s="5">
        <v>6831.2474078086025</v>
      </c>
      <c r="K6" s="31"/>
      <c r="L6" s="23">
        <v>2581616.1473260061</v>
      </c>
      <c r="M6" s="33">
        <v>428.79244504997041</v>
      </c>
      <c r="N6" s="5">
        <v>19</v>
      </c>
      <c r="O6" s="5">
        <v>58.5</v>
      </c>
      <c r="P6" s="33">
        <v>293.74392188721833</v>
      </c>
      <c r="Q6" s="5">
        <v>20.183211926381574</v>
      </c>
      <c r="R6" s="5">
        <v>4893.3091475650708</v>
      </c>
      <c r="S6" s="35"/>
      <c r="T6" s="23">
        <v>2724579.1902735732</v>
      </c>
      <c r="U6" s="33">
        <v>389.42914900000324</v>
      </c>
      <c r="V6" s="5">
        <v>14</v>
      </c>
      <c r="W6" s="5">
        <v>58</v>
      </c>
      <c r="X6" s="33">
        <v>1143.9564935869616</v>
      </c>
      <c r="Y6" s="5">
        <v>46.806356973096861</v>
      </c>
      <c r="Z6" s="5">
        <v>6764.0172406842858</v>
      </c>
      <c r="AA6" s="35"/>
    </row>
    <row r="7" spans="2:27" x14ac:dyDescent="0.2">
      <c r="B7" s="4">
        <v>4</v>
      </c>
      <c r="C7" s="4">
        <v>63</v>
      </c>
      <c r="D7" s="23">
        <v>2194245.011699459</v>
      </c>
      <c r="E7" s="33">
        <v>301.19731054996373</v>
      </c>
      <c r="F7" s="5">
        <v>15</v>
      </c>
      <c r="G7" s="23">
        <v>83.5</v>
      </c>
      <c r="H7" s="33">
        <v>1315.1586920549657</v>
      </c>
      <c r="I7" s="23">
        <v>41.03522410390535</v>
      </c>
      <c r="J7" s="5">
        <v>6922.5649398841624</v>
      </c>
      <c r="K7" s="31"/>
      <c r="L7" s="23">
        <v>2475603.7272391338</v>
      </c>
      <c r="M7" s="33">
        <v>565.64647939999099</v>
      </c>
      <c r="N7" s="5">
        <v>30</v>
      </c>
      <c r="O7" s="5">
        <v>75</v>
      </c>
      <c r="P7" s="33">
        <v>972.17182725660678</v>
      </c>
      <c r="Q7" s="5">
        <v>17.694589166563826</v>
      </c>
      <c r="R7" s="5">
        <v>5673.5850393209193</v>
      </c>
      <c r="S7" s="35"/>
      <c r="T7" s="23">
        <v>2829476.2779715881</v>
      </c>
      <c r="U7" s="33">
        <v>225.2750920499966</v>
      </c>
      <c r="V7" s="5">
        <v>11</v>
      </c>
      <c r="W7" s="5">
        <v>52</v>
      </c>
      <c r="X7" s="33">
        <v>999.30478553145565</v>
      </c>
      <c r="Y7" s="5">
        <v>46.891520955923809</v>
      </c>
      <c r="Z7" s="5">
        <v>6737.3363118310217</v>
      </c>
      <c r="AA7" s="35"/>
    </row>
    <row r="8" spans="2:27" x14ac:dyDescent="0.2">
      <c r="B8" s="4">
        <v>5</v>
      </c>
      <c r="C8" s="4">
        <v>857</v>
      </c>
      <c r="D8" s="23">
        <v>2021399.6400087411</v>
      </c>
      <c r="E8" s="33">
        <v>827.41436555003747</v>
      </c>
      <c r="F8" s="5">
        <v>18</v>
      </c>
      <c r="G8" s="23">
        <v>88.5</v>
      </c>
      <c r="H8" s="33">
        <v>1099.569071139523</v>
      </c>
      <c r="I8" s="23">
        <v>37.346333332491625</v>
      </c>
      <c r="J8" s="5">
        <v>6498.763788058186</v>
      </c>
      <c r="K8" s="31"/>
      <c r="L8" s="23">
        <v>2488322.5376563901</v>
      </c>
      <c r="M8" s="33">
        <v>1032.9796617000245</v>
      </c>
      <c r="N8" s="5">
        <v>24</v>
      </c>
      <c r="O8" s="5">
        <v>69.5</v>
      </c>
      <c r="P8" s="33">
        <v>826.65090100323266</v>
      </c>
      <c r="Q8" s="5">
        <v>20.304611789594048</v>
      </c>
      <c r="R8" s="5">
        <v>5587.978743705884</v>
      </c>
      <c r="S8" s="35"/>
      <c r="T8" s="23">
        <v>2699186.7677936568</v>
      </c>
      <c r="U8" s="33">
        <v>292.96121454998502</v>
      </c>
      <c r="V8" s="5">
        <v>13</v>
      </c>
      <c r="W8" s="5">
        <v>58</v>
      </c>
      <c r="X8" s="33">
        <v>1111.2436334362142</v>
      </c>
      <c r="Y8" s="5">
        <v>48.512567125024866</v>
      </c>
      <c r="Z8" s="5">
        <v>6718.1981435232974</v>
      </c>
      <c r="AA8" s="35"/>
    </row>
    <row r="9" spans="2:27" x14ac:dyDescent="0.2">
      <c r="B9" s="4">
        <v>6</v>
      </c>
      <c r="C9" s="4">
        <v>576</v>
      </c>
      <c r="D9" s="23">
        <v>2030373.9922054729</v>
      </c>
      <c r="E9" s="33">
        <v>643.280943250051</v>
      </c>
      <c r="F9" s="5">
        <v>17</v>
      </c>
      <c r="G9" s="23">
        <v>87</v>
      </c>
      <c r="H9" s="33">
        <v>1058.7043628007891</v>
      </c>
      <c r="I9" s="23">
        <v>38.574041503073147</v>
      </c>
      <c r="J9" s="5">
        <v>6502.0812013099212</v>
      </c>
      <c r="K9" s="31"/>
      <c r="L9" s="23">
        <v>2456807.523060055</v>
      </c>
      <c r="M9" s="33">
        <v>1304.4018560000115</v>
      </c>
      <c r="N9" s="5">
        <v>27</v>
      </c>
      <c r="O9" s="5">
        <v>72.5</v>
      </c>
      <c r="P9" s="33">
        <v>820.74860955256338</v>
      </c>
      <c r="Q9" s="5">
        <v>18.758344387102515</v>
      </c>
      <c r="R9" s="5">
        <v>5536.3128897960887</v>
      </c>
      <c r="S9" s="35"/>
      <c r="T9" s="23">
        <v>2666621.707163299</v>
      </c>
      <c r="U9" s="33">
        <v>578.87687155001902</v>
      </c>
      <c r="V9" s="5">
        <v>16</v>
      </c>
      <c r="W9" s="5">
        <v>63</v>
      </c>
      <c r="X9" s="33">
        <v>1376.561417486422</v>
      </c>
      <c r="Y9" s="5">
        <v>44.63169357402812</v>
      </c>
      <c r="Z9" s="5">
        <v>6901.1111407369008</v>
      </c>
      <c r="AA9" s="35"/>
    </row>
    <row r="10" spans="2:27" x14ac:dyDescent="0.2">
      <c r="B10" s="4">
        <v>7</v>
      </c>
      <c r="C10" s="4">
        <v>978</v>
      </c>
      <c r="D10" s="23">
        <v>2411347.6201806902</v>
      </c>
      <c r="E10" s="33">
        <v>215.6169528500177</v>
      </c>
      <c r="F10" s="5">
        <v>11</v>
      </c>
      <c r="G10" s="23">
        <v>66.5</v>
      </c>
      <c r="H10" s="33">
        <v>630.70663676665515</v>
      </c>
      <c r="I10" s="23">
        <v>37.842304609810242</v>
      </c>
      <c r="J10" s="5">
        <v>6268.4888182244476</v>
      </c>
      <c r="K10" s="31"/>
      <c r="L10" s="23">
        <v>2459683.4064414762</v>
      </c>
      <c r="M10" s="33">
        <v>735.20650729996851</v>
      </c>
      <c r="N10" s="5">
        <v>29</v>
      </c>
      <c r="O10" s="5">
        <v>74.5</v>
      </c>
      <c r="P10" s="33">
        <v>910.99483840462403</v>
      </c>
      <c r="Q10" s="5">
        <v>18.216801984894047</v>
      </c>
      <c r="R10" s="5">
        <v>5652.122029697166</v>
      </c>
      <c r="S10" s="35"/>
      <c r="T10" s="23">
        <v>2723532.6734965779</v>
      </c>
      <c r="U10" s="33">
        <v>969.61848184998951</v>
      </c>
      <c r="V10" s="5">
        <v>15</v>
      </c>
      <c r="W10" s="5">
        <v>59.5</v>
      </c>
      <c r="X10" s="33">
        <v>1276.1721540977867</v>
      </c>
      <c r="Y10" s="5">
        <v>45.638435476493484</v>
      </c>
      <c r="Z10" s="5">
        <v>6910.5874264938684</v>
      </c>
      <c r="AA10" s="35"/>
    </row>
    <row r="11" spans="2:27" x14ac:dyDescent="0.2">
      <c r="B11" s="4">
        <v>8</v>
      </c>
      <c r="C11" s="4">
        <v>2</v>
      </c>
      <c r="D11" s="23">
        <v>2018896.8519014739</v>
      </c>
      <c r="E11" s="33">
        <v>691.76050615002146</v>
      </c>
      <c r="F11" s="5">
        <v>17</v>
      </c>
      <c r="G11" s="23">
        <v>88</v>
      </c>
      <c r="H11" s="33">
        <v>1161.4282798891948</v>
      </c>
      <c r="I11" s="23">
        <v>40.390123292019346</v>
      </c>
      <c r="J11" s="5">
        <v>6516.4706679910269</v>
      </c>
      <c r="K11" s="31"/>
      <c r="L11" s="23">
        <v>2478116.9467584831</v>
      </c>
      <c r="M11" s="33">
        <v>639.19796265003947</v>
      </c>
      <c r="N11" s="5">
        <v>23</v>
      </c>
      <c r="O11" s="5">
        <v>67</v>
      </c>
      <c r="P11" s="33">
        <v>599.91637900642854</v>
      </c>
      <c r="Q11" s="5">
        <v>19.931475578961653</v>
      </c>
      <c r="R11" s="5">
        <v>5288.5431071918547</v>
      </c>
      <c r="S11" s="35"/>
      <c r="T11" s="23">
        <v>2712391.5584705202</v>
      </c>
      <c r="U11" s="33">
        <v>1404.6455406000025</v>
      </c>
      <c r="V11" s="5">
        <v>14</v>
      </c>
      <c r="W11" s="5">
        <v>58.5</v>
      </c>
      <c r="X11" s="33">
        <v>1216.6860898234536</v>
      </c>
      <c r="Y11" s="5">
        <v>46.959487847711912</v>
      </c>
      <c r="Z11" s="5">
        <v>6787.2617238799985</v>
      </c>
      <c r="AA11" s="35"/>
    </row>
    <row r="12" spans="2:27" x14ac:dyDescent="0.2">
      <c r="B12" s="4">
        <v>9</v>
      </c>
      <c r="C12" s="4">
        <v>324</v>
      </c>
      <c r="D12" s="23">
        <v>1982536.780908064</v>
      </c>
      <c r="E12" s="33">
        <v>537.45613225002296</v>
      </c>
      <c r="F12" s="5">
        <v>18</v>
      </c>
      <c r="G12" s="23">
        <v>92.5</v>
      </c>
      <c r="H12" s="33">
        <v>1310.3020282819302</v>
      </c>
      <c r="I12" s="23">
        <v>39.876240610677222</v>
      </c>
      <c r="J12" s="5">
        <v>6705.8571349574249</v>
      </c>
      <c r="K12" s="31"/>
      <c r="L12" s="23">
        <v>2499466.1193697061</v>
      </c>
      <c r="M12" s="33">
        <v>824.85928684996895</v>
      </c>
      <c r="N12" s="5">
        <v>22</v>
      </c>
      <c r="O12" s="5">
        <v>66.5</v>
      </c>
      <c r="P12" s="33">
        <v>727.82571694735054</v>
      </c>
      <c r="Q12" s="5">
        <v>21.257899455344209</v>
      </c>
      <c r="R12" s="5">
        <v>5372.7721779996018</v>
      </c>
      <c r="S12" s="35"/>
      <c r="T12" s="23">
        <v>2773288.3556557051</v>
      </c>
      <c r="U12" s="33">
        <v>555.71151639998402</v>
      </c>
      <c r="V12" s="5">
        <v>12</v>
      </c>
      <c r="W12" s="5">
        <v>55.5</v>
      </c>
      <c r="X12" s="33">
        <v>1123.8949931267762</v>
      </c>
      <c r="Y12" s="5">
        <v>47.863470977089491</v>
      </c>
      <c r="Z12" s="5">
        <v>6790.889264994451</v>
      </c>
      <c r="AA12" s="35"/>
    </row>
    <row r="13" spans="2:27" x14ac:dyDescent="0.2">
      <c r="B13" s="4">
        <v>10</v>
      </c>
      <c r="C13" s="4">
        <v>418</v>
      </c>
      <c r="D13" s="23">
        <v>2023517.4408558409</v>
      </c>
      <c r="E13" s="33">
        <v>336.22906494996278</v>
      </c>
      <c r="F13" s="5">
        <v>17</v>
      </c>
      <c r="G13" s="23">
        <v>89</v>
      </c>
      <c r="H13" s="33">
        <v>1201.7989079641031</v>
      </c>
      <c r="I13" s="23">
        <v>40.267202891351367</v>
      </c>
      <c r="J13" s="5">
        <v>6638.4506767514749</v>
      </c>
      <c r="K13" s="31"/>
      <c r="L13" s="23">
        <v>2486321.2458225172</v>
      </c>
      <c r="M13" s="33">
        <v>670.43279230000905</v>
      </c>
      <c r="N13" s="5">
        <v>23</v>
      </c>
      <c r="O13" s="5">
        <v>67</v>
      </c>
      <c r="P13" s="33">
        <v>609.22314961174561</v>
      </c>
      <c r="Q13" s="5">
        <v>20.618517503533099</v>
      </c>
      <c r="R13" s="5">
        <v>5320.8616928204001</v>
      </c>
      <c r="S13" s="35"/>
      <c r="T13" s="23">
        <v>2708461.8645323091</v>
      </c>
      <c r="U13" s="33">
        <v>268.04063654999482</v>
      </c>
      <c r="V13" s="5">
        <v>15</v>
      </c>
      <c r="W13" s="5">
        <v>59.5</v>
      </c>
      <c r="X13" s="33">
        <v>1225.7960429705756</v>
      </c>
      <c r="Y13" s="5">
        <v>44.543236175548593</v>
      </c>
      <c r="Z13" s="5">
        <v>6751.7989995566932</v>
      </c>
      <c r="AA13" s="35"/>
    </row>
    <row r="14" spans="2:27" x14ac:dyDescent="0.2">
      <c r="B14" s="47" t="s">
        <v>3</v>
      </c>
      <c r="C14" s="48"/>
      <c r="D14" s="9">
        <f>MIN(D4:D13)</f>
        <v>1982536.780908064</v>
      </c>
      <c r="E14" s="22">
        <f>INDEX(E4:E13, MATCH($D$14, D4:D13, 0))</f>
        <v>537.45613225002296</v>
      </c>
      <c r="F14" s="9">
        <f>INDEX(F4:F13, MATCH($D$14, D4:D13, 0))</f>
        <v>18</v>
      </c>
      <c r="G14" s="9">
        <f>INDEX(G4:G13, MATCH($D$14, D4:D13, 0))</f>
        <v>92.5</v>
      </c>
      <c r="H14" s="22">
        <f>INDEX(H4:H13, MATCH($D$14, D4:D13, 0))</f>
        <v>1310.3020282819302</v>
      </c>
      <c r="I14" s="22">
        <f>INDEX(I4:I13, MATCH($D$14, D4:D13, 0))</f>
        <v>39.876240610677222</v>
      </c>
      <c r="J14" s="22">
        <f>INDEX(J4:J13, MATCH($D$14, D4:D13, 0))</f>
        <v>6705.8571349574249</v>
      </c>
      <c r="K14" s="32" t="e">
        <f>(D14-$D$15)/$D$15</f>
        <v>#DIV/0!</v>
      </c>
      <c r="L14" s="16">
        <f>MIN(L4:L13)</f>
        <v>2455366.9326103171</v>
      </c>
      <c r="M14" s="21">
        <f>INDEX(M4:M13, MATCH($L$14, L4:L13, 0))</f>
        <v>1369.0280061999799</v>
      </c>
      <c r="N14" s="16">
        <f>INDEX(N4:N13, MATCH($L$14, L4:L13, 0))</f>
        <v>31</v>
      </c>
      <c r="O14" s="16">
        <f>INDEX(O4:O13, MATCH($L$14, L4:L13, 0))</f>
        <v>77.5</v>
      </c>
      <c r="P14" s="21">
        <f>INDEX(P4:P13, MATCH($L$14, L4:L13, 0))</f>
        <v>1014.7799967923185</v>
      </c>
      <c r="Q14" s="21">
        <f>INDEX(Q4:Q13, MATCH($L$14, L4:L13, 0))</f>
        <v>17.857186838193389</v>
      </c>
      <c r="R14" s="21">
        <f>INDEX(R4:R13, MATCH($L$14, L4:L13, 0))</f>
        <v>5807.4174632117338</v>
      </c>
      <c r="S14" s="36" t="e">
        <f>(L14-$D$15)/$D$15</f>
        <v>#DIV/0!</v>
      </c>
      <c r="T14" s="38">
        <f>MIN(T4:T13)</f>
        <v>2666621.707163299</v>
      </c>
      <c r="U14" s="39">
        <f>INDEX(U4:U13, MATCH($T$14, T4:T13, 0))</f>
        <v>578.87687155001902</v>
      </c>
      <c r="V14" s="38">
        <f>INDEX(V4:V13, MATCH($T$14, T4:T13, 0))</f>
        <v>16</v>
      </c>
      <c r="W14" s="38">
        <f>INDEX(W4:W13, MATCH($T$14, T4:T13, 0))</f>
        <v>63</v>
      </c>
      <c r="X14" s="39">
        <f>INDEX(X4:X13, MATCH($T$14, T4:T13, 0))</f>
        <v>1376.561417486422</v>
      </c>
      <c r="Y14" s="39">
        <f>INDEX(Y4:Y13, MATCH($T$14, T4:T13, 0))</f>
        <v>44.63169357402812</v>
      </c>
      <c r="Z14" s="39">
        <f>INDEX(Z4:Z13, MATCH($T$14, T4:T13, 0))</f>
        <v>6901.1111407369008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0.23849754327669126</v>
      </c>
      <c r="M15" s="41">
        <f t="shared" ref="M15:R15" si="0">(M14-E14)/E14</f>
        <v>1.5472367399896225</v>
      </c>
      <c r="N15" s="41">
        <f t="shared" si="0"/>
        <v>0.72222222222222221</v>
      </c>
      <c r="O15" s="41">
        <f t="shared" si="0"/>
        <v>-0.16216216216216217</v>
      </c>
      <c r="P15" s="41">
        <f t="shared" si="0"/>
        <v>-0.22553733804190218</v>
      </c>
      <c r="Q15" s="41">
        <f t="shared" si="0"/>
        <v>-0.55218479563963796</v>
      </c>
      <c r="R15" s="41">
        <f t="shared" si="0"/>
        <v>-0.13397834962247451</v>
      </c>
      <c r="T15" s="1">
        <f>(T14-D14)/D14</f>
        <v>0.34505535173067642</v>
      </c>
      <c r="U15" s="1">
        <f t="shared" ref="U15:Z15" si="1">(U14-E14)/E14</f>
        <v>7.7068130428786796E-2</v>
      </c>
      <c r="V15" s="1">
        <f t="shared" si="1"/>
        <v>-0.1111111111111111</v>
      </c>
      <c r="W15" s="1">
        <f t="shared" si="1"/>
        <v>-0.31891891891891894</v>
      </c>
      <c r="X15" s="1">
        <f t="shared" si="1"/>
        <v>5.0568027656471809E-2</v>
      </c>
      <c r="Y15" s="1">
        <f t="shared" si="1"/>
        <v>0.11925529815560353</v>
      </c>
      <c r="Z15" s="1">
        <f t="shared" si="1"/>
        <v>2.9116934919717091E-2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85" priority="7"/>
    <cfRule type="duplicateValues" dxfId="84" priority="8"/>
  </conditionalFormatting>
  <conditionalFormatting sqref="C14">
    <cfRule type="duplicateValues" dxfId="83" priority="5"/>
    <cfRule type="duplicateValues" dxfId="82" priority="6"/>
  </conditionalFormatting>
  <conditionalFormatting sqref="C15">
    <cfRule type="duplicateValues" dxfId="81" priority="3"/>
    <cfRule type="duplicateValues" dxfId="80" priority="4"/>
  </conditionalFormatting>
  <conditionalFormatting sqref="C20:C29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C9ED-9F4E-4749-9199-8AAD6C15B8C8}">
  <dimension ref="B1:AA17"/>
  <sheetViews>
    <sheetView topLeftCell="A2" zoomScale="90" zoomScaleNormal="90" workbookViewId="0">
      <selection activeCell="U20" sqref="U20:U30"/>
    </sheetView>
  </sheetViews>
  <sheetFormatPr baseColWidth="10" defaultColWidth="10.6640625" defaultRowHeight="16" x14ac:dyDescent="0.2"/>
  <cols>
    <col min="1" max="1" width="0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-0.98278044119763175</v>
      </c>
      <c r="J2" s="28" t="e">
        <f>(S14-J14)/J14</f>
        <v>#DIV/0!</v>
      </c>
      <c r="K2" s="28"/>
      <c r="L2" s="1" t="s">
        <v>19</v>
      </c>
      <c r="P2" s="1">
        <f>(P14-H14)/H14</f>
        <v>-0.33226833491130969</v>
      </c>
      <c r="R2" s="1">
        <f>(R14-J14)/J14</f>
        <v>-0.17991841879477669</v>
      </c>
      <c r="T2" s="1" t="s">
        <v>20</v>
      </c>
      <c r="X2" s="1">
        <f>(X14-P14)/P14</f>
        <v>0.78229926365299851</v>
      </c>
      <c r="Z2" s="1">
        <f>(Z14-R14)/R14</f>
        <v>0.29193684678411352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438</v>
      </c>
      <c r="D4" s="23">
        <v>1904132.4324477429</v>
      </c>
      <c r="E4" s="33">
        <v>660.9121763999575</v>
      </c>
      <c r="F4" s="5">
        <v>17</v>
      </c>
      <c r="G4" s="23">
        <v>91.5</v>
      </c>
      <c r="H4" s="33">
        <v>1129.2180593153839</v>
      </c>
      <c r="I4" s="23">
        <v>46.191081042579292</v>
      </c>
      <c r="J4" s="5">
        <v>6570.7313747417966</v>
      </c>
      <c r="K4" s="31"/>
      <c r="L4" s="23">
        <v>2440691.4791090488</v>
      </c>
      <c r="M4" s="33">
        <v>393.9228240000084</v>
      </c>
      <c r="N4" s="5">
        <v>20</v>
      </c>
      <c r="O4" s="5">
        <v>63</v>
      </c>
      <c r="P4" s="33">
        <v>333.84564527964682</v>
      </c>
      <c r="Q4" s="5">
        <v>23.418832919933791</v>
      </c>
      <c r="R4" s="5">
        <v>4853.6920163288623</v>
      </c>
      <c r="S4" s="35"/>
      <c r="T4" s="23">
        <v>2555775.0466220099</v>
      </c>
      <c r="U4" s="33">
        <v>440.5526761499932</v>
      </c>
      <c r="V4" s="5">
        <v>13</v>
      </c>
      <c r="W4" s="5">
        <v>63.5</v>
      </c>
      <c r="X4" s="33">
        <v>1257.3744912193326</v>
      </c>
      <c r="Y4" s="5">
        <v>56.418126412747135</v>
      </c>
      <c r="Z4" s="5">
        <v>6790.4678477326006</v>
      </c>
      <c r="AA4" s="35"/>
    </row>
    <row r="5" spans="2:27" x14ac:dyDescent="0.2">
      <c r="B5" s="4">
        <v>2</v>
      </c>
      <c r="C5" s="4">
        <v>524</v>
      </c>
      <c r="D5" s="23">
        <v>1898350.8879903359</v>
      </c>
      <c r="E5" s="33">
        <v>675.85583815001905</v>
      </c>
      <c r="F5" s="5">
        <v>17</v>
      </c>
      <c r="G5" s="23">
        <v>92</v>
      </c>
      <c r="H5" s="33">
        <v>1213.7356497762648</v>
      </c>
      <c r="I5" s="23">
        <v>46.184235347667695</v>
      </c>
      <c r="J5" s="5">
        <v>6571.7922013316165</v>
      </c>
      <c r="K5" s="31"/>
      <c r="L5" s="23">
        <v>2498829.4206156628</v>
      </c>
      <c r="M5" s="33">
        <v>696.87294069997745</v>
      </c>
      <c r="N5" s="5">
        <v>18</v>
      </c>
      <c r="O5" s="5">
        <v>59.5</v>
      </c>
      <c r="P5" s="33">
        <v>357.59333981958468</v>
      </c>
      <c r="Q5" s="5">
        <v>25.620701714332114</v>
      </c>
      <c r="R5" s="5">
        <v>4810.1369772956168</v>
      </c>
      <c r="S5" s="35"/>
      <c r="T5" s="23">
        <v>2562257.7533509838</v>
      </c>
      <c r="U5" s="33">
        <v>532.39467730000604</v>
      </c>
      <c r="V5" s="5">
        <v>13</v>
      </c>
      <c r="W5" s="5">
        <v>61.5</v>
      </c>
      <c r="X5" s="33">
        <v>1022.3321696527029</v>
      </c>
      <c r="Y5" s="5">
        <v>53.599879791533994</v>
      </c>
      <c r="Z5" s="5">
        <v>6520.5700204957138</v>
      </c>
      <c r="AA5" s="35"/>
    </row>
    <row r="6" spans="2:27" x14ac:dyDescent="0.2">
      <c r="B6" s="4">
        <v>3</v>
      </c>
      <c r="C6" s="4">
        <v>841</v>
      </c>
      <c r="D6" s="23">
        <v>1866541.845344604</v>
      </c>
      <c r="E6" s="33">
        <v>993.66881810000655</v>
      </c>
      <c r="F6" s="5">
        <v>17</v>
      </c>
      <c r="G6" s="23">
        <v>93.5</v>
      </c>
      <c r="H6" s="33">
        <v>1208.0630256648403</v>
      </c>
      <c r="I6" s="23">
        <v>46.559229095061831</v>
      </c>
      <c r="J6" s="5">
        <v>6559.9571576030476</v>
      </c>
      <c r="K6" s="31"/>
      <c r="L6" s="23">
        <v>2439920.4172569551</v>
      </c>
      <c r="M6" s="33">
        <v>378.70372470002621</v>
      </c>
      <c r="N6" s="5">
        <v>21</v>
      </c>
      <c r="O6" s="5">
        <v>65</v>
      </c>
      <c r="P6" s="33">
        <v>476.9666580283544</v>
      </c>
      <c r="Q6" s="5">
        <v>23.201847134187378</v>
      </c>
      <c r="R6" s="5">
        <v>5117.1414517102448</v>
      </c>
      <c r="S6" s="35"/>
      <c r="T6" s="23">
        <v>2594682.7199750552</v>
      </c>
      <c r="U6" s="33">
        <v>563.05523720005306</v>
      </c>
      <c r="V6" s="5">
        <v>16</v>
      </c>
      <c r="W6" s="5">
        <v>64.5</v>
      </c>
      <c r="X6" s="33">
        <v>1349.1130174001332</v>
      </c>
      <c r="Y6" s="5">
        <v>49.936751081932435</v>
      </c>
      <c r="Z6" s="5">
        <v>6915.0547262173523</v>
      </c>
      <c r="AA6" s="35"/>
    </row>
    <row r="7" spans="2:27" x14ac:dyDescent="0.2">
      <c r="B7" s="4">
        <v>4</v>
      </c>
      <c r="C7" s="4">
        <v>747</v>
      </c>
      <c r="D7" s="23">
        <v>1884565.1736521011</v>
      </c>
      <c r="E7" s="33">
        <v>532.29864425002597</v>
      </c>
      <c r="F7" s="5">
        <v>17</v>
      </c>
      <c r="G7" s="23">
        <v>93</v>
      </c>
      <c r="H7" s="33">
        <v>1183.8787903709294</v>
      </c>
      <c r="I7" s="23">
        <v>46.47660227108463</v>
      </c>
      <c r="J7" s="5">
        <v>6662.8084403214607</v>
      </c>
      <c r="K7" s="31"/>
      <c r="L7" s="23">
        <v>2425136.9273259328</v>
      </c>
      <c r="M7" s="33">
        <v>458.91703870001948</v>
      </c>
      <c r="N7" s="5">
        <v>22</v>
      </c>
      <c r="O7" s="5">
        <v>66</v>
      </c>
      <c r="P7" s="33">
        <v>503.54880992433533</v>
      </c>
      <c r="Q7" s="5">
        <v>22.926636065360924</v>
      </c>
      <c r="R7" s="5">
        <v>5041.2091891536584</v>
      </c>
      <c r="S7" s="35"/>
      <c r="T7" s="23">
        <v>2547390.6728783082</v>
      </c>
      <c r="U7" s="33">
        <v>566.52255569997953</v>
      </c>
      <c r="V7" s="5">
        <v>14</v>
      </c>
      <c r="W7" s="5">
        <v>63.5</v>
      </c>
      <c r="X7" s="33">
        <v>1226.1094002960051</v>
      </c>
      <c r="Y7" s="5">
        <v>55.438065155091302</v>
      </c>
      <c r="Z7" s="5">
        <v>6679.36537579795</v>
      </c>
      <c r="AA7" s="35"/>
    </row>
    <row r="8" spans="2:27" x14ac:dyDescent="0.2">
      <c r="B8" s="4">
        <v>5</v>
      </c>
      <c r="C8" s="4">
        <v>558</v>
      </c>
      <c r="D8" s="23">
        <v>1970491.1217391321</v>
      </c>
      <c r="E8" s="33">
        <v>987.96058199997049</v>
      </c>
      <c r="F8" s="5">
        <v>18</v>
      </c>
      <c r="G8" s="23">
        <v>91.5</v>
      </c>
      <c r="H8" s="33">
        <v>1340.7788985380139</v>
      </c>
      <c r="I8" s="23">
        <v>42.448253436609747</v>
      </c>
      <c r="J8" s="5">
        <v>6685.6735150230297</v>
      </c>
      <c r="K8" s="31"/>
      <c r="L8" s="23">
        <v>2336918.1049553282</v>
      </c>
      <c r="M8" s="33">
        <v>707.21005714999046</v>
      </c>
      <c r="N8" s="5">
        <v>29</v>
      </c>
      <c r="O8" s="5">
        <v>76</v>
      </c>
      <c r="P8" s="33">
        <v>806.66193565926505</v>
      </c>
      <c r="Q8" s="5">
        <v>20.802312307402648</v>
      </c>
      <c r="R8" s="5">
        <v>5379.7000384456296</v>
      </c>
      <c r="S8" s="35"/>
      <c r="T8" s="23">
        <v>2628990.5362240928</v>
      </c>
      <c r="U8" s="33">
        <v>137.74078489997191</v>
      </c>
      <c r="V8" s="5">
        <v>10</v>
      </c>
      <c r="W8" s="5">
        <v>57</v>
      </c>
      <c r="X8" s="33">
        <v>857.19265160850136</v>
      </c>
      <c r="Y8" s="5">
        <v>62.622332568949616</v>
      </c>
      <c r="Z8" s="5">
        <v>6619.0602542616316</v>
      </c>
      <c r="AA8" s="35"/>
    </row>
    <row r="9" spans="2:27" x14ac:dyDescent="0.2">
      <c r="B9" s="4">
        <v>6</v>
      </c>
      <c r="C9" s="4">
        <v>587</v>
      </c>
      <c r="D9" s="23">
        <v>1869122.7937974541</v>
      </c>
      <c r="E9" s="33">
        <v>1154.275102249987</v>
      </c>
      <c r="F9" s="5">
        <v>18</v>
      </c>
      <c r="G9" s="23">
        <v>95</v>
      </c>
      <c r="H9" s="33">
        <v>1292.9224940611757</v>
      </c>
      <c r="I9" s="23">
        <v>45.195855628598565</v>
      </c>
      <c r="J9" s="5">
        <v>6644.7705621199402</v>
      </c>
      <c r="K9" s="31"/>
      <c r="L9" s="23">
        <v>2467287.7556250142</v>
      </c>
      <c r="M9" s="33">
        <v>585.90895285003353</v>
      </c>
      <c r="N9" s="5">
        <v>17</v>
      </c>
      <c r="O9" s="5">
        <v>59.5</v>
      </c>
      <c r="P9" s="33">
        <v>264.6699443299234</v>
      </c>
      <c r="Q9" s="5">
        <v>25.84858942304276</v>
      </c>
      <c r="R9" s="5">
        <v>4741.0573121466323</v>
      </c>
      <c r="S9" s="35"/>
      <c r="T9" s="23">
        <v>2583881.264390971</v>
      </c>
      <c r="U9" s="33">
        <v>271.60482639999827</v>
      </c>
      <c r="V9" s="5">
        <v>13</v>
      </c>
      <c r="W9" s="5">
        <v>62</v>
      </c>
      <c r="X9" s="33">
        <v>1219.2866178303084</v>
      </c>
      <c r="Y9" s="5">
        <v>55.544139153361201</v>
      </c>
      <c r="Z9" s="5">
        <v>6748.405748033857</v>
      </c>
      <c r="AA9" s="35"/>
    </row>
    <row r="10" spans="2:27" x14ac:dyDescent="0.2">
      <c r="B10" s="4">
        <v>7</v>
      </c>
      <c r="C10" s="4">
        <v>982</v>
      </c>
      <c r="D10" s="23">
        <v>1875857.478597461</v>
      </c>
      <c r="E10" s="33">
        <v>491.9562281499966</v>
      </c>
      <c r="F10" s="5">
        <v>17</v>
      </c>
      <c r="G10" s="23">
        <v>94.5</v>
      </c>
      <c r="H10" s="33">
        <v>1288.978453904846</v>
      </c>
      <c r="I10" s="23">
        <v>47.24243574185035</v>
      </c>
      <c r="J10" s="5">
        <v>6730.740428874652</v>
      </c>
      <c r="K10" s="31"/>
      <c r="L10" s="23">
        <v>2349861.9536626898</v>
      </c>
      <c r="M10" s="33">
        <v>720.39254435000498</v>
      </c>
      <c r="N10" s="5">
        <v>24</v>
      </c>
      <c r="O10" s="5">
        <v>70</v>
      </c>
      <c r="P10" s="33">
        <v>510.65090127782554</v>
      </c>
      <c r="Q10" s="5">
        <v>22.596487316052428</v>
      </c>
      <c r="R10" s="5">
        <v>5089.0157702614824</v>
      </c>
      <c r="S10" s="35"/>
      <c r="T10" s="23">
        <v>2619442.9461733461</v>
      </c>
      <c r="U10" s="33">
        <v>199.7107251000125</v>
      </c>
      <c r="V10" s="5">
        <v>11</v>
      </c>
      <c r="W10" s="5">
        <v>58</v>
      </c>
      <c r="X10" s="33">
        <v>920.19744624111013</v>
      </c>
      <c r="Y10" s="5">
        <v>60.716360132158883</v>
      </c>
      <c r="Z10" s="5">
        <v>6648.575454052846</v>
      </c>
      <c r="AA10" s="35"/>
    </row>
    <row r="11" spans="2:27" x14ac:dyDescent="0.2">
      <c r="B11" s="4">
        <v>8</v>
      </c>
      <c r="C11" s="4">
        <v>805</v>
      </c>
      <c r="D11" s="23">
        <v>1897236.5866326231</v>
      </c>
      <c r="E11" s="33">
        <v>399.47783205000451</v>
      </c>
      <c r="F11" s="5">
        <v>18</v>
      </c>
      <c r="G11" s="23">
        <v>95.5</v>
      </c>
      <c r="H11" s="33">
        <v>1349.0076440980297</v>
      </c>
      <c r="I11" s="23">
        <v>45.45975162473578</v>
      </c>
      <c r="J11" s="5">
        <v>6776.2154283776135</v>
      </c>
      <c r="K11" s="31"/>
      <c r="L11" s="23">
        <v>2449009.753533931</v>
      </c>
      <c r="M11" s="33">
        <v>527.30239475000405</v>
      </c>
      <c r="N11" s="5">
        <v>22</v>
      </c>
      <c r="O11" s="5">
        <v>66.5</v>
      </c>
      <c r="P11" s="33">
        <v>616.6771640250505</v>
      </c>
      <c r="Q11" s="5">
        <v>22.421154451967141</v>
      </c>
      <c r="R11" s="5">
        <v>5267.3091524316033</v>
      </c>
      <c r="S11" s="35"/>
      <c r="T11" s="23">
        <v>2550641.7164273518</v>
      </c>
      <c r="U11" s="33">
        <v>572.8372611000085</v>
      </c>
      <c r="V11" s="5">
        <v>15</v>
      </c>
      <c r="W11" s="5">
        <v>65</v>
      </c>
      <c r="X11" s="33">
        <v>1304.4118417643117</v>
      </c>
      <c r="Y11" s="5">
        <v>54.378948144571368</v>
      </c>
      <c r="Z11" s="5">
        <v>6772.339024578876</v>
      </c>
      <c r="AA11" s="35"/>
    </row>
    <row r="12" spans="2:27" x14ac:dyDescent="0.2">
      <c r="B12" s="4">
        <v>9</v>
      </c>
      <c r="C12" s="4">
        <v>725</v>
      </c>
      <c r="D12" s="23">
        <v>1887723.2302199879</v>
      </c>
      <c r="E12" s="33">
        <v>530.86085095000453</v>
      </c>
      <c r="F12" s="5">
        <v>17</v>
      </c>
      <c r="G12" s="23">
        <v>93</v>
      </c>
      <c r="H12" s="33">
        <v>1237.6932632434532</v>
      </c>
      <c r="I12" s="23">
        <v>47.040102720293426</v>
      </c>
      <c r="J12" s="5">
        <v>6617.9723473029353</v>
      </c>
      <c r="K12" s="31"/>
      <c r="L12" s="23">
        <v>2379274.029163375</v>
      </c>
      <c r="M12" s="33">
        <v>731.68371725000895</v>
      </c>
      <c r="N12" s="5">
        <v>22</v>
      </c>
      <c r="O12" s="5">
        <v>68.5</v>
      </c>
      <c r="P12" s="33">
        <v>585.1305865960677</v>
      </c>
      <c r="Q12" s="5">
        <v>23.710929109603601</v>
      </c>
      <c r="R12" s="5">
        <v>5200.1737111923694</v>
      </c>
      <c r="S12" s="35"/>
      <c r="T12" s="23">
        <v>2526888.6708690301</v>
      </c>
      <c r="U12" s="33">
        <v>1288.0046204999669</v>
      </c>
      <c r="V12" s="5">
        <v>15</v>
      </c>
      <c r="W12" s="5">
        <v>67</v>
      </c>
      <c r="X12" s="33">
        <v>1388.2150367176339</v>
      </c>
      <c r="Y12" s="5">
        <v>54.560982004227988</v>
      </c>
      <c r="Z12" s="5">
        <v>6975.4180776840276</v>
      </c>
      <c r="AA12" s="35"/>
    </row>
    <row r="13" spans="2:27" x14ac:dyDescent="0.2">
      <c r="B13" s="4">
        <v>10</v>
      </c>
      <c r="C13" s="4">
        <v>916</v>
      </c>
      <c r="D13" s="23">
        <v>1890890.552205113</v>
      </c>
      <c r="E13" s="33">
        <v>500.38297724997398</v>
      </c>
      <c r="F13" s="5">
        <v>18</v>
      </c>
      <c r="G13" s="23">
        <v>94</v>
      </c>
      <c r="H13" s="33">
        <v>1236.0281781183514</v>
      </c>
      <c r="I13" s="23">
        <v>44.171123508257324</v>
      </c>
      <c r="J13" s="5">
        <v>6644.2626841563961</v>
      </c>
      <c r="K13" s="31"/>
      <c r="L13" s="23">
        <v>2365846.2258486329</v>
      </c>
      <c r="M13" s="33">
        <v>1080.7906508999874</v>
      </c>
      <c r="N13" s="5">
        <v>22</v>
      </c>
      <c r="O13" s="5">
        <v>69</v>
      </c>
      <c r="P13" s="33">
        <v>571.93770203993063</v>
      </c>
      <c r="Q13" s="5">
        <v>24.102580907288033</v>
      </c>
      <c r="R13" s="5">
        <v>5217.4116741674088</v>
      </c>
      <c r="S13" s="35"/>
      <c r="T13" s="23">
        <v>2512003.1431724629</v>
      </c>
      <c r="U13" s="33">
        <v>733.66117395000754</v>
      </c>
      <c r="V13" s="5">
        <v>17</v>
      </c>
      <c r="W13" s="5">
        <v>68.5</v>
      </c>
      <c r="X13" s="33">
        <v>1437.7129739424106</v>
      </c>
      <c r="Y13" s="5">
        <v>51.724026385572756</v>
      </c>
      <c r="Z13" s="5">
        <v>6950.2327043138212</v>
      </c>
      <c r="AA13" s="35"/>
    </row>
    <row r="14" spans="2:27" x14ac:dyDescent="0.2">
      <c r="B14" s="47" t="s">
        <v>3</v>
      </c>
      <c r="C14" s="48"/>
      <c r="D14" s="9">
        <f>MIN(D4:D13)</f>
        <v>1866541.845344604</v>
      </c>
      <c r="E14" s="22">
        <f>INDEX(E4:E13, MATCH($D$14, D4:D13, 0))</f>
        <v>993.66881810000655</v>
      </c>
      <c r="F14" s="9">
        <f>INDEX(F4:F13, MATCH($D$14, D4:D13, 0))</f>
        <v>17</v>
      </c>
      <c r="G14" s="9">
        <f>INDEX(G4:G13, MATCH($D$14, D4:D13, 0))</f>
        <v>93.5</v>
      </c>
      <c r="H14" s="22">
        <f>INDEX(H4:H13, MATCH($D$14, D4:D13, 0))</f>
        <v>1208.0630256648403</v>
      </c>
      <c r="I14" s="22">
        <f>INDEX(I4:I13, MATCH($D$14, D4:D13, 0))</f>
        <v>46.559229095061831</v>
      </c>
      <c r="J14" s="22">
        <f>INDEX(J4:J13, MATCH($D$14, D4:D13, 0))</f>
        <v>6559.9571576030476</v>
      </c>
      <c r="K14" s="32" t="e">
        <f>(D14-$D$15)/$D$15</f>
        <v>#DIV/0!</v>
      </c>
      <c r="L14" s="16">
        <f>MIN(L4:L13)</f>
        <v>2336918.1049553282</v>
      </c>
      <c r="M14" s="21">
        <f>INDEX(M4:M13, MATCH($L$14, L4:L13, 0))</f>
        <v>707.21005714999046</v>
      </c>
      <c r="N14" s="16">
        <f>INDEX(N4:N13, MATCH($L$14, L4:L13, 0))</f>
        <v>29</v>
      </c>
      <c r="O14" s="16">
        <f>INDEX(O4:O13, MATCH($L$14, L4:L13, 0))</f>
        <v>76</v>
      </c>
      <c r="P14" s="21">
        <f>INDEX(P4:P13, MATCH($L$14, L4:L13, 0))</f>
        <v>806.66193565926505</v>
      </c>
      <c r="Q14" s="21">
        <f>INDEX(Q4:Q13, MATCH($L$14, L4:L13, 0))</f>
        <v>20.802312307402648</v>
      </c>
      <c r="R14" s="21">
        <f>INDEX(R4:R13, MATCH($L$14, L4:L13, 0))</f>
        <v>5379.7000384456296</v>
      </c>
      <c r="S14" s="36" t="e">
        <f>(L14-$D$15)/$D$15</f>
        <v>#DIV/0!</v>
      </c>
      <c r="T14" s="38">
        <f>MIN(T4:T13)</f>
        <v>2512003.1431724629</v>
      </c>
      <c r="U14" s="39">
        <f>INDEX(U4:U13, MATCH($T$14, T4:T13, 0))</f>
        <v>733.66117395000754</v>
      </c>
      <c r="V14" s="38">
        <f>INDEX(V4:V13, MATCH($T$14, T4:T13, 0))</f>
        <v>17</v>
      </c>
      <c r="W14" s="38">
        <f>INDEX(W4:W13, MATCH($T$14, T4:T13, 0))</f>
        <v>68.5</v>
      </c>
      <c r="X14" s="39">
        <f>INDEX(X4:X13, MATCH($T$14, T4:T13, 0))</f>
        <v>1437.7129739424106</v>
      </c>
      <c r="Y14" s="39">
        <f>INDEX(Y4:Y13, MATCH($T$14, T4:T13, 0))</f>
        <v>51.724026385572756</v>
      </c>
      <c r="Z14" s="39">
        <f>INDEX(Z4:Z13, MATCH($T$14, T4:T13, 0))</f>
        <v>6950.2327043138212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0.25200413308916875</v>
      </c>
      <c r="M15" s="41">
        <f t="shared" ref="M15:R15" si="0">(M14-E14)/E14</f>
        <v>-0.28828393900671423</v>
      </c>
      <c r="N15" s="41">
        <f t="shared" si="0"/>
        <v>0.70588235294117652</v>
      </c>
      <c r="O15" s="41">
        <f t="shared" si="0"/>
        <v>-0.18716577540106952</v>
      </c>
      <c r="P15" s="41">
        <f t="shared" si="0"/>
        <v>-0.33226833491130969</v>
      </c>
      <c r="Q15" s="41">
        <f t="shared" si="0"/>
        <v>-0.55320754420289608</v>
      </c>
      <c r="R15" s="41">
        <f t="shared" si="0"/>
        <v>-0.17991841879477669</v>
      </c>
      <c r="T15" s="1">
        <f>(T14-D14)/D14</f>
        <v>0.34580596167062777</v>
      </c>
      <c r="U15" s="1">
        <f t="shared" ref="U15:Z15" si="1">(U14-E14)/E14</f>
        <v>-0.26166428835631517</v>
      </c>
      <c r="V15" s="1">
        <f t="shared" si="1"/>
        <v>0</v>
      </c>
      <c r="W15" s="1">
        <f t="shared" si="1"/>
        <v>-0.26737967914438504</v>
      </c>
      <c r="X15" s="1">
        <f t="shared" si="1"/>
        <v>0.19009765500536338</v>
      </c>
      <c r="Y15" s="1">
        <f t="shared" si="1"/>
        <v>0.11092961354591489</v>
      </c>
      <c r="Z15" s="1">
        <f t="shared" si="1"/>
        <v>5.9493612128006176E-2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79" priority="7"/>
    <cfRule type="duplicateValues" dxfId="78" priority="8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3"/>
    <cfRule type="duplicateValues" dxfId="74" priority="4"/>
  </conditionalFormatting>
  <conditionalFormatting sqref="C20:C29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CED4-C595-46C1-8358-BC95CDF1D6C8}">
  <dimension ref="B1:AA17"/>
  <sheetViews>
    <sheetView zoomScale="90" zoomScaleNormal="90" workbookViewId="0">
      <selection activeCell="U20" sqref="U20:U29"/>
    </sheetView>
  </sheetViews>
  <sheetFormatPr baseColWidth="10" defaultColWidth="10.6640625" defaultRowHeight="16" x14ac:dyDescent="0.2"/>
  <cols>
    <col min="1" max="1" width="2.1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-0.97333270429639318</v>
      </c>
      <c r="J2" s="28" t="e">
        <f>(S14-J14)/J14</f>
        <v>#DIV/0!</v>
      </c>
      <c r="K2" s="28"/>
      <c r="L2" s="1" t="s">
        <v>19</v>
      </c>
      <c r="P2" s="1">
        <f>(P14-H14)/H14</f>
        <v>-0.11566663523936546</v>
      </c>
      <c r="R2" s="1">
        <f>(R14-J14)/J14</f>
        <v>-0.12778269639353632</v>
      </c>
      <c r="T2" s="1" t="s">
        <v>20</v>
      </c>
      <c r="X2" s="1">
        <f>(X14-P14)/P14</f>
        <v>1.0863057173393205</v>
      </c>
      <c r="Z2" s="1">
        <f>(Z14-R14)/R14</f>
        <v>0.2997665267274448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369</v>
      </c>
      <c r="D4" s="23">
        <v>1571019.5803433729</v>
      </c>
      <c r="E4" s="33">
        <v>670.86397159996</v>
      </c>
      <c r="F4" s="5">
        <v>17</v>
      </c>
      <c r="G4" s="23">
        <v>98</v>
      </c>
      <c r="H4" s="33">
        <v>694.42584703842306</v>
      </c>
      <c r="I4" s="23">
        <v>42.282384448406738</v>
      </c>
      <c r="J4" s="5">
        <v>5889.4939617655127</v>
      </c>
      <c r="K4" s="31"/>
      <c r="L4" s="23">
        <v>2216046.394222877</v>
      </c>
      <c r="M4" s="33">
        <v>505.29932834999647</v>
      </c>
      <c r="N4" s="5">
        <v>23</v>
      </c>
      <c r="O4" s="5">
        <v>71.5</v>
      </c>
      <c r="P4" s="33">
        <v>326.90150324651739</v>
      </c>
      <c r="Q4" s="5">
        <v>20.583613840105858</v>
      </c>
      <c r="R4" s="5">
        <v>4691.3524933385252</v>
      </c>
      <c r="S4" s="35"/>
      <c r="T4" s="23">
        <v>2321342.692718741</v>
      </c>
      <c r="U4" s="33">
        <v>171.70491475000745</v>
      </c>
      <c r="V4" s="5">
        <v>12</v>
      </c>
      <c r="W4" s="5">
        <v>70</v>
      </c>
      <c r="X4" s="33">
        <v>982.1315228643158</v>
      </c>
      <c r="Y4" s="5">
        <v>62.010213912225737</v>
      </c>
      <c r="Z4" s="5">
        <v>6449.5721778103471</v>
      </c>
      <c r="AA4" s="35"/>
    </row>
    <row r="5" spans="2:27" x14ac:dyDescent="0.2">
      <c r="B5" s="4">
        <v>2</v>
      </c>
      <c r="C5" s="4">
        <v>933</v>
      </c>
      <c r="D5" s="23">
        <v>1727907.6063634451</v>
      </c>
      <c r="E5" s="33">
        <v>842.3432480500195</v>
      </c>
      <c r="F5" s="5">
        <v>16</v>
      </c>
      <c r="G5" s="23">
        <v>96.5</v>
      </c>
      <c r="H5" s="33">
        <v>978.27481343037584</v>
      </c>
      <c r="I5" s="23">
        <v>44.279999719583493</v>
      </c>
      <c r="J5" s="5">
        <v>6346.9574923267146</v>
      </c>
      <c r="K5" s="31"/>
      <c r="L5" s="23">
        <v>2254001.9259865959</v>
      </c>
      <c r="M5" s="33">
        <v>671.57894425000995</v>
      </c>
      <c r="N5" s="5">
        <v>21</v>
      </c>
      <c r="O5" s="5">
        <v>69.5</v>
      </c>
      <c r="P5" s="33">
        <v>342.28720829444262</v>
      </c>
      <c r="Q5" s="5">
        <v>21.448541685097464</v>
      </c>
      <c r="R5" s="5">
        <v>4714.7123925266787</v>
      </c>
      <c r="S5" s="35"/>
      <c r="T5" s="23">
        <v>2318900.86902963</v>
      </c>
      <c r="U5" s="33">
        <v>256.24610330001451</v>
      </c>
      <c r="V5" s="5">
        <v>13</v>
      </c>
      <c r="W5" s="5">
        <v>70</v>
      </c>
      <c r="X5" s="33">
        <v>915.14586958443999</v>
      </c>
      <c r="Y5" s="5">
        <v>57.626034562157344</v>
      </c>
      <c r="Z5" s="5">
        <v>6386.5911589475736</v>
      </c>
      <c r="AA5" s="35"/>
    </row>
    <row r="6" spans="2:27" x14ac:dyDescent="0.2">
      <c r="B6" s="4">
        <v>3</v>
      </c>
      <c r="C6" s="4">
        <v>896</v>
      </c>
      <c r="D6" s="23">
        <v>1599164.9781486541</v>
      </c>
      <c r="E6" s="33">
        <v>572.66037509997852</v>
      </c>
      <c r="F6" s="5">
        <v>16</v>
      </c>
      <c r="G6" s="23">
        <v>98</v>
      </c>
      <c r="H6" s="33">
        <v>770.0858861314</v>
      </c>
      <c r="I6" s="23">
        <v>45.800768525306218</v>
      </c>
      <c r="J6" s="5">
        <v>6070.9808668315827</v>
      </c>
      <c r="K6" s="31"/>
      <c r="L6" s="23">
        <v>2136770.6192312888</v>
      </c>
      <c r="M6" s="33">
        <v>799.90350705001049</v>
      </c>
      <c r="N6" s="5">
        <v>32</v>
      </c>
      <c r="O6" s="5">
        <v>83.5</v>
      </c>
      <c r="P6" s="33">
        <v>614.10394588824238</v>
      </c>
      <c r="Q6" s="5">
        <v>18.518459407201203</v>
      </c>
      <c r="R6" s="5">
        <v>5136.9185429376648</v>
      </c>
      <c r="S6" s="35"/>
      <c r="T6" s="23">
        <v>2316414.6327084289</v>
      </c>
      <c r="U6" s="33">
        <v>568.35333464998996</v>
      </c>
      <c r="V6" s="5">
        <v>12</v>
      </c>
      <c r="W6" s="5">
        <v>70</v>
      </c>
      <c r="X6" s="33">
        <v>937.91742423203789</v>
      </c>
      <c r="Y6" s="5">
        <v>60.474275544333864</v>
      </c>
      <c r="Z6" s="5">
        <v>6405.020056892542</v>
      </c>
      <c r="AA6" s="35"/>
    </row>
    <row r="7" spans="2:27" x14ac:dyDescent="0.2">
      <c r="B7" s="4">
        <v>4</v>
      </c>
      <c r="C7" s="4">
        <v>1</v>
      </c>
      <c r="D7" s="23">
        <v>1582733.9582229159</v>
      </c>
      <c r="E7" s="33">
        <v>1223.5516804499784</v>
      </c>
      <c r="F7" s="5">
        <v>16</v>
      </c>
      <c r="G7" s="23">
        <v>98</v>
      </c>
      <c r="H7" s="33">
        <v>726.28936952199638</v>
      </c>
      <c r="I7" s="23">
        <v>45.00455974024738</v>
      </c>
      <c r="J7" s="5">
        <v>6008.5154169554617</v>
      </c>
      <c r="K7" s="31"/>
      <c r="L7" s="23">
        <v>2148020.0447067092</v>
      </c>
      <c r="M7" s="33">
        <v>634.33955340000102</v>
      </c>
      <c r="N7" s="5">
        <v>31</v>
      </c>
      <c r="O7" s="5">
        <v>83</v>
      </c>
      <c r="P7" s="33">
        <v>638.59992298466773</v>
      </c>
      <c r="Q7" s="5">
        <v>18.771036631391812</v>
      </c>
      <c r="R7" s="5">
        <v>5201.5481509432966</v>
      </c>
      <c r="S7" s="35"/>
      <c r="T7" s="23">
        <v>2382125.2826294149</v>
      </c>
      <c r="U7" s="33">
        <v>447.72718374995748</v>
      </c>
      <c r="V7" s="5">
        <v>13</v>
      </c>
      <c r="W7" s="5">
        <v>69</v>
      </c>
      <c r="X7" s="33">
        <v>1000.1902678670133</v>
      </c>
      <c r="Y7" s="5">
        <v>55.349136448250079</v>
      </c>
      <c r="Z7" s="5">
        <v>6529.730291044054</v>
      </c>
      <c r="AA7" s="35"/>
    </row>
    <row r="8" spans="2:27" x14ac:dyDescent="0.2">
      <c r="B8" s="4">
        <v>5</v>
      </c>
      <c r="C8" s="4">
        <v>364</v>
      </c>
      <c r="D8" s="23">
        <v>1589415.1871294561</v>
      </c>
      <c r="E8" s="33">
        <v>230.85315080004511</v>
      </c>
      <c r="F8" s="5">
        <v>16</v>
      </c>
      <c r="G8" s="23">
        <v>98</v>
      </c>
      <c r="H8" s="33">
        <v>735.02083981224405</v>
      </c>
      <c r="I8" s="23">
        <v>44.808275000742945</v>
      </c>
      <c r="J8" s="5">
        <v>6048.5802118234424</v>
      </c>
      <c r="K8" s="31"/>
      <c r="L8" s="23">
        <v>2174423.0538546662</v>
      </c>
      <c r="M8" s="33">
        <v>458.74415080004837</v>
      </c>
      <c r="N8" s="5">
        <v>29</v>
      </c>
      <c r="O8" s="5">
        <v>81</v>
      </c>
      <c r="P8" s="33">
        <v>670.16784383488334</v>
      </c>
      <c r="Q8" s="5">
        <v>19.342680720812837</v>
      </c>
      <c r="R8" s="5">
        <v>5269.5194762008668</v>
      </c>
      <c r="S8" s="35"/>
      <c r="T8" s="23">
        <v>2305495.1755061918</v>
      </c>
      <c r="U8" s="33">
        <v>660.27067625004554</v>
      </c>
      <c r="V8" s="5">
        <v>14</v>
      </c>
      <c r="W8" s="5">
        <v>71.5</v>
      </c>
      <c r="X8" s="33">
        <v>980.1773396912597</v>
      </c>
      <c r="Y8" s="5">
        <v>53.743956461836994</v>
      </c>
      <c r="Z8" s="5">
        <v>6350.9357613800794</v>
      </c>
      <c r="AA8" s="35"/>
    </row>
    <row r="9" spans="2:27" x14ac:dyDescent="0.2">
      <c r="B9" s="4">
        <v>6</v>
      </c>
      <c r="C9" s="4">
        <v>610</v>
      </c>
      <c r="D9" s="23">
        <v>1594000.90127015</v>
      </c>
      <c r="E9" s="33">
        <v>497.92616099998122</v>
      </c>
      <c r="F9" s="5">
        <v>15</v>
      </c>
      <c r="G9" s="23">
        <v>98</v>
      </c>
      <c r="H9" s="33">
        <v>794.08499289427675</v>
      </c>
      <c r="I9" s="23">
        <v>48.176351594559918</v>
      </c>
      <c r="J9" s="5">
        <v>6128.9713447542963</v>
      </c>
      <c r="K9" s="31"/>
      <c r="L9" s="23">
        <v>2212356.397189307</v>
      </c>
      <c r="M9" s="33">
        <v>375.31736459996318</v>
      </c>
      <c r="N9" s="5">
        <v>24</v>
      </c>
      <c r="O9" s="5">
        <v>73</v>
      </c>
      <c r="P9" s="33">
        <v>391.26318360233574</v>
      </c>
      <c r="Q9" s="5">
        <v>20.402458938386356</v>
      </c>
      <c r="R9" s="5">
        <v>4752.7453447474136</v>
      </c>
      <c r="S9" s="35"/>
      <c r="T9" s="23">
        <v>2233695.1470886022</v>
      </c>
      <c r="U9" s="33">
        <v>411.83515519998036</v>
      </c>
      <c r="V9" s="5">
        <v>16</v>
      </c>
      <c r="W9" s="5">
        <v>78</v>
      </c>
      <c r="X9" s="33">
        <v>1319.3734416139278</v>
      </c>
      <c r="Y9" s="5">
        <v>56.744345693822638</v>
      </c>
      <c r="Z9" s="5">
        <v>6699.6489408915204</v>
      </c>
      <c r="AA9" s="35"/>
    </row>
    <row r="10" spans="2:27" x14ac:dyDescent="0.2">
      <c r="B10" s="4">
        <v>7</v>
      </c>
      <c r="C10" s="4">
        <v>515</v>
      </c>
      <c r="D10" s="23">
        <v>1577781.251986366</v>
      </c>
      <c r="E10" s="33">
        <v>380.68220400001155</v>
      </c>
      <c r="F10" s="5">
        <v>16</v>
      </c>
      <c r="G10" s="23">
        <v>98</v>
      </c>
      <c r="H10" s="33">
        <v>720.1151124148945</v>
      </c>
      <c r="I10" s="23">
        <v>45.196764119519891</v>
      </c>
      <c r="J10" s="5">
        <v>5993.9765992914836</v>
      </c>
      <c r="K10" s="31"/>
      <c r="L10" s="23">
        <v>2185495.9530730508</v>
      </c>
      <c r="M10" s="33">
        <v>673.59139139996853</v>
      </c>
      <c r="N10" s="5">
        <v>25</v>
      </c>
      <c r="O10" s="5">
        <v>74</v>
      </c>
      <c r="P10" s="33">
        <v>319.11985797104177</v>
      </c>
      <c r="Q10" s="5">
        <v>20.00591903830534</v>
      </c>
      <c r="R10" s="5">
        <v>4721.7948665030863</v>
      </c>
      <c r="S10" s="35"/>
      <c r="T10" s="23">
        <v>2282971.6121060639</v>
      </c>
      <c r="U10" s="33">
        <v>789.51110379997397</v>
      </c>
      <c r="V10" s="5">
        <v>14</v>
      </c>
      <c r="W10" s="5">
        <v>73.5</v>
      </c>
      <c r="X10" s="33">
        <v>1079.7731721527175</v>
      </c>
      <c r="Y10" s="5">
        <v>55.705243638812121</v>
      </c>
      <c r="Z10" s="5">
        <v>6523.3292578445071</v>
      </c>
      <c r="AA10" s="35"/>
    </row>
    <row r="11" spans="2:27" x14ac:dyDescent="0.2">
      <c r="B11" s="4">
        <v>8</v>
      </c>
      <c r="C11" s="4">
        <v>93</v>
      </c>
      <c r="D11" s="23">
        <v>1615217.1942135261</v>
      </c>
      <c r="E11" s="33">
        <v>370.73703434999334</v>
      </c>
      <c r="F11" s="5">
        <v>17</v>
      </c>
      <c r="G11" s="23">
        <v>98</v>
      </c>
      <c r="H11" s="33">
        <v>811.12016792990039</v>
      </c>
      <c r="I11" s="23">
        <v>42.510423580333999</v>
      </c>
      <c r="J11" s="5">
        <v>6032.3104793148859</v>
      </c>
      <c r="K11" s="31"/>
      <c r="L11" s="23">
        <v>2142038.8697777861</v>
      </c>
      <c r="M11" s="33">
        <v>918.40936869999848</v>
      </c>
      <c r="N11" s="5">
        <v>28</v>
      </c>
      <c r="O11" s="5">
        <v>79.5</v>
      </c>
      <c r="P11" s="33">
        <v>552.67544160326884</v>
      </c>
      <c r="Q11" s="5">
        <v>19.578821924554955</v>
      </c>
      <c r="R11" s="5">
        <v>4999.4952870622656</v>
      </c>
      <c r="S11" s="35"/>
      <c r="T11" s="23">
        <v>2306904.5303349989</v>
      </c>
      <c r="U11" s="33">
        <v>520.35413945000596</v>
      </c>
      <c r="V11" s="5">
        <v>12</v>
      </c>
      <c r="W11" s="5">
        <v>70.5</v>
      </c>
      <c r="X11" s="33">
        <v>904.58529297975895</v>
      </c>
      <c r="Y11" s="5">
        <v>60.161782137603488</v>
      </c>
      <c r="Z11" s="5">
        <v>6447.5000424904729</v>
      </c>
      <c r="AA11" s="35"/>
    </row>
    <row r="12" spans="2:27" x14ac:dyDescent="0.2">
      <c r="B12" s="4">
        <v>9</v>
      </c>
      <c r="C12" s="4">
        <v>916</v>
      </c>
      <c r="D12" s="23">
        <v>1581418.2223283709</v>
      </c>
      <c r="E12" s="33">
        <v>391.75567139999475</v>
      </c>
      <c r="F12" s="5">
        <v>17</v>
      </c>
      <c r="G12" s="23">
        <v>98</v>
      </c>
      <c r="H12" s="33">
        <v>681.40966028919206</v>
      </c>
      <c r="I12" s="23">
        <v>42.570630116781089</v>
      </c>
      <c r="J12" s="5">
        <v>5936.2073023864041</v>
      </c>
      <c r="K12" s="31"/>
      <c r="L12" s="23">
        <v>2242293.6963733812</v>
      </c>
      <c r="M12" s="33">
        <v>784.43409749999398</v>
      </c>
      <c r="N12" s="5">
        <v>26</v>
      </c>
      <c r="O12" s="5">
        <v>74.5</v>
      </c>
      <c r="P12" s="33">
        <v>514.42192888230545</v>
      </c>
      <c r="Q12" s="5">
        <v>19.556069206352667</v>
      </c>
      <c r="R12" s="5">
        <v>4920.1175747797552</v>
      </c>
      <c r="S12" s="35"/>
      <c r="T12" s="23">
        <v>2224541.8123554951</v>
      </c>
      <c r="U12" s="33">
        <v>802.93682679999597</v>
      </c>
      <c r="V12" s="5">
        <v>17</v>
      </c>
      <c r="W12" s="5">
        <v>80</v>
      </c>
      <c r="X12" s="33">
        <v>1412.9029765259509</v>
      </c>
      <c r="Y12" s="5">
        <v>55.867641372013978</v>
      </c>
      <c r="Z12" s="5">
        <v>6828.6363907007417</v>
      </c>
      <c r="AA12" s="35"/>
    </row>
    <row r="13" spans="2:27" x14ac:dyDescent="0.2">
      <c r="B13" s="4">
        <v>10</v>
      </c>
      <c r="C13" s="4">
        <v>792</v>
      </c>
      <c r="D13" s="23">
        <v>1587763.445311276</v>
      </c>
      <c r="E13" s="33">
        <v>325.78458435001085</v>
      </c>
      <c r="F13" s="5">
        <v>16</v>
      </c>
      <c r="G13" s="23">
        <v>98</v>
      </c>
      <c r="H13" s="33">
        <v>790.82591474778508</v>
      </c>
      <c r="I13" s="23">
        <v>45.185221687516837</v>
      </c>
      <c r="J13" s="5">
        <v>5989.3555931880346</v>
      </c>
      <c r="K13" s="31"/>
      <c r="L13" s="23">
        <v>2212321.0843630489</v>
      </c>
      <c r="M13" s="33">
        <v>535.56037664995551</v>
      </c>
      <c r="N13" s="5">
        <v>29</v>
      </c>
      <c r="O13" s="5">
        <v>80.5</v>
      </c>
      <c r="P13" s="33">
        <v>734.18047027057548</v>
      </c>
      <c r="Q13" s="5">
        <v>19.046051036968052</v>
      </c>
      <c r="R13" s="5">
        <v>5337.6157388212478</v>
      </c>
      <c r="S13" s="35"/>
      <c r="T13" s="23">
        <v>2200061.7079321081</v>
      </c>
      <c r="U13" s="33">
        <v>1144.160197549965</v>
      </c>
      <c r="V13" s="5">
        <v>17</v>
      </c>
      <c r="W13" s="5">
        <v>79.5</v>
      </c>
      <c r="X13" s="33">
        <v>1281.2085733472768</v>
      </c>
      <c r="Y13" s="5">
        <v>55.644491320844175</v>
      </c>
      <c r="Z13" s="5">
        <v>6676.7947726358952</v>
      </c>
      <c r="AA13" s="35"/>
    </row>
    <row r="14" spans="2:27" x14ac:dyDescent="0.2">
      <c r="B14" s="47" t="s">
        <v>3</v>
      </c>
      <c r="C14" s="48"/>
      <c r="D14" s="9">
        <f>MIN(D4:D13)</f>
        <v>1571019.5803433729</v>
      </c>
      <c r="E14" s="22">
        <f>INDEX(E4:E13, MATCH($D$14, D4:D13, 0))</f>
        <v>670.86397159996</v>
      </c>
      <c r="F14" s="9">
        <f>INDEX(F4:F13, MATCH($D$14, D4:D13, 0))</f>
        <v>17</v>
      </c>
      <c r="G14" s="9">
        <f>INDEX(G4:G13, MATCH($D$14, D4:D13, 0))</f>
        <v>98</v>
      </c>
      <c r="H14" s="22">
        <f>INDEX(H4:H13, MATCH($D$14, D4:D13, 0))</f>
        <v>694.42584703842306</v>
      </c>
      <c r="I14" s="22">
        <f>INDEX(I4:I13, MATCH($D$14, D4:D13, 0))</f>
        <v>42.282384448406738</v>
      </c>
      <c r="J14" s="22">
        <f>INDEX(J4:J13, MATCH($D$14, D4:D13, 0))</f>
        <v>5889.4939617655127</v>
      </c>
      <c r="K14" s="32" t="e">
        <f>(D14-$D$15)/$D$15</f>
        <v>#DIV/0!</v>
      </c>
      <c r="L14" s="16">
        <f>MIN(L4:L13)</f>
        <v>2136770.6192312888</v>
      </c>
      <c r="M14" s="21">
        <f>INDEX(M4:M13, MATCH($L$14, L4:L13, 0))</f>
        <v>799.90350705001049</v>
      </c>
      <c r="N14" s="16">
        <f>INDEX(N4:N13, MATCH($L$14, L4:L13, 0))</f>
        <v>32</v>
      </c>
      <c r="O14" s="16">
        <f>INDEX(O4:O13, MATCH($L$14, L4:L13, 0))</f>
        <v>83.5</v>
      </c>
      <c r="P14" s="21">
        <f>INDEX(P4:P13, MATCH($L$14, L4:L13, 0))</f>
        <v>614.10394588824238</v>
      </c>
      <c r="Q14" s="21">
        <f>INDEX(Q4:Q13, MATCH($L$14, L4:L13, 0))</f>
        <v>18.518459407201203</v>
      </c>
      <c r="R14" s="21">
        <f>INDEX(R4:R13, MATCH($L$14, L4:L13, 0))</f>
        <v>5136.9185429376648</v>
      </c>
      <c r="S14" s="36" t="e">
        <f>(L14-$D$15)/$D$15</f>
        <v>#DIV/0!</v>
      </c>
      <c r="T14" s="38">
        <f>MIN(T4:T13)</f>
        <v>2200061.7079321081</v>
      </c>
      <c r="U14" s="39">
        <f>INDEX(U4:U13, MATCH($T$14, T4:T13, 0))</f>
        <v>1144.160197549965</v>
      </c>
      <c r="V14" s="38">
        <f>INDEX(V4:V13, MATCH($T$14, T4:T13, 0))</f>
        <v>17</v>
      </c>
      <c r="W14" s="38">
        <f>INDEX(W4:W13, MATCH($T$14, T4:T13, 0))</f>
        <v>79.5</v>
      </c>
      <c r="X14" s="39">
        <f>INDEX(X4:X13, MATCH($T$14, T4:T13, 0))</f>
        <v>1281.2085733472768</v>
      </c>
      <c r="Y14" s="39">
        <f>INDEX(Y4:Y13, MATCH($T$14, T4:T13, 0))</f>
        <v>55.644491320844175</v>
      </c>
      <c r="Z14" s="39">
        <f>INDEX(Z4:Z13, MATCH($T$14, T4:T13, 0))</f>
        <v>6676.7947726358952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0.36011711500391447</v>
      </c>
      <c r="M15" s="41">
        <f t="shared" ref="M15:R15" si="0">(M14-E14)/E14</f>
        <v>0.19234828655696165</v>
      </c>
      <c r="N15" s="41">
        <f t="shared" si="0"/>
        <v>0.88235294117647056</v>
      </c>
      <c r="O15" s="41">
        <f t="shared" si="0"/>
        <v>-0.14795918367346939</v>
      </c>
      <c r="P15" s="41">
        <f t="shared" si="0"/>
        <v>-0.11566663523936546</v>
      </c>
      <c r="Q15" s="41">
        <f t="shared" si="0"/>
        <v>-0.56202897143141117</v>
      </c>
      <c r="R15" s="41">
        <f t="shared" si="0"/>
        <v>-0.12778269639353632</v>
      </c>
      <c r="T15" s="1">
        <f>(T14-D14)/D14</f>
        <v>0.40040374764218239</v>
      </c>
      <c r="U15" s="1">
        <f t="shared" ref="U15:Z15" si="1">(U14-E14)/E14</f>
        <v>0.70550252508154399</v>
      </c>
      <c r="V15" s="1">
        <f t="shared" si="1"/>
        <v>0</v>
      </c>
      <c r="W15" s="1">
        <f t="shared" si="1"/>
        <v>-0.18877551020408162</v>
      </c>
      <c r="X15" s="1">
        <f t="shared" si="1"/>
        <v>0.84498975493403061</v>
      </c>
      <c r="Y15" s="1">
        <f t="shared" si="1"/>
        <v>0.31602065604275398</v>
      </c>
      <c r="Z15" s="1">
        <f t="shared" si="1"/>
        <v>0.13367885526015053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73" priority="7"/>
    <cfRule type="duplicateValues" dxfId="72" priority="8"/>
  </conditionalFormatting>
  <conditionalFormatting sqref="C14">
    <cfRule type="duplicateValues" dxfId="71" priority="5"/>
    <cfRule type="duplicateValues" dxfId="70" priority="6"/>
  </conditionalFormatting>
  <conditionalFormatting sqref="C15">
    <cfRule type="duplicateValues" dxfId="69" priority="3"/>
    <cfRule type="duplicateValues" dxfId="68" priority="4"/>
  </conditionalFormatting>
  <conditionalFormatting sqref="C20:C29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D0AA-A482-4340-BD02-214A6CC2A47E}">
  <dimension ref="B1:AA17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-0.95209882664580892</v>
      </c>
      <c r="J2" s="28" t="e">
        <f>(S14-J14)/J14</f>
        <v>#DIV/0!</v>
      </c>
      <c r="K2" s="28"/>
      <c r="L2" s="1" t="s">
        <v>19</v>
      </c>
      <c r="P2" s="1">
        <f>(P14-H14)/H14</f>
        <v>-7.9246732841907388E-3</v>
      </c>
      <c r="R2" s="1">
        <f>(R14-J14)/J14</f>
        <v>-0.10634781919673633</v>
      </c>
      <c r="T2" s="1" t="s">
        <v>20</v>
      </c>
      <c r="X2" s="1">
        <f>(X14-P14)/P14</f>
        <v>1.3728786585241848</v>
      </c>
      <c r="Z2" s="1">
        <f>(Z14-R14)/R14</f>
        <v>0.30149219605653138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102</v>
      </c>
      <c r="D4" s="23">
        <v>1463263.684575306</v>
      </c>
      <c r="E4" s="33">
        <v>276.11027230002219</v>
      </c>
      <c r="F4" s="5">
        <v>13</v>
      </c>
      <c r="G4" s="23">
        <v>97.5</v>
      </c>
      <c r="H4" s="33">
        <v>484.69829566350541</v>
      </c>
      <c r="I4" s="23">
        <v>53.753039295653302</v>
      </c>
      <c r="J4" s="5">
        <v>5734.6473682490905</v>
      </c>
      <c r="K4" s="31"/>
      <c r="L4" s="23">
        <v>1940019.8294734049</v>
      </c>
      <c r="M4" s="33">
        <v>473.17736605001846</v>
      </c>
      <c r="N4" s="5">
        <v>30</v>
      </c>
      <c r="O4" s="5">
        <v>87</v>
      </c>
      <c r="P4" s="33">
        <v>463.48261490237286</v>
      </c>
      <c r="Q4" s="5">
        <v>20.244218426000945</v>
      </c>
      <c r="R4" s="5">
        <v>4862.5648670396849</v>
      </c>
      <c r="S4" s="35"/>
      <c r="T4" s="23">
        <v>2109384.3521589441</v>
      </c>
      <c r="U4" s="33">
        <v>197.39028120000151</v>
      </c>
      <c r="V4" s="5">
        <v>15</v>
      </c>
      <c r="W4" s="5">
        <v>77</v>
      </c>
      <c r="X4" s="33">
        <v>787.13878359994715</v>
      </c>
      <c r="Y4" s="5">
        <v>60.39197531626931</v>
      </c>
      <c r="Z4" s="5">
        <v>6156.8017594763987</v>
      </c>
      <c r="AA4" s="35"/>
    </row>
    <row r="5" spans="2:27" x14ac:dyDescent="0.2">
      <c r="B5" s="4">
        <v>2</v>
      </c>
      <c r="C5" s="4">
        <v>77</v>
      </c>
      <c r="D5" s="23">
        <v>1439154.6519422471</v>
      </c>
      <c r="E5" s="33">
        <v>387.18648529995698</v>
      </c>
      <c r="F5" s="5">
        <v>14</v>
      </c>
      <c r="G5" s="23">
        <v>97.5</v>
      </c>
      <c r="H5" s="33">
        <v>485.17223759896598</v>
      </c>
      <c r="I5" s="23">
        <v>50.367212773639821</v>
      </c>
      <c r="J5" s="5">
        <v>5537.8291010675548</v>
      </c>
      <c r="K5" s="31"/>
      <c r="L5" s="23">
        <v>2039458.156066282</v>
      </c>
      <c r="M5" s="33">
        <v>1298.9589640999909</v>
      </c>
      <c r="N5" s="5">
        <v>22</v>
      </c>
      <c r="O5" s="5">
        <v>76</v>
      </c>
      <c r="P5" s="33">
        <v>234.52581502223629</v>
      </c>
      <c r="Q5" s="5">
        <v>22.760294548147826</v>
      </c>
      <c r="R5" s="5">
        <v>4480.0855626500106</v>
      </c>
      <c r="S5" s="35"/>
      <c r="T5" s="23">
        <v>2085632.445064794</v>
      </c>
      <c r="U5" s="33">
        <v>273.58469824999338</v>
      </c>
      <c r="V5" s="5">
        <v>14</v>
      </c>
      <c r="W5" s="5">
        <v>78</v>
      </c>
      <c r="X5" s="33">
        <v>839.57942999061299</v>
      </c>
      <c r="Y5" s="5">
        <v>62.801588849963878</v>
      </c>
      <c r="Z5" s="5">
        <v>6217.0354323443007</v>
      </c>
      <c r="AA5" s="35"/>
    </row>
    <row r="6" spans="2:27" x14ac:dyDescent="0.2">
      <c r="B6" s="4">
        <v>3</v>
      </c>
      <c r="C6" s="4">
        <v>649</v>
      </c>
      <c r="D6" s="23">
        <v>1428659.915447708</v>
      </c>
      <c r="E6" s="33">
        <v>568.577613750007</v>
      </c>
      <c r="F6" s="5">
        <v>15</v>
      </c>
      <c r="G6" s="23">
        <v>97.5</v>
      </c>
      <c r="H6" s="33">
        <v>444.79680398965928</v>
      </c>
      <c r="I6" s="23">
        <v>47.253144792613057</v>
      </c>
      <c r="J6" s="5">
        <v>5415.9586779491101</v>
      </c>
      <c r="K6" s="31"/>
      <c r="L6" s="23">
        <v>2092199.7515562051</v>
      </c>
      <c r="M6" s="33">
        <v>990.96845804998895</v>
      </c>
      <c r="N6" s="5">
        <v>21</v>
      </c>
      <c r="O6" s="5">
        <v>72</v>
      </c>
      <c r="P6" s="33">
        <v>150.82259475595288</v>
      </c>
      <c r="Q6" s="5">
        <v>22.462160324269863</v>
      </c>
      <c r="R6" s="5">
        <v>4259.3715243545694</v>
      </c>
      <c r="S6" s="35"/>
      <c r="T6" s="23">
        <v>2073096.0534700821</v>
      </c>
      <c r="U6" s="33">
        <v>417.36327189998701</v>
      </c>
      <c r="V6" s="5">
        <v>14</v>
      </c>
      <c r="W6" s="5">
        <v>78</v>
      </c>
      <c r="X6" s="33">
        <v>830.96693805767256</v>
      </c>
      <c r="Y6" s="5">
        <v>61.657669705877446</v>
      </c>
      <c r="Z6" s="5">
        <v>6153.2489358990533</v>
      </c>
      <c r="AA6" s="35"/>
    </row>
    <row r="7" spans="2:27" x14ac:dyDescent="0.2">
      <c r="B7" s="4">
        <v>4</v>
      </c>
      <c r="C7" s="4">
        <v>175</v>
      </c>
      <c r="D7" s="23">
        <v>1496495.1064579489</v>
      </c>
      <c r="E7" s="33">
        <v>326.95907550002448</v>
      </c>
      <c r="F7" s="5">
        <v>15</v>
      </c>
      <c r="G7" s="23">
        <v>97.5</v>
      </c>
      <c r="H7" s="33">
        <v>617.01424969107347</v>
      </c>
      <c r="I7" s="23">
        <v>47.382280521198048</v>
      </c>
      <c r="J7" s="5">
        <v>5632.3579492441913</v>
      </c>
      <c r="K7" s="31"/>
      <c r="L7" s="23">
        <v>1977473.1757589411</v>
      </c>
      <c r="M7" s="33">
        <v>418.71527599997353</v>
      </c>
      <c r="N7" s="5">
        <v>28</v>
      </c>
      <c r="O7" s="5">
        <v>84</v>
      </c>
      <c r="P7" s="33">
        <v>408.85003208141364</v>
      </c>
      <c r="Q7" s="5">
        <v>20.077149332326012</v>
      </c>
      <c r="R7" s="5">
        <v>4807.9928181689247</v>
      </c>
      <c r="S7" s="35"/>
      <c r="T7" s="23">
        <v>2331906.138661583</v>
      </c>
      <c r="U7" s="33">
        <v>303.82771250000224</v>
      </c>
      <c r="V7" s="5">
        <v>14</v>
      </c>
      <c r="W7" s="5">
        <v>72</v>
      </c>
      <c r="X7" s="33">
        <v>1064.8573463642263</v>
      </c>
      <c r="Y7" s="5">
        <v>52.968267820769604</v>
      </c>
      <c r="Z7" s="5">
        <v>6521.4410210763826</v>
      </c>
      <c r="AA7" s="35"/>
    </row>
    <row r="8" spans="2:27" x14ac:dyDescent="0.2">
      <c r="B8" s="4">
        <v>5</v>
      </c>
      <c r="C8" s="4">
        <v>271</v>
      </c>
      <c r="D8" s="23">
        <v>1430822.7167340659</v>
      </c>
      <c r="E8" s="33">
        <v>599.73307700001146</v>
      </c>
      <c r="F8" s="5">
        <v>14</v>
      </c>
      <c r="G8" s="23">
        <v>97.5</v>
      </c>
      <c r="H8" s="33">
        <v>474.94567635850359</v>
      </c>
      <c r="I8" s="23">
        <v>49.842806983694054</v>
      </c>
      <c r="J8" s="5">
        <v>5485.4554083865924</v>
      </c>
      <c r="K8" s="31"/>
      <c r="L8" s="23">
        <v>1950638.0984810791</v>
      </c>
      <c r="M8" s="33">
        <v>256.07339179998962</v>
      </c>
      <c r="N8" s="5">
        <v>32</v>
      </c>
      <c r="O8" s="5">
        <v>88</v>
      </c>
      <c r="P8" s="33">
        <v>443.23142364945414</v>
      </c>
      <c r="Q8" s="5">
        <v>19.213925613647838</v>
      </c>
      <c r="R8" s="5">
        <v>4871.855338981929</v>
      </c>
      <c r="S8" s="35"/>
      <c r="T8" s="23">
        <v>2116605.5596038741</v>
      </c>
      <c r="U8" s="33">
        <v>509.45828384999197</v>
      </c>
      <c r="V8" s="5">
        <v>13</v>
      </c>
      <c r="W8" s="5">
        <v>75.5</v>
      </c>
      <c r="X8" s="33">
        <v>747.63906631839279</v>
      </c>
      <c r="Y8" s="5">
        <v>63.961337647654126</v>
      </c>
      <c r="Z8" s="5">
        <v>6130.7115834523111</v>
      </c>
      <c r="AA8" s="35"/>
    </row>
    <row r="9" spans="2:27" x14ac:dyDescent="0.2">
      <c r="B9" s="4">
        <v>6</v>
      </c>
      <c r="C9" s="4">
        <v>15</v>
      </c>
      <c r="D9" s="23">
        <v>1433290.481127104</v>
      </c>
      <c r="E9" s="33">
        <v>675.40561474999402</v>
      </c>
      <c r="F9" s="5">
        <v>14</v>
      </c>
      <c r="G9" s="23">
        <v>97.5</v>
      </c>
      <c r="H9" s="33">
        <v>453.43456786464321</v>
      </c>
      <c r="I9" s="23">
        <v>50.779853427414125</v>
      </c>
      <c r="J9" s="5">
        <v>5526.3270889337937</v>
      </c>
      <c r="K9" s="31"/>
      <c r="L9" s="23">
        <v>1967383.9887190929</v>
      </c>
      <c r="M9" s="33">
        <v>447.45563665003283</v>
      </c>
      <c r="N9" s="5">
        <v>29</v>
      </c>
      <c r="O9" s="5">
        <v>84</v>
      </c>
      <c r="P9" s="33">
        <v>359.88405620711893</v>
      </c>
      <c r="Q9" s="5">
        <v>20.063282533028172</v>
      </c>
      <c r="R9" s="5">
        <v>4654.3784461777341</v>
      </c>
      <c r="S9" s="35"/>
      <c r="T9" s="23">
        <v>2063221.8127494249</v>
      </c>
      <c r="U9" s="33">
        <v>708.03248355002154</v>
      </c>
      <c r="V9" s="5">
        <v>16</v>
      </c>
      <c r="W9" s="5">
        <v>80.5</v>
      </c>
      <c r="X9" s="33">
        <v>988.56822024010444</v>
      </c>
      <c r="Y9" s="5">
        <v>61.219287711618236</v>
      </c>
      <c r="Z9" s="5">
        <v>6279.8243152254963</v>
      </c>
      <c r="AA9" s="35"/>
    </row>
    <row r="10" spans="2:27" x14ac:dyDescent="0.2">
      <c r="B10" s="4">
        <v>7</v>
      </c>
      <c r="C10" s="4">
        <v>538</v>
      </c>
      <c r="D10" s="23">
        <v>1427528.131662989</v>
      </c>
      <c r="E10" s="33">
        <v>1165.452946550038</v>
      </c>
      <c r="F10" s="5">
        <v>15</v>
      </c>
      <c r="G10" s="23">
        <v>97.5</v>
      </c>
      <c r="H10" s="33">
        <v>413.31715918338023</v>
      </c>
      <c r="I10" s="23">
        <v>46.820492998437857</v>
      </c>
      <c r="J10" s="5">
        <v>5438.1575412016455</v>
      </c>
      <c r="K10" s="31"/>
      <c r="L10" s="23">
        <v>2025363.7401379889</v>
      </c>
      <c r="M10" s="33">
        <v>1163.1655012000119</v>
      </c>
      <c r="N10" s="5">
        <v>24</v>
      </c>
      <c r="O10" s="5">
        <v>78</v>
      </c>
      <c r="P10" s="33">
        <v>266.99996146604599</v>
      </c>
      <c r="Q10" s="5">
        <v>21.763494357972856</v>
      </c>
      <c r="R10" s="5">
        <v>4587.7335632348941</v>
      </c>
      <c r="S10" s="35"/>
      <c r="T10" s="23">
        <v>2078965.9486202551</v>
      </c>
      <c r="U10" s="33">
        <v>313.26353459997335</v>
      </c>
      <c r="V10" s="5">
        <v>14</v>
      </c>
      <c r="W10" s="5">
        <v>79</v>
      </c>
      <c r="X10" s="33">
        <v>899.83924040848228</v>
      </c>
      <c r="Y10" s="5">
        <v>63.825622099487227</v>
      </c>
      <c r="Z10" s="5">
        <v>6311.9819266438717</v>
      </c>
      <c r="AA10" s="35"/>
    </row>
    <row r="11" spans="2:27" x14ac:dyDescent="0.2">
      <c r="B11" s="4">
        <v>8</v>
      </c>
      <c r="C11" s="4">
        <v>8</v>
      </c>
      <c r="D11" s="23">
        <v>1431998.7933795629</v>
      </c>
      <c r="E11" s="33">
        <v>470.53155175002757</v>
      </c>
      <c r="F11" s="5">
        <v>14</v>
      </c>
      <c r="G11" s="23">
        <v>97.5</v>
      </c>
      <c r="H11" s="33">
        <v>464.53712776909231</v>
      </c>
      <c r="I11" s="23">
        <v>50.764774188018372</v>
      </c>
      <c r="J11" s="5">
        <v>5516.8208233868227</v>
      </c>
      <c r="K11" s="31"/>
      <c r="L11" s="23">
        <v>1977791.830805569</v>
      </c>
      <c r="M11" s="33">
        <v>692.44455250003398</v>
      </c>
      <c r="N11" s="5">
        <v>28</v>
      </c>
      <c r="O11" s="5">
        <v>83.5</v>
      </c>
      <c r="P11" s="33">
        <v>348.08586992749071</v>
      </c>
      <c r="Q11" s="5">
        <v>20.060270759905698</v>
      </c>
      <c r="R11" s="5">
        <v>4769.0635773789363</v>
      </c>
      <c r="S11" s="35"/>
      <c r="T11" s="23">
        <v>2057394.9483657919</v>
      </c>
      <c r="U11" s="33">
        <v>547.37103574996604</v>
      </c>
      <c r="V11" s="5">
        <v>16</v>
      </c>
      <c r="W11" s="5">
        <v>81</v>
      </c>
      <c r="X11" s="33">
        <v>972.97933128523755</v>
      </c>
      <c r="Y11" s="5">
        <v>60.434437391634155</v>
      </c>
      <c r="Z11" s="5">
        <v>6325.0195563688503</v>
      </c>
      <c r="AA11" s="35"/>
    </row>
    <row r="12" spans="2:27" x14ac:dyDescent="0.2">
      <c r="B12" s="4">
        <v>9</v>
      </c>
      <c r="C12" s="4">
        <v>703</v>
      </c>
      <c r="D12" s="23">
        <v>1441187.7133255301</v>
      </c>
      <c r="E12" s="33">
        <v>573.06656504998705</v>
      </c>
      <c r="F12" s="5">
        <v>15</v>
      </c>
      <c r="G12" s="23">
        <v>97.5</v>
      </c>
      <c r="H12" s="33">
        <v>442.21432716894179</v>
      </c>
      <c r="I12" s="23">
        <v>46.814051358223466</v>
      </c>
      <c r="J12" s="5">
        <v>5469.230938270548</v>
      </c>
      <c r="K12" s="31"/>
      <c r="L12" s="23">
        <v>1969734.416325347</v>
      </c>
      <c r="M12" s="33">
        <v>605.52447735000146</v>
      </c>
      <c r="N12" s="5">
        <v>27</v>
      </c>
      <c r="O12" s="5">
        <v>83.5</v>
      </c>
      <c r="P12" s="33">
        <v>425.07437985329801</v>
      </c>
      <c r="Q12" s="5">
        <v>21.226191570783381</v>
      </c>
      <c r="R12" s="5">
        <v>4784.2667740503766</v>
      </c>
      <c r="S12" s="35"/>
      <c r="T12" s="23">
        <v>2064484.1039381979</v>
      </c>
      <c r="U12" s="33">
        <v>729.00794524996297</v>
      </c>
      <c r="V12" s="5">
        <v>16</v>
      </c>
      <c r="W12" s="5">
        <v>80.5</v>
      </c>
      <c r="X12" s="33">
        <v>936.79772358254809</v>
      </c>
      <c r="Y12" s="5">
        <v>60.04347242913623</v>
      </c>
      <c r="Z12" s="5">
        <v>6275.3096781376589</v>
      </c>
      <c r="AA12" s="35"/>
    </row>
    <row r="13" spans="2:27" x14ac:dyDescent="0.2">
      <c r="B13" s="4">
        <v>10</v>
      </c>
      <c r="C13" s="4">
        <v>256</v>
      </c>
      <c r="D13" s="23">
        <v>1484305.0000129361</v>
      </c>
      <c r="E13" s="33">
        <v>493.64751239999896</v>
      </c>
      <c r="F13" s="5">
        <v>14</v>
      </c>
      <c r="G13" s="23">
        <v>97.5</v>
      </c>
      <c r="H13" s="33">
        <v>526.89839370417405</v>
      </c>
      <c r="I13" s="23">
        <v>51.696329858904257</v>
      </c>
      <c r="J13" s="5">
        <v>5737.6894115917812</v>
      </c>
      <c r="K13" s="31"/>
      <c r="L13" s="23">
        <v>1939967.7836567829</v>
      </c>
      <c r="M13" s="33">
        <v>274.1954167499789</v>
      </c>
      <c r="N13" s="5">
        <v>31</v>
      </c>
      <c r="O13" s="5">
        <v>87.5</v>
      </c>
      <c r="P13" s="33">
        <v>410.04175573410208</v>
      </c>
      <c r="Q13" s="5">
        <v>19.798376892304873</v>
      </c>
      <c r="R13" s="5">
        <v>4859.8213462465646</v>
      </c>
      <c r="S13" s="35"/>
      <c r="T13" s="23">
        <v>2069432.671846624</v>
      </c>
      <c r="U13" s="33">
        <v>415.08115564996842</v>
      </c>
      <c r="V13" s="5">
        <v>16</v>
      </c>
      <c r="W13" s="5">
        <v>80</v>
      </c>
      <c r="X13" s="33">
        <v>970.65123827722869</v>
      </c>
      <c r="Y13" s="5">
        <v>59.474797770404976</v>
      </c>
      <c r="Z13" s="5">
        <v>6202.0725067503408</v>
      </c>
      <c r="AA13" s="35"/>
    </row>
    <row r="14" spans="2:27" x14ac:dyDescent="0.2">
      <c r="B14" s="47" t="s">
        <v>3</v>
      </c>
      <c r="C14" s="48"/>
      <c r="D14" s="9">
        <f>MIN(D4:D13)</f>
        <v>1427528.131662989</v>
      </c>
      <c r="E14" s="22">
        <f>INDEX(E4:E13, MATCH($D$14, D4:D13, 0))</f>
        <v>1165.452946550038</v>
      </c>
      <c r="F14" s="9">
        <f>INDEX(F4:F13, MATCH($D$14, D4:D13, 0))</f>
        <v>15</v>
      </c>
      <c r="G14" s="9">
        <f>INDEX(G4:G13, MATCH($D$14, D4:D13, 0))</f>
        <v>97.5</v>
      </c>
      <c r="H14" s="22">
        <f>INDEX(H4:H13, MATCH($D$14, D4:D13, 0))</f>
        <v>413.31715918338023</v>
      </c>
      <c r="I14" s="22">
        <f>INDEX(I4:I13, MATCH($D$14, D4:D13, 0))</f>
        <v>46.820492998437857</v>
      </c>
      <c r="J14" s="22">
        <f>INDEX(J4:J13, MATCH($D$14, D4:D13, 0))</f>
        <v>5438.1575412016455</v>
      </c>
      <c r="K14" s="32" t="e">
        <f>(D14-$D$15)/$D$15</f>
        <v>#DIV/0!</v>
      </c>
      <c r="L14" s="16">
        <f>MIN(L4:L13)</f>
        <v>1939967.7836567829</v>
      </c>
      <c r="M14" s="21">
        <f>INDEX(M4:M13, MATCH($L$14, L4:L13, 0))</f>
        <v>274.1954167499789</v>
      </c>
      <c r="N14" s="16">
        <f>INDEX(N4:N13, MATCH($L$14, L4:L13, 0))</f>
        <v>31</v>
      </c>
      <c r="O14" s="16">
        <f>INDEX(O4:O13, MATCH($L$14, L4:L13, 0))</f>
        <v>87.5</v>
      </c>
      <c r="P14" s="21">
        <f>INDEX(P4:P13, MATCH($L$14, L4:L13, 0))</f>
        <v>410.04175573410208</v>
      </c>
      <c r="Q14" s="21">
        <f>INDEX(Q4:Q13, MATCH($L$14, L4:L13, 0))</f>
        <v>19.798376892304873</v>
      </c>
      <c r="R14" s="21">
        <f>INDEX(R4:R13, MATCH($L$14, L4:L13, 0))</f>
        <v>4859.8213462465646</v>
      </c>
      <c r="S14" s="36" t="e">
        <f>(L14-$D$15)/$D$15</f>
        <v>#DIV/0!</v>
      </c>
      <c r="T14" s="38">
        <f>MIN(T4:T13)</f>
        <v>2057394.9483657919</v>
      </c>
      <c r="U14" s="39">
        <f>INDEX(U4:U13, MATCH($T$14, T4:T13, 0))</f>
        <v>547.37103574996604</v>
      </c>
      <c r="V14" s="38">
        <f>INDEX(V4:V13, MATCH($T$14, T4:T13, 0))</f>
        <v>16</v>
      </c>
      <c r="W14" s="38">
        <f>INDEX(W4:W13, MATCH($T$14, T4:T13, 0))</f>
        <v>81</v>
      </c>
      <c r="X14" s="39">
        <f>INDEX(X4:X13, MATCH($T$14, T4:T13, 0))</f>
        <v>972.97933128523755</v>
      </c>
      <c r="Y14" s="39">
        <f>INDEX(Y4:Y13, MATCH($T$14, T4:T13, 0))</f>
        <v>60.434437391634155</v>
      </c>
      <c r="Z14" s="39">
        <f>INDEX(Z4:Z13, MATCH($T$14, T4:T13, 0))</f>
        <v>6325.0195563688503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0.35896991493738961</v>
      </c>
      <c r="M15" s="41">
        <f t="shared" ref="M15:R15" si="0">(M14-E14)/E14</f>
        <v>-0.76473059889577744</v>
      </c>
      <c r="N15" s="41">
        <f t="shared" si="0"/>
        <v>1.0666666666666667</v>
      </c>
      <c r="O15" s="41">
        <f t="shared" si="0"/>
        <v>-0.10256410256410256</v>
      </c>
      <c r="P15" s="41">
        <f t="shared" si="0"/>
        <v>-7.9246732841907388E-3</v>
      </c>
      <c r="Q15" s="41">
        <f t="shared" si="0"/>
        <v>-0.57714292130658607</v>
      </c>
      <c r="R15" s="41">
        <f t="shared" si="0"/>
        <v>-0.10634781919673633</v>
      </c>
      <c r="T15" s="1">
        <f>(T14-D14)/D14</f>
        <v>0.44122900469151799</v>
      </c>
      <c r="U15" s="1">
        <f t="shared" ref="U15:Z15" si="1">(U14-E14)/E14</f>
        <v>-0.53033622046236339</v>
      </c>
      <c r="V15" s="1">
        <f t="shared" si="1"/>
        <v>6.6666666666666666E-2</v>
      </c>
      <c r="W15" s="1">
        <f t="shared" si="1"/>
        <v>-0.16923076923076924</v>
      </c>
      <c r="X15" s="1">
        <f t="shared" si="1"/>
        <v>1.3540743704123517</v>
      </c>
      <c r="Y15" s="1">
        <f t="shared" si="1"/>
        <v>0.29076892448890962</v>
      </c>
      <c r="Z15" s="1">
        <f t="shared" si="1"/>
        <v>0.16308133930434809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67" priority="7"/>
    <cfRule type="duplicateValues" dxfId="66" priority="8"/>
  </conditionalFormatting>
  <conditionalFormatting sqref="C14">
    <cfRule type="duplicateValues" dxfId="65" priority="5"/>
    <cfRule type="duplicateValues" dxfId="64" priority="6"/>
  </conditionalFormatting>
  <conditionalFormatting sqref="C15">
    <cfRule type="duplicateValues" dxfId="63" priority="3"/>
    <cfRule type="duplicateValues" dxfId="62" priority="4"/>
  </conditionalFormatting>
  <conditionalFormatting sqref="C20:C29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ACBA-B771-45BA-935D-33BEA0CAA46A}">
  <dimension ref="B1:AA17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-0.96980101269964469</v>
      </c>
      <c r="J2" s="28" t="e">
        <f>(S14-J14)/J14</f>
        <v>#DIV/0!</v>
      </c>
      <c r="K2" s="28"/>
      <c r="L2" s="1" t="s">
        <v>19</v>
      </c>
      <c r="P2" s="1">
        <f>(P14-H14)/H14</f>
        <v>-0.29261708984868778</v>
      </c>
      <c r="R2" s="1">
        <f>(R14-J14)/J14</f>
        <v>-0.15610115978802463</v>
      </c>
      <c r="T2" s="1" t="s">
        <v>20</v>
      </c>
      <c r="X2" s="1">
        <f>(X14-P14)/P14</f>
        <v>1.4385053979527669</v>
      </c>
      <c r="Z2" s="1">
        <f>(Z14-R14)/R14</f>
        <v>0.31700911473348303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377</v>
      </c>
      <c r="D4" s="23">
        <v>1559856.9195907461</v>
      </c>
      <c r="E4" s="33">
        <v>188.82865859998856</v>
      </c>
      <c r="F4" s="5">
        <v>15</v>
      </c>
      <c r="G4" s="23">
        <v>98</v>
      </c>
      <c r="H4" s="33">
        <v>662.16001164802992</v>
      </c>
      <c r="I4" s="23">
        <v>47.517390755778855</v>
      </c>
      <c r="J4" s="5">
        <v>5961.3294723385116</v>
      </c>
      <c r="K4" s="31"/>
      <c r="L4" s="23">
        <v>2072953.8184208211</v>
      </c>
      <c r="M4" s="33">
        <v>338.29810615000315</v>
      </c>
      <c r="N4" s="5">
        <v>31</v>
      </c>
      <c r="O4" s="5">
        <v>82.5</v>
      </c>
      <c r="P4" s="33">
        <v>410.26259625597424</v>
      </c>
      <c r="Q4" s="5">
        <v>18.167375591465273</v>
      </c>
      <c r="R4" s="5">
        <v>4839.5896104636622</v>
      </c>
      <c r="S4" s="35"/>
      <c r="T4" s="23">
        <v>2268680.2992119528</v>
      </c>
      <c r="U4" s="33">
        <v>275.66414359997725</v>
      </c>
      <c r="V4" s="5">
        <v>14</v>
      </c>
      <c r="W4" s="5">
        <v>73</v>
      </c>
      <c r="X4" s="33">
        <v>941.65916599858849</v>
      </c>
      <c r="Y4" s="5">
        <v>56.546904476063226</v>
      </c>
      <c r="Z4" s="5">
        <v>6342.5996564636016</v>
      </c>
      <c r="AA4" s="35"/>
    </row>
    <row r="5" spans="2:27" x14ac:dyDescent="0.2">
      <c r="B5" s="4">
        <v>2</v>
      </c>
      <c r="C5" s="4">
        <v>556</v>
      </c>
      <c r="D5" s="23">
        <v>1543625.949373519</v>
      </c>
      <c r="E5" s="33">
        <v>226.71534855000209</v>
      </c>
      <c r="F5" s="5">
        <v>14</v>
      </c>
      <c r="G5" s="23">
        <v>98</v>
      </c>
      <c r="H5" s="33">
        <v>671.37228500414949</v>
      </c>
      <c r="I5" s="23">
        <v>50.114438723990112</v>
      </c>
      <c r="J5" s="5">
        <v>5952.7804338146225</v>
      </c>
      <c r="K5" s="31"/>
      <c r="L5" s="23">
        <v>2089391.8288498861</v>
      </c>
      <c r="M5" s="33">
        <v>1306.3740371500026</v>
      </c>
      <c r="N5" s="5">
        <v>31</v>
      </c>
      <c r="O5" s="5">
        <v>83</v>
      </c>
      <c r="P5" s="33">
        <v>465.79003984924526</v>
      </c>
      <c r="Q5" s="5">
        <v>18.866958083133156</v>
      </c>
      <c r="R5" s="5">
        <v>4941.4708738645686</v>
      </c>
      <c r="S5" s="35"/>
      <c r="T5" s="23">
        <v>2313526.9429627089</v>
      </c>
      <c r="U5" s="33">
        <v>418.43121905002045</v>
      </c>
      <c r="V5" s="5">
        <v>15</v>
      </c>
      <c r="W5" s="5">
        <v>74</v>
      </c>
      <c r="X5" s="33">
        <v>1202.5308967808951</v>
      </c>
      <c r="Y5" s="5">
        <v>58.916520111574997</v>
      </c>
      <c r="Z5" s="5">
        <v>6682.480163441729</v>
      </c>
      <c r="AA5" s="35"/>
    </row>
    <row r="6" spans="2:27" x14ac:dyDescent="0.2">
      <c r="B6" s="4">
        <v>3</v>
      </c>
      <c r="C6" s="4">
        <v>330</v>
      </c>
      <c r="D6" s="23">
        <v>1549356.989679991</v>
      </c>
      <c r="E6" s="33">
        <v>370.25092229997972</v>
      </c>
      <c r="F6" s="5">
        <v>14</v>
      </c>
      <c r="G6" s="23">
        <v>98</v>
      </c>
      <c r="H6" s="33">
        <v>714.15611277194546</v>
      </c>
      <c r="I6" s="23">
        <v>50.995127017564705</v>
      </c>
      <c r="J6" s="5">
        <v>5993.0778592056049</v>
      </c>
      <c r="K6" s="31"/>
      <c r="L6" s="23">
        <v>2068199.6502053761</v>
      </c>
      <c r="M6" s="33">
        <v>1104.3222496499654</v>
      </c>
      <c r="N6" s="5">
        <v>30</v>
      </c>
      <c r="O6" s="5">
        <v>82</v>
      </c>
      <c r="P6" s="33">
        <v>402.55995522305221</v>
      </c>
      <c r="Q6" s="5">
        <v>18.8347036397175</v>
      </c>
      <c r="R6" s="5">
        <v>4801.3703192016355</v>
      </c>
      <c r="S6" s="35"/>
      <c r="T6" s="23">
        <v>2159050.918466541</v>
      </c>
      <c r="U6" s="33">
        <v>486.33160869998392</v>
      </c>
      <c r="V6" s="5">
        <v>16</v>
      </c>
      <c r="W6" s="5">
        <v>79.5</v>
      </c>
      <c r="X6" s="33">
        <v>1087.8408881208652</v>
      </c>
      <c r="Y6" s="5">
        <v>58.916963497491039</v>
      </c>
      <c r="Z6" s="5">
        <v>6556.6409427062545</v>
      </c>
      <c r="AA6" s="35"/>
    </row>
    <row r="7" spans="2:27" x14ac:dyDescent="0.2">
      <c r="B7" s="4">
        <v>4</v>
      </c>
      <c r="C7" s="4">
        <v>926</v>
      </c>
      <c r="D7" s="23">
        <v>1549896.435613143</v>
      </c>
      <c r="E7" s="33">
        <v>252.37035265000304</v>
      </c>
      <c r="F7" s="5">
        <v>15</v>
      </c>
      <c r="G7" s="23">
        <v>98</v>
      </c>
      <c r="H7" s="33">
        <v>607.98399637185503</v>
      </c>
      <c r="I7" s="23">
        <v>48.346686766975573</v>
      </c>
      <c r="J7" s="5">
        <v>5957.6626657626202</v>
      </c>
      <c r="K7" s="31"/>
      <c r="L7" s="23">
        <v>2063883.1514754591</v>
      </c>
      <c r="M7" s="33">
        <v>1272.9827783500075</v>
      </c>
      <c r="N7" s="5">
        <v>30</v>
      </c>
      <c r="O7" s="5">
        <v>82.5</v>
      </c>
      <c r="P7" s="33">
        <v>424.41509198256705</v>
      </c>
      <c r="Q7" s="5">
        <v>19.060034027367468</v>
      </c>
      <c r="R7" s="5">
        <v>4857.3327602764239</v>
      </c>
      <c r="S7" s="35"/>
      <c r="T7" s="23">
        <v>2173106.9771417198</v>
      </c>
      <c r="U7" s="33">
        <v>385.36402654997073</v>
      </c>
      <c r="V7" s="5">
        <v>16</v>
      </c>
      <c r="W7" s="5">
        <v>78.5</v>
      </c>
      <c r="X7" s="33">
        <v>1028.4201635372722</v>
      </c>
      <c r="Y7" s="5">
        <v>55.25771126374412</v>
      </c>
      <c r="Z7" s="5">
        <v>6423.4611914172701</v>
      </c>
      <c r="AA7" s="35"/>
    </row>
    <row r="8" spans="2:27" x14ac:dyDescent="0.2">
      <c r="B8" s="4">
        <v>5</v>
      </c>
      <c r="C8" s="4">
        <v>791</v>
      </c>
      <c r="D8" s="23">
        <v>1544547.864511156</v>
      </c>
      <c r="E8" s="33">
        <v>463.60247340000933</v>
      </c>
      <c r="F8" s="5">
        <v>15</v>
      </c>
      <c r="G8" s="23">
        <v>98</v>
      </c>
      <c r="H8" s="33">
        <v>707.27469747384509</v>
      </c>
      <c r="I8" s="23">
        <v>47.891765950769397</v>
      </c>
      <c r="J8" s="5">
        <v>5858.7657286446683</v>
      </c>
      <c r="K8" s="31"/>
      <c r="L8" s="23">
        <v>2070640.031445242</v>
      </c>
      <c r="M8" s="33">
        <v>436.3039030500222</v>
      </c>
      <c r="N8" s="5">
        <v>33</v>
      </c>
      <c r="O8" s="5">
        <v>85</v>
      </c>
      <c r="P8" s="33">
        <v>453.07435731009514</v>
      </c>
      <c r="Q8" s="5">
        <v>17.829157615541952</v>
      </c>
      <c r="R8" s="5">
        <v>4926.3153416626847</v>
      </c>
      <c r="S8" s="35"/>
      <c r="T8" s="23">
        <v>2170962.880580876</v>
      </c>
      <c r="U8" s="33">
        <v>748.59449230000598</v>
      </c>
      <c r="V8" s="5">
        <v>16</v>
      </c>
      <c r="W8" s="5">
        <v>79</v>
      </c>
      <c r="X8" s="33">
        <v>1070.5120485759937</v>
      </c>
      <c r="Y8" s="5">
        <v>56.040467641740612</v>
      </c>
      <c r="Z8" s="5">
        <v>6500.5571955154828</v>
      </c>
      <c r="AA8" s="35"/>
    </row>
    <row r="9" spans="2:27" x14ac:dyDescent="0.2">
      <c r="B9" s="4">
        <v>6</v>
      </c>
      <c r="C9" s="4">
        <v>646</v>
      </c>
      <c r="D9" s="23">
        <v>1552249.2574534409</v>
      </c>
      <c r="E9" s="33">
        <v>278.55917960003717</v>
      </c>
      <c r="F9" s="5">
        <v>14</v>
      </c>
      <c r="G9" s="23">
        <v>98</v>
      </c>
      <c r="H9" s="33">
        <v>654.39516013362436</v>
      </c>
      <c r="I9" s="23">
        <v>52.405901367166692</v>
      </c>
      <c r="J9" s="5">
        <v>6036.9331277289848</v>
      </c>
      <c r="K9" s="31"/>
      <c r="L9" s="23">
        <v>2129628.5465382929</v>
      </c>
      <c r="M9" s="33">
        <v>767.03697150002699</v>
      </c>
      <c r="N9" s="5">
        <v>24</v>
      </c>
      <c r="O9" s="5">
        <v>75.5</v>
      </c>
      <c r="P9" s="33">
        <v>305.752013361276</v>
      </c>
      <c r="Q9" s="5">
        <v>20.974136290137718</v>
      </c>
      <c r="R9" s="5">
        <v>4714.6427282090781</v>
      </c>
      <c r="S9" s="35"/>
      <c r="T9" s="23">
        <v>2383542.1703217812</v>
      </c>
      <c r="U9" s="33">
        <v>352.68159575003665</v>
      </c>
      <c r="V9" s="5">
        <v>14</v>
      </c>
      <c r="W9" s="5">
        <v>69.5</v>
      </c>
      <c r="X9" s="33">
        <v>944.76259915567027</v>
      </c>
      <c r="Y9" s="5">
        <v>54.053501138836687</v>
      </c>
      <c r="Z9" s="5">
        <v>6497.5160632639181</v>
      </c>
      <c r="AA9" s="35"/>
    </row>
    <row r="10" spans="2:27" x14ac:dyDescent="0.2">
      <c r="B10" s="4">
        <v>7</v>
      </c>
      <c r="C10" s="4">
        <v>425</v>
      </c>
      <c r="D10" s="23">
        <v>1524307.57954646</v>
      </c>
      <c r="E10" s="33">
        <v>425.89649825001834</v>
      </c>
      <c r="F10" s="5">
        <v>15</v>
      </c>
      <c r="G10" s="23">
        <v>98</v>
      </c>
      <c r="H10" s="33">
        <v>599.47723721183343</v>
      </c>
      <c r="I10" s="23">
        <v>47.161988272047793</v>
      </c>
      <c r="J10" s="5">
        <v>5826.7755694806992</v>
      </c>
      <c r="K10" s="31"/>
      <c r="L10" s="23">
        <v>2114578.795082869</v>
      </c>
      <c r="M10" s="33">
        <v>1236.5510553499914</v>
      </c>
      <c r="N10" s="5">
        <v>30</v>
      </c>
      <c r="O10" s="5">
        <v>82.5</v>
      </c>
      <c r="P10" s="33">
        <v>545.40427148944332</v>
      </c>
      <c r="Q10" s="5">
        <v>18.795773501052938</v>
      </c>
      <c r="R10" s="5">
        <v>5064.4206985532937</v>
      </c>
      <c r="S10" s="35"/>
      <c r="T10" s="23">
        <v>2143600.4382181019</v>
      </c>
      <c r="U10" s="33">
        <v>901.50682509999001</v>
      </c>
      <c r="V10" s="5">
        <v>17</v>
      </c>
      <c r="W10" s="5">
        <v>80</v>
      </c>
      <c r="X10" s="33">
        <v>1034.0724835398876</v>
      </c>
      <c r="Y10" s="5">
        <v>55.778019677240628</v>
      </c>
      <c r="Z10" s="5">
        <v>6476.0092633585682</v>
      </c>
      <c r="AA10" s="35"/>
    </row>
    <row r="11" spans="2:27" x14ac:dyDescent="0.2">
      <c r="B11" s="4">
        <v>8</v>
      </c>
      <c r="C11" s="4">
        <v>857</v>
      </c>
      <c r="D11" s="23">
        <v>1551683.0107156611</v>
      </c>
      <c r="E11" s="33">
        <v>471.24254250002559</v>
      </c>
      <c r="F11" s="5">
        <v>15</v>
      </c>
      <c r="G11" s="23">
        <v>98</v>
      </c>
      <c r="H11" s="33">
        <v>683.54044538651249</v>
      </c>
      <c r="I11" s="23">
        <v>48.594458960388856</v>
      </c>
      <c r="J11" s="5">
        <v>5931.8955373381887</v>
      </c>
      <c r="K11" s="31"/>
      <c r="L11" s="23">
        <v>2103540.588114521</v>
      </c>
      <c r="M11" s="33">
        <v>1117.5543218000096</v>
      </c>
      <c r="N11" s="5">
        <v>26</v>
      </c>
      <c r="O11" s="5">
        <v>79</v>
      </c>
      <c r="P11" s="33">
        <v>451.06958600098613</v>
      </c>
      <c r="Q11" s="5">
        <v>20.859792680871649</v>
      </c>
      <c r="R11" s="5">
        <v>4913.2096488430689</v>
      </c>
      <c r="S11" s="35"/>
      <c r="T11" s="23">
        <v>2225299.0156695428</v>
      </c>
      <c r="U11" s="33">
        <v>465.67860869999276</v>
      </c>
      <c r="V11" s="5">
        <v>13</v>
      </c>
      <c r="W11" s="5">
        <v>74</v>
      </c>
      <c r="X11" s="33">
        <v>877.45319308773549</v>
      </c>
      <c r="Y11" s="5">
        <v>60.914950956020192</v>
      </c>
      <c r="Z11" s="5">
        <v>6422.715347690958</v>
      </c>
      <c r="AA11" s="35"/>
    </row>
    <row r="12" spans="2:27" x14ac:dyDescent="0.2">
      <c r="B12" s="4">
        <v>9</v>
      </c>
      <c r="C12" s="4">
        <v>203</v>
      </c>
      <c r="D12" s="23">
        <v>1545113.545743017</v>
      </c>
      <c r="E12" s="33">
        <v>601.76310355000896</v>
      </c>
      <c r="F12" s="5">
        <v>15</v>
      </c>
      <c r="G12" s="23">
        <v>98</v>
      </c>
      <c r="H12" s="33">
        <v>666.71897202897082</v>
      </c>
      <c r="I12" s="23">
        <v>47.851377769148279</v>
      </c>
      <c r="J12" s="5">
        <v>5896.3224710368058</v>
      </c>
      <c r="K12" s="31"/>
      <c r="L12" s="23">
        <v>2056227.574593829</v>
      </c>
      <c r="M12" s="33">
        <v>1061.4918033499855</v>
      </c>
      <c r="N12" s="5">
        <v>32</v>
      </c>
      <c r="O12" s="5">
        <v>84.5</v>
      </c>
      <c r="P12" s="33">
        <v>424.05995262837524</v>
      </c>
      <c r="Q12" s="5">
        <v>18.103605473412273</v>
      </c>
      <c r="R12" s="5">
        <v>4917.2091452602344</v>
      </c>
      <c r="S12" s="35"/>
      <c r="T12" s="23">
        <v>2191753.8305260879</v>
      </c>
      <c r="U12" s="33">
        <v>544.74653629999352</v>
      </c>
      <c r="V12" s="5">
        <v>17</v>
      </c>
      <c r="W12" s="5">
        <v>80</v>
      </c>
      <c r="X12" s="33">
        <v>1218.7314974582339</v>
      </c>
      <c r="Y12" s="5">
        <v>56.165919137408977</v>
      </c>
      <c r="Z12" s="5">
        <v>6649.5535388493199</v>
      </c>
      <c r="AA12" s="35"/>
    </row>
    <row r="13" spans="2:27" x14ac:dyDescent="0.2">
      <c r="B13" s="4">
        <v>10</v>
      </c>
      <c r="C13" s="4">
        <v>831</v>
      </c>
      <c r="D13" s="23">
        <v>1543886.3622366979</v>
      </c>
      <c r="E13" s="33">
        <v>523.80779244995199</v>
      </c>
      <c r="F13" s="5">
        <v>15</v>
      </c>
      <c r="G13" s="23">
        <v>98</v>
      </c>
      <c r="H13" s="33">
        <v>635.75146146785301</v>
      </c>
      <c r="I13" s="23">
        <v>48.243375209038504</v>
      </c>
      <c r="J13" s="5">
        <v>5915.5825340148785</v>
      </c>
      <c r="K13" s="31"/>
      <c r="L13" s="23">
        <v>2159106.608800726</v>
      </c>
      <c r="M13" s="33">
        <v>638.50690364994796</v>
      </c>
      <c r="N13" s="5">
        <v>26</v>
      </c>
      <c r="O13" s="5">
        <v>78</v>
      </c>
      <c r="P13" s="33">
        <v>505.42659680122671</v>
      </c>
      <c r="Q13" s="5">
        <v>19.971197774111513</v>
      </c>
      <c r="R13" s="5">
        <v>5008.9563920372084</v>
      </c>
      <c r="S13" s="35"/>
      <c r="T13" s="23">
        <v>2183504.4455635948</v>
      </c>
      <c r="U13" s="33">
        <v>557.94076925003901</v>
      </c>
      <c r="V13" s="5">
        <v>15</v>
      </c>
      <c r="W13" s="5">
        <v>77.5</v>
      </c>
      <c r="X13" s="33">
        <v>985.66548376093272</v>
      </c>
      <c r="Y13" s="5">
        <v>57.176554708614837</v>
      </c>
      <c r="Z13" s="5">
        <v>6446.8609388559862</v>
      </c>
      <c r="AA13" s="35"/>
    </row>
    <row r="14" spans="2:27" x14ac:dyDescent="0.2">
      <c r="B14" s="47" t="s">
        <v>3</v>
      </c>
      <c r="C14" s="48"/>
      <c r="D14" s="9">
        <f>MIN(D4:D13)</f>
        <v>1524307.57954646</v>
      </c>
      <c r="E14" s="22">
        <f>INDEX(E4:E13, MATCH($D$14, D4:D13, 0))</f>
        <v>425.89649825001834</v>
      </c>
      <c r="F14" s="9">
        <f>INDEX(F4:F13, MATCH($D$14, D4:D13, 0))</f>
        <v>15</v>
      </c>
      <c r="G14" s="9">
        <f>INDEX(G4:G13, MATCH($D$14, D4:D13, 0))</f>
        <v>98</v>
      </c>
      <c r="H14" s="22">
        <f>INDEX(H4:H13, MATCH($D$14, D4:D13, 0))</f>
        <v>599.47723721183343</v>
      </c>
      <c r="I14" s="22">
        <f>INDEX(I4:I13, MATCH($D$14, D4:D13, 0))</f>
        <v>47.161988272047793</v>
      </c>
      <c r="J14" s="22">
        <f>INDEX(J4:J13, MATCH($D$14, D4:D13, 0))</f>
        <v>5826.7755694806992</v>
      </c>
      <c r="K14" s="32" t="e">
        <f>(D14-$D$15)/$D$15</f>
        <v>#DIV/0!</v>
      </c>
      <c r="L14" s="16">
        <f>MIN(L4:L13)</f>
        <v>2056227.574593829</v>
      </c>
      <c r="M14" s="21">
        <f>INDEX(M4:M13, MATCH($L$14, L4:L13, 0))</f>
        <v>1061.4918033499855</v>
      </c>
      <c r="N14" s="16">
        <f>INDEX(N4:N13, MATCH($L$14, L4:L13, 0))</f>
        <v>32</v>
      </c>
      <c r="O14" s="16">
        <f>INDEX(O4:O13, MATCH($L$14, L4:L13, 0))</f>
        <v>84.5</v>
      </c>
      <c r="P14" s="21">
        <f>INDEX(P4:P13, MATCH($L$14, L4:L13, 0))</f>
        <v>424.05995262837524</v>
      </c>
      <c r="Q14" s="21">
        <f>INDEX(Q4:Q13, MATCH($L$14, L4:L13, 0))</f>
        <v>18.103605473412273</v>
      </c>
      <c r="R14" s="21">
        <f>INDEX(R4:R13, MATCH($L$14, L4:L13, 0))</f>
        <v>4917.2091452602344</v>
      </c>
      <c r="S14" s="36" t="e">
        <f>(L14-$D$15)/$D$15</f>
        <v>#DIV/0!</v>
      </c>
      <c r="T14" s="38">
        <f>MIN(T4:T13)</f>
        <v>2143600.4382181019</v>
      </c>
      <c r="U14" s="39">
        <f>INDEX(U4:U13, MATCH($T$14, T4:T13, 0))</f>
        <v>901.50682509999001</v>
      </c>
      <c r="V14" s="38">
        <f>INDEX(V4:V13, MATCH($T$14, T4:T13, 0))</f>
        <v>17</v>
      </c>
      <c r="W14" s="38">
        <f>INDEX(W4:W13, MATCH($T$14, T4:T13, 0))</f>
        <v>80</v>
      </c>
      <c r="X14" s="39">
        <f>INDEX(X4:X13, MATCH($T$14, T4:T13, 0))</f>
        <v>1034.0724835398876</v>
      </c>
      <c r="Y14" s="39">
        <f>INDEX(Y4:Y13, MATCH($T$14, T4:T13, 0))</f>
        <v>55.778019677240628</v>
      </c>
      <c r="Z14" s="39">
        <f>INDEX(Z4:Z13, MATCH($T$14, T4:T13, 0))</f>
        <v>6476.0092633585682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0.3489584400056816</v>
      </c>
      <c r="M15" s="41">
        <f t="shared" ref="M15:R15" si="0">(M14-E14)/E14</f>
        <v>1.492370347517737</v>
      </c>
      <c r="N15" s="41">
        <f t="shared" si="0"/>
        <v>1.1333333333333333</v>
      </c>
      <c r="O15" s="41">
        <f t="shared" si="0"/>
        <v>-0.13775510204081631</v>
      </c>
      <c r="P15" s="41">
        <f t="shared" si="0"/>
        <v>-0.29261708984868778</v>
      </c>
      <c r="Q15" s="41">
        <f t="shared" si="0"/>
        <v>-0.61613990129118434</v>
      </c>
      <c r="R15" s="41">
        <f t="shared" si="0"/>
        <v>-0.15610115978802463</v>
      </c>
      <c r="T15" s="1">
        <f>(T14-D14)/D14</f>
        <v>0.4062781468658086</v>
      </c>
      <c r="U15" s="1">
        <f t="shared" ref="U15:Z15" si="1">(U14-E14)/E14</f>
        <v>1.116727488495971</v>
      </c>
      <c r="V15" s="1">
        <f t="shared" si="1"/>
        <v>0.13333333333333333</v>
      </c>
      <c r="W15" s="1">
        <f t="shared" si="1"/>
        <v>-0.18367346938775511</v>
      </c>
      <c r="X15" s="1">
        <f t="shared" si="1"/>
        <v>0.72495704482351175</v>
      </c>
      <c r="Y15" s="1">
        <f t="shared" si="1"/>
        <v>0.18269016470409133</v>
      </c>
      <c r="Z15" s="1">
        <f t="shared" si="1"/>
        <v>0.11142246447218676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61" priority="7"/>
    <cfRule type="duplicateValues" dxfId="60" priority="8"/>
  </conditionalFormatting>
  <conditionalFormatting sqref="C14">
    <cfRule type="duplicateValues" dxfId="59" priority="5"/>
    <cfRule type="duplicateValues" dxfId="58" priority="6"/>
  </conditionalFormatting>
  <conditionalFormatting sqref="C15">
    <cfRule type="duplicateValues" dxfId="57" priority="3"/>
    <cfRule type="duplicateValues" dxfId="56" priority="4"/>
  </conditionalFormatting>
  <conditionalFormatting sqref="C20:C2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B83C-FEFF-46AB-BB6C-EDF1B4CEE81B}">
  <dimension ref="B1:AA17"/>
  <sheetViews>
    <sheetView zoomScale="80" zoomScaleNormal="8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-0.96224755096048298</v>
      </c>
      <c r="J2" s="28" t="e">
        <f>(S14-J14)/J14</f>
        <v>#DIV/0!</v>
      </c>
      <c r="K2" s="28"/>
      <c r="L2" s="1" t="s">
        <v>19</v>
      </c>
      <c r="P2" s="1">
        <f>(P14-H14)/H14</f>
        <v>-2.4699994196476768E-2</v>
      </c>
      <c r="R2" s="1">
        <f>(R14-J14)/J14</f>
        <v>-0.13848510511749665</v>
      </c>
      <c r="T2" s="1" t="s">
        <v>20</v>
      </c>
      <c r="X2" s="1">
        <f>(X14-P14)/P14</f>
        <v>0.94689406626745687</v>
      </c>
      <c r="Z2" s="1">
        <f>(Z14-R14)/R14</f>
        <v>0.29886038653116642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942</v>
      </c>
      <c r="D4" s="23">
        <v>1547143.9441608349</v>
      </c>
      <c r="E4" s="33">
        <v>418.03809364995686</v>
      </c>
      <c r="F4" s="5">
        <v>15</v>
      </c>
      <c r="G4" s="23">
        <v>96</v>
      </c>
      <c r="H4" s="33">
        <v>589.18297976466056</v>
      </c>
      <c r="I4" s="23">
        <v>48.734432861305059</v>
      </c>
      <c r="J4" s="5">
        <v>5759.5973018226896</v>
      </c>
      <c r="K4" s="31"/>
      <c r="L4" s="23">
        <v>1992963.613666242</v>
      </c>
      <c r="M4" s="33">
        <v>543.9362345499685</v>
      </c>
      <c r="N4" s="5">
        <v>33</v>
      </c>
      <c r="O4" s="5">
        <v>88</v>
      </c>
      <c r="P4" s="33">
        <v>577.52069417737812</v>
      </c>
      <c r="Q4" s="5">
        <v>19.584676364130068</v>
      </c>
      <c r="R4" s="5">
        <v>5014.8140123049161</v>
      </c>
      <c r="S4" s="35"/>
      <c r="T4" s="23">
        <v>2179475.2730468102</v>
      </c>
      <c r="U4" s="33">
        <v>226.54075169999851</v>
      </c>
      <c r="V4" s="5">
        <v>13</v>
      </c>
      <c r="W4" s="5">
        <v>74</v>
      </c>
      <c r="X4" s="33">
        <v>847.4069609577864</v>
      </c>
      <c r="Y4" s="5">
        <v>62.218507933080822</v>
      </c>
      <c r="Z4" s="5">
        <v>6205.7973566440314</v>
      </c>
      <c r="AA4" s="35"/>
    </row>
    <row r="5" spans="2:27" x14ac:dyDescent="0.2">
      <c r="B5" s="4">
        <v>2</v>
      </c>
      <c r="C5" s="4">
        <v>650</v>
      </c>
      <c r="D5" s="23">
        <v>1550710.3422438549</v>
      </c>
      <c r="E5" s="33">
        <v>381.04065869998885</v>
      </c>
      <c r="F5" s="5">
        <v>15</v>
      </c>
      <c r="G5" s="23">
        <v>96</v>
      </c>
      <c r="H5" s="33">
        <v>615.38407115827556</v>
      </c>
      <c r="I5" s="23">
        <v>48.384202993520859</v>
      </c>
      <c r="J5" s="5">
        <v>5729.6783997309476</v>
      </c>
      <c r="K5" s="31"/>
      <c r="L5" s="23">
        <v>2004379.1261151689</v>
      </c>
      <c r="M5" s="33">
        <v>853.39626155002054</v>
      </c>
      <c r="N5" s="5">
        <v>30</v>
      </c>
      <c r="O5" s="5">
        <v>85</v>
      </c>
      <c r="P5" s="33">
        <v>499.72243830901169</v>
      </c>
      <c r="Q5" s="5">
        <v>20.608234739774481</v>
      </c>
      <c r="R5" s="5">
        <v>4933.1251356067514</v>
      </c>
      <c r="S5" s="35"/>
      <c r="T5" s="23">
        <v>2131128.590230023</v>
      </c>
      <c r="U5" s="33">
        <v>406.77632929995889</v>
      </c>
      <c r="V5" s="5">
        <v>15</v>
      </c>
      <c r="W5" s="5">
        <v>77</v>
      </c>
      <c r="X5" s="33">
        <v>911.50513077045878</v>
      </c>
      <c r="Y5" s="5">
        <v>60.385923580900574</v>
      </c>
      <c r="Z5" s="5">
        <v>6222.2120214139195</v>
      </c>
      <c r="AA5" s="35"/>
    </row>
    <row r="6" spans="2:27" x14ac:dyDescent="0.2">
      <c r="B6" s="4">
        <v>3</v>
      </c>
      <c r="C6" s="4">
        <v>304</v>
      </c>
      <c r="D6" s="23">
        <v>1531043.7258451029</v>
      </c>
      <c r="E6" s="33">
        <v>497.53242940001655</v>
      </c>
      <c r="F6" s="5">
        <v>15</v>
      </c>
      <c r="G6" s="23">
        <v>96</v>
      </c>
      <c r="H6" s="33">
        <v>612.89532717749523</v>
      </c>
      <c r="I6" s="23">
        <v>49.018406953979493</v>
      </c>
      <c r="J6" s="5">
        <v>5665.404717026825</v>
      </c>
      <c r="K6" s="31"/>
      <c r="L6" s="23">
        <v>1999642.413955983</v>
      </c>
      <c r="M6" s="33">
        <v>864.23239984997804</v>
      </c>
      <c r="N6" s="5">
        <v>30</v>
      </c>
      <c r="O6" s="5">
        <v>85</v>
      </c>
      <c r="P6" s="33">
        <v>497.06446614365257</v>
      </c>
      <c r="Q6" s="5">
        <v>20.762333550451238</v>
      </c>
      <c r="R6" s="5">
        <v>4884.0552850604263</v>
      </c>
      <c r="S6" s="35"/>
      <c r="T6" s="23">
        <v>2128530.1680770768</v>
      </c>
      <c r="U6" s="33">
        <v>527.65152625000349</v>
      </c>
      <c r="V6" s="5">
        <v>15</v>
      </c>
      <c r="W6" s="5">
        <v>77</v>
      </c>
      <c r="X6" s="33">
        <v>907.49116752879195</v>
      </c>
      <c r="Y6" s="5">
        <v>58.989216819437573</v>
      </c>
      <c r="Z6" s="5">
        <v>6166.9795014321417</v>
      </c>
      <c r="AA6" s="35"/>
    </row>
    <row r="7" spans="2:27" x14ac:dyDescent="0.2">
      <c r="B7" s="4">
        <v>4</v>
      </c>
      <c r="C7" s="4">
        <v>328</v>
      </c>
      <c r="D7" s="23">
        <v>1529276.6616768809</v>
      </c>
      <c r="E7" s="33">
        <v>513.08580620004795</v>
      </c>
      <c r="F7" s="5">
        <v>16</v>
      </c>
      <c r="G7" s="23">
        <v>96</v>
      </c>
      <c r="H7" s="33">
        <v>577.37603771890088</v>
      </c>
      <c r="I7" s="23">
        <v>46.412053570075024</v>
      </c>
      <c r="J7" s="5">
        <v>5562.9111325123677</v>
      </c>
      <c r="K7" s="31"/>
      <c r="L7" s="23">
        <v>2026622.123673951</v>
      </c>
      <c r="M7" s="33">
        <v>893.43070495000552</v>
      </c>
      <c r="N7" s="5">
        <v>25</v>
      </c>
      <c r="O7" s="5">
        <v>79</v>
      </c>
      <c r="P7" s="33">
        <v>289.29288632696006</v>
      </c>
      <c r="Q7" s="5">
        <v>22.006542228054855</v>
      </c>
      <c r="R7" s="5">
        <v>4651.960098374926</v>
      </c>
      <c r="S7" s="35"/>
      <c r="T7" s="23">
        <v>2161791.7149922731</v>
      </c>
      <c r="U7" s="33">
        <v>604.37048505002144</v>
      </c>
      <c r="V7" s="5">
        <v>14</v>
      </c>
      <c r="W7" s="5">
        <v>76</v>
      </c>
      <c r="X7" s="33">
        <v>880.57237180371521</v>
      </c>
      <c r="Y7" s="5">
        <v>59.600960807622464</v>
      </c>
      <c r="Z7" s="5">
        <v>6287.5544728887298</v>
      </c>
      <c r="AA7" s="35"/>
    </row>
    <row r="8" spans="2:27" x14ac:dyDescent="0.2">
      <c r="B8" s="4">
        <v>5</v>
      </c>
      <c r="C8" s="4">
        <v>189</v>
      </c>
      <c r="D8" s="23">
        <v>1522227.1542394061</v>
      </c>
      <c r="E8" s="33">
        <v>848.10762329999102</v>
      </c>
      <c r="F8" s="5">
        <v>15</v>
      </c>
      <c r="G8" s="23">
        <v>96</v>
      </c>
      <c r="H8" s="33">
        <v>523.24158468637438</v>
      </c>
      <c r="I8" s="23">
        <v>49.226099910403413</v>
      </c>
      <c r="J8" s="5">
        <v>5654.4832069597105</v>
      </c>
      <c r="K8" s="31"/>
      <c r="L8" s="23">
        <v>1989149.678193517</v>
      </c>
      <c r="M8" s="33">
        <v>640.70355615002347</v>
      </c>
      <c r="N8" s="5">
        <v>29</v>
      </c>
      <c r="O8" s="5">
        <v>84</v>
      </c>
      <c r="P8" s="33">
        <v>444.92797724035466</v>
      </c>
      <c r="Q8" s="5">
        <v>20.929373852262604</v>
      </c>
      <c r="R8" s="5">
        <v>4832.4954004893552</v>
      </c>
      <c r="S8" s="35"/>
      <c r="T8" s="23">
        <v>2185031.1216802169</v>
      </c>
      <c r="U8" s="33">
        <v>226.80325895000715</v>
      </c>
      <c r="V8" s="5">
        <v>14</v>
      </c>
      <c r="W8" s="5">
        <v>75</v>
      </c>
      <c r="X8" s="33">
        <v>939.33666162614361</v>
      </c>
      <c r="Y8" s="5">
        <v>61.041964215777575</v>
      </c>
      <c r="Z8" s="5">
        <v>6287.2864573509723</v>
      </c>
      <c r="AA8" s="35"/>
    </row>
    <row r="9" spans="2:27" x14ac:dyDescent="0.2">
      <c r="B9" s="4">
        <v>6</v>
      </c>
      <c r="C9" s="4">
        <v>333</v>
      </c>
      <c r="D9" s="23">
        <v>1541950.5089159301</v>
      </c>
      <c r="E9" s="33">
        <v>489.00550089997705</v>
      </c>
      <c r="F9" s="5">
        <v>16</v>
      </c>
      <c r="G9" s="23">
        <v>96</v>
      </c>
      <c r="H9" s="33">
        <v>582.56822569473297</v>
      </c>
      <c r="I9" s="23">
        <v>45.127294745264031</v>
      </c>
      <c r="J9" s="5">
        <v>5625.3848872962417</v>
      </c>
      <c r="K9" s="31"/>
      <c r="L9" s="23">
        <v>1988709.2061183969</v>
      </c>
      <c r="M9" s="33">
        <v>639.71875845000602</v>
      </c>
      <c r="N9" s="5">
        <v>32</v>
      </c>
      <c r="O9" s="5">
        <v>86.5</v>
      </c>
      <c r="P9" s="33">
        <v>510.31752058126563</v>
      </c>
      <c r="Q9" s="5">
        <v>19.753651261228448</v>
      </c>
      <c r="R9" s="5">
        <v>4871.4215056587755</v>
      </c>
      <c r="S9" s="35"/>
      <c r="T9" s="23">
        <v>2150427.9807472578</v>
      </c>
      <c r="U9" s="33">
        <v>191.89339134999321</v>
      </c>
      <c r="V9" s="5">
        <v>15</v>
      </c>
      <c r="W9" s="5">
        <v>78</v>
      </c>
      <c r="X9" s="33">
        <v>982.32529215081775</v>
      </c>
      <c r="Y9" s="5">
        <v>58.082491386581687</v>
      </c>
      <c r="Z9" s="5">
        <v>6423.667664873622</v>
      </c>
      <c r="AA9" s="35"/>
    </row>
    <row r="10" spans="2:27" x14ac:dyDescent="0.2">
      <c r="B10" s="4">
        <v>7</v>
      </c>
      <c r="C10" s="4">
        <v>566</v>
      </c>
      <c r="D10" s="23">
        <v>1554712.767717747</v>
      </c>
      <c r="E10" s="33">
        <v>240.22215849999341</v>
      </c>
      <c r="F10" s="5">
        <v>14</v>
      </c>
      <c r="G10" s="23">
        <v>96</v>
      </c>
      <c r="H10" s="33">
        <v>639.28899572886291</v>
      </c>
      <c r="I10" s="23">
        <v>52.295910125485662</v>
      </c>
      <c r="J10" s="5">
        <v>5843.4564280545155</v>
      </c>
      <c r="K10" s="31"/>
      <c r="L10" s="23">
        <v>2086898.6343923961</v>
      </c>
      <c r="M10" s="33">
        <v>341.24171199998818</v>
      </c>
      <c r="N10" s="5">
        <v>23</v>
      </c>
      <c r="O10" s="5">
        <v>76</v>
      </c>
      <c r="P10" s="33">
        <v>325.50360206193017</v>
      </c>
      <c r="Q10" s="5">
        <v>22.780645176602658</v>
      </c>
      <c r="R10" s="5">
        <v>4699.9692771379378</v>
      </c>
      <c r="S10" s="35"/>
      <c r="T10" s="23">
        <v>2106251.7345385398</v>
      </c>
      <c r="U10" s="33">
        <v>593.74904439999955</v>
      </c>
      <c r="V10" s="5">
        <v>16</v>
      </c>
      <c r="W10" s="5">
        <v>79</v>
      </c>
      <c r="X10" s="33">
        <v>1021.0356904119993</v>
      </c>
      <c r="Y10" s="5">
        <v>56.659411735430858</v>
      </c>
      <c r="Z10" s="5">
        <v>6258.6492058481299</v>
      </c>
      <c r="AA10" s="35"/>
    </row>
    <row r="11" spans="2:27" x14ac:dyDescent="0.2">
      <c r="B11" s="4">
        <v>8</v>
      </c>
      <c r="C11" s="4">
        <v>21</v>
      </c>
      <c r="D11" s="23">
        <v>1549516.138775636</v>
      </c>
      <c r="E11" s="33">
        <v>294.79036900005303</v>
      </c>
      <c r="F11" s="5">
        <v>15</v>
      </c>
      <c r="G11" s="23">
        <v>96</v>
      </c>
      <c r="H11" s="33">
        <v>579.25989855445744</v>
      </c>
      <c r="I11" s="23">
        <v>48.82290329658094</v>
      </c>
      <c r="J11" s="5">
        <v>5762.6841460149044</v>
      </c>
      <c r="K11" s="31"/>
      <c r="L11" s="23">
        <v>2038819.1260153721</v>
      </c>
      <c r="M11" s="33">
        <v>493.24524775001919</v>
      </c>
      <c r="N11" s="5">
        <v>24</v>
      </c>
      <c r="O11" s="5">
        <v>78.5</v>
      </c>
      <c r="P11" s="33">
        <v>341.13846881244382</v>
      </c>
      <c r="Q11" s="5">
        <v>23.229752807681166</v>
      </c>
      <c r="R11" s="5">
        <v>4736.8296183091379</v>
      </c>
      <c r="S11" s="35"/>
      <c r="T11" s="23">
        <v>2101666.5476134452</v>
      </c>
      <c r="U11" s="33">
        <v>1095.738679050002</v>
      </c>
      <c r="V11" s="5">
        <v>16</v>
      </c>
      <c r="W11" s="5">
        <v>79.5</v>
      </c>
      <c r="X11" s="33">
        <v>993.53415273198686</v>
      </c>
      <c r="Y11" s="5">
        <v>58.885791286296971</v>
      </c>
      <c r="Z11" s="5">
        <v>6327.2964197961937</v>
      </c>
      <c r="AA11" s="35"/>
    </row>
    <row r="12" spans="2:27" x14ac:dyDescent="0.2">
      <c r="B12" s="4">
        <v>9</v>
      </c>
      <c r="C12" s="4">
        <v>989</v>
      </c>
      <c r="D12" s="23">
        <v>1557131.6727467671</v>
      </c>
      <c r="E12" s="33">
        <v>321.04545130004408</v>
      </c>
      <c r="F12" s="5">
        <v>14</v>
      </c>
      <c r="G12" s="23">
        <v>96</v>
      </c>
      <c r="H12" s="33">
        <v>657.08255183219012</v>
      </c>
      <c r="I12" s="23">
        <v>52.760942003109179</v>
      </c>
      <c r="J12" s="5">
        <v>5839.964023039046</v>
      </c>
      <c r="K12" s="31"/>
      <c r="L12" s="23">
        <v>2049799.812466735</v>
      </c>
      <c r="M12" s="33">
        <v>1954.8047597499681</v>
      </c>
      <c r="N12" s="5">
        <v>26</v>
      </c>
      <c r="O12" s="5">
        <v>79</v>
      </c>
      <c r="P12" s="33">
        <v>299.21400353565826</v>
      </c>
      <c r="Q12" s="5">
        <v>21.608993813461886</v>
      </c>
      <c r="R12" s="5">
        <v>4669.251681536477</v>
      </c>
      <c r="S12" s="35"/>
      <c r="T12" s="23">
        <v>2130618.5360582969</v>
      </c>
      <c r="U12" s="33">
        <v>500.09078984998649</v>
      </c>
      <c r="V12" s="5">
        <v>15</v>
      </c>
      <c r="W12" s="5">
        <v>76.5</v>
      </c>
      <c r="X12" s="33">
        <v>875.13132445352073</v>
      </c>
      <c r="Y12" s="5">
        <v>60.237356212329502</v>
      </c>
      <c r="Z12" s="5">
        <v>6148.889333968852</v>
      </c>
      <c r="AA12" s="35"/>
    </row>
    <row r="13" spans="2:27" x14ac:dyDescent="0.2">
      <c r="B13" s="4">
        <v>10</v>
      </c>
      <c r="C13" s="4">
        <v>837</v>
      </c>
      <c r="D13" s="23">
        <v>1565751.0938855191</v>
      </c>
      <c r="E13" s="33">
        <v>233.92236799997045</v>
      </c>
      <c r="F13" s="5">
        <v>14</v>
      </c>
      <c r="G13" s="23">
        <v>96</v>
      </c>
      <c r="H13" s="33">
        <v>669.83647847026725</v>
      </c>
      <c r="I13" s="23">
        <v>51.838534407862156</v>
      </c>
      <c r="J13" s="5">
        <v>5883.6041494787851</v>
      </c>
      <c r="K13" s="31"/>
      <c r="L13" s="23">
        <v>2041773.811286604</v>
      </c>
      <c r="M13" s="33">
        <v>1392.1043186500319</v>
      </c>
      <c r="N13" s="5">
        <v>24</v>
      </c>
      <c r="O13" s="5">
        <v>78</v>
      </c>
      <c r="P13" s="33">
        <v>304.79835119030639</v>
      </c>
      <c r="Q13" s="5">
        <v>22.849441753910565</v>
      </c>
      <c r="R13" s="5">
        <v>4729.4652782038438</v>
      </c>
      <c r="S13" s="35"/>
      <c r="T13" s="23">
        <v>2128411.7026872728</v>
      </c>
      <c r="U13" s="33">
        <v>828.66862000001152</v>
      </c>
      <c r="V13" s="5">
        <v>15</v>
      </c>
      <c r="W13" s="5">
        <v>78</v>
      </c>
      <c r="X13" s="33">
        <v>990.2289755800017</v>
      </c>
      <c r="Y13" s="5">
        <v>60.588163254493814</v>
      </c>
      <c r="Z13" s="5">
        <v>6328.9774203547331</v>
      </c>
      <c r="AA13" s="35"/>
    </row>
    <row r="14" spans="2:27" x14ac:dyDescent="0.2">
      <c r="B14" s="47" t="s">
        <v>3</v>
      </c>
      <c r="C14" s="48"/>
      <c r="D14" s="9">
        <f>MIN(D4:D13)</f>
        <v>1522227.1542394061</v>
      </c>
      <c r="E14" s="22">
        <f>INDEX(E4:E13, MATCH($D$14, D4:D13, 0))</f>
        <v>848.10762329999102</v>
      </c>
      <c r="F14" s="9">
        <f>INDEX(F4:F13, MATCH($D$14, D4:D13, 0))</f>
        <v>15</v>
      </c>
      <c r="G14" s="9">
        <f>INDEX(G4:G13, MATCH($D$14, D4:D13, 0))</f>
        <v>96</v>
      </c>
      <c r="H14" s="22">
        <f>INDEX(H4:H13, MATCH($D$14, D4:D13, 0))</f>
        <v>523.24158468637438</v>
      </c>
      <c r="I14" s="22">
        <f>INDEX(I4:I13, MATCH($D$14, D4:D13, 0))</f>
        <v>49.226099910403413</v>
      </c>
      <c r="J14" s="22">
        <f>INDEX(J4:J13, MATCH($D$14, D4:D13, 0))</f>
        <v>5654.4832069597105</v>
      </c>
      <c r="K14" s="32" t="e">
        <f>(D14-$D$15)/$D$15</f>
        <v>#DIV/0!</v>
      </c>
      <c r="L14" s="16">
        <f>MIN(L4:L13)</f>
        <v>1988709.2061183969</v>
      </c>
      <c r="M14" s="21">
        <f>INDEX(M4:M13, MATCH($L$14, L4:L13, 0))</f>
        <v>639.71875845000602</v>
      </c>
      <c r="N14" s="16">
        <f>INDEX(N4:N13, MATCH($L$14, L4:L13, 0))</f>
        <v>32</v>
      </c>
      <c r="O14" s="16">
        <f>INDEX(O4:O13, MATCH($L$14, L4:L13, 0))</f>
        <v>86.5</v>
      </c>
      <c r="P14" s="21">
        <f>INDEX(P4:P13, MATCH($L$14, L4:L13, 0))</f>
        <v>510.31752058126563</v>
      </c>
      <c r="Q14" s="21">
        <f>INDEX(Q4:Q13, MATCH($L$14, L4:L13, 0))</f>
        <v>19.753651261228448</v>
      </c>
      <c r="R14" s="21">
        <f>INDEX(R4:R13, MATCH($L$14, L4:L13, 0))</f>
        <v>4871.4215056587755</v>
      </c>
      <c r="S14" s="36" t="e">
        <f>(L14-$D$15)/$D$15</f>
        <v>#DIV/0!</v>
      </c>
      <c r="T14" s="38">
        <f>MIN(T4:T13)</f>
        <v>2101666.5476134452</v>
      </c>
      <c r="U14" s="39">
        <f>INDEX(U4:U13, MATCH($T$14, T4:T13, 0))</f>
        <v>1095.738679050002</v>
      </c>
      <c r="V14" s="38">
        <f>INDEX(V4:V13, MATCH($T$14, T4:T13, 0))</f>
        <v>16</v>
      </c>
      <c r="W14" s="38">
        <f>INDEX(W4:W13, MATCH($T$14, T4:T13, 0))</f>
        <v>79.5</v>
      </c>
      <c r="X14" s="39">
        <f>INDEX(X4:X13, MATCH($T$14, T4:T13, 0))</f>
        <v>993.53415273198686</v>
      </c>
      <c r="Y14" s="39">
        <f>INDEX(Y4:Y13, MATCH($T$14, T4:T13, 0))</f>
        <v>58.885791286296971</v>
      </c>
      <c r="Z14" s="39">
        <f>INDEX(Z4:Z13, MATCH($T$14, T4:T13, 0))</f>
        <v>6327.2964197961937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0.30644707038620173</v>
      </c>
      <c r="M15" s="41">
        <f t="shared" ref="M15:R15" si="0">(M14-E14)/E14</f>
        <v>-0.24571040175201217</v>
      </c>
      <c r="N15" s="41">
        <f t="shared" si="0"/>
        <v>1.1333333333333333</v>
      </c>
      <c r="O15" s="41">
        <f t="shared" si="0"/>
        <v>-9.8958333333333329E-2</v>
      </c>
      <c r="P15" s="41">
        <f t="shared" si="0"/>
        <v>-2.4699994196476768E-2</v>
      </c>
      <c r="Q15" s="41">
        <f t="shared" si="0"/>
        <v>-0.5987158987370087</v>
      </c>
      <c r="R15" s="41">
        <f t="shared" si="0"/>
        <v>-0.13848510511749665</v>
      </c>
      <c r="T15" s="1">
        <f>(T14-D14)/D14</f>
        <v>0.38065238276711794</v>
      </c>
      <c r="U15" s="1">
        <f t="shared" ref="U15:Z15" si="1">(U14-E14)/E14</f>
        <v>0.29198069790538766</v>
      </c>
      <c r="V15" s="1">
        <f t="shared" si="1"/>
        <v>6.6666666666666666E-2</v>
      </c>
      <c r="W15" s="1">
        <f t="shared" si="1"/>
        <v>-0.171875</v>
      </c>
      <c r="X15" s="1">
        <f t="shared" si="1"/>
        <v>0.89880579412949568</v>
      </c>
      <c r="Y15" s="1">
        <f t="shared" si="1"/>
        <v>0.19623109272266531</v>
      </c>
      <c r="Z15" s="1">
        <f t="shared" si="1"/>
        <v>0.1189875693694455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0:C1048576">
    <cfRule type="duplicateValues" dxfId="55" priority="7"/>
    <cfRule type="duplicateValues" dxfId="54" priority="8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3"/>
    <cfRule type="duplicateValues" dxfId="50" priority="4"/>
  </conditionalFormatting>
  <conditionalFormatting sqref="C20:C2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results113</vt:lpstr>
      <vt:lpstr>results166</vt:lpstr>
      <vt:lpstr>results168</vt:lpstr>
      <vt:lpstr>results206</vt:lpstr>
      <vt:lpstr>results346</vt:lpstr>
      <vt:lpstr>results486</vt:lpstr>
      <vt:lpstr>results505</vt:lpstr>
      <vt:lpstr>results676</vt:lpstr>
      <vt:lpstr>results699</vt:lpstr>
      <vt:lpstr>results841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2026-10-20T19:49:37Z</dcterms:modified>
</cp:coreProperties>
</file>